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mproduct0.sharepoint.com/sites/SumProductTeam/Shared Documents/General/Sam/"/>
    </mc:Choice>
  </mc:AlternateContent>
  <xr:revisionPtr revIDLastSave="447" documentId="11_CFB500C827300F62DBFF5620BC6A27A50B9F166F" xr6:coauthVersionLast="47" xr6:coauthVersionMax="47" xr10:uidLastSave="{DEA97B3D-421A-4F06-B0CE-770381F25560}"/>
  <bookViews>
    <workbookView xWindow="-120" yWindow="-120" windowWidth="29040" windowHeight="15720" tabRatio="754" activeTab="3" xr2:uid="{00000000-000D-0000-FFFF-FFFF00000000}"/>
  </bookViews>
  <sheets>
    <sheet name="  " sheetId="62" r:id="rId1"/>
    <sheet name="Corality" sheetId="63" r:id="rId2"/>
    <sheet name="Inputs" sheetId="1" r:id="rId3"/>
    <sheet name="One Line" sheetId="65" r:id="rId4"/>
    <sheet name="Dynamic Array" sheetId="66" r:id="rId5"/>
    <sheet name="L" sheetId="3" r:id="rId6"/>
    <sheet name="N" sheetId="41" r:id="rId7"/>
  </sheets>
  <definedNames>
    <definedName name="Billion">N!$F$18</definedName>
    <definedName name="Con_End">Inputs!$E$12</definedName>
    <definedName name="Con_Start">Inputs!$E$10</definedName>
    <definedName name="Days_Yr">N!$F$11</definedName>
    <definedName name="Grams_Oz">N!$F$21</definedName>
    <definedName name="Master_Integrity">Inputs!$E$112</definedName>
    <definedName name="Million">N!$F$17</definedName>
    <definedName name="Model_Start">Inputs!$E$7</definedName>
    <definedName name="Months_Qtr">N!$F$14</definedName>
    <definedName name="Months_Yr">N!$F$12</definedName>
    <definedName name="Name_Company">N!$F$6</definedName>
    <definedName name="Name_Model">N!$F$7</definedName>
    <definedName name="Name_Project">N!$F$8</definedName>
    <definedName name="Ops_End">Inputs!$E$17</definedName>
    <definedName name="Ops_Start">Inputs!$E$15</definedName>
    <definedName name="Qtrs_Yr">N!$F$13</definedName>
    <definedName name="Thousand">N!$F$16</definedName>
    <definedName name="Verysmallnumber">N!$F$19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65" l="1"/>
  <c r="J55" i="66" a="1"/>
  <c r="J55" i="66" s="1"/>
  <c r="I59" i="66"/>
  <c r="F59" i="66" s="1"/>
  <c r="J105" i="66"/>
  <c r="J102" i="66"/>
  <c r="I101" i="66"/>
  <c r="J6" i="66" l="1" a="1"/>
  <c r="J6" i="66" s="1"/>
  <c r="I5" i="66"/>
  <c r="E68" i="66"/>
  <c r="E28" i="66" a="1"/>
  <c r="E28" i="66" s="1"/>
  <c r="E79" i="66"/>
  <c r="F79" i="66"/>
  <c r="E38" i="66"/>
  <c r="D28" i="66" a="1"/>
  <c r="D28" i="66" s="1"/>
  <c r="D38" i="66" s="1" a="1"/>
  <c r="D38" i="66" s="1"/>
  <c r="C19" i="66" a="1"/>
  <c r="C19" i="66" s="1"/>
  <c r="D3" i="66"/>
  <c r="A2" i="66"/>
  <c r="I5" i="65"/>
  <c r="J4" i="65"/>
  <c r="J5" i="65"/>
  <c r="K4" i="65"/>
  <c r="E10" i="1"/>
  <c r="K5" i="65"/>
  <c r="E12" i="1"/>
  <c r="K6" i="65"/>
  <c r="L4" i="65"/>
  <c r="L5" i="65"/>
  <c r="L6" i="65"/>
  <c r="M4" i="65"/>
  <c r="M5" i="65"/>
  <c r="M6" i="65"/>
  <c r="N4" i="65"/>
  <c r="N5" i="65"/>
  <c r="N6" i="65"/>
  <c r="O4" i="65"/>
  <c r="O5" i="65"/>
  <c r="O6" i="65"/>
  <c r="P4" i="65"/>
  <c r="P5" i="65"/>
  <c r="P6" i="65"/>
  <c r="Q4" i="65"/>
  <c r="Q5" i="65"/>
  <c r="Q6" i="65"/>
  <c r="R4" i="65"/>
  <c r="R5" i="65"/>
  <c r="R6" i="65"/>
  <c r="S4" i="65"/>
  <c r="S5" i="65"/>
  <c r="S6" i="65"/>
  <c r="T4" i="65"/>
  <c r="T5" i="65"/>
  <c r="T6" i="65"/>
  <c r="U4" i="65"/>
  <c r="U5" i="65"/>
  <c r="U6" i="65"/>
  <c r="V4" i="65"/>
  <c r="V5" i="65"/>
  <c r="V6" i="65"/>
  <c r="W4" i="65"/>
  <c r="W5" i="65"/>
  <c r="W6" i="65"/>
  <c r="X4" i="65"/>
  <c r="X5" i="65"/>
  <c r="X6" i="65"/>
  <c r="Y4" i="65"/>
  <c r="Y5" i="65"/>
  <c r="Y6" i="65"/>
  <c r="Z4" i="65"/>
  <c r="Z5" i="65"/>
  <c r="Z6" i="65"/>
  <c r="AA4" i="65"/>
  <c r="AA5" i="65"/>
  <c r="AA6" i="65"/>
  <c r="AB4" i="65"/>
  <c r="AB5" i="65"/>
  <c r="AB6" i="65"/>
  <c r="AC4" i="65"/>
  <c r="AC5" i="65"/>
  <c r="AC6" i="65"/>
  <c r="AD4" i="65"/>
  <c r="AD5" i="65"/>
  <c r="AD6" i="65"/>
  <c r="AE4" i="65"/>
  <c r="AE5" i="65"/>
  <c r="AE6" i="65"/>
  <c r="AF4" i="65"/>
  <c r="AF5" i="65"/>
  <c r="AF6" i="65"/>
  <c r="AG4" i="65"/>
  <c r="AG5" i="65"/>
  <c r="AG6" i="65"/>
  <c r="AH4" i="65"/>
  <c r="AH5" i="65"/>
  <c r="AH6" i="65"/>
  <c r="AI4" i="65"/>
  <c r="AI5" i="65"/>
  <c r="AI6" i="65"/>
  <c r="AJ4" i="65"/>
  <c r="AJ5" i="65"/>
  <c r="AJ6" i="65"/>
  <c r="AK4" i="65"/>
  <c r="AK5" i="65"/>
  <c r="AK6" i="65"/>
  <c r="AL4" i="65"/>
  <c r="AL5" i="65"/>
  <c r="AL6" i="65"/>
  <c r="AM4" i="65"/>
  <c r="AM5" i="65"/>
  <c r="AM6" i="65"/>
  <c r="AN4" i="65"/>
  <c r="AN5" i="65"/>
  <c r="AN6" i="65"/>
  <c r="AO4" i="65"/>
  <c r="AO5" i="65"/>
  <c r="AO6" i="65"/>
  <c r="AP4" i="65"/>
  <c r="AP5" i="65"/>
  <c r="AP6" i="65"/>
  <c r="AQ4" i="65"/>
  <c r="AQ5" i="65"/>
  <c r="AQ6" i="65"/>
  <c r="AR4" i="65"/>
  <c r="AR5" i="65"/>
  <c r="AR6" i="65"/>
  <c r="AS4" i="65"/>
  <c r="AS5" i="65"/>
  <c r="AS6" i="65"/>
  <c r="AT4" i="65"/>
  <c r="AT5" i="65"/>
  <c r="AT6" i="65"/>
  <c r="AU4" i="65"/>
  <c r="AU5" i="65"/>
  <c r="AU6" i="65"/>
  <c r="AV4" i="65"/>
  <c r="AV5" i="65"/>
  <c r="AV6" i="65"/>
  <c r="AW4" i="65"/>
  <c r="AW5" i="65"/>
  <c r="AW6" i="65"/>
  <c r="AX4" i="65"/>
  <c r="AX5" i="65"/>
  <c r="AX6" i="65"/>
  <c r="AY4" i="65"/>
  <c r="AY5" i="65"/>
  <c r="AY6" i="65"/>
  <c r="AZ4" i="65"/>
  <c r="AZ5" i="65"/>
  <c r="AZ6" i="65"/>
  <c r="BA4" i="65"/>
  <c r="BA5" i="65"/>
  <c r="BA6" i="65"/>
  <c r="BB4" i="65"/>
  <c r="BB5" i="65"/>
  <c r="BB6" i="65"/>
  <c r="BC4" i="65"/>
  <c r="BC5" i="65"/>
  <c r="BC6" i="65"/>
  <c r="BD4" i="65"/>
  <c r="BD5" i="65"/>
  <c r="BD6" i="65"/>
  <c r="BE4" i="65"/>
  <c r="BE5" i="65"/>
  <c r="BE6" i="65"/>
  <c r="BF4" i="65"/>
  <c r="BF5" i="65"/>
  <c r="BF6" i="65"/>
  <c r="BG4" i="65"/>
  <c r="BG5" i="65"/>
  <c r="BG6" i="65"/>
  <c r="BH4" i="65"/>
  <c r="BH5" i="65"/>
  <c r="BH6" i="65"/>
  <c r="BI4" i="65"/>
  <c r="BI5" i="65"/>
  <c r="BI6" i="65"/>
  <c r="E15" i="1"/>
  <c r="E17" i="1"/>
  <c r="K7" i="65"/>
  <c r="L7" i="65"/>
  <c r="M7" i="65"/>
  <c r="N7" i="65"/>
  <c r="O7" i="65"/>
  <c r="P7" i="65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AR7" i="65"/>
  <c r="AS7" i="65"/>
  <c r="AT7" i="65"/>
  <c r="AU7" i="65"/>
  <c r="AV7" i="65"/>
  <c r="AW7" i="65"/>
  <c r="AX7" i="65"/>
  <c r="AY7" i="65"/>
  <c r="AZ7" i="65"/>
  <c r="BA7" i="65"/>
  <c r="BB7" i="65"/>
  <c r="BC7" i="65"/>
  <c r="BD7" i="65"/>
  <c r="BE7" i="65"/>
  <c r="BF7" i="65"/>
  <c r="BG7" i="65"/>
  <c r="BH7" i="65"/>
  <c r="BI7" i="65"/>
  <c r="J7" i="65"/>
  <c r="J6" i="65"/>
  <c r="K14" i="65"/>
  <c r="L14" i="65"/>
  <c r="M14" i="65"/>
  <c r="E29" i="1"/>
  <c r="F71" i="1"/>
  <c r="N14" i="65"/>
  <c r="O14" i="65"/>
  <c r="P14" i="65"/>
  <c r="Q14" i="65"/>
  <c r="R14" i="65"/>
  <c r="S14" i="65"/>
  <c r="T14" i="65"/>
  <c r="U14" i="65"/>
  <c r="V14" i="65"/>
  <c r="W14" i="65"/>
  <c r="X14" i="65"/>
  <c r="Y14" i="65"/>
  <c r="Z14" i="65"/>
  <c r="AA14" i="65"/>
  <c r="AB14" i="65"/>
  <c r="AC14" i="65"/>
  <c r="AD14" i="65"/>
  <c r="AE14" i="65"/>
  <c r="AF14" i="65"/>
  <c r="AG14" i="65"/>
  <c r="AH14" i="65"/>
  <c r="AI14" i="65"/>
  <c r="AJ14" i="65"/>
  <c r="AK14" i="65"/>
  <c r="AL14" i="65"/>
  <c r="AM14" i="65"/>
  <c r="AN14" i="65"/>
  <c r="AO14" i="65"/>
  <c r="AP14" i="65"/>
  <c r="AQ14" i="65"/>
  <c r="AR14" i="65"/>
  <c r="AS14" i="65"/>
  <c r="AT14" i="65"/>
  <c r="AU14" i="65"/>
  <c r="AV14" i="65"/>
  <c r="AW14" i="65"/>
  <c r="AX14" i="65"/>
  <c r="AY14" i="65"/>
  <c r="AZ14" i="65"/>
  <c r="BA14" i="65"/>
  <c r="BB14" i="65"/>
  <c r="BC14" i="65"/>
  <c r="BD14" i="65"/>
  <c r="BE14" i="65"/>
  <c r="BF14" i="65"/>
  <c r="BG14" i="65"/>
  <c r="BH14" i="65"/>
  <c r="BI14" i="65"/>
  <c r="J14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AZ11" i="65"/>
  <c r="BA11" i="65"/>
  <c r="BB11" i="65"/>
  <c r="BC11" i="65"/>
  <c r="BD11" i="65"/>
  <c r="BE11" i="65"/>
  <c r="BF11" i="65"/>
  <c r="BG11" i="65"/>
  <c r="BH11" i="65"/>
  <c r="BI11" i="65"/>
  <c r="H77" i="1"/>
  <c r="I77" i="1"/>
  <c r="A2" i="65"/>
  <c r="B13" i="62"/>
  <c r="A2" i="1"/>
  <c r="I21" i="1"/>
  <c r="J21" i="1"/>
  <c r="K21" i="1"/>
  <c r="L21" i="1"/>
  <c r="M21" i="1"/>
  <c r="N21" i="1"/>
  <c r="O21" i="1"/>
  <c r="P21" i="1"/>
  <c r="Q21" i="1"/>
  <c r="R21" i="1"/>
  <c r="S21" i="1"/>
  <c r="G22" i="1"/>
  <c r="G23" i="1"/>
  <c r="G24" i="1"/>
  <c r="G25" i="1"/>
  <c r="G26" i="1"/>
  <c r="G27" i="1"/>
  <c r="G28" i="1"/>
  <c r="E112" i="1"/>
  <c r="D3" i="65"/>
  <c r="D3" i="1"/>
  <c r="E14" i="65" a="1"/>
  <c r="E14" i="65"/>
  <c r="E11" i="65"/>
  <c r="J68" i="66" l="1" a="1"/>
  <c r="J68" i="66" s="1"/>
  <c r="E102" i="66"/>
  <c r="F102" i="66" s="1"/>
  <c r="K102" i="66" s="1"/>
  <c r="K103" i="66" s="1"/>
  <c r="J5" i="66" a="1"/>
  <c r="J5" i="66" s="1"/>
  <c r="J4" i="66" a="1"/>
  <c r="J4" i="66" s="1"/>
  <c r="C28" i="66" a="1"/>
  <c r="C28" i="66" s="1"/>
  <c r="C38" i="66" a="1"/>
  <c r="C38" i="66" s="1"/>
  <c r="L104" i="66" l="1"/>
  <c r="K104" i="66"/>
  <c r="I103" i="66"/>
  <c r="K105" i="66"/>
  <c r="J14" i="66" a="1"/>
  <c r="J14" i="66" s="1"/>
  <c r="J13" i="66" a="1"/>
  <c r="J13" i="66" s="1"/>
  <c r="J67" i="66" s="1" a="1"/>
  <c r="J67" i="66" s="1"/>
  <c r="J69" i="66" s="1" a="1"/>
  <c r="J69" i="66" s="1"/>
  <c r="J70" i="66" s="1" a="1"/>
  <c r="J70" i="66" s="1"/>
  <c r="J72" i="66" s="1" a="1"/>
  <c r="J72" i="66" s="1"/>
  <c r="J74" i="66" s="1" a="1"/>
  <c r="J74" i="66" s="1"/>
  <c r="I87" i="66" s="1" a="1"/>
  <c r="I87" i="66" s="1"/>
  <c r="J15" i="66" a="1"/>
  <c r="J15" i="66" s="1"/>
  <c r="J8" i="66" a="1"/>
  <c r="J8" i="66" s="1"/>
  <c r="J12" i="66" s="1" a="1"/>
  <c r="J12" i="66" s="1"/>
  <c r="J7" i="66" a="1"/>
  <c r="J7" i="66" s="1"/>
  <c r="M104" i="66" l="1"/>
  <c r="M105" i="66" s="1"/>
  <c r="L105" i="66"/>
  <c r="I105" i="66" s="1"/>
  <c r="I107" i="66" s="1"/>
  <c r="J11" i="66" a="1"/>
  <c r="J11" i="66" s="1"/>
  <c r="I104" i="66" l="1"/>
  <c r="J24" i="66" a="1"/>
  <c r="J24" i="66" s="1"/>
  <c r="J20" i="66" a="1"/>
  <c r="J20" i="66" s="1"/>
  <c r="J23" i="66" a="1"/>
  <c r="J23" i="66" s="1"/>
  <c r="J19" i="66" a="1"/>
  <c r="J19" i="66" s="1"/>
  <c r="J21" i="66" a="1"/>
  <c r="J21" i="66" s="1"/>
  <c r="J25" i="66" a="1"/>
  <c r="J25" i="66" s="1"/>
  <c r="J22" i="66" a="1"/>
  <c r="J22" i="66" s="1"/>
  <c r="J28" i="66" l="1" a="1"/>
  <c r="J28" i="66" s="1"/>
  <c r="I28" i="66" l="1" a="1"/>
  <c r="I28" i="66" s="1"/>
  <c r="J35" i="66" a="1"/>
  <c r="J35" i="66" s="1"/>
  <c r="I35" i="66" s="1"/>
  <c r="J38" i="66" a="1"/>
  <c r="J38" i="66" s="1"/>
  <c r="I38" i="66" l="1" a="1"/>
  <c r="I38" i="66" s="1"/>
  <c r="J45" i="66" a="1"/>
  <c r="J45" i="66" s="1"/>
  <c r="J49" i="66" l="1" a="1"/>
  <c r="J49" i="66" s="1"/>
  <c r="I45" i="66"/>
  <c r="J76" i="66" l="1" a="1"/>
  <c r="J76" i="66" s="1"/>
  <c r="I49" i="66"/>
  <c r="J53" i="66" a="1"/>
  <c r="J53" i="66" s="1"/>
  <c r="I53" i="66" s="1"/>
  <c r="J91" i="66" l="1" a="1"/>
  <c r="J91" i="66" s="1"/>
  <c r="I92" i="66" s="1"/>
  <c r="I76" i="66"/>
  <c r="J81" i="66" a="1"/>
  <c r="J81" i="66" s="1"/>
  <c r="J77" i="66" a="1"/>
  <c r="J77" i="66" s="1"/>
  <c r="I77" i="66" s="1"/>
  <c r="I79" i="66" s="1"/>
  <c r="J82" i="66" l="1" a="1"/>
  <c r="J82" i="66" s="1"/>
  <c r="J83" i="66" s="1" a="1"/>
  <c r="J83" i="66" s="1"/>
  <c r="I83" i="66" s="1"/>
  <c r="J85" i="66" l="1" a="1"/>
  <c r="J85" i="66" s="1"/>
  <c r="I85" i="66" s="1"/>
  <c r="I84" i="66" s="1"/>
  <c r="J88" i="66" l="1" a="1"/>
  <c r="J88" i="66" s="1"/>
  <c r="I89" i="66" s="1"/>
  <c r="I94" i="6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<sst xmlns="http://schemas.openxmlformats.org/spreadsheetml/2006/main" count="345" uniqueCount="211">
  <si>
    <t>Assumptions</t>
  </si>
  <si>
    <t>Flex Cell</t>
  </si>
  <si>
    <t>Technical Input</t>
  </si>
  <si>
    <t>Header 1</t>
  </si>
  <si>
    <t>Header 2</t>
  </si>
  <si>
    <t>Header 3</t>
  </si>
  <si>
    <t>Infrastructure</t>
  </si>
  <si>
    <t>Units</t>
  </si>
  <si>
    <t>USD</t>
  </si>
  <si>
    <t>Development Styles</t>
  </si>
  <si>
    <t>WIP</t>
  </si>
  <si>
    <t>W</t>
  </si>
  <si>
    <t>Constants</t>
  </si>
  <si>
    <t>Model Name</t>
  </si>
  <si>
    <t>Timing</t>
  </si>
  <si>
    <t>Model Start Date</t>
  </si>
  <si>
    <t>Months per Year</t>
  </si>
  <si>
    <t>Quarters per Year</t>
  </si>
  <si>
    <t>%</t>
  </si>
  <si>
    <t>Spare</t>
  </si>
  <si>
    <t>Thousand</t>
  </si>
  <si>
    <t>Million</t>
  </si>
  <si>
    <t>Very Small Number</t>
  </si>
  <si>
    <t>Entity Names</t>
  </si>
  <si>
    <t>Name</t>
  </si>
  <si>
    <t>Company Name</t>
  </si>
  <si>
    <t>Construction</t>
  </si>
  <si>
    <t>Operations</t>
  </si>
  <si>
    <t>Individual Cell Assumptions</t>
  </si>
  <si>
    <t>Formatting of Headers / Dividers</t>
  </si>
  <si>
    <t>Closing Balance</t>
  </si>
  <si>
    <t>Key Line</t>
  </si>
  <si>
    <t>Header1</t>
  </si>
  <si>
    <t>Header2</t>
  </si>
  <si>
    <t>Header3</t>
  </si>
  <si>
    <t>Assumption_Flex</t>
  </si>
  <si>
    <t>Input</t>
  </si>
  <si>
    <t>Line_Summary</t>
  </si>
  <si>
    <t>Unit</t>
  </si>
  <si>
    <t>Line_ClosingBal</t>
  </si>
  <si>
    <t>Line_Key</t>
  </si>
  <si>
    <t>Offsheet Reference</t>
  </si>
  <si>
    <t>Offsheet</t>
  </si>
  <si>
    <t>Operation (Addition / Total)</t>
  </si>
  <si>
    <t>Operation Line (Non-Addition)</t>
  </si>
  <si>
    <t>Line_Total</t>
  </si>
  <si>
    <t>Line_Operation</t>
  </si>
  <si>
    <t>Empty_Cell</t>
  </si>
  <si>
    <t>Line Total</t>
  </si>
  <si>
    <t>Project Name</t>
  </si>
  <si>
    <t>Standard Assumption</t>
  </si>
  <si>
    <t>Calendar Year</t>
  </si>
  <si>
    <t>Start</t>
  </si>
  <si>
    <t xml:space="preserve">Duration </t>
  </si>
  <si>
    <t>End</t>
  </si>
  <si>
    <t>Period</t>
  </si>
  <si>
    <t>Num#</t>
  </si>
  <si>
    <t>Total</t>
  </si>
  <si>
    <t>Repayment Terms</t>
  </si>
  <si>
    <t>Months per Quarter</t>
  </si>
  <si>
    <t>Margin</t>
  </si>
  <si>
    <t>Base Rate</t>
  </si>
  <si>
    <t>% p.a.</t>
  </si>
  <si>
    <t>Revenue</t>
  </si>
  <si>
    <t>Contingency</t>
  </si>
  <si>
    <t>Equity</t>
  </si>
  <si>
    <t>Fixed Costs</t>
  </si>
  <si>
    <t>Tenor</t>
  </si>
  <si>
    <t>Check</t>
  </si>
  <si>
    <t>Empty Cell</t>
  </si>
  <si>
    <t>Senior Debt</t>
  </si>
  <si>
    <t>To</t>
  </si>
  <si>
    <t>AUD to USD</t>
  </si>
  <si>
    <t>AUD M</t>
  </si>
  <si>
    <t>Cost Escalation</t>
  </si>
  <si>
    <t>Names &amp; Constants</t>
  </si>
  <si>
    <t>Style Legend</t>
  </si>
  <si>
    <t xml:space="preserve">Table Heading </t>
  </si>
  <si>
    <t>Table_Heading</t>
  </si>
  <si>
    <t>Date</t>
  </si>
  <si>
    <t>Cons</t>
  </si>
  <si>
    <t>Interest Rate</t>
  </si>
  <si>
    <t>Categories</t>
  </si>
  <si>
    <t>Operational Expenditure</t>
  </si>
  <si>
    <t>Discount Rate</t>
  </si>
  <si>
    <t>Exchange Rate</t>
  </si>
  <si>
    <t>Yr(s)</t>
  </si>
  <si>
    <t>AUD M p.a.</t>
  </si>
  <si>
    <t>Integrity Checks</t>
  </si>
  <si>
    <t>Master Check</t>
  </si>
  <si>
    <t>Master Integrity</t>
  </si>
  <si>
    <t>Gram to Oz (Troy)</t>
  </si>
  <si>
    <t>Contact Details:</t>
  </si>
  <si>
    <t>Email</t>
  </si>
  <si>
    <t>Phone</t>
  </si>
  <si>
    <t/>
  </si>
  <si>
    <r>
      <rPr>
        <b/>
        <sz val="10"/>
        <rFont val="Arial"/>
        <family val="2"/>
      </rPr>
      <t>Web</t>
    </r>
    <r>
      <rPr>
        <sz val="10"/>
        <rFont val="Arial"/>
        <family val="2"/>
      </rPr>
      <t xml:space="preserve"> www.</t>
    </r>
    <r>
      <rPr>
        <sz val="10"/>
        <color rgb="FFEF4136"/>
        <rFont val="Arial"/>
        <family val="2"/>
      </rPr>
      <t>corality</t>
    </r>
    <r>
      <rPr>
        <sz val="10"/>
        <rFont val="Arial"/>
        <family val="2"/>
      </rPr>
      <t>.com</t>
    </r>
  </si>
  <si>
    <r>
      <t xml:space="preserve">Level 8 | 200 George Street | Sydney NSW 2000 Australia | </t>
    </r>
    <r>
      <rPr>
        <b/>
        <sz val="10"/>
        <rFont val="Arial"/>
        <family val="2"/>
      </rPr>
      <t>Phone</t>
    </r>
    <r>
      <rPr>
        <sz val="10"/>
        <rFont val="Arial"/>
        <family val="2"/>
      </rPr>
      <t xml:space="preserve"> +612 9222 9222 | </t>
    </r>
    <r>
      <rPr>
        <b/>
        <sz val="10"/>
        <rFont val="Arial"/>
        <family val="2"/>
      </rPr>
      <t>Web</t>
    </r>
    <r>
      <rPr>
        <sz val="10"/>
        <rFont val="Arial"/>
        <family val="2"/>
      </rPr>
      <t xml:space="preserve"> www.corality.com</t>
    </r>
  </si>
  <si>
    <t>Corality Training Model</t>
  </si>
  <si>
    <t>Development Costs</t>
  </si>
  <si>
    <t>Qtr(s)</t>
  </si>
  <si>
    <t>Civil Works</t>
  </si>
  <si>
    <t>Price</t>
  </si>
  <si>
    <t>Labour</t>
  </si>
  <si>
    <t>Insurance</t>
  </si>
  <si>
    <t>Fixed O&amp;M</t>
  </si>
  <si>
    <t>Variable Costs</t>
  </si>
  <si>
    <t>Funding</t>
  </si>
  <si>
    <t>From</t>
  </si>
  <si>
    <t>Returns</t>
  </si>
  <si>
    <t>Macroeconomics</t>
  </si>
  <si>
    <t>#</t>
  </si>
  <si>
    <t>FX</t>
  </si>
  <si>
    <t>Escalation Rate</t>
  </si>
  <si>
    <t>Contract Cost</t>
  </si>
  <si>
    <t>Ore Mined</t>
  </si>
  <si>
    <t>Strip Ratio</t>
  </si>
  <si>
    <t>x</t>
  </si>
  <si>
    <t>Grade</t>
  </si>
  <si>
    <t>Grams per Tonne</t>
  </si>
  <si>
    <t>USD / Oz</t>
  </si>
  <si>
    <t>Leasing</t>
  </si>
  <si>
    <t>Head Office</t>
  </si>
  <si>
    <t>Laboratory</t>
  </si>
  <si>
    <t>Mining</t>
  </si>
  <si>
    <t>Processing</t>
  </si>
  <si>
    <t>Waste Transport</t>
  </si>
  <si>
    <t>AUD / Tonne Mined</t>
  </si>
  <si>
    <t>AUD / Tonne Waste</t>
  </si>
  <si>
    <t>Overburden</t>
  </si>
  <si>
    <t>Processing Plant</t>
  </si>
  <si>
    <t>Storage Dam</t>
  </si>
  <si>
    <t>g/t</t>
  </si>
  <si>
    <t>Table Heading</t>
  </si>
  <si>
    <t>Corality Financial Group</t>
  </si>
  <si>
    <t>Gold Mining Project</t>
  </si>
  <si>
    <t>Tim Heng</t>
  </si>
  <si>
    <t>tim.heng@corality.com</t>
  </si>
  <si>
    <t>+61 2 9229 7457</t>
  </si>
  <si>
    <r>
      <t xml:space="preserve">Level 7 | 33 York Street | Sydney NSW 2000 Australia | </t>
    </r>
    <r>
      <rPr>
        <b/>
        <sz val="10"/>
        <rFont val="Arial"/>
        <family val="2"/>
      </rPr>
      <t>Phone</t>
    </r>
    <r>
      <rPr>
        <sz val="10"/>
        <rFont val="Arial"/>
        <family val="2"/>
      </rPr>
      <t xml:space="preserve"> +612 9222 9222 |</t>
    </r>
    <r>
      <rPr>
        <b/>
        <sz val="10"/>
        <rFont val="Arial"/>
        <family val="2"/>
      </rPr>
      <t/>
    </r>
  </si>
  <si>
    <t>Production</t>
  </si>
  <si>
    <t>Milling</t>
  </si>
  <si>
    <t>Recovery Rate</t>
  </si>
  <si>
    <t>Period Start</t>
  </si>
  <si>
    <t>Period End</t>
  </si>
  <si>
    <t>Billion</t>
  </si>
  <si>
    <t>Days per Year</t>
  </si>
  <si>
    <t>t p.a.</t>
  </si>
  <si>
    <t>AUD / Tonne Milled</t>
  </si>
  <si>
    <t>Working Capital</t>
  </si>
  <si>
    <t>Debtor Days</t>
  </si>
  <si>
    <t>Creditor Days</t>
  </si>
  <si>
    <t>Days</t>
  </si>
  <si>
    <t>Cashflow Available for Equity</t>
  </si>
  <si>
    <t>Duration</t>
  </si>
  <si>
    <t>Taxation</t>
  </si>
  <si>
    <t>Tax Rate</t>
  </si>
  <si>
    <t>Gearing Ratio</t>
  </si>
  <si>
    <t>Total Funding Required</t>
  </si>
  <si>
    <t>Calculations</t>
  </si>
  <si>
    <t>DSCR</t>
  </si>
  <si>
    <t>Min DSCR</t>
  </si>
  <si>
    <t>New Modelling Standards</t>
  </si>
  <si>
    <t>Sydney, 1 April 2013</t>
  </si>
  <si>
    <t>NPV</t>
  </si>
  <si>
    <t>Debt</t>
  </si>
  <si>
    <t>Counter</t>
  </si>
  <si>
    <t>Development costs</t>
  </si>
  <si>
    <t>Counters</t>
  </si>
  <si>
    <t>Construction counter</t>
  </si>
  <si>
    <t>Operations counter</t>
  </si>
  <si>
    <t>Development profile</t>
  </si>
  <si>
    <t>Development costs including contingency</t>
  </si>
  <si>
    <t>Uses of funds</t>
  </si>
  <si>
    <t>Construction costs</t>
  </si>
  <si>
    <t>Interest during construction</t>
  </si>
  <si>
    <t>Sources of funds</t>
  </si>
  <si>
    <t>Funding required after equity</t>
  </si>
  <si>
    <t>Funding required after debt</t>
  </si>
  <si>
    <t>Total costs</t>
  </si>
  <si>
    <t>Gearing</t>
  </si>
  <si>
    <t>Interest</t>
  </si>
  <si>
    <t>Construction interest</t>
  </si>
  <si>
    <t>Base rate</t>
  </si>
  <si>
    <t>Year</t>
  </si>
  <si>
    <t>Month</t>
  </si>
  <si>
    <t>All-in rate</t>
  </si>
  <si>
    <t>% p.q.</t>
  </si>
  <si>
    <t>Days in period</t>
  </si>
  <si>
    <t>Discount factor</t>
  </si>
  <si>
    <t>Discount multiple</t>
  </si>
  <si>
    <t>Discounted costs</t>
  </si>
  <si>
    <t>Equity component</t>
  </si>
  <si>
    <t>Cumulative construction costs</t>
  </si>
  <si>
    <t>Cumulative equity drawdown</t>
  </si>
  <si>
    <t>Actual equity drawdown</t>
  </si>
  <si>
    <t>Debt drawdown required</t>
  </si>
  <si>
    <t>End of construction discount factor</t>
  </si>
  <si>
    <t>FV of debt</t>
  </si>
  <si>
    <t>Total FV of debt funding</t>
  </si>
  <si>
    <t>Equity funding + FV of debt funding</t>
  </si>
  <si>
    <t>FV of construction costs</t>
  </si>
  <si>
    <t>Total FV of construction costs</t>
  </si>
  <si>
    <t>FV construction = total construction + FV of equity - equity nominal</t>
  </si>
  <si>
    <t>Equity nominal = total construction - FV construction + FV equity</t>
  </si>
  <si>
    <t>Equity = E</t>
  </si>
  <si>
    <t>Periods = P</t>
  </si>
  <si>
    <t>Rate = r</t>
  </si>
  <si>
    <t>Ratio = t</t>
  </si>
  <si>
    <t>=E * (1-t)*r/(t*((1+r)^(P+1)-1))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</si>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</sst>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00000_);_(* \(#,##0.00000000\);_(* &quot;-&quot;??_);_(@_)"/>
    <numFmt numFmtId="167" formatCode="#,##0_-;\ \(#,##0\);_-* &quot;-&quot;??;_-@_-"/>
    <numFmt numFmtId="168" formatCode="0.00\ &quot;x&quot;"/>
    <numFmt numFmtId="169" formatCode="&quot;Warning&quot;;&quot;Warning&quot;;&quot;OK&quot;"/>
    <numFmt numFmtId="170" formatCode="0\ &quot;Qtr(s)&quot;"/>
    <numFmt numFmtId="171" formatCode="&quot;Op Yr&quot;\ 0"/>
    <numFmt numFmtId="172" formatCode="&quot;Op Yr&quot;\ 0\ &quot;+&quot;"/>
    <numFmt numFmtId="173" formatCode="0\ &quot;Yr(s)&quot;"/>
    <numFmt numFmtId="174" formatCode="@\ * &quot;: &quot;"/>
    <numFmt numFmtId="175" formatCode="_(* #,##0%_);_(* \(#,##0%\);_(* &quot;-&quot;??_);_(@_)"/>
    <numFmt numFmtId="176" formatCode="0.00\ &quot;Yr(s)&quot;"/>
    <numFmt numFmtId="177" formatCode="_(* #,##0.00%_);_(* \(#,##0.00%\);_(* &quot;-&quot;??_);_(@_)"/>
    <numFmt numFmtId="178" formatCode="&quot;Cons Qtr&quot;\ 0"/>
  </numFmts>
  <fonts count="43" x14ac:knownFonts="1">
    <font>
      <sz val="10"/>
      <name val="Arial"/>
    </font>
    <font>
      <sz val="10"/>
      <name val="Arial"/>
      <family val="2"/>
    </font>
    <font>
      <sz val="10"/>
      <color indexed="55"/>
      <name val="Arial"/>
      <family val="2"/>
    </font>
    <font>
      <sz val="10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0"/>
      <color rgb="FF800000"/>
      <name val="Arial"/>
      <family val="2"/>
    </font>
    <font>
      <b/>
      <sz val="18"/>
      <color rgb="FFEF4136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8"/>
      <color rgb="FF006100"/>
      <name val="Tahoma"/>
      <family val="2"/>
    </font>
    <font>
      <sz val="8"/>
      <color rgb="FF9C0006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rgb="FFFA7D00"/>
      <name val="Tahoma"/>
      <family val="2"/>
    </font>
    <font>
      <sz val="8"/>
      <color rgb="FFFA7D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i/>
      <sz val="8"/>
      <color rgb="FF7F7F7F"/>
      <name val="Tahoma"/>
      <family val="2"/>
    </font>
    <font>
      <b/>
      <sz val="8"/>
      <color theme="1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b/>
      <sz val="18"/>
      <name val="Arial"/>
      <family val="2"/>
    </font>
    <font>
      <b/>
      <sz val="16"/>
      <color rgb="FFEF4136"/>
      <name val="Arial"/>
      <family val="2"/>
    </font>
    <font>
      <b/>
      <sz val="11"/>
      <name val="Arial"/>
      <family val="2"/>
    </font>
    <font>
      <b/>
      <sz val="38"/>
      <color theme="1" tint="0.249977111117893"/>
      <name val="Arial"/>
      <family val="2"/>
    </font>
    <font>
      <i/>
      <sz val="28"/>
      <color rgb="FFEF4136"/>
      <name val="Georgia"/>
      <family val="1"/>
    </font>
    <font>
      <b/>
      <sz val="16"/>
      <color theme="1" tint="0.499984740745262"/>
      <name val="Arial"/>
      <family val="2"/>
    </font>
    <font>
      <sz val="10"/>
      <color rgb="FFEF4136"/>
      <name val="Arial"/>
      <family val="2"/>
    </font>
    <font>
      <sz val="10"/>
      <color theme="1" tint="0.34998626667073579"/>
      <name val="Arial"/>
      <family val="2"/>
    </font>
    <font>
      <sz val="10"/>
      <color rgb="FF9E100A"/>
      <name val="Arial"/>
      <family val="2"/>
    </font>
    <font>
      <b/>
      <sz val="10"/>
      <color rgb="FF336633"/>
      <name val="Arial"/>
      <family val="2"/>
    </font>
  </fonts>
  <fills count="45">
    <fill>
      <patternFill patternType="none"/>
    </fill>
    <fill>
      <patternFill patternType="gray125"/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Vertical">
        <fgColor indexed="48"/>
        <bgColor indexed="9"/>
      </patternFill>
    </fill>
    <fill>
      <patternFill patternType="lightDown">
        <fgColor indexed="23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22"/>
      </patternFill>
    </fill>
    <fill>
      <patternFill patternType="solid">
        <fgColor rgb="FFFFFF99"/>
        <bgColor indexed="64"/>
      </patternFill>
    </fill>
    <fill>
      <patternFill patternType="solid">
        <fgColor rgb="FFEF413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EDAD6"/>
        <bgColor indexed="64"/>
      </patternFill>
    </fill>
    <fill>
      <patternFill patternType="solid">
        <fgColor rgb="FFEDAA6D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thin">
        <color theme="1" tint="0.24994659260841701"/>
      </bottom>
      <diagonal/>
    </border>
    <border>
      <left/>
      <right/>
      <top style="medium">
        <color rgb="FFEF4136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9E100A"/>
      </left>
      <right style="thin">
        <color rgb="FF9E100A"/>
      </right>
      <top style="thin">
        <color rgb="FF9E100A"/>
      </top>
      <bottom style="thin">
        <color rgb="FF9E100A"/>
      </bottom>
      <diagonal/>
    </border>
    <border>
      <left style="thin">
        <color rgb="FF2F4F4F"/>
      </left>
      <right style="thin">
        <color rgb="FF2F4F4F"/>
      </right>
      <top style="thin">
        <color rgb="FF2F4F4F"/>
      </top>
      <bottom style="thin">
        <color rgb="FF2F4F4F"/>
      </bottom>
      <diagonal/>
    </border>
  </borders>
  <cellStyleXfs count="78">
    <xf numFmtId="0" fontId="0" fillId="0" borderId="0" applyNumberFormat="0" applyAlignment="0"/>
    <xf numFmtId="10" fontId="14" fillId="10" borderId="14" applyNumberFormat="0" applyAlignment="0">
      <protection locked="0"/>
    </xf>
    <xf numFmtId="169" fontId="2" fillId="0" borderId="3">
      <alignment horizontal="center"/>
    </xf>
    <xf numFmtId="164" fontId="1" fillId="0" borderId="4" applyFont="0" applyFill="0" applyBorder="0" applyAlignment="0" applyProtection="0"/>
    <xf numFmtId="0" fontId="1" fillId="2" borderId="4" applyNumberFormat="0"/>
    <xf numFmtId="0" fontId="10" fillId="3" borderId="5" applyNumberFormat="0" applyAlignment="0">
      <alignment horizontal="center"/>
    </xf>
    <xf numFmtId="0" fontId="1" fillId="4" borderId="0" applyNumberFormat="0" applyFont="0" applyAlignment="0"/>
    <xf numFmtId="0" fontId="12" fillId="5" borderId="2">
      <alignment horizontal="center"/>
    </xf>
    <xf numFmtId="167" fontId="11" fillId="6" borderId="1"/>
    <xf numFmtId="0" fontId="34" fillId="0" borderId="0" applyNumberFormat="0" applyFill="0" applyBorder="0" applyAlignment="0"/>
    <xf numFmtId="0" fontId="35" fillId="0" borderId="0" applyNumberFormat="0" applyFill="0"/>
    <xf numFmtId="0" fontId="9" fillId="0" borderId="0" applyNumberFormat="0" applyFill="0" applyBorder="0" applyAlignment="0"/>
    <xf numFmtId="0" fontId="2" fillId="0" borderId="0" applyNumberFormat="0" applyFill="0" applyBorder="0">
      <alignment horizontal="left"/>
    </xf>
    <xf numFmtId="0" fontId="13" fillId="7" borderId="6" applyAlignment="0">
      <alignment horizontal="left"/>
    </xf>
    <xf numFmtId="0" fontId="1" fillId="0" borderId="4" applyNumberFormat="0"/>
    <xf numFmtId="0" fontId="1" fillId="0" borderId="7" applyNumberFormat="0" applyFont="0" applyFill="0" applyAlignment="0"/>
    <xf numFmtId="0" fontId="1" fillId="0" borderId="8" applyNumberFormat="0" applyFont="0" applyFill="0" applyAlignment="0"/>
    <xf numFmtId="0" fontId="1" fillId="0" borderId="9" applyNumberFormat="0" applyFont="0" applyFill="0" applyAlignment="0"/>
    <xf numFmtId="170" fontId="1" fillId="8" borderId="4" applyNumberFormat="0" applyAlignment="0">
      <alignment horizontal="right"/>
    </xf>
    <xf numFmtId="0" fontId="1" fillId="0" borderId="10" applyNumberFormat="0" applyFont="0" applyFill="0" applyAlignment="0"/>
    <xf numFmtId="0" fontId="7" fillId="41" borderId="14" applyNumberFormat="0" applyAlignment="0"/>
    <xf numFmtId="0" fontId="3" fillId="8" borderId="6" applyNumberFormat="0"/>
    <xf numFmtId="177" fontId="1" fillId="0" borderId="0" applyFont="0" applyFill="0" applyBorder="0" applyAlignment="0" applyProtection="0"/>
    <xf numFmtId="168" fontId="1" fillId="0" borderId="0" applyFont="0" applyFill="0" applyBorder="0"/>
    <xf numFmtId="0" fontId="15" fillId="0" borderId="11" applyNumberFormat="0" applyFill="0" applyBorder="0" applyAlignment="0"/>
    <xf numFmtId="0" fontId="16" fillId="11" borderId="4" applyNumberFormat="0">
      <alignment horizontal="centerContinuous" vertical="center" wrapText="1"/>
    </xf>
    <xf numFmtId="0" fontId="11" fillId="9" borderId="1" applyNumberFormat="0">
      <alignment horizontal="right"/>
    </xf>
    <xf numFmtId="0" fontId="2" fillId="0" borderId="0" applyNumberFormat="0"/>
    <xf numFmtId="0" fontId="12" fillId="5" borderId="2">
      <alignment horizontal="center"/>
    </xf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4" fillId="15" borderId="18" applyNumberFormat="0" applyAlignment="0" applyProtection="0"/>
    <xf numFmtId="0" fontId="25" fillId="15" borderId="19" applyNumberFormat="0" applyAlignment="0" applyProtection="0"/>
    <xf numFmtId="0" fontId="26" fillId="0" borderId="20" applyNumberFormat="0" applyFill="0" applyAlignment="0" applyProtection="0"/>
    <xf numFmtId="0" fontId="27" fillId="16" borderId="21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22" applyNumberFormat="0" applyFill="0" applyAlignment="0" applyProtection="0"/>
    <xf numFmtId="0" fontId="3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1" fillId="40" borderId="0" applyNumberFormat="0" applyBorder="0" applyAlignment="0" applyProtection="0"/>
    <xf numFmtId="0" fontId="33" fillId="0" borderId="13" applyNumberFormat="0" applyAlignment="0"/>
    <xf numFmtId="0" fontId="1" fillId="0" borderId="0" applyNumberFormat="0" applyFill="0" applyBorder="0" applyAlignment="0" applyProtection="0"/>
    <xf numFmtId="15" fontId="1" fillId="0" borderId="0" applyFont="0" applyFill="0" applyBorder="0" applyAlignment="0" applyProtection="0"/>
    <xf numFmtId="0" fontId="1" fillId="0" borderId="26" applyNumberFormat="0" applyAlignment="0"/>
    <xf numFmtId="22" fontId="40" fillId="0" borderId="0" applyFill="0" applyBorder="0" applyAlignment="0"/>
    <xf numFmtId="0" fontId="41" fillId="42" borderId="27" applyNumberFormat="0" applyAlignment="0"/>
    <xf numFmtId="0" fontId="1" fillId="43" borderId="14" applyNumberFormat="0" applyAlignment="0"/>
    <xf numFmtId="175" fontId="1" fillId="0" borderId="0" applyFont="0" applyFill="0" applyBorder="0" applyAlignment="0" applyProtection="0"/>
    <xf numFmtId="0" fontId="42" fillId="44" borderId="28" applyNumberFormat="0">
      <alignment horizontal="center"/>
    </xf>
    <xf numFmtId="165" fontId="1" fillId="0" borderId="0" applyFont="0" applyFill="0" applyBorder="0" applyAlignment="0" applyProtection="0"/>
  </cellStyleXfs>
  <cellXfs count="94">
    <xf numFmtId="0" fontId="0" fillId="0" borderId="0" xfId="0"/>
    <xf numFmtId="164" fontId="0" fillId="0" borderId="8" xfId="16" applyNumberFormat="1" applyFont="1" applyAlignment="1">
      <alignment horizontal="right"/>
    </xf>
    <xf numFmtId="0" fontId="16" fillId="11" borderId="4" xfId="25" applyNumberFormat="1">
      <alignment horizontal="centerContinuous" vertical="center" wrapText="1"/>
    </xf>
    <xf numFmtId="0" fontId="9" fillId="0" borderId="0" xfId="11"/>
    <xf numFmtId="0" fontId="35" fillId="0" borderId="0" xfId="10"/>
    <xf numFmtId="0" fontId="11" fillId="9" borderId="1" xfId="26">
      <alignment horizontal="right"/>
    </xf>
    <xf numFmtId="15" fontId="0" fillId="0" borderId="0" xfId="0" applyNumberFormat="1"/>
    <xf numFmtId="0" fontId="34" fillId="0" borderId="0" xfId="9"/>
    <xf numFmtId="0" fontId="2" fillId="0" borderId="0" xfId="27"/>
    <xf numFmtId="3" fontId="11" fillId="9" borderId="1" xfId="26" applyNumberFormat="1">
      <alignment horizontal="right"/>
    </xf>
    <xf numFmtId="0" fontId="0" fillId="0" borderId="10" xfId="0" applyBorder="1"/>
    <xf numFmtId="0" fontId="0" fillId="0" borderId="12" xfId="0" applyBorder="1"/>
    <xf numFmtId="0" fontId="0" fillId="0" borderId="7" xfId="15" applyFont="1"/>
    <xf numFmtId="0" fontId="0" fillId="0" borderId="8" xfId="16" applyFont="1"/>
    <xf numFmtId="0" fontId="8" fillId="0" borderId="0" xfId="0" applyFont="1"/>
    <xf numFmtId="0" fontId="4" fillId="0" borderId="13" xfId="0" applyFont="1" applyBorder="1"/>
    <xf numFmtId="0" fontId="4" fillId="0" borderId="0" xfId="0" applyFont="1"/>
    <xf numFmtId="0" fontId="2" fillId="0" borderId="0" xfId="27" applyAlignment="1">
      <alignment horizontal="left"/>
    </xf>
    <xf numFmtId="0" fontId="6" fillId="0" borderId="13" xfId="0" applyFont="1" applyBorder="1"/>
    <xf numFmtId="0" fontId="12" fillId="5" borderId="2" xfId="28">
      <alignment horizontal="center"/>
    </xf>
    <xf numFmtId="0" fontId="7" fillId="0" borderId="0" xfId="0" applyFont="1"/>
    <xf numFmtId="0" fontId="3" fillId="8" borderId="6" xfId="21"/>
    <xf numFmtId="0" fontId="1" fillId="0" borderId="9" xfId="17"/>
    <xf numFmtId="0" fontId="1" fillId="0" borderId="10" xfId="19"/>
    <xf numFmtId="0" fontId="1" fillId="2" borderId="4" xfId="4"/>
    <xf numFmtId="10" fontId="14" fillId="10" borderId="14" xfId="1">
      <protection locked="0"/>
    </xf>
    <xf numFmtId="0" fontId="0" fillId="4" borderId="0" xfId="6" applyFont="1"/>
    <xf numFmtId="170" fontId="1" fillId="8" borderId="4" xfId="18">
      <alignment horizontal="right"/>
    </xf>
    <xf numFmtId="164" fontId="0" fillId="0" borderId="0" xfId="3" applyFont="1" applyBorder="1"/>
    <xf numFmtId="10" fontId="14" fillId="10" borderId="14" xfId="1" applyNumberFormat="1">
      <protection locked="0"/>
    </xf>
    <xf numFmtId="10" fontId="0" fillId="0" borderId="0" xfId="0" applyNumberFormat="1"/>
    <xf numFmtId="169" fontId="2" fillId="0" borderId="3" xfId="2">
      <alignment horizontal="center"/>
    </xf>
    <xf numFmtId="0" fontId="14" fillId="10" borderId="14" xfId="1" applyNumberFormat="1">
      <protection locked="0"/>
    </xf>
    <xf numFmtId="10" fontId="1" fillId="8" borderId="4" xfId="18" applyNumberFormat="1" applyAlignment="1"/>
    <xf numFmtId="4" fontId="11" fillId="9" borderId="1" xfId="26" applyNumberFormat="1">
      <alignment horizontal="right"/>
    </xf>
    <xf numFmtId="166" fontId="11" fillId="9" borderId="1" xfId="26" applyNumberFormat="1">
      <alignment horizontal="right"/>
    </xf>
    <xf numFmtId="0" fontId="16" fillId="11" borderId="4" xfId="25">
      <alignment horizontal="centerContinuous" vertical="center" wrapText="1"/>
    </xf>
    <xf numFmtId="171" fontId="16" fillId="11" borderId="4" xfId="25" applyNumberFormat="1">
      <alignment horizontal="centerContinuous" vertical="center" wrapText="1"/>
    </xf>
    <xf numFmtId="172" fontId="16" fillId="11" borderId="4" xfId="25" applyNumberFormat="1">
      <alignment horizontal="centerContinuous" vertical="center" wrapText="1"/>
    </xf>
    <xf numFmtId="164" fontId="14" fillId="10" borderId="14" xfId="1" applyNumberFormat="1">
      <protection locked="0"/>
    </xf>
    <xf numFmtId="15" fontId="14" fillId="10" borderId="14" xfId="1" applyNumberFormat="1">
      <protection locked="0"/>
    </xf>
    <xf numFmtId="173" fontId="14" fillId="10" borderId="14" xfId="1" applyNumberFormat="1">
      <protection locked="0"/>
    </xf>
    <xf numFmtId="0" fontId="7" fillId="41" borderId="14" xfId="20"/>
    <xf numFmtId="0" fontId="7" fillId="10" borderId="14" xfId="1" applyNumberFormat="1" applyFont="1">
      <protection locked="0"/>
    </xf>
    <xf numFmtId="0" fontId="15" fillId="0" borderId="11" xfId="24" applyBorder="1"/>
    <xf numFmtId="0" fontId="33" fillId="0" borderId="13" xfId="68"/>
    <xf numFmtId="0" fontId="38" fillId="0" borderId="0" xfId="0" applyFont="1"/>
    <xf numFmtId="0" fontId="0" fillId="0" borderId="23" xfId="0" applyBorder="1"/>
    <xf numFmtId="174" fontId="0" fillId="0" borderId="0" xfId="0" applyNumberFormat="1"/>
    <xf numFmtId="0" fontId="0" fillId="0" borderId="24" xfId="0" quotePrefix="1" applyBorder="1"/>
    <xf numFmtId="0" fontId="0" fillId="0" borderId="24" xfId="0" applyBorder="1"/>
    <xf numFmtId="0" fontId="0" fillId="0" borderId="25" xfId="0" applyNumberFormat="1" applyBorder="1"/>
    <xf numFmtId="0" fontId="0" fillId="0" borderId="0" xfId="69" applyFont="1"/>
    <xf numFmtId="0" fontId="36" fillId="0" borderId="0" xfId="0" applyFont="1"/>
    <xf numFmtId="0" fontId="37" fillId="0" borderId="0" xfId="0" applyFont="1"/>
    <xf numFmtId="0" fontId="1" fillId="41" borderId="14" xfId="20" applyFont="1"/>
    <xf numFmtId="0" fontId="35" fillId="0" borderId="0" xfId="10" applyFill="1"/>
    <xf numFmtId="0" fontId="34" fillId="0" borderId="0" xfId="9" applyFill="1"/>
    <xf numFmtId="0" fontId="1" fillId="0" borderId="0" xfId="0" applyFont="1"/>
    <xf numFmtId="170" fontId="14" fillId="10" borderId="14" xfId="1" applyNumberFormat="1">
      <protection locked="0"/>
    </xf>
    <xf numFmtId="177" fontId="14" fillId="10" borderId="14" xfId="22" applyFont="1" applyFill="1" applyBorder="1" applyProtection="1">
      <protection locked="0"/>
    </xf>
    <xf numFmtId="15" fontId="1" fillId="0" borderId="4" xfId="14" applyNumberFormat="1"/>
    <xf numFmtId="164" fontId="14" fillId="10" borderId="14" xfId="3" applyFont="1" applyFill="1" applyBorder="1" applyProtection="1">
      <protection locked="0"/>
    </xf>
    <xf numFmtId="0" fontId="1" fillId="0" borderId="0" xfId="69" applyBorder="1"/>
    <xf numFmtId="41" fontId="14" fillId="10" borderId="14" xfId="1" applyNumberFormat="1">
      <protection locked="0"/>
    </xf>
    <xf numFmtId="168" fontId="14" fillId="10" borderId="14" xfId="23" applyFont="1" applyFill="1" applyBorder="1"/>
    <xf numFmtId="176" fontId="14" fillId="10" borderId="14" xfId="1" applyNumberFormat="1">
      <protection locked="0"/>
    </xf>
    <xf numFmtId="165" fontId="14" fillId="10" borderId="14" xfId="1" applyNumberFormat="1">
      <protection locked="0"/>
    </xf>
    <xf numFmtId="177" fontId="14" fillId="10" borderId="14" xfId="1" applyNumberFormat="1">
      <protection locked="0"/>
    </xf>
    <xf numFmtId="167" fontId="11" fillId="6" borderId="1" xfId="8"/>
    <xf numFmtId="15" fontId="0" fillId="0" borderId="0" xfId="70" applyFont="1"/>
    <xf numFmtId="15" fontId="3" fillId="8" borderId="6" xfId="21" applyNumberFormat="1"/>
    <xf numFmtId="14" fontId="0" fillId="0" borderId="0" xfId="0" applyNumberFormat="1"/>
    <xf numFmtId="164" fontId="3" fillId="8" borderId="6" xfId="21" applyNumberFormat="1"/>
    <xf numFmtId="178" fontId="16" fillId="11" borderId="4" xfId="25" applyNumberFormat="1">
      <alignment horizontal="centerContinuous" vertical="center" wrapText="1"/>
    </xf>
    <xf numFmtId="168" fontId="0" fillId="0" borderId="0" xfId="23" applyFont="1"/>
    <xf numFmtId="0" fontId="0" fillId="0" borderId="0" xfId="0" quotePrefix="1" applyAlignment="1">
      <alignment wrapText="1"/>
    </xf>
    <xf numFmtId="164" fontId="11" fillId="9" borderId="1" xfId="26" applyNumberFormat="1">
      <alignment horizontal="right"/>
    </xf>
    <xf numFmtId="164" fontId="1" fillId="0" borderId="4" xfId="14" applyNumberFormat="1"/>
    <xf numFmtId="168" fontId="1" fillId="0" borderId="4" xfId="14" applyNumberFormat="1"/>
    <xf numFmtId="165" fontId="0" fillId="0" borderId="0" xfId="77" applyFont="1"/>
    <xf numFmtId="177" fontId="0" fillId="0" borderId="0" xfId="22" applyFont="1"/>
    <xf numFmtId="43" fontId="0" fillId="0" borderId="0" xfId="0" applyNumberFormat="1"/>
    <xf numFmtId="164" fontId="0" fillId="0" borderId="10" xfId="19" applyNumberFormat="1" applyFont="1"/>
    <xf numFmtId="10" fontId="3" fillId="8" borderId="6" xfId="21" applyNumberFormat="1"/>
    <xf numFmtId="164" fontId="0" fillId="0" borderId="0" xfId="0" applyNumberFormat="1"/>
    <xf numFmtId="164" fontId="1" fillId="8" borderId="4" xfId="18" applyNumberFormat="1" applyAlignment="1"/>
    <xf numFmtId="177" fontId="3" fillId="8" borderId="6" xfId="21" applyNumberFormat="1"/>
    <xf numFmtId="177" fontId="1" fillId="0" borderId="4" xfId="14" applyNumberFormat="1"/>
    <xf numFmtId="0" fontId="0" fillId="0" borderId="0" xfId="0" quotePrefix="1"/>
    <xf numFmtId="9" fontId="0" fillId="0" borderId="0" xfId="0" applyNumberFormat="1"/>
    <xf numFmtId="0" fontId="0" fillId="0" borderId="0" xfId="0" quotePrefix="1" applyAlignment="1"/>
    <xf numFmtId="0" fontId="0" fillId="0" borderId="0" xfId="0" applyAlignment="1"/>
    <xf numFmtId="0" fontId="11" fillId="9" borderId="1" xfId="26">
      <alignment horizontal="right"/>
    </xf>
  </cellXfs>
  <cellStyles count="78">
    <cellStyle name="20% - Accent1" xfId="45" builtinId="30" hidden="1"/>
    <cellStyle name="20% - Accent2" xfId="49" builtinId="34" hidden="1"/>
    <cellStyle name="20% - Accent3" xfId="53" builtinId="38" hidden="1"/>
    <cellStyle name="20% - Accent4" xfId="57" builtinId="42" hidden="1"/>
    <cellStyle name="20% - Accent5" xfId="61" builtinId="46" hidden="1"/>
    <cellStyle name="20% - Accent6" xfId="65" builtinId="50" hidden="1"/>
    <cellStyle name="40% - Accent1" xfId="46" builtinId="31" hidden="1"/>
    <cellStyle name="40% - Accent2" xfId="50" builtinId="35" hidden="1"/>
    <cellStyle name="40% - Accent3" xfId="54" builtinId="39" hidden="1"/>
    <cellStyle name="40% - Accent4" xfId="58" builtinId="43" hidden="1"/>
    <cellStyle name="40% - Accent5" xfId="62" builtinId="47" hidden="1"/>
    <cellStyle name="40% - Accent6" xfId="66" builtinId="51" hidden="1"/>
    <cellStyle name="60% - Accent1" xfId="47" builtinId="32" hidden="1"/>
    <cellStyle name="60% - Accent2" xfId="51" builtinId="36" hidden="1"/>
    <cellStyle name="60% - Accent3" xfId="55" builtinId="40" hidden="1"/>
    <cellStyle name="60% - Accent4" xfId="59" builtinId="44" hidden="1"/>
    <cellStyle name="60% - Accent5" xfId="63" builtinId="48" hidden="1"/>
    <cellStyle name="60% - Accent6" xfId="67" builtinId="52" hidden="1"/>
    <cellStyle name="Accent1" xfId="44" builtinId="29" hidden="1"/>
    <cellStyle name="Accent2" xfId="48" builtinId="33" hidden="1"/>
    <cellStyle name="Accent3" xfId="52" builtinId="37" hidden="1"/>
    <cellStyle name="Accent4" xfId="56" builtinId="41" hidden="1"/>
    <cellStyle name="Accent5" xfId="60" builtinId="45" hidden="1"/>
    <cellStyle name="Accent6" xfId="64" builtinId="49" hidden="1"/>
    <cellStyle name="Assumption" xfId="1" xr:uid="{00000000-0005-0000-0000-000018000000}"/>
    <cellStyle name="Bad" xfId="35" builtinId="27" hidden="1"/>
    <cellStyle name="Calculation" xfId="38" builtinId="22" hidden="1"/>
    <cellStyle name="Check" xfId="2" xr:uid="{00000000-0005-0000-0000-00001B000000}"/>
    <cellStyle name="Check Cell" xfId="40" builtinId="23" hidden="1"/>
    <cellStyle name="Comma" xfId="3" builtinId="3"/>
    <cellStyle name="Comma [0]" xfId="77" builtinId="6" customBuiltin="1"/>
    <cellStyle name="Date" xfId="70" xr:uid="{00000000-0005-0000-0000-00001F000000}"/>
    <cellStyle name="Empty_Cell" xfId="4" xr:uid="{00000000-0005-0000-0000-000020000000}"/>
    <cellStyle name="Error" xfId="5" xr:uid="{00000000-0005-0000-0000-000021000000}"/>
    <cellStyle name="Explanatory Text" xfId="42" builtinId="53" hidden="1"/>
    <cellStyle name="Fill" xfId="6" xr:uid="{00000000-0005-0000-0000-000023000000}"/>
    <cellStyle name="Fixed" xfId="7" xr:uid="{00000000-0005-0000-0000-000024000000}"/>
    <cellStyle name="Flag" xfId="8" xr:uid="{00000000-0005-0000-0000-000025000000}"/>
    <cellStyle name="Good" xfId="34" builtinId="26" hidden="1"/>
    <cellStyle name="Grid" xfId="71" xr:uid="{00000000-0005-0000-0000-000027000000}"/>
    <cellStyle name="Header0" xfId="68" xr:uid="{00000000-0005-0000-0000-000028000000}"/>
    <cellStyle name="Header1" xfId="9" xr:uid="{00000000-0005-0000-0000-000029000000}"/>
    <cellStyle name="Header2" xfId="10" xr:uid="{00000000-0005-0000-0000-00002A000000}"/>
    <cellStyle name="Header3" xfId="11" xr:uid="{00000000-0005-0000-0000-00002B000000}"/>
    <cellStyle name="Heading 1" xfId="30" builtinId="16" hidden="1"/>
    <cellStyle name="Heading 2" xfId="31" builtinId="17" hidden="1"/>
    <cellStyle name="Heading 3" xfId="32" builtinId="18" hidden="1"/>
    <cellStyle name="Heading 4" xfId="33" builtinId="19" hidden="1"/>
    <cellStyle name="Hyperlink" xfId="69" builtinId="8"/>
    <cellStyle name="Info" xfId="12" xr:uid="{00000000-0005-0000-0000-000031000000}"/>
    <cellStyle name="Input" xfId="13" builtinId="20" customBuiltin="1"/>
    <cellStyle name="Inputs_Check" xfId="72" xr:uid="{00000000-0005-0000-0000-000033000000}"/>
    <cellStyle name="InSheet" xfId="14" xr:uid="{00000000-0005-0000-0000-000034000000}"/>
    <cellStyle name="Interface" xfId="73" xr:uid="{00000000-0005-0000-0000-000035000000}"/>
    <cellStyle name="Line_ClosingBal" xfId="15" xr:uid="{00000000-0005-0000-0000-000036000000}"/>
    <cellStyle name="Line_Operation" xfId="17" xr:uid="{00000000-0005-0000-0000-000037000000}"/>
    <cellStyle name="Line_Subtotal" xfId="19" xr:uid="{00000000-0005-0000-0000-000038000000}"/>
    <cellStyle name="Line_Summary" xfId="18" xr:uid="{00000000-0005-0000-0000-000039000000}"/>
    <cellStyle name="Line_Total" xfId="16" xr:uid="{00000000-0005-0000-0000-00003A000000}"/>
    <cellStyle name="Linked Cell" xfId="39" builtinId="24" hidden="1"/>
    <cellStyle name="Macro_Paste" xfId="74" xr:uid="{00000000-0005-0000-0000-00003C000000}"/>
    <cellStyle name="Name_Input" xfId="20" xr:uid="{00000000-0005-0000-0000-00003D000000}"/>
    <cellStyle name="Neutral" xfId="36" builtinId="28" hidden="1"/>
    <cellStyle name="Normal" xfId="0" builtinId="0"/>
    <cellStyle name="OffSheet" xfId="21" xr:uid="{00000000-0005-0000-0000-000040000000}"/>
    <cellStyle name="Output" xfId="37" builtinId="21" hidden="1"/>
    <cellStyle name="Percent" xfId="22" builtinId="5" customBuiltin="1"/>
    <cellStyle name="Percent [0]" xfId="75" xr:uid="{00000000-0005-0000-0000-000043000000}"/>
    <cellStyle name="Query" xfId="76" xr:uid="{00000000-0005-0000-0000-000044000000}"/>
    <cellStyle name="Ratio" xfId="23" xr:uid="{00000000-0005-0000-0000-000045000000}"/>
    <cellStyle name="Sheet_Header" xfId="24" xr:uid="{00000000-0005-0000-0000-000046000000}"/>
    <cellStyle name="Table_Heading" xfId="25" xr:uid="{00000000-0005-0000-0000-000047000000}"/>
    <cellStyle name="Technical_Input" xfId="26" xr:uid="{00000000-0005-0000-0000-000048000000}"/>
    <cellStyle name="Title" xfId="29" builtinId="15" hidden="1"/>
    <cellStyle name="Total" xfId="43" builtinId="25" hidden="1"/>
    <cellStyle name="unit" xfId="27" xr:uid="{00000000-0005-0000-0000-00004B000000}"/>
    <cellStyle name="Warning Text" xfId="41" builtinId="11" hidden="1"/>
    <cellStyle name="WIP" xfId="28" xr:uid="{00000000-0005-0000-0000-00004D000000}"/>
  </cellStyles>
  <dxfs count="12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ndense val="0"/>
        <extend val="0"/>
        <color indexed="10"/>
      </font>
      <fill>
        <patternFill>
          <bgColor indexed="4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b/>
        <i val="0"/>
        <condense val="0"/>
        <extend val="0"/>
        <color indexed="10"/>
      </font>
      <fill>
        <patternFill>
          <bgColor indexed="4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  <fill>
        <patternFill>
          <bgColor indexed="45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condense val="0"/>
        <extend val="0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7CFB"/>
      <rgbColor rgb="0033CCCC"/>
      <rgbColor rgb="00B6F600"/>
      <rgbColor rgb="00FFCC00"/>
      <rgbColor rgb="00FF9900"/>
      <rgbColor rgb="00FF6600"/>
      <rgbColor rgb="00666699"/>
      <rgbColor rgb="00969696"/>
      <rgbColor rgb="0000ADEF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F413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puts!A1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hyperlink" Target="#Corality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hyperlink" Target="http://www.corality.com/" TargetMode="External"/><Relationship Id="rId3" Type="http://schemas.openxmlformats.org/officeDocument/2006/relationships/hyperlink" Target="http://www.corality.com/consulting-services/" TargetMode="External"/><Relationship Id="rId7" Type="http://schemas.openxmlformats.org/officeDocument/2006/relationships/hyperlink" Target="http://www.corality.com/financial-modelling/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6.jpeg"/><Relationship Id="rId11" Type="http://schemas.openxmlformats.org/officeDocument/2006/relationships/hyperlink" Target="http://www.corality.com/financial-modelling/smart/" TargetMode="External"/><Relationship Id="rId5" Type="http://schemas.openxmlformats.org/officeDocument/2006/relationships/hyperlink" Target="http://www.corality.com/financial-modelling-training/" TargetMode="External"/><Relationship Id="rId15" Type="http://schemas.openxmlformats.org/officeDocument/2006/relationships/hyperlink" Target="#Inputs!A1"/><Relationship Id="rId10" Type="http://schemas.openxmlformats.org/officeDocument/2006/relationships/image" Target="../media/image8.jpeg"/><Relationship Id="rId4" Type="http://schemas.openxmlformats.org/officeDocument/2006/relationships/image" Target="../media/image5.jpeg"/><Relationship Id="rId9" Type="http://schemas.openxmlformats.org/officeDocument/2006/relationships/hyperlink" Target="http://www.corality.com/model-auditing/" TargetMode="External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19</xdr:col>
      <xdr:colOff>0</xdr:colOff>
      <xdr:row>10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6700" y="0"/>
          <a:ext cx="10887075" cy="1619250"/>
          <a:chOff x="342900" y="238125"/>
          <a:chExt cx="10887075" cy="1619250"/>
        </a:xfrm>
      </xdr:grpSpPr>
      <xdr:pic>
        <xdr:nvPicPr>
          <xdr:cNvPr id="3" name="Picture 2" descr="J:\Marketing\New Corality\Corality\Excel\Template design - cover&amp;promo page\Exel_Tamplate\Exel_Tamplate\004813_exel_tempalte_header&amp;city.jp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10625" y="238125"/>
            <a:ext cx="2419350" cy="1619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J:\Marketing\New Corality\Corality\Excel\Template design - cover&amp;promo page\Exel_Tamplate\Exel_Tamplate\004813_exel_tempalte_corality_header.jp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2900" y="409575"/>
            <a:ext cx="8372475" cy="1371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0</xdr:colOff>
      <xdr:row>27</xdr:row>
      <xdr:rowOff>0</xdr:rowOff>
    </xdr:from>
    <xdr:to>
      <xdr:col>4</xdr:col>
      <xdr:colOff>331200</xdr:colOff>
      <xdr:row>29</xdr:row>
      <xdr:rowOff>108150</xdr:rowOff>
    </xdr:to>
    <xdr:sp macro="" textlink="">
      <xdr:nvSpPr>
        <xdr:cNvPr id="5" name="Rounded Rectangle 4">
          <a:hlinkClick xmlns:r="http://schemas.openxmlformats.org/officeDocument/2006/relationships" r:id="rId3" tooltip="Go to model.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0975" y="5019675"/>
          <a:ext cx="2188575" cy="432000"/>
        </a:xfrm>
        <a:prstGeom prst="roundRect">
          <a:avLst/>
        </a:prstGeom>
        <a:gradFill>
          <a:gsLst>
            <a:gs pos="0">
              <a:srgbClr val="77A722"/>
            </a:gs>
            <a:gs pos="100000">
              <a:srgbClr val="97D42E"/>
            </a:gs>
          </a:gsLst>
          <a:lin ang="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>
              <a:latin typeface="Arial" pitchFamily="34" charset="0"/>
              <a:cs typeface="Arial" pitchFamily="34" charset="0"/>
            </a:rPr>
            <a:t>Go to Model</a:t>
          </a:r>
        </a:p>
      </xdr:txBody>
    </xdr:sp>
    <xdr:clientData/>
  </xdr:twoCellAnchor>
  <xdr:twoCellAnchor>
    <xdr:from>
      <xdr:col>5</xdr:col>
      <xdr:colOff>128823</xdr:colOff>
      <xdr:row>27</xdr:row>
      <xdr:rowOff>0</xdr:rowOff>
    </xdr:from>
    <xdr:to>
      <xdr:col>8</xdr:col>
      <xdr:colOff>460023</xdr:colOff>
      <xdr:row>29</xdr:row>
      <xdr:rowOff>108150</xdr:rowOff>
    </xdr:to>
    <xdr:sp macro="" textlink="">
      <xdr:nvSpPr>
        <xdr:cNvPr id="6" name="Rounded Rectangle 5">
          <a:hlinkClick xmlns:r="http://schemas.openxmlformats.org/officeDocument/2006/relationships" r:id="rId4" tooltip="Service offering.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86298" y="5019675"/>
          <a:ext cx="2188575" cy="432000"/>
        </a:xfrm>
        <a:prstGeom prst="roundRect">
          <a:avLst/>
        </a:prstGeom>
        <a:gradFill>
          <a:gsLst>
            <a:gs pos="0">
              <a:srgbClr val="DE1C12"/>
            </a:gs>
            <a:gs pos="100000">
              <a:srgbClr val="EF4136"/>
            </a:gs>
          </a:gsLst>
          <a:lin ang="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>
              <a:latin typeface="Arial" pitchFamily="34" charset="0"/>
              <a:cs typeface="Arial" pitchFamily="34" charset="0"/>
            </a:rPr>
            <a:t>Service Offering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19</xdr:col>
      <xdr:colOff>0</xdr:colOff>
      <xdr:row>10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65642" y="0"/>
          <a:ext cx="10963275" cy="1587500"/>
          <a:chOff x="342900" y="238125"/>
          <a:chExt cx="10887075" cy="1619250"/>
        </a:xfrm>
      </xdr:grpSpPr>
      <xdr:pic>
        <xdr:nvPicPr>
          <xdr:cNvPr id="3" name="Picture 2" descr="J:\Marketing\New Corality\Corality\Excel\Template design - cover&amp;promo page\Exel_Tamplate\Exel_Tamplate\004813_exel_tempalte_header&amp;city.jp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10625" y="238125"/>
            <a:ext cx="2419350" cy="1619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 descr="J:\Marketing\New Corality\Corality\Excel\Template design - cover&amp;promo page\Exel_Tamplate\Exel_Tamplate\004813_exel_tempalte_corality_header.jp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2900" y="409575"/>
            <a:ext cx="8372475" cy="1371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457200</xdr:colOff>
      <xdr:row>11</xdr:row>
      <xdr:rowOff>0</xdr:rowOff>
    </xdr:from>
    <xdr:to>
      <xdr:col>7</xdr:col>
      <xdr:colOff>0</xdr:colOff>
      <xdr:row>26</xdr:row>
      <xdr:rowOff>85725</xdr:rowOff>
    </xdr:to>
    <xdr:pic>
      <xdr:nvPicPr>
        <xdr:cNvPr id="5" name="Picture 4" descr="J:\Marketing\New Corality\Corality\Excel\Template design - cover&amp;promo page\Exel_Tamplate\Exel_Tamplate\004813_exel_tempalte_Block_Consultin.jpg">
          <a:hlinkClick xmlns:r="http://schemas.openxmlformats.org/officeDocument/2006/relationships" r:id="rId3" tooltip="http://www.corality.com/consulting-services/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781175"/>
          <a:ext cx="3200400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238125</xdr:colOff>
      <xdr:row>11</xdr:row>
      <xdr:rowOff>0</xdr:rowOff>
    </xdr:from>
    <xdr:to>
      <xdr:col>12</xdr:col>
      <xdr:colOff>371475</xdr:colOff>
      <xdr:row>26</xdr:row>
      <xdr:rowOff>66675</xdr:rowOff>
    </xdr:to>
    <xdr:pic>
      <xdr:nvPicPr>
        <xdr:cNvPr id="6" name="Picture 5" descr="J:\Marketing\New Corality\Corality\Excel\Template design - cover&amp;promo page\Exel_Tamplate\Exel_Tamplate\004813_exel_tempalte_Block_training.jpg">
          <a:hlinkClick xmlns:r="http://schemas.openxmlformats.org/officeDocument/2006/relationships" r:id="rId5" tooltip="http://www.corality.com/financial-modelling-training/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781175"/>
          <a:ext cx="3181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11</xdr:row>
      <xdr:rowOff>0</xdr:rowOff>
    </xdr:from>
    <xdr:to>
      <xdr:col>18</xdr:col>
      <xdr:colOff>133350</xdr:colOff>
      <xdr:row>26</xdr:row>
      <xdr:rowOff>66675</xdr:rowOff>
    </xdr:to>
    <xdr:pic>
      <xdr:nvPicPr>
        <xdr:cNvPr id="7" name="Picture 6" descr="J:\Marketing\New Corality\Corality\Excel\Template design - cover&amp;promo page\Exel_Tamplate\Exel_Tamplate\004813_exel_tempalte_Block_modelling.jpg">
          <a:hlinkClick xmlns:r="http://schemas.openxmlformats.org/officeDocument/2006/relationships" r:id="rId7" tooltip="http://www.corality.com/financial-modelling/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1781175"/>
          <a:ext cx="3181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476250</xdr:colOff>
      <xdr:row>28</xdr:row>
      <xdr:rowOff>0</xdr:rowOff>
    </xdr:from>
    <xdr:to>
      <xdr:col>7</xdr:col>
      <xdr:colOff>0</xdr:colOff>
      <xdr:row>43</xdr:row>
      <xdr:rowOff>66675</xdr:rowOff>
    </xdr:to>
    <xdr:pic>
      <xdr:nvPicPr>
        <xdr:cNvPr id="8" name="Picture 7" descr="J:\Marketing\New Corality\Corality\Excel\Template design - cover&amp;promo page\Exel_Tamplate\Exel_Tamplate\004813_exel_tempalte_Block_audit.jpg">
          <a:hlinkClick xmlns:r="http://schemas.openxmlformats.org/officeDocument/2006/relationships" r:id="rId9" tooltip="http://www.corality.com/model-auditing/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4533900"/>
          <a:ext cx="3181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238125</xdr:colOff>
      <xdr:row>28</xdr:row>
      <xdr:rowOff>0</xdr:rowOff>
    </xdr:from>
    <xdr:to>
      <xdr:col>12</xdr:col>
      <xdr:colOff>371475</xdr:colOff>
      <xdr:row>43</xdr:row>
      <xdr:rowOff>66675</xdr:rowOff>
    </xdr:to>
    <xdr:pic>
      <xdr:nvPicPr>
        <xdr:cNvPr id="9" name="Picture 8" descr="J:\Marketing\New Corality\Corality\Excel\Template design - cover&amp;promo page\Exel_Tamplate\Exel_Tamplate\004813_exel_tempalte_Block_smart.jpg">
          <a:hlinkClick xmlns:r="http://schemas.openxmlformats.org/officeDocument/2006/relationships" r:id="rId11" tooltip="http://www.corality.com/financial-modelling/smart/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4533900"/>
          <a:ext cx="3181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18</xdr:col>
      <xdr:colOff>133350</xdr:colOff>
      <xdr:row>43</xdr:row>
      <xdr:rowOff>66675</xdr:rowOff>
    </xdr:to>
    <xdr:pic>
      <xdr:nvPicPr>
        <xdr:cNvPr id="10" name="Picture 9" descr="J:\Marketing\New Corality\Corality\Excel\Template design - cover&amp;promo page\Exel_Tamplate\Exel_Tamplate\004813_exel_tempalte_Block_corality.jpg">
          <a:hlinkClick xmlns:r="http://schemas.openxmlformats.org/officeDocument/2006/relationships" r:id="rId13" tooltip="http://www.corality.com/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4533900"/>
          <a:ext cx="31813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468900</xdr:colOff>
      <xdr:row>44</xdr:row>
      <xdr:rowOff>91875</xdr:rowOff>
    </xdr:from>
    <xdr:to>
      <xdr:col>5</xdr:col>
      <xdr:colOff>190500</xdr:colOff>
      <xdr:row>47</xdr:row>
      <xdr:rowOff>38100</xdr:rowOff>
    </xdr:to>
    <xdr:sp macro="" textlink="">
      <xdr:nvSpPr>
        <xdr:cNvPr id="11" name="Rounded Rectangle 10">
          <a:hlinkClick xmlns:r="http://schemas.openxmlformats.org/officeDocument/2006/relationships" r:id="rId15" tooltip="Go to model.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49875" y="7216575"/>
          <a:ext cx="2160000" cy="432000"/>
        </a:xfrm>
        <a:prstGeom prst="roundRect">
          <a:avLst/>
        </a:prstGeom>
        <a:gradFill>
          <a:gsLst>
            <a:gs pos="0">
              <a:srgbClr val="77A722"/>
            </a:gs>
            <a:gs pos="100000">
              <a:srgbClr val="97D42E"/>
            </a:gs>
          </a:gsLst>
          <a:lin ang="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>
              <a:latin typeface="Arial" pitchFamily="34" charset="0"/>
              <a:cs typeface="Arial" pitchFamily="34" charset="0"/>
            </a:rPr>
            <a:t>Go to Model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2</v>
    <v>19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81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06CD81-6FFF-4BBE-9623-9E24E8B00331}">
  <we:reference id="wa200003696" version="1.2.0.0" store="en-U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im.heng@corality.com" TargetMode="External"/><Relationship Id="rId1" Type="http://schemas.openxmlformats.org/officeDocument/2006/relationships/hyperlink" Target="http://www.corality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evCoverSheet">
    <pageSetUpPr fitToPage="1"/>
  </sheetPr>
  <dimension ref="A1:T36"/>
  <sheetViews>
    <sheetView showGridLines="0" zoomScaleNormal="100" workbookViewId="0"/>
  </sheetViews>
  <sheetFormatPr defaultColWidth="0" defaultRowHeight="12.75" customHeight="1" zeroHeight="1" x14ac:dyDescent="0.2"/>
  <cols>
    <col min="1" max="1" width="2.7109375" customWidth="1"/>
    <col min="2" max="9" width="9.28515625" customWidth="1"/>
    <col min="10" max="10" width="8" customWidth="1"/>
    <col min="11" max="19" width="9.140625" customWidth="1"/>
    <col min="20" max="20" width="2.7109375" customWidth="1"/>
    <col min="21" max="16384" width="9.140625" hidden="1"/>
  </cols>
  <sheetData>
    <row r="1" spans="2:2" x14ac:dyDescent="0.2"/>
    <row r="2" spans="2:2" x14ac:dyDescent="0.2"/>
    <row r="3" spans="2:2" x14ac:dyDescent="0.2"/>
    <row r="4" spans="2:2" x14ac:dyDescent="0.2"/>
    <row r="5" spans="2:2" x14ac:dyDescent="0.2"/>
    <row r="6" spans="2:2" x14ac:dyDescent="0.2"/>
    <row r="7" spans="2:2" x14ac:dyDescent="0.2"/>
    <row r="8" spans="2:2" x14ac:dyDescent="0.2"/>
    <row r="9" spans="2:2" x14ac:dyDescent="0.2"/>
    <row r="10" spans="2:2" x14ac:dyDescent="0.2"/>
    <row r="11" spans="2:2" x14ac:dyDescent="0.2"/>
    <row r="12" spans="2:2" x14ac:dyDescent="0.2"/>
    <row r="13" spans="2:2" ht="48" x14ac:dyDescent="0.65">
      <c r="B13" s="53" t="str">
        <f>Name_Model</f>
        <v>New Modelling Standards</v>
      </c>
    </row>
    <row r="14" spans="2:2" ht="34.5" x14ac:dyDescent="0.45">
      <c r="B14" s="54" t="s">
        <v>98</v>
      </c>
    </row>
    <row r="15" spans="2:2" x14ac:dyDescent="0.2"/>
    <row r="16" spans="2:2" ht="20.25" x14ac:dyDescent="0.3">
      <c r="B16" s="46" t="s">
        <v>163</v>
      </c>
    </row>
    <row r="17" spans="2:5" x14ac:dyDescent="0.2"/>
    <row r="18" spans="2:5" x14ac:dyDescent="0.2"/>
    <row r="19" spans="2:5" x14ac:dyDescent="0.2"/>
    <row r="20" spans="2:5" x14ac:dyDescent="0.2"/>
    <row r="21" spans="2:5" ht="5.0999999999999996" customHeight="1" x14ac:dyDescent="0.2">
      <c r="B21" s="47"/>
      <c r="C21" s="47"/>
      <c r="D21" s="47"/>
      <c r="E21" s="47"/>
    </row>
    <row r="22" spans="2:5" x14ac:dyDescent="0.2">
      <c r="B22" t="s">
        <v>92</v>
      </c>
    </row>
    <row r="23" spans="2:5" x14ac:dyDescent="0.2">
      <c r="B23" t="s">
        <v>136</v>
      </c>
    </row>
    <row r="24" spans="2:5" x14ac:dyDescent="0.2">
      <c r="B24" s="48" t="s">
        <v>93</v>
      </c>
      <c r="C24" s="63" t="s">
        <v>137</v>
      </c>
    </row>
    <row r="25" spans="2:5" x14ac:dyDescent="0.2">
      <c r="B25" s="48" t="s">
        <v>94</v>
      </c>
      <c r="C25" s="91" t="s">
        <v>138</v>
      </c>
      <c r="D25" s="92"/>
    </row>
    <row r="26" spans="2:5" ht="5.0999999999999996" customHeight="1" x14ac:dyDescent="0.2">
      <c r="B26" s="49"/>
      <c r="C26" s="49" t="s">
        <v>95</v>
      </c>
      <c r="D26" s="50"/>
      <c r="E26" s="50"/>
    </row>
    <row r="27" spans="2:5" x14ac:dyDescent="0.2"/>
    <row r="28" spans="2:5" x14ac:dyDescent="0.2"/>
    <row r="29" spans="2:5" x14ac:dyDescent="0.2"/>
    <row r="30" spans="2:5" x14ac:dyDescent="0.2"/>
    <row r="31" spans="2:5" x14ac:dyDescent="0.2"/>
    <row r="32" spans="2:5" ht="13.5" thickBot="1" x14ac:dyDescent="0.25"/>
    <row r="33" spans="2:19" x14ac:dyDescent="0.2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</row>
    <row r="34" spans="2:19" x14ac:dyDescent="0.2">
      <c r="B34" t="s">
        <v>139</v>
      </c>
      <c r="J34" s="52" t="s">
        <v>96</v>
      </c>
    </row>
    <row r="35" spans="2:19" x14ac:dyDescent="0.2"/>
    <row r="36" spans="2:19" x14ac:dyDescent="0.2"/>
  </sheetData>
  <sheetProtection formatCells="0" formatColumns="0" formatRows="0"/>
  <mergeCells count="1">
    <mergeCell ref="C25:D25"/>
  </mergeCells>
  <hyperlinks>
    <hyperlink ref="J34" r:id="rId1" tooltip="http://www.corality.com/" xr:uid="{00000000-0004-0000-0000-000000000000}"/>
    <hyperlink ref="C24" r:id="rId2" xr:uid="{00000000-0004-0000-0000-000001000000}"/>
  </hyperlinks>
  <pageMargins left="0.7" right="0.7" top="0.75" bottom="0.75" header="0.3" footer="0.3"/>
  <pageSetup paperSize="9" scale="77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DevServiceOfferingSheet">
    <tabColor theme="1" tint="4.9989318521683403E-2"/>
    <pageSetUpPr fitToPage="1"/>
  </sheetPr>
  <dimension ref="A1:T52"/>
  <sheetViews>
    <sheetView showGridLines="0" zoomScale="90" zoomScaleNormal="90" workbookViewId="0"/>
  </sheetViews>
  <sheetFormatPr defaultColWidth="0" defaultRowHeight="12.75" customHeight="1" zeroHeight="1" x14ac:dyDescent="0.2"/>
  <cols>
    <col min="1" max="1" width="2.7109375" customWidth="1"/>
    <col min="2" max="19" width="9.140625" customWidth="1"/>
    <col min="20" max="20" width="2.7109375" customWidth="1"/>
    <col min="21" max="16384" width="9.140625" hidden="1"/>
  </cols>
  <sheetData>
    <row r="1" x14ac:dyDescent="0.2"/>
    <row r="2" x14ac:dyDescent="0.2"/>
    <row r="3" x14ac:dyDescent="0.2"/>
    <row r="4" x14ac:dyDescent="0.2"/>
    <row r="5" x14ac:dyDescent="0.2"/>
    <row r="6" x14ac:dyDescent="0.2"/>
    <row r="7" x14ac:dyDescent="0.2"/>
    <row r="8" x14ac:dyDescent="0.2"/>
    <row r="9" x14ac:dyDescent="0.2"/>
    <row r="10" x14ac:dyDescent="0.2"/>
    <row r="11" x14ac:dyDescent="0.2"/>
    <row r="12" x14ac:dyDescent="0.2"/>
    <row r="13" x14ac:dyDescent="0.2"/>
    <row r="14" x14ac:dyDescent="0.2"/>
    <row r="15" x14ac:dyDescent="0.2"/>
    <row r="16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ht="13.5" thickBot="1" x14ac:dyDescent="0.25"/>
    <row r="49" spans="2:19" x14ac:dyDescent="0.2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</row>
    <row r="50" spans="2:19" x14ac:dyDescent="0.2">
      <c r="B50" t="s">
        <v>97</v>
      </c>
    </row>
    <row r="51" spans="2:19" x14ac:dyDescent="0.2"/>
    <row r="52" spans="2:19" hidden="1" x14ac:dyDescent="0.2"/>
  </sheetData>
  <pageMargins left="0.7" right="0.7" top="0.75" bottom="0.75" header="0.3" footer="0.3"/>
  <pageSetup paperSize="9" scale="7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43"/>
    <outlinePr summaryBelow="0"/>
    <pageSetUpPr fitToPage="1"/>
  </sheetPr>
  <dimension ref="A1:AZ112"/>
  <sheetViews>
    <sheetView showGridLines="0" zoomScale="110" zoomScaleNormal="110" workbookViewId="0">
      <pane ySplit="3" topLeftCell="A67" activePane="bottomLeft" state="frozen"/>
      <selection activeCell="J113" sqref="J113"/>
      <selection pane="bottomLeft" activeCell="F50" sqref="F50:I51"/>
    </sheetView>
  </sheetViews>
  <sheetFormatPr defaultColWidth="0" defaultRowHeight="12.75" outlineLevelRow="1" x14ac:dyDescent="0.2"/>
  <cols>
    <col min="1" max="1" width="2.7109375" customWidth="1"/>
    <col min="2" max="2" width="3.42578125" customWidth="1"/>
    <col min="3" max="3" width="40.42578125" customWidth="1"/>
    <col min="4" max="4" width="19.7109375" customWidth="1"/>
    <col min="5" max="5" width="12.5703125" customWidth="1"/>
    <col min="6" max="6" width="15.7109375" bestFit="1" customWidth="1"/>
    <col min="7" max="7" width="13.7109375" customWidth="1"/>
    <col min="8" max="14" width="13" customWidth="1"/>
    <col min="15" max="19" width="12" customWidth="1"/>
    <col min="20" max="20" width="2.7109375" customWidth="1"/>
    <col min="21" max="37" width="12" hidden="1" customWidth="1"/>
    <col min="38" max="38" width="9.7109375" hidden="1" customWidth="1"/>
    <col min="39" max="40" width="9.5703125" hidden="1" customWidth="1"/>
    <col min="41" max="43" width="9.42578125" hidden="1" customWidth="1"/>
    <col min="44" max="44" width="9.5703125" hidden="1" customWidth="1"/>
    <col min="45" max="45" width="9.42578125" hidden="1" customWidth="1"/>
    <col min="46" max="47" width="9.28515625" hidden="1" customWidth="1"/>
    <col min="48" max="48" width="9.42578125" hidden="1" customWidth="1"/>
    <col min="49" max="50" width="9.28515625" hidden="1" customWidth="1"/>
    <col min="51" max="51" width="9.42578125" hidden="1" customWidth="1"/>
    <col min="52" max="52" width="9.28515625" hidden="1" customWidth="1"/>
    <col min="53" max="16384" width="9.140625" hidden="1"/>
  </cols>
  <sheetData>
    <row r="1" spans="1:19" ht="23.25" x14ac:dyDescent="0.35">
      <c r="A1" s="44" t="s">
        <v>0</v>
      </c>
    </row>
    <row r="2" spans="1:19" ht="15" x14ac:dyDescent="0.25">
      <c r="A2" s="56" t="str">
        <f>Name_Project</f>
        <v>Gold Mining Project</v>
      </c>
    </row>
    <row r="3" spans="1:19" x14ac:dyDescent="0.2">
      <c r="A3" s="58" t="s">
        <v>90</v>
      </c>
      <c r="D3" s="31">
        <f>Master_Integrity</f>
        <v>0</v>
      </c>
    </row>
    <row r="5" spans="1:19" ht="24" thickBot="1" x14ac:dyDescent="0.4">
      <c r="C5" s="45" t="s">
        <v>14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</row>
    <row r="6" spans="1:19" ht="20.25" outlineLevel="1" x14ac:dyDescent="0.3">
      <c r="C6" s="57" t="s">
        <v>52</v>
      </c>
    </row>
    <row r="7" spans="1:19" outlineLevel="1" x14ac:dyDescent="0.2">
      <c r="C7" t="s">
        <v>15</v>
      </c>
      <c r="D7" s="8" t="s">
        <v>79</v>
      </c>
      <c r="E7" s="40">
        <v>40908</v>
      </c>
    </row>
    <row r="8" spans="1:19" outlineLevel="1" x14ac:dyDescent="0.2"/>
    <row r="9" spans="1:19" ht="20.25" outlineLevel="1" x14ac:dyDescent="0.3">
      <c r="C9" s="7" t="s">
        <v>26</v>
      </c>
    </row>
    <row r="10" spans="1:19" outlineLevel="1" x14ac:dyDescent="0.2">
      <c r="C10" s="58" t="s">
        <v>52</v>
      </c>
      <c r="D10" s="8" t="s">
        <v>79</v>
      </c>
      <c r="E10" s="6">
        <f>Model_Start+1</f>
        <v>40909</v>
      </c>
    </row>
    <row r="11" spans="1:19" outlineLevel="1" x14ac:dyDescent="0.2">
      <c r="C11" s="58" t="s">
        <v>154</v>
      </c>
      <c r="D11" s="8" t="s">
        <v>100</v>
      </c>
      <c r="E11" s="59">
        <v>4</v>
      </c>
    </row>
    <row r="12" spans="1:19" outlineLevel="1" x14ac:dyDescent="0.2">
      <c r="C12" s="58" t="s">
        <v>54</v>
      </c>
      <c r="D12" s="8" t="s">
        <v>79</v>
      </c>
      <c r="E12" s="6">
        <f>EOMONTH(E10,E11*Months_Qtr-1)</f>
        <v>41274</v>
      </c>
    </row>
    <row r="13" spans="1:19" outlineLevel="1" x14ac:dyDescent="0.2"/>
    <row r="14" spans="1:19" ht="20.25" outlineLevel="1" x14ac:dyDescent="0.3">
      <c r="C14" s="7" t="s">
        <v>27</v>
      </c>
    </row>
    <row r="15" spans="1:19" outlineLevel="1" x14ac:dyDescent="0.2">
      <c r="C15" t="s">
        <v>52</v>
      </c>
      <c r="D15" s="8" t="s">
        <v>79</v>
      </c>
      <c r="E15" s="6">
        <f>E12+1</f>
        <v>41275</v>
      </c>
    </row>
    <row r="16" spans="1:19" outlineLevel="1" x14ac:dyDescent="0.2">
      <c r="C16" t="s">
        <v>53</v>
      </c>
      <c r="D16" s="8" t="s">
        <v>86</v>
      </c>
      <c r="E16" s="41">
        <v>10</v>
      </c>
    </row>
    <row r="17" spans="3:37" outlineLevel="1" x14ac:dyDescent="0.2">
      <c r="C17" t="s">
        <v>54</v>
      </c>
      <c r="D17" s="8" t="s">
        <v>79</v>
      </c>
      <c r="E17" s="6">
        <f>EOMONTH(E15,E16*Months_Yr-1)</f>
        <v>44926</v>
      </c>
    </row>
    <row r="19" spans="3:37" ht="24" thickBot="1" x14ac:dyDescent="0.4">
      <c r="C19" s="45" t="s">
        <v>26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</row>
    <row r="20" spans="3:37" ht="20.25" outlineLevel="1" x14ac:dyDescent="0.3">
      <c r="C20" s="7" t="s">
        <v>82</v>
      </c>
    </row>
    <row r="21" spans="3:37" ht="15" outlineLevel="1" x14ac:dyDescent="0.25">
      <c r="C21" s="4" t="s">
        <v>99</v>
      </c>
      <c r="E21" s="36" t="s">
        <v>114</v>
      </c>
      <c r="G21" s="36" t="s">
        <v>57</v>
      </c>
      <c r="H21" s="74">
        <v>1</v>
      </c>
      <c r="I21" s="74">
        <f t="shared" ref="I21:S21" si="0">H21+1</f>
        <v>2</v>
      </c>
      <c r="J21" s="74">
        <f t="shared" si="0"/>
        <v>3</v>
      </c>
      <c r="K21" s="74">
        <f t="shared" si="0"/>
        <v>4</v>
      </c>
      <c r="L21" s="74">
        <f t="shared" si="0"/>
        <v>5</v>
      </c>
      <c r="M21" s="74">
        <f t="shared" si="0"/>
        <v>6</v>
      </c>
      <c r="N21" s="74">
        <f t="shared" si="0"/>
        <v>7</v>
      </c>
      <c r="O21" s="74">
        <f t="shared" si="0"/>
        <v>8</v>
      </c>
      <c r="P21" s="74">
        <f t="shared" si="0"/>
        <v>9</v>
      </c>
      <c r="Q21" s="74">
        <f t="shared" si="0"/>
        <v>10</v>
      </c>
      <c r="R21" s="74">
        <f t="shared" si="0"/>
        <v>11</v>
      </c>
      <c r="S21" s="74">
        <f t="shared" si="0"/>
        <v>12</v>
      </c>
    </row>
    <row r="22" spans="3:37" outlineLevel="1" x14ac:dyDescent="0.2">
      <c r="C22" s="55" t="s">
        <v>6</v>
      </c>
      <c r="D22" s="8" t="s">
        <v>73</v>
      </c>
      <c r="E22" s="39">
        <v>30</v>
      </c>
      <c r="G22" s="33">
        <f t="shared" ref="G22:G28" si="1">SUM(H22:AK22)</f>
        <v>1</v>
      </c>
      <c r="H22" s="25">
        <v>0.25</v>
      </c>
      <c r="I22" s="25">
        <v>0.25</v>
      </c>
      <c r="J22" s="25">
        <v>0.25</v>
      </c>
      <c r="K22" s="25">
        <v>0.25</v>
      </c>
      <c r="L22" s="25"/>
      <c r="M22" s="25"/>
      <c r="N22" s="25"/>
      <c r="O22" s="25"/>
      <c r="P22" s="25"/>
      <c r="Q22" s="25"/>
      <c r="R22" s="25"/>
      <c r="S22" s="25"/>
    </row>
    <row r="23" spans="3:37" outlineLevel="1" x14ac:dyDescent="0.2">
      <c r="C23" s="55" t="s">
        <v>129</v>
      </c>
      <c r="D23" s="8" t="s">
        <v>73</v>
      </c>
      <c r="E23" s="39">
        <v>15</v>
      </c>
      <c r="G23" s="33">
        <f t="shared" si="1"/>
        <v>1</v>
      </c>
      <c r="H23" s="25"/>
      <c r="I23" s="25">
        <v>0.25</v>
      </c>
      <c r="J23" s="25">
        <v>0.25</v>
      </c>
      <c r="K23" s="25">
        <v>0.5</v>
      </c>
      <c r="L23" s="25"/>
      <c r="M23" s="25"/>
      <c r="N23" s="25"/>
      <c r="O23" s="25"/>
      <c r="P23" s="25"/>
      <c r="Q23" s="25"/>
      <c r="R23" s="25"/>
      <c r="S23" s="25"/>
    </row>
    <row r="24" spans="3:37" outlineLevel="1" x14ac:dyDescent="0.2">
      <c r="C24" s="55" t="s">
        <v>130</v>
      </c>
      <c r="D24" s="8" t="s">
        <v>73</v>
      </c>
      <c r="E24" s="39">
        <v>75</v>
      </c>
      <c r="G24" s="33">
        <f t="shared" si="1"/>
        <v>1</v>
      </c>
      <c r="H24" s="25"/>
      <c r="I24" s="25"/>
      <c r="J24" s="25">
        <v>0.5</v>
      </c>
      <c r="K24" s="25">
        <v>0.5</v>
      </c>
      <c r="L24" s="25"/>
      <c r="M24" s="25"/>
      <c r="N24" s="25"/>
      <c r="O24" s="25"/>
      <c r="P24" s="25"/>
      <c r="Q24" s="25"/>
      <c r="R24" s="25"/>
      <c r="S24" s="25"/>
    </row>
    <row r="25" spans="3:37" outlineLevel="1" x14ac:dyDescent="0.2">
      <c r="C25" s="55" t="s">
        <v>131</v>
      </c>
      <c r="D25" s="8" t="s">
        <v>73</v>
      </c>
      <c r="E25" s="39">
        <v>20</v>
      </c>
      <c r="G25" s="33">
        <f t="shared" si="1"/>
        <v>1</v>
      </c>
      <c r="H25" s="25"/>
      <c r="I25" s="25"/>
      <c r="J25" s="25">
        <v>0.3</v>
      </c>
      <c r="K25" s="25">
        <v>0.7</v>
      </c>
      <c r="L25" s="25"/>
      <c r="M25" s="25"/>
      <c r="N25" s="25"/>
      <c r="O25" s="25"/>
      <c r="P25" s="25"/>
      <c r="Q25" s="25"/>
      <c r="R25" s="25"/>
      <c r="S25" s="25"/>
    </row>
    <row r="26" spans="3:37" outlineLevel="1" x14ac:dyDescent="0.2">
      <c r="C26" s="55" t="s">
        <v>101</v>
      </c>
      <c r="D26" s="8" t="s">
        <v>73</v>
      </c>
      <c r="E26" s="39">
        <v>15</v>
      </c>
      <c r="G26" s="33">
        <f t="shared" si="1"/>
        <v>1</v>
      </c>
      <c r="H26" s="25"/>
      <c r="I26" s="25">
        <v>0.5</v>
      </c>
      <c r="J26" s="25">
        <v>0.25</v>
      </c>
      <c r="K26" s="25">
        <v>0.25</v>
      </c>
      <c r="L26" s="25"/>
      <c r="M26" s="25"/>
      <c r="N26" s="25"/>
      <c r="O26" s="25"/>
      <c r="P26" s="25"/>
      <c r="Q26" s="25"/>
      <c r="R26" s="25"/>
      <c r="S26" s="25"/>
    </row>
    <row r="27" spans="3:37" outlineLevel="1" x14ac:dyDescent="0.2">
      <c r="C27" s="55" t="s">
        <v>19</v>
      </c>
      <c r="D27" s="8" t="s">
        <v>73</v>
      </c>
      <c r="E27" s="39">
        <v>0</v>
      </c>
      <c r="G27" s="33">
        <f t="shared" si="1"/>
        <v>0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3:37" outlineLevel="1" x14ac:dyDescent="0.2">
      <c r="C28" s="55" t="s">
        <v>19</v>
      </c>
      <c r="D28" s="8" t="s">
        <v>73</v>
      </c>
      <c r="E28" s="39">
        <v>0</v>
      </c>
      <c r="G28" s="33">
        <f t="shared" si="1"/>
        <v>0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spans="3:37" outlineLevel="1" x14ac:dyDescent="0.2">
      <c r="C29" t="s">
        <v>57</v>
      </c>
      <c r="D29" s="8" t="s">
        <v>73</v>
      </c>
      <c r="E29" s="1">
        <f>SUM(E21:E28)</f>
        <v>155</v>
      </c>
      <c r="I29" s="28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outlineLevel="1" x14ac:dyDescent="0.2"/>
    <row r="31" spans="3:37" outlineLevel="1" x14ac:dyDescent="0.2">
      <c r="C31" t="s">
        <v>64</v>
      </c>
      <c r="D31" s="8" t="s">
        <v>18</v>
      </c>
      <c r="E31" s="29">
        <v>0.1</v>
      </c>
    </row>
    <row r="33" spans="3:19" ht="24" thickBot="1" x14ac:dyDescent="0.4">
      <c r="C33" s="45" t="s">
        <v>27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</row>
    <row r="34" spans="3:19" ht="20.25" outlineLevel="1" x14ac:dyDescent="0.3">
      <c r="C34" s="7" t="s">
        <v>140</v>
      </c>
    </row>
    <row r="35" spans="3:19" outlineLevel="1" x14ac:dyDescent="0.2">
      <c r="C35" t="s">
        <v>55</v>
      </c>
      <c r="F35" s="37">
        <v>1</v>
      </c>
      <c r="G35" s="37">
        <v>2</v>
      </c>
      <c r="H35" s="37">
        <v>3</v>
      </c>
      <c r="I35" s="38">
        <v>4</v>
      </c>
    </row>
    <row r="36" spans="3:19" outlineLevel="1" x14ac:dyDescent="0.2">
      <c r="C36" t="s">
        <v>115</v>
      </c>
      <c r="D36" s="8" t="s">
        <v>147</v>
      </c>
      <c r="F36" s="64">
        <v>500000</v>
      </c>
      <c r="G36" s="64">
        <v>1250000</v>
      </c>
      <c r="H36" s="64">
        <v>1250000</v>
      </c>
      <c r="I36" s="64">
        <v>1250000</v>
      </c>
    </row>
    <row r="37" spans="3:19" outlineLevel="1" x14ac:dyDescent="0.2">
      <c r="D37" s="8"/>
    </row>
    <row r="38" spans="3:19" outlineLevel="1" x14ac:dyDescent="0.2">
      <c r="C38" t="s">
        <v>116</v>
      </c>
      <c r="D38" s="8" t="s">
        <v>117</v>
      </c>
      <c r="F38" s="65">
        <v>2.5</v>
      </c>
      <c r="G38" s="65">
        <v>2.5</v>
      </c>
      <c r="H38" s="65">
        <v>1.5</v>
      </c>
      <c r="I38" s="65">
        <v>1.5</v>
      </c>
    </row>
    <row r="39" spans="3:19" outlineLevel="1" x14ac:dyDescent="0.2">
      <c r="D39" s="8"/>
    </row>
    <row r="40" spans="3:19" ht="20.25" outlineLevel="1" x14ac:dyDescent="0.3">
      <c r="C40" s="7" t="s">
        <v>118</v>
      </c>
      <c r="D40" s="8"/>
    </row>
    <row r="41" spans="3:19" outlineLevel="1" x14ac:dyDescent="0.2">
      <c r="C41" t="s">
        <v>55</v>
      </c>
      <c r="F41" s="37">
        <v>1</v>
      </c>
      <c r="G41" s="37">
        <v>2</v>
      </c>
      <c r="H41" s="37">
        <v>3</v>
      </c>
      <c r="I41" s="38">
        <v>4</v>
      </c>
    </row>
    <row r="42" spans="3:19" outlineLevel="1" x14ac:dyDescent="0.2">
      <c r="C42" t="s">
        <v>119</v>
      </c>
      <c r="D42" s="8" t="s">
        <v>132</v>
      </c>
      <c r="F42" s="39">
        <v>5</v>
      </c>
      <c r="G42" s="39">
        <v>5</v>
      </c>
      <c r="H42" s="39">
        <v>4.5</v>
      </c>
      <c r="I42" s="39">
        <v>4</v>
      </c>
    </row>
    <row r="43" spans="3:19" outlineLevel="1" x14ac:dyDescent="0.2"/>
    <row r="44" spans="3:19" ht="20.25" outlineLevel="1" x14ac:dyDescent="0.3">
      <c r="C44" s="7" t="s">
        <v>141</v>
      </c>
      <c r="D44" s="8"/>
    </row>
    <row r="45" spans="3:19" outlineLevel="1" x14ac:dyDescent="0.2">
      <c r="C45" t="s">
        <v>142</v>
      </c>
      <c r="D45" s="8" t="s">
        <v>18</v>
      </c>
      <c r="F45" s="68">
        <v>0.85</v>
      </c>
    </row>
    <row r="46" spans="3:19" x14ac:dyDescent="0.2">
      <c r="D46" s="8"/>
    </row>
    <row r="47" spans="3:19" ht="24" thickBot="1" x14ac:dyDescent="0.4">
      <c r="C47" s="45" t="s">
        <v>63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</row>
    <row r="48" spans="3:19" ht="20.25" outlineLevel="1" x14ac:dyDescent="0.3">
      <c r="C48" s="7" t="s">
        <v>102</v>
      </c>
      <c r="D48" s="8"/>
    </row>
    <row r="49" spans="3:19" outlineLevel="1" x14ac:dyDescent="0.2">
      <c r="C49" t="s">
        <v>55</v>
      </c>
      <c r="D49" s="8"/>
      <c r="F49" s="36">
        <v>2011</v>
      </c>
      <c r="G49" s="36">
        <v>2012</v>
      </c>
      <c r="H49" s="36">
        <v>2013</v>
      </c>
      <c r="I49" s="36">
        <v>2014</v>
      </c>
    </row>
    <row r="50" spans="3:19" outlineLevel="1" x14ac:dyDescent="0.2">
      <c r="C50" s="58" t="s">
        <v>102</v>
      </c>
      <c r="D50" s="8" t="s">
        <v>120</v>
      </c>
      <c r="F50" s="64">
        <v>1000</v>
      </c>
      <c r="G50" s="64">
        <v>1000</v>
      </c>
      <c r="H50" s="64">
        <v>1500</v>
      </c>
      <c r="I50" s="64">
        <v>1000</v>
      </c>
    </row>
    <row r="51" spans="3:19" x14ac:dyDescent="0.2">
      <c r="D51" s="8"/>
    </row>
    <row r="52" spans="3:19" ht="24" thickBot="1" x14ac:dyDescent="0.4">
      <c r="C52" s="45" t="s">
        <v>83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</row>
    <row r="53" spans="3:19" ht="20.25" outlineLevel="1" x14ac:dyDescent="0.3">
      <c r="C53" s="7" t="s">
        <v>66</v>
      </c>
      <c r="D53" s="8"/>
    </row>
    <row r="54" spans="3:19" outlineLevel="1" x14ac:dyDescent="0.2">
      <c r="C54" s="42" t="s">
        <v>103</v>
      </c>
      <c r="D54" s="8" t="s">
        <v>87</v>
      </c>
      <c r="F54" s="39">
        <v>2</v>
      </c>
    </row>
    <row r="55" spans="3:19" outlineLevel="1" x14ac:dyDescent="0.2">
      <c r="C55" s="55" t="s">
        <v>121</v>
      </c>
      <c r="D55" s="8" t="s">
        <v>87</v>
      </c>
      <c r="F55" s="39">
        <v>5</v>
      </c>
    </row>
    <row r="56" spans="3:19" outlineLevel="1" x14ac:dyDescent="0.2">
      <c r="C56" s="55" t="s">
        <v>122</v>
      </c>
      <c r="D56" s="8" t="s">
        <v>87</v>
      </c>
      <c r="F56" s="39">
        <v>1.5</v>
      </c>
    </row>
    <row r="57" spans="3:19" outlineLevel="1" x14ac:dyDescent="0.2">
      <c r="C57" s="55" t="s">
        <v>104</v>
      </c>
      <c r="D57" s="8" t="s">
        <v>87</v>
      </c>
      <c r="F57" s="39">
        <v>1</v>
      </c>
    </row>
    <row r="58" spans="3:19" outlineLevel="1" x14ac:dyDescent="0.2">
      <c r="C58" s="55" t="s">
        <v>105</v>
      </c>
      <c r="D58" s="8" t="s">
        <v>87</v>
      </c>
      <c r="F58" s="39">
        <v>4</v>
      </c>
    </row>
    <row r="59" spans="3:19" outlineLevel="1" x14ac:dyDescent="0.2">
      <c r="C59" s="55" t="s">
        <v>123</v>
      </c>
      <c r="D59" s="8" t="s">
        <v>87</v>
      </c>
      <c r="F59" s="39">
        <v>1</v>
      </c>
    </row>
    <row r="60" spans="3:19" outlineLevel="1" x14ac:dyDescent="0.2">
      <c r="C60" s="42" t="s">
        <v>19</v>
      </c>
      <c r="D60" s="8" t="s">
        <v>87</v>
      </c>
      <c r="F60" s="39"/>
    </row>
    <row r="61" spans="3:19" outlineLevel="1" x14ac:dyDescent="0.2">
      <c r="C61" s="42" t="s">
        <v>19</v>
      </c>
      <c r="D61" s="8" t="s">
        <v>87</v>
      </c>
      <c r="F61" s="39"/>
    </row>
    <row r="62" spans="3:19" outlineLevel="1" x14ac:dyDescent="0.2">
      <c r="D62" s="8"/>
    </row>
    <row r="63" spans="3:19" ht="20.25" outlineLevel="1" x14ac:dyDescent="0.3">
      <c r="C63" s="7" t="s">
        <v>106</v>
      </c>
      <c r="D63" s="8"/>
    </row>
    <row r="64" spans="3:19" outlineLevel="1" x14ac:dyDescent="0.2">
      <c r="C64" s="55" t="s">
        <v>124</v>
      </c>
      <c r="D64" s="8" t="s">
        <v>127</v>
      </c>
      <c r="F64" s="39">
        <v>10</v>
      </c>
    </row>
    <row r="65" spans="3:19" outlineLevel="1" x14ac:dyDescent="0.2">
      <c r="C65" s="55" t="s">
        <v>125</v>
      </c>
      <c r="D65" s="8" t="s">
        <v>148</v>
      </c>
      <c r="F65" s="39">
        <v>20</v>
      </c>
    </row>
    <row r="66" spans="3:19" outlineLevel="1" x14ac:dyDescent="0.2">
      <c r="C66" s="55" t="s">
        <v>126</v>
      </c>
      <c r="D66" s="8" t="s">
        <v>128</v>
      </c>
      <c r="F66" s="39">
        <v>5</v>
      </c>
    </row>
    <row r="67" spans="3:19" x14ac:dyDescent="0.2">
      <c r="D67" s="8"/>
    </row>
    <row r="68" spans="3:19" ht="24" thickBot="1" x14ac:dyDescent="0.4">
      <c r="C68" s="45" t="s">
        <v>107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</row>
    <row r="69" spans="3:19" ht="20.25" outlineLevel="1" x14ac:dyDescent="0.3">
      <c r="C69" s="7" t="s">
        <v>70</v>
      </c>
      <c r="D69" s="8"/>
    </row>
    <row r="70" spans="3:19" outlineLevel="1" x14ac:dyDescent="0.2">
      <c r="C70" t="s">
        <v>157</v>
      </c>
      <c r="D70" s="8" t="s">
        <v>18</v>
      </c>
      <c r="F70" s="68">
        <v>0.7</v>
      </c>
    </row>
    <row r="71" spans="3:19" outlineLevel="1" x14ac:dyDescent="0.2">
      <c r="C71" t="s">
        <v>158</v>
      </c>
      <c r="D71" s="8" t="s">
        <v>73</v>
      </c>
      <c r="F71" s="73">
        <f>E29*(1+E31)*F70</f>
        <v>119.35</v>
      </c>
    </row>
    <row r="72" spans="3:19" outlineLevel="1" x14ac:dyDescent="0.2">
      <c r="D72" s="8"/>
    </row>
    <row r="73" spans="3:19" outlineLevel="1" x14ac:dyDescent="0.2">
      <c r="C73" t="s">
        <v>55</v>
      </c>
      <c r="D73" s="8"/>
      <c r="F73" s="36" t="s">
        <v>80</v>
      </c>
      <c r="G73" s="37">
        <v>1</v>
      </c>
      <c r="H73" s="37">
        <v>2</v>
      </c>
      <c r="I73" s="37">
        <v>3</v>
      </c>
      <c r="J73" s="38">
        <v>4</v>
      </c>
    </row>
    <row r="74" spans="3:19" outlineLevel="1" x14ac:dyDescent="0.2">
      <c r="C74" t="s">
        <v>60</v>
      </c>
      <c r="D74" s="8" t="s">
        <v>62</v>
      </c>
      <c r="F74" s="25">
        <v>3.5000000000000003E-2</v>
      </c>
      <c r="G74" s="25">
        <v>2.5000000000000001E-2</v>
      </c>
      <c r="H74" s="25">
        <v>2.5000000000000001E-2</v>
      </c>
      <c r="I74" s="25">
        <v>2.5000000000000001E-2</v>
      </c>
      <c r="J74" s="25">
        <v>2.5000000000000001E-2</v>
      </c>
    </row>
    <row r="75" spans="3:19" outlineLevel="1" x14ac:dyDescent="0.2">
      <c r="D75" s="8"/>
    </row>
    <row r="76" spans="3:19" ht="15" outlineLevel="1" x14ac:dyDescent="0.25">
      <c r="C76" s="4" t="s">
        <v>58</v>
      </c>
      <c r="D76" s="8"/>
      <c r="H76" s="36" t="s">
        <v>108</v>
      </c>
      <c r="I76" s="36" t="s">
        <v>71</v>
      </c>
    </row>
    <row r="77" spans="3:19" outlineLevel="1" x14ac:dyDescent="0.2">
      <c r="C77" t="s">
        <v>67</v>
      </c>
      <c r="D77" s="8" t="s">
        <v>86</v>
      </c>
      <c r="F77" s="66">
        <v>6</v>
      </c>
      <c r="H77" s="61">
        <f>E15</f>
        <v>41275</v>
      </c>
      <c r="I77" s="61">
        <f>EOMONTH(H77,F77*Months_Yr-1)</f>
        <v>43465</v>
      </c>
    </row>
    <row r="78" spans="3:19" x14ac:dyDescent="0.2">
      <c r="D78" s="8"/>
    </row>
    <row r="79" spans="3:19" ht="24" thickBot="1" x14ac:dyDescent="0.4">
      <c r="C79" s="45" t="s">
        <v>65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</row>
    <row r="80" spans="3:19" ht="15" outlineLevel="1" x14ac:dyDescent="0.25">
      <c r="C80" s="4" t="s">
        <v>109</v>
      </c>
      <c r="D80" s="8"/>
    </row>
    <row r="81" spans="3:19" outlineLevel="1" x14ac:dyDescent="0.2">
      <c r="C81" t="s">
        <v>84</v>
      </c>
      <c r="D81" s="8" t="s">
        <v>62</v>
      </c>
      <c r="F81" s="60">
        <v>0.15</v>
      </c>
    </row>
    <row r="82" spans="3:19" x14ac:dyDescent="0.2">
      <c r="D82" s="8"/>
    </row>
    <row r="83" spans="3:19" ht="24" thickBot="1" x14ac:dyDescent="0.4">
      <c r="C83" s="45" t="s">
        <v>110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</row>
    <row r="84" spans="3:19" ht="20.25" outlineLevel="1" x14ac:dyDescent="0.3">
      <c r="C84" s="7" t="s">
        <v>81</v>
      </c>
      <c r="D84" s="8"/>
    </row>
    <row r="85" spans="3:19" outlineLevel="1" x14ac:dyDescent="0.2">
      <c r="C85" t="s">
        <v>51</v>
      </c>
      <c r="D85" s="8" t="s">
        <v>111</v>
      </c>
      <c r="F85" s="36">
        <v>2011</v>
      </c>
      <c r="G85" s="36">
        <v>2012</v>
      </c>
      <c r="H85" s="36">
        <v>2013</v>
      </c>
      <c r="I85" s="36">
        <v>2014</v>
      </c>
    </row>
    <row r="86" spans="3:19" outlineLevel="1" x14ac:dyDescent="0.2">
      <c r="C86" t="s">
        <v>61</v>
      </c>
      <c r="D86" s="8" t="s">
        <v>62</v>
      </c>
      <c r="F86" s="60">
        <v>3.5999999999999997E-2</v>
      </c>
      <c r="G86" s="60">
        <v>0.03</v>
      </c>
      <c r="H86" s="60">
        <v>2.9000000000000001E-2</v>
      </c>
      <c r="I86" s="60">
        <v>0.03</v>
      </c>
    </row>
    <row r="87" spans="3:19" outlineLevel="1" x14ac:dyDescent="0.2">
      <c r="D87" s="8"/>
    </row>
    <row r="88" spans="3:19" ht="20.25" outlineLevel="1" x14ac:dyDescent="0.3">
      <c r="C88" s="7" t="s">
        <v>85</v>
      </c>
      <c r="D88" s="8"/>
    </row>
    <row r="89" spans="3:19" outlineLevel="1" x14ac:dyDescent="0.2">
      <c r="C89" t="s">
        <v>51</v>
      </c>
      <c r="D89" s="8" t="s">
        <v>111</v>
      </c>
      <c r="F89" s="36">
        <v>2011</v>
      </c>
      <c r="G89" s="36">
        <v>2012</v>
      </c>
      <c r="H89" s="36">
        <v>2013</v>
      </c>
      <c r="I89" s="36">
        <v>2014</v>
      </c>
    </row>
    <row r="90" spans="3:19" outlineLevel="1" x14ac:dyDescent="0.2">
      <c r="C90" t="s">
        <v>72</v>
      </c>
      <c r="D90" s="8" t="s">
        <v>112</v>
      </c>
      <c r="F90" s="62">
        <v>1.02</v>
      </c>
      <c r="G90" s="62">
        <v>1.02</v>
      </c>
      <c r="H90" s="62">
        <v>1.02</v>
      </c>
      <c r="I90" s="62">
        <v>1.02</v>
      </c>
    </row>
    <row r="91" spans="3:19" outlineLevel="1" x14ac:dyDescent="0.2"/>
    <row r="92" spans="3:19" ht="20.25" outlineLevel="1" x14ac:dyDescent="0.3">
      <c r="C92" s="7" t="s">
        <v>74</v>
      </c>
    </row>
    <row r="93" spans="3:19" outlineLevel="1" x14ac:dyDescent="0.2">
      <c r="C93" t="s">
        <v>51</v>
      </c>
      <c r="D93" s="8" t="s">
        <v>111</v>
      </c>
      <c r="F93" s="36">
        <v>2011</v>
      </c>
      <c r="G93" s="36">
        <v>2012</v>
      </c>
      <c r="H93" s="36">
        <v>2013</v>
      </c>
      <c r="I93" s="36">
        <v>2014</v>
      </c>
    </row>
    <row r="94" spans="3:19" outlineLevel="1" x14ac:dyDescent="0.2">
      <c r="C94" t="s">
        <v>113</v>
      </c>
      <c r="D94" s="8" t="s">
        <v>62</v>
      </c>
      <c r="F94" s="60">
        <v>0.02</v>
      </c>
      <c r="G94" s="60">
        <v>0.02</v>
      </c>
      <c r="H94" s="60">
        <v>0.02</v>
      </c>
      <c r="I94" s="60">
        <v>0.02</v>
      </c>
    </row>
    <row r="95" spans="3:19" outlineLevel="1" x14ac:dyDescent="0.2"/>
    <row r="96" spans="3:19" ht="20.25" outlineLevel="1" x14ac:dyDescent="0.3">
      <c r="C96" s="7" t="s">
        <v>149</v>
      </c>
    </row>
    <row r="97" spans="3:19" outlineLevel="1" x14ac:dyDescent="0.2">
      <c r="C97" s="58" t="s">
        <v>150</v>
      </c>
      <c r="D97" s="8" t="s">
        <v>152</v>
      </c>
      <c r="F97" s="67">
        <v>30</v>
      </c>
    </row>
    <row r="98" spans="3:19" outlineLevel="1" x14ac:dyDescent="0.2">
      <c r="C98" s="58" t="s">
        <v>151</v>
      </c>
      <c r="D98" s="8" t="s">
        <v>152</v>
      </c>
      <c r="F98" s="67">
        <v>40</v>
      </c>
    </row>
    <row r="99" spans="3:19" outlineLevel="1" x14ac:dyDescent="0.2"/>
    <row r="100" spans="3:19" ht="20.25" outlineLevel="1" x14ac:dyDescent="0.3">
      <c r="C100" s="7" t="s">
        <v>155</v>
      </c>
    </row>
    <row r="101" spans="3:19" outlineLevel="1" x14ac:dyDescent="0.2">
      <c r="C101" t="s">
        <v>156</v>
      </c>
      <c r="D101" s="8" t="s">
        <v>18</v>
      </c>
      <c r="F101" s="68">
        <v>0.3</v>
      </c>
    </row>
    <row r="103" spans="3:19" ht="24" thickBot="1" x14ac:dyDescent="0.4">
      <c r="C103" s="45" t="s">
        <v>6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</row>
    <row r="104" spans="3:19" ht="20.25" outlineLevel="1" x14ac:dyDescent="0.3">
      <c r="C104" s="7" t="s">
        <v>88</v>
      </c>
    </row>
    <row r="105" spans="3:19" outlineLevel="1" x14ac:dyDescent="0.2"/>
    <row r="106" spans="3:19" outlineLevel="1" x14ac:dyDescent="0.2">
      <c r="C106" s="43" t="s">
        <v>19</v>
      </c>
      <c r="E106" s="31"/>
    </row>
    <row r="107" spans="3:19" outlineLevel="1" x14ac:dyDescent="0.2">
      <c r="C107" s="43" t="s">
        <v>19</v>
      </c>
      <c r="E107" s="31"/>
    </row>
    <row r="108" spans="3:19" outlineLevel="1" x14ac:dyDescent="0.2">
      <c r="C108" s="43" t="s">
        <v>19</v>
      </c>
      <c r="E108" s="31"/>
    </row>
    <row r="109" spans="3:19" outlineLevel="1" x14ac:dyDescent="0.2">
      <c r="C109" s="43" t="s">
        <v>19</v>
      </c>
      <c r="E109" s="31"/>
    </row>
    <row r="110" spans="3:19" outlineLevel="1" x14ac:dyDescent="0.2">
      <c r="C110" s="43" t="s">
        <v>19</v>
      </c>
      <c r="E110" s="31"/>
    </row>
    <row r="111" spans="3:19" outlineLevel="1" x14ac:dyDescent="0.2">
      <c r="C111" s="43" t="s">
        <v>19</v>
      </c>
      <c r="E111" s="31"/>
    </row>
    <row r="112" spans="3:19" outlineLevel="1" x14ac:dyDescent="0.2">
      <c r="C112" t="s">
        <v>89</v>
      </c>
      <c r="E112" s="31">
        <f>ROUND(SUM(E106:E111),8)</f>
        <v>0</v>
      </c>
    </row>
  </sheetData>
  <phoneticPr fontId="5" type="noConversion"/>
  <conditionalFormatting sqref="A3">
    <cfRule type="expression" dxfId="11" priority="5" stopIfTrue="1">
      <formula>MMC&lt;&gt;0</formula>
    </cfRule>
  </conditionalFormatting>
  <conditionalFormatting sqref="D3 E106:E112">
    <cfRule type="cellIs" dxfId="10" priority="7" stopIfTrue="1" operator="notEqual">
      <formula>0</formula>
    </cfRule>
  </conditionalFormatting>
  <pageMargins left="0.75" right="0.75" top="1" bottom="1" header="0.5" footer="0.5"/>
  <pageSetup paperSize="9" scale="32"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F0"/>
  </sheetPr>
  <dimension ref="A1:BJ16"/>
  <sheetViews>
    <sheetView showGridLines="0" tabSelected="1" zoomScale="140" zoomScaleNormal="140" workbookViewId="0">
      <pane xSplit="9" ySplit="7" topLeftCell="K8" activePane="bottomRight" state="frozen"/>
      <selection activeCell="J113" sqref="J113"/>
      <selection pane="topRight" activeCell="J113" sqref="J113"/>
      <selection pane="bottomLeft" activeCell="J113" sqref="J113"/>
      <selection pane="bottomRight" activeCell="K16" sqref="K16"/>
    </sheetView>
  </sheetViews>
  <sheetFormatPr defaultColWidth="0" defaultRowHeight="12.75" x14ac:dyDescent="0.2"/>
  <cols>
    <col min="1" max="2" width="2.28515625" customWidth="1"/>
    <col min="3" max="3" width="28.7109375" customWidth="1"/>
    <col min="4" max="4" width="9.140625" customWidth="1"/>
    <col min="5" max="5" width="9.85546875" customWidth="1"/>
    <col min="6" max="6" width="10.7109375" customWidth="1"/>
    <col min="7" max="8" width="2.7109375" customWidth="1"/>
    <col min="9" max="9" width="10.7109375" customWidth="1"/>
    <col min="10" max="10" width="9.7109375" customWidth="1"/>
    <col min="11" max="61" width="10.42578125" customWidth="1"/>
    <col min="62" max="62" width="9.140625" customWidth="1"/>
    <col min="63" max="16384" width="9.140625" hidden="1"/>
  </cols>
  <sheetData>
    <row r="1" spans="1:61" ht="23.25" x14ac:dyDescent="0.35">
      <c r="A1" s="44" t="s">
        <v>159</v>
      </c>
    </row>
    <row r="2" spans="1:61" ht="15" x14ac:dyDescent="0.25">
      <c r="A2" s="56" t="str">
        <f>Name_Project</f>
        <v>Gold Mining Project</v>
      </c>
    </row>
    <row r="3" spans="1:61" x14ac:dyDescent="0.2">
      <c r="A3" s="58" t="s">
        <v>90</v>
      </c>
      <c r="D3" s="31">
        <f>Master_Integrity</f>
        <v>0</v>
      </c>
    </row>
    <row r="4" spans="1:61" x14ac:dyDescent="0.2">
      <c r="A4" t="s">
        <v>143</v>
      </c>
      <c r="J4" s="70">
        <f>I5+1</f>
        <v>40909</v>
      </c>
      <c r="K4" s="70">
        <f t="shared" ref="K4:BI4" si="0">J5+1</f>
        <v>41000</v>
      </c>
      <c r="L4" s="70">
        <f t="shared" si="0"/>
        <v>41091</v>
      </c>
      <c r="M4" s="70">
        <f t="shared" si="0"/>
        <v>41183</v>
      </c>
      <c r="N4" s="70">
        <f t="shared" si="0"/>
        <v>41275</v>
      </c>
      <c r="O4" s="70">
        <f t="shared" si="0"/>
        <v>41365</v>
      </c>
      <c r="P4" s="70">
        <f t="shared" si="0"/>
        <v>41456</v>
      </c>
      <c r="Q4" s="70">
        <f t="shared" si="0"/>
        <v>41548</v>
      </c>
      <c r="R4" s="70">
        <f t="shared" si="0"/>
        <v>41640</v>
      </c>
      <c r="S4" s="70">
        <f t="shared" si="0"/>
        <v>41730</v>
      </c>
      <c r="T4" s="70">
        <f t="shared" si="0"/>
        <v>41821</v>
      </c>
      <c r="U4" s="70">
        <f t="shared" si="0"/>
        <v>41913</v>
      </c>
      <c r="V4" s="70">
        <f t="shared" si="0"/>
        <v>42005</v>
      </c>
      <c r="W4" s="70">
        <f t="shared" si="0"/>
        <v>42095</v>
      </c>
      <c r="X4" s="70">
        <f t="shared" si="0"/>
        <v>42186</v>
      </c>
      <c r="Y4" s="70">
        <f t="shared" si="0"/>
        <v>42278</v>
      </c>
      <c r="Z4" s="70">
        <f t="shared" si="0"/>
        <v>42370</v>
      </c>
      <c r="AA4" s="70">
        <f t="shared" si="0"/>
        <v>42461</v>
      </c>
      <c r="AB4" s="70">
        <f t="shared" si="0"/>
        <v>42552</v>
      </c>
      <c r="AC4" s="70">
        <f t="shared" si="0"/>
        <v>42644</v>
      </c>
      <c r="AD4" s="70">
        <f t="shared" si="0"/>
        <v>42736</v>
      </c>
      <c r="AE4" s="70">
        <f t="shared" si="0"/>
        <v>42826</v>
      </c>
      <c r="AF4" s="70">
        <f t="shared" si="0"/>
        <v>42917</v>
      </c>
      <c r="AG4" s="70">
        <f t="shared" si="0"/>
        <v>43009</v>
      </c>
      <c r="AH4" s="70">
        <f t="shared" si="0"/>
        <v>43101</v>
      </c>
      <c r="AI4" s="70">
        <f t="shared" si="0"/>
        <v>43191</v>
      </c>
      <c r="AJ4" s="70">
        <f t="shared" si="0"/>
        <v>43282</v>
      </c>
      <c r="AK4" s="70">
        <f t="shared" si="0"/>
        <v>43374</v>
      </c>
      <c r="AL4" s="70">
        <f t="shared" si="0"/>
        <v>43466</v>
      </c>
      <c r="AM4" s="70">
        <f t="shared" si="0"/>
        <v>43556</v>
      </c>
      <c r="AN4" s="70">
        <f t="shared" si="0"/>
        <v>43647</v>
      </c>
      <c r="AO4" s="70">
        <f t="shared" si="0"/>
        <v>43739</v>
      </c>
      <c r="AP4" s="70">
        <f t="shared" si="0"/>
        <v>43831</v>
      </c>
      <c r="AQ4" s="70">
        <f t="shared" si="0"/>
        <v>43922</v>
      </c>
      <c r="AR4" s="70">
        <f t="shared" si="0"/>
        <v>44013</v>
      </c>
      <c r="AS4" s="70">
        <f t="shared" si="0"/>
        <v>44105</v>
      </c>
      <c r="AT4" s="70">
        <f t="shared" si="0"/>
        <v>44197</v>
      </c>
      <c r="AU4" s="70">
        <f t="shared" si="0"/>
        <v>44287</v>
      </c>
      <c r="AV4" s="70">
        <f t="shared" si="0"/>
        <v>44378</v>
      </c>
      <c r="AW4" s="70">
        <f t="shared" si="0"/>
        <v>44470</v>
      </c>
      <c r="AX4" s="70">
        <f t="shared" si="0"/>
        <v>44562</v>
      </c>
      <c r="AY4" s="70">
        <f t="shared" si="0"/>
        <v>44652</v>
      </c>
      <c r="AZ4" s="70">
        <f t="shared" si="0"/>
        <v>44743</v>
      </c>
      <c r="BA4" s="70">
        <f t="shared" si="0"/>
        <v>44835</v>
      </c>
      <c r="BB4" s="70">
        <f t="shared" si="0"/>
        <v>44927</v>
      </c>
      <c r="BC4" s="70">
        <f t="shared" si="0"/>
        <v>45017</v>
      </c>
      <c r="BD4" s="70">
        <f t="shared" si="0"/>
        <v>45108</v>
      </c>
      <c r="BE4" s="70">
        <f t="shared" si="0"/>
        <v>45200</v>
      </c>
      <c r="BF4" s="70">
        <f t="shared" si="0"/>
        <v>45292</v>
      </c>
      <c r="BG4" s="70">
        <f t="shared" si="0"/>
        <v>45383</v>
      </c>
      <c r="BH4" s="70">
        <f t="shared" si="0"/>
        <v>45474</v>
      </c>
      <c r="BI4" s="70">
        <f t="shared" si="0"/>
        <v>45566</v>
      </c>
    </row>
    <row r="5" spans="1:61" x14ac:dyDescent="0.2">
      <c r="A5" t="s">
        <v>144</v>
      </c>
      <c r="I5" s="71">
        <f>Model_Start</f>
        <v>40908</v>
      </c>
      <c r="J5" s="70">
        <f t="shared" ref="J5:BI5" si="1">EOMONTH(J4,Months_Qtr-1)</f>
        <v>40999</v>
      </c>
      <c r="K5" s="70">
        <f t="shared" si="1"/>
        <v>41090</v>
      </c>
      <c r="L5" s="70">
        <f t="shared" si="1"/>
        <v>41182</v>
      </c>
      <c r="M5" s="70">
        <f t="shared" si="1"/>
        <v>41274</v>
      </c>
      <c r="N5" s="70">
        <f t="shared" si="1"/>
        <v>41364</v>
      </c>
      <c r="O5" s="70">
        <f t="shared" si="1"/>
        <v>41455</v>
      </c>
      <c r="P5" s="70">
        <f t="shared" si="1"/>
        <v>41547</v>
      </c>
      <c r="Q5" s="70">
        <f t="shared" si="1"/>
        <v>41639</v>
      </c>
      <c r="R5" s="70">
        <f t="shared" si="1"/>
        <v>41729</v>
      </c>
      <c r="S5" s="70">
        <f t="shared" si="1"/>
        <v>41820</v>
      </c>
      <c r="T5" s="70">
        <f t="shared" si="1"/>
        <v>41912</v>
      </c>
      <c r="U5" s="70">
        <f t="shared" si="1"/>
        <v>42004</v>
      </c>
      <c r="V5" s="70">
        <f t="shared" si="1"/>
        <v>42094</v>
      </c>
      <c r="W5" s="70">
        <f t="shared" si="1"/>
        <v>42185</v>
      </c>
      <c r="X5" s="70">
        <f t="shared" si="1"/>
        <v>42277</v>
      </c>
      <c r="Y5" s="70">
        <f t="shared" si="1"/>
        <v>42369</v>
      </c>
      <c r="Z5" s="70">
        <f t="shared" si="1"/>
        <v>42460</v>
      </c>
      <c r="AA5" s="70">
        <f t="shared" si="1"/>
        <v>42551</v>
      </c>
      <c r="AB5" s="70">
        <f t="shared" si="1"/>
        <v>42643</v>
      </c>
      <c r="AC5" s="70">
        <f t="shared" si="1"/>
        <v>42735</v>
      </c>
      <c r="AD5" s="70">
        <f t="shared" si="1"/>
        <v>42825</v>
      </c>
      <c r="AE5" s="70">
        <f t="shared" si="1"/>
        <v>42916</v>
      </c>
      <c r="AF5" s="70">
        <f t="shared" si="1"/>
        <v>43008</v>
      </c>
      <c r="AG5" s="70">
        <f t="shared" si="1"/>
        <v>43100</v>
      </c>
      <c r="AH5" s="70">
        <f t="shared" si="1"/>
        <v>43190</v>
      </c>
      <c r="AI5" s="70">
        <f t="shared" si="1"/>
        <v>43281</v>
      </c>
      <c r="AJ5" s="70">
        <f t="shared" si="1"/>
        <v>43373</v>
      </c>
      <c r="AK5" s="70">
        <f t="shared" si="1"/>
        <v>43465</v>
      </c>
      <c r="AL5" s="70">
        <f t="shared" si="1"/>
        <v>43555</v>
      </c>
      <c r="AM5" s="70">
        <f t="shared" si="1"/>
        <v>43646</v>
      </c>
      <c r="AN5" s="70">
        <f t="shared" si="1"/>
        <v>43738</v>
      </c>
      <c r="AO5" s="70">
        <f t="shared" si="1"/>
        <v>43830</v>
      </c>
      <c r="AP5" s="70">
        <f t="shared" si="1"/>
        <v>43921</v>
      </c>
      <c r="AQ5" s="70">
        <f t="shared" si="1"/>
        <v>44012</v>
      </c>
      <c r="AR5" s="70">
        <f t="shared" si="1"/>
        <v>44104</v>
      </c>
      <c r="AS5" s="70">
        <f t="shared" si="1"/>
        <v>44196</v>
      </c>
      <c r="AT5" s="70">
        <f t="shared" si="1"/>
        <v>44286</v>
      </c>
      <c r="AU5" s="70">
        <f t="shared" si="1"/>
        <v>44377</v>
      </c>
      <c r="AV5" s="70">
        <f t="shared" si="1"/>
        <v>44469</v>
      </c>
      <c r="AW5" s="70">
        <f t="shared" si="1"/>
        <v>44561</v>
      </c>
      <c r="AX5" s="70">
        <f t="shared" si="1"/>
        <v>44651</v>
      </c>
      <c r="AY5" s="70">
        <f t="shared" si="1"/>
        <v>44742</v>
      </c>
      <c r="AZ5" s="70">
        <f t="shared" si="1"/>
        <v>44834</v>
      </c>
      <c r="BA5" s="70">
        <f t="shared" si="1"/>
        <v>44926</v>
      </c>
      <c r="BB5" s="70">
        <f t="shared" si="1"/>
        <v>45016</v>
      </c>
      <c r="BC5" s="70">
        <f t="shared" si="1"/>
        <v>45107</v>
      </c>
      <c r="BD5" s="70">
        <f t="shared" si="1"/>
        <v>45199</v>
      </c>
      <c r="BE5" s="70">
        <f t="shared" si="1"/>
        <v>45291</v>
      </c>
      <c r="BF5" s="70">
        <f t="shared" si="1"/>
        <v>45382</v>
      </c>
      <c r="BG5" s="70">
        <f t="shared" si="1"/>
        <v>45473</v>
      </c>
      <c r="BH5" s="70">
        <f t="shared" si="1"/>
        <v>45565</v>
      </c>
      <c r="BI5" s="70">
        <f t="shared" si="1"/>
        <v>45657</v>
      </c>
    </row>
    <row r="6" spans="1:61" x14ac:dyDescent="0.2">
      <c r="A6" t="s">
        <v>26</v>
      </c>
      <c r="J6" s="69">
        <f t="shared" ref="J6:AO6" si="2">IF(AND(J$4&gt;=Con_Start,J$5&lt;=Con_End),1,0)</f>
        <v>1</v>
      </c>
      <c r="K6" s="69">
        <f t="shared" si="2"/>
        <v>1</v>
      </c>
      <c r="L6" s="69">
        <f t="shared" si="2"/>
        <v>1</v>
      </c>
      <c r="M6" s="69">
        <f t="shared" si="2"/>
        <v>1</v>
      </c>
      <c r="N6" s="69">
        <f t="shared" si="2"/>
        <v>0</v>
      </c>
      <c r="O6" s="69">
        <f t="shared" si="2"/>
        <v>0</v>
      </c>
      <c r="P6" s="69">
        <f t="shared" si="2"/>
        <v>0</v>
      </c>
      <c r="Q6" s="69">
        <f t="shared" si="2"/>
        <v>0</v>
      </c>
      <c r="R6" s="69">
        <f t="shared" si="2"/>
        <v>0</v>
      </c>
      <c r="S6" s="69">
        <f t="shared" si="2"/>
        <v>0</v>
      </c>
      <c r="T6" s="69">
        <f t="shared" si="2"/>
        <v>0</v>
      </c>
      <c r="U6" s="69">
        <f t="shared" si="2"/>
        <v>0</v>
      </c>
      <c r="V6" s="69">
        <f t="shared" si="2"/>
        <v>0</v>
      </c>
      <c r="W6" s="69">
        <f t="shared" si="2"/>
        <v>0</v>
      </c>
      <c r="X6" s="69">
        <f t="shared" si="2"/>
        <v>0</v>
      </c>
      <c r="Y6" s="69">
        <f t="shared" si="2"/>
        <v>0</v>
      </c>
      <c r="Z6" s="69">
        <f t="shared" si="2"/>
        <v>0</v>
      </c>
      <c r="AA6" s="69">
        <f t="shared" si="2"/>
        <v>0</v>
      </c>
      <c r="AB6" s="69">
        <f t="shared" si="2"/>
        <v>0</v>
      </c>
      <c r="AC6" s="69">
        <f t="shared" si="2"/>
        <v>0</v>
      </c>
      <c r="AD6" s="69">
        <f t="shared" si="2"/>
        <v>0</v>
      </c>
      <c r="AE6" s="69">
        <f t="shared" si="2"/>
        <v>0</v>
      </c>
      <c r="AF6" s="69">
        <f t="shared" si="2"/>
        <v>0</v>
      </c>
      <c r="AG6" s="69">
        <f t="shared" si="2"/>
        <v>0</v>
      </c>
      <c r="AH6" s="69">
        <f t="shared" si="2"/>
        <v>0</v>
      </c>
      <c r="AI6" s="69">
        <f t="shared" si="2"/>
        <v>0</v>
      </c>
      <c r="AJ6" s="69">
        <f t="shared" si="2"/>
        <v>0</v>
      </c>
      <c r="AK6" s="69">
        <f t="shared" si="2"/>
        <v>0</v>
      </c>
      <c r="AL6" s="69">
        <f t="shared" si="2"/>
        <v>0</v>
      </c>
      <c r="AM6" s="69">
        <f t="shared" si="2"/>
        <v>0</v>
      </c>
      <c r="AN6" s="69">
        <f t="shared" si="2"/>
        <v>0</v>
      </c>
      <c r="AO6" s="69">
        <f t="shared" si="2"/>
        <v>0</v>
      </c>
      <c r="AP6" s="69">
        <f t="shared" ref="AP6:BI6" si="3">IF(AND(AP$4&gt;=Con_Start,AP$5&lt;=Con_End),1,0)</f>
        <v>0</v>
      </c>
      <c r="AQ6" s="69">
        <f t="shared" si="3"/>
        <v>0</v>
      </c>
      <c r="AR6" s="69">
        <f t="shared" si="3"/>
        <v>0</v>
      </c>
      <c r="AS6" s="69">
        <f t="shared" si="3"/>
        <v>0</v>
      </c>
      <c r="AT6" s="69">
        <f t="shared" si="3"/>
        <v>0</v>
      </c>
      <c r="AU6" s="69">
        <f t="shared" si="3"/>
        <v>0</v>
      </c>
      <c r="AV6" s="69">
        <f t="shared" si="3"/>
        <v>0</v>
      </c>
      <c r="AW6" s="69">
        <f t="shared" si="3"/>
        <v>0</v>
      </c>
      <c r="AX6" s="69">
        <f t="shared" si="3"/>
        <v>0</v>
      </c>
      <c r="AY6" s="69">
        <f t="shared" si="3"/>
        <v>0</v>
      </c>
      <c r="AZ6" s="69">
        <f t="shared" si="3"/>
        <v>0</v>
      </c>
      <c r="BA6" s="69">
        <f t="shared" si="3"/>
        <v>0</v>
      </c>
      <c r="BB6" s="69">
        <f t="shared" si="3"/>
        <v>0</v>
      </c>
      <c r="BC6" s="69">
        <f t="shared" si="3"/>
        <v>0</v>
      </c>
      <c r="BD6" s="69">
        <f t="shared" si="3"/>
        <v>0</v>
      </c>
      <c r="BE6" s="69">
        <f t="shared" si="3"/>
        <v>0</v>
      </c>
      <c r="BF6" s="69">
        <f t="shared" si="3"/>
        <v>0</v>
      </c>
      <c r="BG6" s="69">
        <f t="shared" si="3"/>
        <v>0</v>
      </c>
      <c r="BH6" s="69">
        <f t="shared" si="3"/>
        <v>0</v>
      </c>
      <c r="BI6" s="69">
        <f t="shared" si="3"/>
        <v>0</v>
      </c>
    </row>
    <row r="7" spans="1:61" x14ac:dyDescent="0.2">
      <c r="A7" t="s">
        <v>27</v>
      </c>
      <c r="J7" s="69">
        <f t="shared" ref="J7:AO7" si="4">IF(AND(J$4&gt;=Ops_Start,J$5&lt;=Ops_End),1,0)</f>
        <v>0</v>
      </c>
      <c r="K7" s="69">
        <f t="shared" si="4"/>
        <v>0</v>
      </c>
      <c r="L7" s="69">
        <f t="shared" si="4"/>
        <v>0</v>
      </c>
      <c r="M7" s="69">
        <f t="shared" si="4"/>
        <v>0</v>
      </c>
      <c r="N7" s="69">
        <f t="shared" si="4"/>
        <v>1</v>
      </c>
      <c r="O7" s="69">
        <f t="shared" si="4"/>
        <v>1</v>
      </c>
      <c r="P7" s="69">
        <f t="shared" si="4"/>
        <v>1</v>
      </c>
      <c r="Q7" s="69">
        <f t="shared" si="4"/>
        <v>1</v>
      </c>
      <c r="R7" s="69">
        <f t="shared" si="4"/>
        <v>1</v>
      </c>
      <c r="S7" s="69">
        <f t="shared" si="4"/>
        <v>1</v>
      </c>
      <c r="T7" s="69">
        <f t="shared" si="4"/>
        <v>1</v>
      </c>
      <c r="U7" s="69">
        <f t="shared" si="4"/>
        <v>1</v>
      </c>
      <c r="V7" s="69">
        <f t="shared" si="4"/>
        <v>1</v>
      </c>
      <c r="W7" s="69">
        <f t="shared" si="4"/>
        <v>1</v>
      </c>
      <c r="X7" s="69">
        <f t="shared" si="4"/>
        <v>1</v>
      </c>
      <c r="Y7" s="69">
        <f t="shared" si="4"/>
        <v>1</v>
      </c>
      <c r="Z7" s="69">
        <f t="shared" si="4"/>
        <v>1</v>
      </c>
      <c r="AA7" s="69">
        <f t="shared" si="4"/>
        <v>1</v>
      </c>
      <c r="AB7" s="69">
        <f t="shared" si="4"/>
        <v>1</v>
      </c>
      <c r="AC7" s="69">
        <f t="shared" si="4"/>
        <v>1</v>
      </c>
      <c r="AD7" s="69">
        <f t="shared" si="4"/>
        <v>1</v>
      </c>
      <c r="AE7" s="69">
        <f t="shared" si="4"/>
        <v>1</v>
      </c>
      <c r="AF7" s="69">
        <f t="shared" si="4"/>
        <v>1</v>
      </c>
      <c r="AG7" s="69">
        <f t="shared" si="4"/>
        <v>1</v>
      </c>
      <c r="AH7" s="69">
        <f t="shared" si="4"/>
        <v>1</v>
      </c>
      <c r="AI7" s="69">
        <f t="shared" si="4"/>
        <v>1</v>
      </c>
      <c r="AJ7" s="69">
        <f t="shared" si="4"/>
        <v>1</v>
      </c>
      <c r="AK7" s="69">
        <f t="shared" si="4"/>
        <v>1</v>
      </c>
      <c r="AL7" s="69">
        <f t="shared" si="4"/>
        <v>1</v>
      </c>
      <c r="AM7" s="69">
        <f t="shared" si="4"/>
        <v>1</v>
      </c>
      <c r="AN7" s="69">
        <f t="shared" si="4"/>
        <v>1</v>
      </c>
      <c r="AO7" s="69">
        <f t="shared" si="4"/>
        <v>1</v>
      </c>
      <c r="AP7" s="69">
        <f t="shared" ref="AP7:BI7" si="5">IF(AND(AP$4&gt;=Ops_Start,AP$5&lt;=Ops_End),1,0)</f>
        <v>1</v>
      </c>
      <c r="AQ7" s="69">
        <f t="shared" si="5"/>
        <v>1</v>
      </c>
      <c r="AR7" s="69">
        <f t="shared" si="5"/>
        <v>1</v>
      </c>
      <c r="AS7" s="69">
        <f t="shared" si="5"/>
        <v>1</v>
      </c>
      <c r="AT7" s="69">
        <f t="shared" si="5"/>
        <v>1</v>
      </c>
      <c r="AU7" s="69">
        <f t="shared" si="5"/>
        <v>1</v>
      </c>
      <c r="AV7" s="69">
        <f t="shared" si="5"/>
        <v>1</v>
      </c>
      <c r="AW7" s="69">
        <f t="shared" si="5"/>
        <v>1</v>
      </c>
      <c r="AX7" s="69">
        <f t="shared" si="5"/>
        <v>1</v>
      </c>
      <c r="AY7" s="69">
        <f t="shared" si="5"/>
        <v>1</v>
      </c>
      <c r="AZ7" s="69">
        <f t="shared" si="5"/>
        <v>1</v>
      </c>
      <c r="BA7" s="69">
        <f t="shared" si="5"/>
        <v>1</v>
      </c>
      <c r="BB7" s="69">
        <f t="shared" si="5"/>
        <v>0</v>
      </c>
      <c r="BC7" s="69">
        <f t="shared" si="5"/>
        <v>0</v>
      </c>
      <c r="BD7" s="69">
        <f t="shared" si="5"/>
        <v>0</v>
      </c>
      <c r="BE7" s="69">
        <f t="shared" si="5"/>
        <v>0</v>
      </c>
      <c r="BF7" s="69">
        <f t="shared" si="5"/>
        <v>0</v>
      </c>
      <c r="BG7" s="69">
        <f t="shared" si="5"/>
        <v>0</v>
      </c>
      <c r="BH7" s="69">
        <f t="shared" si="5"/>
        <v>0</v>
      </c>
      <c r="BI7" s="69">
        <f t="shared" si="5"/>
        <v>0</v>
      </c>
    </row>
    <row r="9" spans="1:61" ht="20.25" x14ac:dyDescent="0.3">
      <c r="C9" s="7" t="s">
        <v>159</v>
      </c>
      <c r="J9" s="6"/>
      <c r="K9" s="72"/>
    </row>
    <row r="10" spans="1:61" ht="15" x14ac:dyDescent="0.25">
      <c r="C10" s="4" t="s">
        <v>65</v>
      </c>
      <c r="E10" s="36" t="s">
        <v>164</v>
      </c>
    </row>
    <row r="11" spans="1:61" x14ac:dyDescent="0.2">
      <c r="C11" t="s">
        <v>153</v>
      </c>
      <c r="D11" s="8" t="s">
        <v>73</v>
      </c>
      <c r="E11" s="78">
        <f>XNPV(Inputs!F81,$I$11:$BI$11,$I$5:$BI$5)</f>
        <v>103.39827026868866</v>
      </c>
      <c r="I11" s="77">
        <v>0</v>
      </c>
      <c r="J11" s="28">
        <f>(((IF(ROUNDUP(SUM($J$7:J$7)*J$7/Qtrs_Yr,0)=0,0,LOOKUP(ROUNDUP(SUM($J$7:J$7)*J$7/Qtrs_Yr,0),Inputs!$F$35:$I$35,Inputs!$F$36:$I$36))/Thousand/Qtrs_Yr)*IF(ROUNDUP(SUM($J$7:J$7)*J$7/Qtrs_Yr,0)=0,0,LOOKUP(ROUNDUP(SUM($J$7:J$7)*J$7/Qtrs_Yr,0),Inputs!$F$41:$I$41,Inputs!$F$42:$I$42))/Grams_Oz*Inputs!$F$45)*LOOKUP(YEAR(J$5),Inputs!$F$49:$I$49,Inputs!$F$50:$I$50)/Thousand/LOOKUP(YEAR(J$5),Inputs!$F$89:$I$89,Inputs!$F$90:$I$90)*(J5-I5-Inputs!$F$97)/(J5-I5)+((IF(ROUNDUP(SUM($I$7:I$7)*I$7/Qtrs_Yr,0)=0,0,LOOKUP(ROUNDUP(SUM($I$7:I$7)*I$7/Qtrs_Yr,0),Inputs!$F$35:$I$35,Inputs!$F$36:$I$36))/Thousand/Qtrs_Yr)*IF(ROUNDUP(SUM($I$7:I$7)*I$7/Qtrs_Yr,0)=0,0,LOOKUP(ROUNDUP(SUM($I$7:I$7)*I$7/Qtrs_Yr,0),Inputs!$F$41:$I$41,Inputs!$F$42:$I$42))/Grams_Oz*Inputs!$F$45)*LOOKUP(YEAR(I$5),Inputs!$F$49:$I$49,Inputs!$F$50:$I$50)/Thousand/LOOKUP(YEAR(I$5),Inputs!$F$89:$I$89,Inputs!$F$90:$I$90)*Inputs!$F$97/(I5-H5))-(((Inputs!$F$64*(IF(ROUNDUP(SUM($J$7:J$7)*J$7/Qtrs_Yr,0)=0,0,LOOKUP(ROUNDUP(SUM($J$7:J$7)*J$7/Qtrs_Yr,0),Inputs!$F$35:$I$35,Inputs!$F$36:$I$36))/Thousand/Qtrs_Yr+IF(ROUNDUP(SUM($J$7:J$7)*J$7/Qtrs_Yr,0)=0,0,LOOKUP(ROUNDUP(SUM($J$7:J$7)*J$7/Qtrs_Yr,0),Inputs!$F$35:$I$35,Inputs!$F$38:$I$38)*LOOKUP(ROUNDUP(SUM($J$7:J$7)*J$7/Qtrs_Yr,0),Inputs!$F$35:$I$35,Inputs!$F$36:$I$36))/Thousand/Qtrs_Yr)+Inputs!$F$65*(IF(ROUNDUP(SUM($J$7:J$7)*J$7/Qtrs_Yr,0)=0,0,LOOKUP(ROUNDUP(SUM($J$7:J$7)*J$7/Qtrs_Yr,0),Inputs!$F$35:$I$35,Inputs!$F$36:$I$36))/Thousand/Qtrs_Yr)+Inputs!$F$66*(IF(ROUNDUP(SUM($J$7:J$7)*J$7/Qtrs_Yr,0)=0,0,LOOKUP(ROUNDUP(SUM($J$7:J$7)*J$7/Qtrs_Yr,0),Inputs!$F$35:$I$35,Inputs!$F$38:$I$38)*LOOKUP(ROUNDUP(SUM($J$7:J$7)*J$7/Qtrs_Yr,0),Inputs!$F$35:$I$35,Inputs!$F$36:$I$36))/Thousand/Qtrs_Yr))/Thousand+SUM(Inputs!$F$54:$F$61)*J$7/Qtrs_Yr)*(1+LOOKUP(YEAR(J$5),Inputs!$F$93:$I$93,Inputs!$F$94:$I$94)/Qtrs_Yr)^(COUNT($J$7:J7))*(J5-I5-Inputs!$F$98)/(J5-I5)+((Inputs!$F$64*(IF(ROUNDUP(SUM($I$7:I$7)*I$7/Qtrs_Yr,0)=0,0,LOOKUP(ROUNDUP(SUM($I$7:I$7)*I$7/Qtrs_Yr,0),Inputs!$F$35:$I$35,Inputs!$F$36:$I$36))/Thousand/Qtrs_Yr+IF(ROUNDUP(SUM($I$7:I$7)*I$7/Qtrs_Yr,0)=0,0,LOOKUP(ROUNDUP(SUM($I$7:I$7)*I$7/Qtrs_Yr,0),Inputs!$F$35:$I$35,Inputs!$F$38:$I$38)*LOOKUP(ROUNDUP(SUM($I$7:I$7)*I$7/Qtrs_Yr,0),Inputs!$F$35:$I$35,Inputs!$F$36:$I$36))/Thousand/Qtrs_Yr)+Inputs!$F$65*(IF(ROUNDUP(SUM($I$7:I$7)*I$7/Qtrs_Yr,0)=0,0,LOOKUP(ROUNDUP(SUM($I$7:I$7)*I$7/Qtrs_Yr,0),Inputs!$F$35:$I$35,Inputs!$F$36:$I$36))/Thousand/Qtrs_Yr)+Inputs!$F$66*(IF(ROUNDUP(SUM($I$7:I$7)*I$7/Qtrs_Yr,0)=0,0,LOOKUP(ROUNDUP(SUM($I$7:I$7)*I$7/Qtrs_Yr,0),Inputs!$F$35:$I$35,Inputs!$F$38:$I$38)*LOOKUP(ROUNDUP(SUM($I$7:I$7)*I$7/Qtrs_Yr,0),Inputs!$F$35:$I$35,Inputs!$F$36:$I$36))/Thousand/Qtrs_Yr))/Thousand+SUM(Inputs!$F$54:$F$61)*I$7/Qtrs_Yr)*(1+LOOKUP(YEAR(J$5),Inputs!$F$93:$I$93,Inputs!$F$94:$I$94)/Qtrs_Yr)^(COUNT($I$7:I7))*Inputs!$F$98/(I5-H5))-(((IF(ROUNDUP(SUM($J$7:J$7)*J$7/Qtrs_Yr,0)=0,0,LOOKUP(ROUNDUP(SUM($J$7:J$7)*J$7/Qtrs_Yr,0),Inputs!$F$35:$I$35,Inputs!$F$36:$I$36))/Thousand/Qtrs_Yr)*IF(ROUNDUP(SUM($J$7:J$7)*J$7/Qtrs_Yr,0)=0,0,LOOKUP(ROUNDUP(SUM($J$7:J$7)*J$7/Qtrs_Yr,0),Inputs!$F$41:$I$41,Inputs!$F$42:$I$42))/Grams_Oz*Inputs!$F$45)*LOOKUP(YEAR(J$5),Inputs!$F$49:$I$49,Inputs!$F$50:$I$50)/Thousand/LOOKUP(YEAR(J$5),Inputs!$F$89:$I$89,Inputs!$F$90:$I$90)-((Inputs!$F$64*(IF(ROUNDUP(SUM($J$7:J$7)*J$7/Qtrs_Yr,0)=0,0,LOOKUP(ROUNDUP(SUM($J$7:J$7)*J$7/Qtrs_Yr,0),Inputs!$F$35:$I$35,Inputs!$F$36:$I$36))/Thousand/Qtrs_Yr+IF(ROUNDUP(SUM($J$7:J$7)*J$7/Qtrs_Yr,0)=0,0,LOOKUP(ROUNDUP(SUM($J$7:J$7)*J$7/Qtrs_Yr,0),Inputs!$F$35:$I$35,Inputs!$F$38:$I$38)*LOOKUP(ROUNDUP(SUM($J$7:J$7)*J$7/Qtrs_Yr,0),Inputs!$F$35:$I$35,Inputs!$F$36:$I$36))/Thousand/Qtrs_Yr)+Inputs!$F$65*(IF(ROUNDUP(SUM($J$7:J$7)*J$7/Qtrs_Yr,0)=0,0,LOOKUP(ROUNDUP(SUM($J$7:J$7)*J$7/Qtrs_Yr,0),Inputs!$F$35:$I$35,Inputs!$F$36:$I$36))/Thousand/Qtrs_Yr)+Inputs!$F$66*(IF(ROUNDUP(SUM($J$7:J$7)*J$7/Qtrs_Yr,0)=0,0,LOOKUP(ROUNDUP(SUM($J$7:J$7)*J$7/Qtrs_Yr,0),Inputs!$F$35:$I$35,Inputs!$F$38:$I$38)*LOOKUP(ROUNDUP(SUM($J$7:J$7)*J$7/Qtrs_Yr,0),Inputs!$F$35:$I$35,Inputs!$F$36:$I$36))/Thousand/Qtrs_Yr))/Thousand+SUM(Inputs!$F$54:$F$61)*J$7/Qtrs_Yr)*(1+LOOKUP(YEAR(J$5),Inputs!$F$93:$I$93,Inputs!$F$94:$I$94)/Qtrs_Yr)^(COUNT($J$7:J7))-Inputs!$E$29*(1+Inputs!$E$31)*J$7/Inputs!$E$16/Qtrs_Yr-IF(OR(J$7=0,SUM($J7:J7)*J7&gt;Inputs!$F$77*Qtrs_Yr),0,(Inputs!$F$71-SUM($J7:J7,-1)*J7*Inputs!$F$71/Inputs!$F$77/Qtrs_Yr)*(LOOKUP(YEAR(K$5),Inputs!$F$85:$I$85,Inputs!$F$86:$I$86)+LOOKUP(ROUNDUP(SUM($J7:K7)*K7/Qtrs_Yr,0),Inputs!$G$73:$J$73,Inputs!$G$74:$J$74))/Qtrs_Yr))*Inputs!$F$101-IF(OR(J$7=0,SUM($J7:J7)*J7&gt;Inputs!$F$77*Qtrs_Yr),0,(Inputs!$F$71-SUM($J7:J7,-1)*J7*Inputs!$F$71/Inputs!$F$77/Qtrs_Yr)*(LOOKUP(YEAR(K$5),Inputs!$F$85:$I$85,Inputs!$F$86:$I$86)+LOOKUP(ROUNDUP(SUM($J7:K7)*K7/Qtrs_Yr,0),Inputs!$G$73:$J$73,Inputs!$G$74:$J$74))/Qtrs_Yr)-IF(OR(J$7=0,SUM($J7:J7)*J7&gt;Inputs!$F$77*Qtrs_Yr),0,Inputs!$F$71/Inputs!$F$77/Qtrs_Yr)</f>
        <v>0</v>
      </c>
      <c r="K11" s="28">
        <f>(((IF(ROUNDUP(SUM($J$7:K$7)*K$7/Qtrs_Yr,0)=0,0,LOOKUP(ROUNDUP(SUM($J$7:K$7)*K$7/Qtrs_Yr,0),Inputs!$F$35:$I$35,Inputs!$F$36:$I$36))/Thousand/Qtrs_Yr)*IF(ROUNDUP(SUM($J$7:K$7)*K$7/Qtrs_Yr,0)=0,0,LOOKUP(ROUNDUP(SUM($J$7:K$7)*K$7/Qtrs_Yr,0),Inputs!$F$41:$I$41,Inputs!$F$42:$I$42))/Grams_Oz*Inputs!$F$45)*LOOKUP(YEAR(K$5),Inputs!$F$49:$I$49,Inputs!$F$50:$I$50)/Thousand/LOOKUP(YEAR(K$5),Inputs!$F$89:$I$89,Inputs!$F$90:$I$90)*(K5-J5-Inputs!$F$97)/(K5-J5)+((IF(ROUNDUP(SUM($I$7:J$7)*J$7/Qtrs_Yr,0)=0,0,LOOKUP(ROUNDUP(SUM($I$7:J$7)*J$7/Qtrs_Yr,0),Inputs!$F$35:$I$35,Inputs!$F$36:$I$36))/Thousand/Qtrs_Yr)*IF(ROUNDUP(SUM($I$7:J$7)*J$7/Qtrs_Yr,0)=0,0,LOOKUP(ROUNDUP(SUM($I$7:J$7)*J$7/Qtrs_Yr,0),Inputs!$F$41:$I$41,Inputs!$F$42:$I$42))/Grams_Oz*Inputs!$F$45)*LOOKUP(YEAR(J$5),Inputs!$F$49:$I$49,Inputs!$F$50:$I$50)/Thousand/LOOKUP(YEAR(J$5),Inputs!$F$89:$I$89,Inputs!$F$90:$I$90)*Inputs!$F$97/(J5-I5))-(((Inputs!$F$64*(IF(ROUNDUP(SUM($J$7:K$7)*K$7/Qtrs_Yr,0)=0,0,LOOKUP(ROUNDUP(SUM($J$7:K$7)*K$7/Qtrs_Yr,0),Inputs!$F$35:$I$35,Inputs!$F$36:$I$36))/Thousand/Qtrs_Yr+IF(ROUNDUP(SUM($J$7:K$7)*K$7/Qtrs_Yr,0)=0,0,LOOKUP(ROUNDUP(SUM($J$7:K$7)*K$7/Qtrs_Yr,0),Inputs!$F$35:$I$35,Inputs!$F$38:$I$38)*LOOKUP(ROUNDUP(SUM($J$7:K$7)*K$7/Qtrs_Yr,0),Inputs!$F$35:$I$35,Inputs!$F$36:$I$36))/Thousand/Qtrs_Yr)+Inputs!$F$65*(IF(ROUNDUP(SUM($J$7:K$7)*K$7/Qtrs_Yr,0)=0,0,LOOKUP(ROUNDUP(SUM($J$7:K$7)*K$7/Qtrs_Yr,0),Inputs!$F$35:$I$35,Inputs!$F$36:$I$36))/Thousand/Qtrs_Yr)+Inputs!$F$66*(IF(ROUNDUP(SUM($J$7:K$7)*K$7/Qtrs_Yr,0)=0,0,LOOKUP(ROUNDUP(SUM($J$7:K$7)*K$7/Qtrs_Yr,0),Inputs!$F$35:$I$35,Inputs!$F$38:$I$38)*LOOKUP(ROUNDUP(SUM($J$7:K$7)*K$7/Qtrs_Yr,0),Inputs!$F$35:$I$35,Inputs!$F$36:$I$36))/Thousand/Qtrs_Yr))/Thousand+SUM(Inputs!$F$54:$F$61)*K$7/Qtrs_Yr)*(1+LOOKUP(YEAR(K$5),Inputs!$F$93:$I$93,Inputs!$F$94:$I$94)/Qtrs_Yr)^(COUNT($J$7:K7))*(K5-J5-Inputs!$F$98)/(K5-J5)+((Inputs!$F$64*(IF(ROUNDUP(SUM($I$7:J$7)*J$7/Qtrs_Yr,0)=0,0,LOOKUP(ROUNDUP(SUM($I$7:J$7)*J$7/Qtrs_Yr,0),Inputs!$F$35:$I$35,Inputs!$F$36:$I$36))/Thousand/Qtrs_Yr+IF(ROUNDUP(SUM($I$7:J$7)*J$7/Qtrs_Yr,0)=0,0,LOOKUP(ROUNDUP(SUM($I$7:J$7)*J$7/Qtrs_Yr,0),Inputs!$F$35:$I$35,Inputs!$F$38:$I$38)*LOOKUP(ROUNDUP(SUM($I$7:J$7)*J$7/Qtrs_Yr,0),Inputs!$F$35:$I$35,Inputs!$F$36:$I$36))/Thousand/Qtrs_Yr)+Inputs!$F$65*(IF(ROUNDUP(SUM($I$7:J$7)*J$7/Qtrs_Yr,0)=0,0,LOOKUP(ROUNDUP(SUM($I$7:J$7)*J$7/Qtrs_Yr,0),Inputs!$F$35:$I$35,Inputs!$F$36:$I$36))/Thousand/Qtrs_Yr)+Inputs!$F$66*(IF(ROUNDUP(SUM($I$7:J$7)*J$7/Qtrs_Yr,0)=0,0,LOOKUP(ROUNDUP(SUM($I$7:J$7)*J$7/Qtrs_Yr,0),Inputs!$F$35:$I$35,Inputs!$F$38:$I$38)*LOOKUP(ROUNDUP(SUM($I$7:J$7)*J$7/Qtrs_Yr,0),Inputs!$F$35:$I$35,Inputs!$F$36:$I$36))/Thousand/Qtrs_Yr))/Thousand+SUM(Inputs!$F$54:$F$61)*J$7/Qtrs_Yr)*(1+LOOKUP(YEAR(K$5),Inputs!$F$93:$I$93,Inputs!$F$94:$I$94)/Qtrs_Yr)^(COUNT($I$7:J7))*Inputs!$F$98/(J5-I5))-(((IF(ROUNDUP(SUM($J$7:K$7)*K$7/Qtrs_Yr,0)=0,0,LOOKUP(ROUNDUP(SUM($J$7:K$7)*K$7/Qtrs_Yr,0),Inputs!$F$35:$I$35,Inputs!$F$36:$I$36))/Thousand/Qtrs_Yr)*IF(ROUNDUP(SUM($J$7:K$7)*K$7/Qtrs_Yr,0)=0,0,LOOKUP(ROUNDUP(SUM($J$7:K$7)*K$7/Qtrs_Yr,0),Inputs!$F$41:$I$41,Inputs!$F$42:$I$42))/Grams_Oz*Inputs!$F$45)*LOOKUP(YEAR(K$5),Inputs!$F$49:$I$49,Inputs!$F$50:$I$50)/Thousand/LOOKUP(YEAR(K$5),Inputs!$F$89:$I$89,Inputs!$F$90:$I$90)-((Inputs!$F$64*(IF(ROUNDUP(SUM($J$7:K$7)*K$7/Qtrs_Yr,0)=0,0,LOOKUP(ROUNDUP(SUM($J$7:K$7)*K$7/Qtrs_Yr,0),Inputs!$F$35:$I$35,Inputs!$F$36:$I$36))/Thousand/Qtrs_Yr+IF(ROUNDUP(SUM($J$7:K$7)*K$7/Qtrs_Yr,0)=0,0,LOOKUP(ROUNDUP(SUM($J$7:K$7)*K$7/Qtrs_Yr,0),Inputs!$F$35:$I$35,Inputs!$F$38:$I$38)*LOOKUP(ROUNDUP(SUM($J$7:K$7)*K$7/Qtrs_Yr,0),Inputs!$F$35:$I$35,Inputs!$F$36:$I$36))/Thousand/Qtrs_Yr)+Inputs!$F$65*(IF(ROUNDUP(SUM($J$7:K$7)*K$7/Qtrs_Yr,0)=0,0,LOOKUP(ROUNDUP(SUM($J$7:K$7)*K$7/Qtrs_Yr,0),Inputs!$F$35:$I$35,Inputs!$F$36:$I$36))/Thousand/Qtrs_Yr)+Inputs!$F$66*(IF(ROUNDUP(SUM($J$7:K$7)*K$7/Qtrs_Yr,0)=0,0,LOOKUP(ROUNDUP(SUM($J$7:K$7)*K$7/Qtrs_Yr,0),Inputs!$F$35:$I$35,Inputs!$F$38:$I$38)*LOOKUP(ROUNDUP(SUM($J$7:K$7)*K$7/Qtrs_Yr,0),Inputs!$F$35:$I$35,Inputs!$F$36:$I$36))/Thousand/Qtrs_Yr))/Thousand+SUM(Inputs!$F$54:$F$61)*K$7/Qtrs_Yr)*(1+LOOKUP(YEAR(K$5),Inputs!$F$93:$I$93,Inputs!$F$94:$I$94)/Qtrs_Yr)^(COUNT($J$7:K7))-Inputs!$E$29*(1+Inputs!$E$31)*K$7/Inputs!$E$16/Qtrs_Yr-IF(OR(K$7=0,SUM($J7:K7)*K7&gt;Inputs!$F$77*Qtrs_Yr),0,(Inputs!$F$71-SUM($J7:K7,-1)*K7*Inputs!$F$71/Inputs!$F$77/Qtrs_Yr)*(LOOKUP(YEAR(L$5),Inputs!$F$85:$I$85,Inputs!$F$86:$I$86)+LOOKUP(ROUNDUP(SUM($J7:L7)*L7/Qtrs_Yr,0),Inputs!$G$73:$J$73,Inputs!$G$74:$J$74))/Qtrs_Yr))*Inputs!$F$101-IF(OR(K$7=0,SUM($J7:K7)*K7&gt;Inputs!$F$77*Qtrs_Yr),0,(Inputs!$F$71-SUM($J7:K7,-1)*K7*Inputs!$F$71/Inputs!$F$77/Qtrs_Yr)*(LOOKUP(YEAR(L$5),Inputs!$F$85:$I$85,Inputs!$F$86:$I$86)+LOOKUP(ROUNDUP(SUM($J7:L7)*L7/Qtrs_Yr,0),Inputs!$G$73:$J$73,Inputs!$G$74:$J$74))/Qtrs_Yr)-IF(OR(K$7=0,SUM($J7:K7)*K7&gt;Inputs!$F$77*Qtrs_Yr),0,Inputs!$F$71/Inputs!$F$77/Qtrs_Yr)</f>
        <v>0</v>
      </c>
      <c r="L11" s="28">
        <f>(((IF(ROUNDUP(SUM($J$7:L$7)*L$7/Qtrs_Yr,0)=0,0,LOOKUP(ROUNDUP(SUM($J$7:L$7)*L$7/Qtrs_Yr,0),Inputs!$F$35:$I$35,Inputs!$F$36:$I$36))/Thousand/Qtrs_Yr)*IF(ROUNDUP(SUM($J$7:L$7)*L$7/Qtrs_Yr,0)=0,0,LOOKUP(ROUNDUP(SUM($J$7:L$7)*L$7/Qtrs_Yr,0),Inputs!$F$41:$I$41,Inputs!$F$42:$I$42))/Grams_Oz*Inputs!$F$45)*LOOKUP(YEAR(L$5),Inputs!$F$49:$I$49,Inputs!$F$50:$I$50)/Thousand/LOOKUP(YEAR(L$5),Inputs!$F$89:$I$89,Inputs!$F$90:$I$90)*(L5-K5-Inputs!$F$97)/(L5-K5)+((IF(ROUNDUP(SUM($I$7:K$7)*K$7/Qtrs_Yr,0)=0,0,LOOKUP(ROUNDUP(SUM($I$7:K$7)*K$7/Qtrs_Yr,0),Inputs!$F$35:$I$35,Inputs!$F$36:$I$36))/Thousand/Qtrs_Yr)*IF(ROUNDUP(SUM($I$7:K$7)*K$7/Qtrs_Yr,0)=0,0,LOOKUP(ROUNDUP(SUM($I$7:K$7)*K$7/Qtrs_Yr,0),Inputs!$F$41:$I$41,Inputs!$F$42:$I$42))/Grams_Oz*Inputs!$F$45)*LOOKUP(YEAR(K$5),Inputs!$F$49:$I$49,Inputs!$F$50:$I$50)/Thousand/LOOKUP(YEAR(K$5),Inputs!$F$89:$I$89,Inputs!$F$90:$I$90)*Inputs!$F$97/(K5-J5))-(((Inputs!$F$64*(IF(ROUNDUP(SUM($J$7:L$7)*L$7/Qtrs_Yr,0)=0,0,LOOKUP(ROUNDUP(SUM($J$7:L$7)*L$7/Qtrs_Yr,0),Inputs!$F$35:$I$35,Inputs!$F$36:$I$36))/Thousand/Qtrs_Yr+IF(ROUNDUP(SUM($J$7:L$7)*L$7/Qtrs_Yr,0)=0,0,LOOKUP(ROUNDUP(SUM($J$7:L$7)*L$7/Qtrs_Yr,0),Inputs!$F$35:$I$35,Inputs!$F$38:$I$38)*LOOKUP(ROUNDUP(SUM($J$7:L$7)*L$7/Qtrs_Yr,0),Inputs!$F$35:$I$35,Inputs!$F$36:$I$36))/Thousand/Qtrs_Yr)+Inputs!$F$65*(IF(ROUNDUP(SUM($J$7:L$7)*L$7/Qtrs_Yr,0)=0,0,LOOKUP(ROUNDUP(SUM($J$7:L$7)*L$7/Qtrs_Yr,0),Inputs!$F$35:$I$35,Inputs!$F$36:$I$36))/Thousand/Qtrs_Yr)+Inputs!$F$66*(IF(ROUNDUP(SUM($J$7:L$7)*L$7/Qtrs_Yr,0)=0,0,LOOKUP(ROUNDUP(SUM($J$7:L$7)*L$7/Qtrs_Yr,0),Inputs!$F$35:$I$35,Inputs!$F$38:$I$38)*LOOKUP(ROUNDUP(SUM($J$7:L$7)*L$7/Qtrs_Yr,0),Inputs!$F$35:$I$35,Inputs!$F$36:$I$36))/Thousand/Qtrs_Yr))/Thousand+SUM(Inputs!$F$54:$F$61)*L$7/Qtrs_Yr)*(1+LOOKUP(YEAR(L$5),Inputs!$F$93:$I$93,Inputs!$F$94:$I$94)/Qtrs_Yr)^(COUNT($J$7:L7))*(L5-K5-Inputs!$F$98)/(L5-K5)+((Inputs!$F$64*(IF(ROUNDUP(SUM($I$7:K$7)*K$7/Qtrs_Yr,0)=0,0,LOOKUP(ROUNDUP(SUM($I$7:K$7)*K$7/Qtrs_Yr,0),Inputs!$F$35:$I$35,Inputs!$F$36:$I$36))/Thousand/Qtrs_Yr+IF(ROUNDUP(SUM($I$7:K$7)*K$7/Qtrs_Yr,0)=0,0,LOOKUP(ROUNDUP(SUM($I$7:K$7)*K$7/Qtrs_Yr,0),Inputs!$F$35:$I$35,Inputs!$F$38:$I$38)*LOOKUP(ROUNDUP(SUM($I$7:K$7)*K$7/Qtrs_Yr,0),Inputs!$F$35:$I$35,Inputs!$F$36:$I$36))/Thousand/Qtrs_Yr)+Inputs!$F$65*(IF(ROUNDUP(SUM($I$7:K$7)*K$7/Qtrs_Yr,0)=0,0,LOOKUP(ROUNDUP(SUM($I$7:K$7)*K$7/Qtrs_Yr,0),Inputs!$F$35:$I$35,Inputs!$F$36:$I$36))/Thousand/Qtrs_Yr)+Inputs!$F$66*(IF(ROUNDUP(SUM($I$7:K$7)*K$7/Qtrs_Yr,0)=0,0,LOOKUP(ROUNDUP(SUM($I$7:K$7)*K$7/Qtrs_Yr,0),Inputs!$F$35:$I$35,Inputs!$F$38:$I$38)*LOOKUP(ROUNDUP(SUM($I$7:K$7)*K$7/Qtrs_Yr,0),Inputs!$F$35:$I$35,Inputs!$F$36:$I$36))/Thousand/Qtrs_Yr))/Thousand+SUM(Inputs!$F$54:$F$61)*K$7/Qtrs_Yr)*(1+LOOKUP(YEAR(L$5),Inputs!$F$93:$I$93,Inputs!$F$94:$I$94)/Qtrs_Yr)^(COUNT($I$7:K7))*Inputs!$F$98/(K5-J5))-(((IF(ROUNDUP(SUM($J$7:L$7)*L$7/Qtrs_Yr,0)=0,0,LOOKUP(ROUNDUP(SUM($J$7:L$7)*L$7/Qtrs_Yr,0),Inputs!$F$35:$I$35,Inputs!$F$36:$I$36))/Thousand/Qtrs_Yr)*IF(ROUNDUP(SUM($J$7:L$7)*L$7/Qtrs_Yr,0)=0,0,LOOKUP(ROUNDUP(SUM($J$7:L$7)*L$7/Qtrs_Yr,0),Inputs!$F$41:$I$41,Inputs!$F$42:$I$42))/Grams_Oz*Inputs!$F$45)*LOOKUP(YEAR(L$5),Inputs!$F$49:$I$49,Inputs!$F$50:$I$50)/Thousand/LOOKUP(YEAR(L$5),Inputs!$F$89:$I$89,Inputs!$F$90:$I$90)-((Inputs!$F$64*(IF(ROUNDUP(SUM($J$7:L$7)*L$7/Qtrs_Yr,0)=0,0,LOOKUP(ROUNDUP(SUM($J$7:L$7)*L$7/Qtrs_Yr,0),Inputs!$F$35:$I$35,Inputs!$F$36:$I$36))/Thousand/Qtrs_Yr+IF(ROUNDUP(SUM($J$7:L$7)*L$7/Qtrs_Yr,0)=0,0,LOOKUP(ROUNDUP(SUM($J$7:L$7)*L$7/Qtrs_Yr,0),Inputs!$F$35:$I$35,Inputs!$F$38:$I$38)*LOOKUP(ROUNDUP(SUM($J$7:L$7)*L$7/Qtrs_Yr,0),Inputs!$F$35:$I$35,Inputs!$F$36:$I$36))/Thousand/Qtrs_Yr)+Inputs!$F$65*(IF(ROUNDUP(SUM($J$7:L$7)*L$7/Qtrs_Yr,0)=0,0,LOOKUP(ROUNDUP(SUM($J$7:L$7)*L$7/Qtrs_Yr,0),Inputs!$F$35:$I$35,Inputs!$F$36:$I$36))/Thousand/Qtrs_Yr)+Inputs!$F$66*(IF(ROUNDUP(SUM($J$7:L$7)*L$7/Qtrs_Yr,0)=0,0,LOOKUP(ROUNDUP(SUM($J$7:L$7)*L$7/Qtrs_Yr,0),Inputs!$F$35:$I$35,Inputs!$F$38:$I$38)*LOOKUP(ROUNDUP(SUM($J$7:L$7)*L$7/Qtrs_Yr,0),Inputs!$F$35:$I$35,Inputs!$F$36:$I$36))/Thousand/Qtrs_Yr))/Thousand+SUM(Inputs!$F$54:$F$61)*L$7/Qtrs_Yr)*(1+LOOKUP(YEAR(L$5),Inputs!$F$93:$I$93,Inputs!$F$94:$I$94)/Qtrs_Yr)^(COUNT($J$7:L7))-Inputs!$E$29*(1+Inputs!$E$31)*L$7/Inputs!$E$16/Qtrs_Yr-IF(OR(L$7=0,SUM($J7:L7)*L7&gt;Inputs!$F$77*Qtrs_Yr),0,(Inputs!$F$71-SUM($J7:L7,-1)*L7*Inputs!$F$71/Inputs!$F$77/Qtrs_Yr)*(LOOKUP(YEAR(M$5),Inputs!$F$85:$I$85,Inputs!$F$86:$I$86)+LOOKUP(ROUNDUP(SUM($J7:M7)*M7/Qtrs_Yr,0),Inputs!$G$73:$J$73,Inputs!$G$74:$J$74))/Qtrs_Yr))*Inputs!$F$101-IF(OR(L$7=0,SUM($J7:L7)*L7&gt;Inputs!$F$77*Qtrs_Yr),0,(Inputs!$F$71-SUM($J7:L7,-1)*L7*Inputs!$F$71/Inputs!$F$77/Qtrs_Yr)*(LOOKUP(YEAR(M$5),Inputs!$F$85:$I$85,Inputs!$F$86:$I$86)+LOOKUP(ROUNDUP(SUM($J7:M7)*M7/Qtrs_Yr,0),Inputs!$G$73:$J$73,Inputs!$G$74:$J$74))/Qtrs_Yr)-IF(OR(L$7=0,SUM($J7:L7)*L7&gt;Inputs!$F$77*Qtrs_Yr),0,Inputs!$F$71/Inputs!$F$77/Qtrs_Yr)</f>
        <v>0</v>
      </c>
      <c r="M11" s="28">
        <f>(((IF(ROUNDUP(SUM($J$7:M$7)*M$7/Qtrs_Yr,0)=0,0,LOOKUP(ROUNDUP(SUM($J$7:M$7)*M$7/Qtrs_Yr,0),Inputs!$F$35:$I$35,Inputs!$F$36:$I$36))/Thousand/Qtrs_Yr)*IF(ROUNDUP(SUM($J$7:M$7)*M$7/Qtrs_Yr,0)=0,0,LOOKUP(ROUNDUP(SUM($J$7:M$7)*M$7/Qtrs_Yr,0),Inputs!$F$41:$I$41,Inputs!$F$42:$I$42))/Grams_Oz*Inputs!$F$45)*LOOKUP(YEAR(M$5),Inputs!$F$49:$I$49,Inputs!$F$50:$I$50)/Thousand/LOOKUP(YEAR(M$5),Inputs!$F$89:$I$89,Inputs!$F$90:$I$90)*(M5-L5-Inputs!$F$97)/(M5-L5)+((IF(ROUNDUP(SUM($I$7:L$7)*L$7/Qtrs_Yr,0)=0,0,LOOKUP(ROUNDUP(SUM($I$7:L$7)*L$7/Qtrs_Yr,0),Inputs!$F$35:$I$35,Inputs!$F$36:$I$36))/Thousand/Qtrs_Yr)*IF(ROUNDUP(SUM($I$7:L$7)*L$7/Qtrs_Yr,0)=0,0,LOOKUP(ROUNDUP(SUM($I$7:L$7)*L$7/Qtrs_Yr,0),Inputs!$F$41:$I$41,Inputs!$F$42:$I$42))/Grams_Oz*Inputs!$F$45)*LOOKUP(YEAR(L$5),Inputs!$F$49:$I$49,Inputs!$F$50:$I$50)/Thousand/LOOKUP(YEAR(L$5),Inputs!$F$89:$I$89,Inputs!$F$90:$I$90)*Inputs!$F$97/(L5-K5))-(((Inputs!$F$64*(IF(ROUNDUP(SUM($J$7:M$7)*M$7/Qtrs_Yr,0)=0,0,LOOKUP(ROUNDUP(SUM($J$7:M$7)*M$7/Qtrs_Yr,0),Inputs!$F$35:$I$35,Inputs!$F$36:$I$36))/Thousand/Qtrs_Yr+IF(ROUNDUP(SUM($J$7:M$7)*M$7/Qtrs_Yr,0)=0,0,LOOKUP(ROUNDUP(SUM($J$7:M$7)*M$7/Qtrs_Yr,0),Inputs!$F$35:$I$35,Inputs!$F$38:$I$38)*LOOKUP(ROUNDUP(SUM($J$7:M$7)*M$7/Qtrs_Yr,0),Inputs!$F$35:$I$35,Inputs!$F$36:$I$36))/Thousand/Qtrs_Yr)+Inputs!$F$65*(IF(ROUNDUP(SUM($J$7:M$7)*M$7/Qtrs_Yr,0)=0,0,LOOKUP(ROUNDUP(SUM($J$7:M$7)*M$7/Qtrs_Yr,0),Inputs!$F$35:$I$35,Inputs!$F$36:$I$36))/Thousand/Qtrs_Yr)+Inputs!$F$66*(IF(ROUNDUP(SUM($J$7:M$7)*M$7/Qtrs_Yr,0)=0,0,LOOKUP(ROUNDUP(SUM($J$7:M$7)*M$7/Qtrs_Yr,0),Inputs!$F$35:$I$35,Inputs!$F$38:$I$38)*LOOKUP(ROUNDUP(SUM($J$7:M$7)*M$7/Qtrs_Yr,0),Inputs!$F$35:$I$35,Inputs!$F$36:$I$36))/Thousand/Qtrs_Yr))/Thousand+SUM(Inputs!$F$54:$F$61)*M$7/Qtrs_Yr)*(1+LOOKUP(YEAR(M$5),Inputs!$F$93:$I$93,Inputs!$F$94:$I$94)/Qtrs_Yr)^(COUNT($J$7:M7))*(M5-L5-Inputs!$F$98)/(M5-L5)+((Inputs!$F$64*(IF(ROUNDUP(SUM($I$7:L$7)*L$7/Qtrs_Yr,0)=0,0,LOOKUP(ROUNDUP(SUM($I$7:L$7)*L$7/Qtrs_Yr,0),Inputs!$F$35:$I$35,Inputs!$F$36:$I$36))/Thousand/Qtrs_Yr+IF(ROUNDUP(SUM($I$7:L$7)*L$7/Qtrs_Yr,0)=0,0,LOOKUP(ROUNDUP(SUM($I$7:L$7)*L$7/Qtrs_Yr,0),Inputs!$F$35:$I$35,Inputs!$F$38:$I$38)*LOOKUP(ROUNDUP(SUM($I$7:L$7)*L$7/Qtrs_Yr,0),Inputs!$F$35:$I$35,Inputs!$F$36:$I$36))/Thousand/Qtrs_Yr)+Inputs!$F$65*(IF(ROUNDUP(SUM($I$7:L$7)*L$7/Qtrs_Yr,0)=0,0,LOOKUP(ROUNDUP(SUM($I$7:L$7)*L$7/Qtrs_Yr,0),Inputs!$F$35:$I$35,Inputs!$F$36:$I$36))/Thousand/Qtrs_Yr)+Inputs!$F$66*(IF(ROUNDUP(SUM($I$7:L$7)*L$7/Qtrs_Yr,0)=0,0,LOOKUP(ROUNDUP(SUM($I$7:L$7)*L$7/Qtrs_Yr,0),Inputs!$F$35:$I$35,Inputs!$F$38:$I$38)*LOOKUP(ROUNDUP(SUM($I$7:L$7)*L$7/Qtrs_Yr,0),Inputs!$F$35:$I$35,Inputs!$F$36:$I$36))/Thousand/Qtrs_Yr))/Thousand+SUM(Inputs!$F$54:$F$61)*L$7/Qtrs_Yr)*(1+LOOKUP(YEAR(M$5),Inputs!$F$93:$I$93,Inputs!$F$94:$I$94)/Qtrs_Yr)^(COUNT($I$7:L7))*Inputs!$F$98/(L5-K5))-(((IF(ROUNDUP(SUM($J$7:M$7)*M$7/Qtrs_Yr,0)=0,0,LOOKUP(ROUNDUP(SUM($J$7:M$7)*M$7/Qtrs_Yr,0),Inputs!$F$35:$I$35,Inputs!$F$36:$I$36))/Thousand/Qtrs_Yr)*IF(ROUNDUP(SUM($J$7:M$7)*M$7/Qtrs_Yr,0)=0,0,LOOKUP(ROUNDUP(SUM($J$7:M$7)*M$7/Qtrs_Yr,0),Inputs!$F$41:$I$41,Inputs!$F$42:$I$42))/Grams_Oz*Inputs!$F$45)*LOOKUP(YEAR(M$5),Inputs!$F$49:$I$49,Inputs!$F$50:$I$50)/Thousand/LOOKUP(YEAR(M$5),Inputs!$F$89:$I$89,Inputs!$F$90:$I$90)-((Inputs!$F$64*(IF(ROUNDUP(SUM($J$7:M$7)*M$7/Qtrs_Yr,0)=0,0,LOOKUP(ROUNDUP(SUM($J$7:M$7)*M$7/Qtrs_Yr,0),Inputs!$F$35:$I$35,Inputs!$F$36:$I$36))/Thousand/Qtrs_Yr+IF(ROUNDUP(SUM($J$7:M$7)*M$7/Qtrs_Yr,0)=0,0,LOOKUP(ROUNDUP(SUM($J$7:M$7)*M$7/Qtrs_Yr,0),Inputs!$F$35:$I$35,Inputs!$F$38:$I$38)*LOOKUP(ROUNDUP(SUM($J$7:M$7)*M$7/Qtrs_Yr,0),Inputs!$F$35:$I$35,Inputs!$F$36:$I$36))/Thousand/Qtrs_Yr)+Inputs!$F$65*(IF(ROUNDUP(SUM($J$7:M$7)*M$7/Qtrs_Yr,0)=0,0,LOOKUP(ROUNDUP(SUM($J$7:M$7)*M$7/Qtrs_Yr,0),Inputs!$F$35:$I$35,Inputs!$F$36:$I$36))/Thousand/Qtrs_Yr)+Inputs!$F$66*(IF(ROUNDUP(SUM($J$7:M$7)*M$7/Qtrs_Yr,0)=0,0,LOOKUP(ROUNDUP(SUM($J$7:M$7)*M$7/Qtrs_Yr,0),Inputs!$F$35:$I$35,Inputs!$F$38:$I$38)*LOOKUP(ROUNDUP(SUM($J$7:M$7)*M$7/Qtrs_Yr,0),Inputs!$F$35:$I$35,Inputs!$F$36:$I$36))/Thousand/Qtrs_Yr))/Thousand+SUM(Inputs!$F$54:$F$61)*M$7/Qtrs_Yr)*(1+LOOKUP(YEAR(M$5),Inputs!$F$93:$I$93,Inputs!$F$94:$I$94)/Qtrs_Yr)^(COUNT($J$7:M7))-Inputs!$E$29*(1+Inputs!$E$31)*M$7/Inputs!$E$16/Qtrs_Yr-IF(OR(M$7=0,SUM($J7:M7)*M7&gt;Inputs!$F$77*Qtrs_Yr),0,(Inputs!$F$71-SUM($J7:M7,-1)*M7*Inputs!$F$71/Inputs!$F$77/Qtrs_Yr)*(LOOKUP(YEAR(N$5),Inputs!$F$85:$I$85,Inputs!$F$86:$I$86)+LOOKUP(ROUNDUP(SUM($J7:N7)*N7/Qtrs_Yr,0),Inputs!$G$73:$J$73,Inputs!$G$74:$J$74))/Qtrs_Yr))*Inputs!$F$101-IF(OR(M$7=0,SUM($J7:M7)*M7&gt;Inputs!$F$77*Qtrs_Yr),0,(Inputs!$F$71-SUM($J7:M7,-1)*M7*Inputs!$F$71/Inputs!$F$77/Qtrs_Yr)*(LOOKUP(YEAR(N$5),Inputs!$F$85:$I$85,Inputs!$F$86:$I$86)+LOOKUP(ROUNDUP(SUM($J7:N7)*N7/Qtrs_Yr,0),Inputs!$G$73:$J$73,Inputs!$G$74:$J$74))/Qtrs_Yr)-IF(OR(M$7=0,SUM($J7:M7)*M7&gt;Inputs!$F$77*Qtrs_Yr),0,Inputs!$F$71/Inputs!$F$77/Qtrs_Yr)</f>
        <v>0</v>
      </c>
      <c r="N11" s="28">
        <f>(((IF(ROUNDUP(SUM($J$7:N$7)*N$7/Qtrs_Yr,0)=0,0,LOOKUP(ROUNDUP(SUM($J$7:N$7)*N$7/Qtrs_Yr,0),Inputs!$F$35:$I$35,Inputs!$F$36:$I$36))/Thousand/Qtrs_Yr)*IF(ROUNDUP(SUM($J$7:N$7)*N$7/Qtrs_Yr,0)=0,0,LOOKUP(ROUNDUP(SUM($J$7:N$7)*N$7/Qtrs_Yr,0),Inputs!$F$41:$I$41,Inputs!$F$42:$I$42))/Grams_Oz*Inputs!$F$45)*LOOKUP(YEAR(N$5),Inputs!$F$49:$I$49,Inputs!$F$50:$I$50)/Thousand/LOOKUP(YEAR(N$5),Inputs!$F$89:$I$89,Inputs!$F$90:$I$90)*(N5-M5-Inputs!$F$97)/(N5-M5)+((IF(ROUNDUP(SUM($I$7:M$7)*M$7/Qtrs_Yr,0)=0,0,LOOKUP(ROUNDUP(SUM($I$7:M$7)*M$7/Qtrs_Yr,0),Inputs!$F$35:$I$35,Inputs!$F$36:$I$36))/Thousand/Qtrs_Yr)*IF(ROUNDUP(SUM($I$7:M$7)*M$7/Qtrs_Yr,0)=0,0,LOOKUP(ROUNDUP(SUM($I$7:M$7)*M$7/Qtrs_Yr,0),Inputs!$F$41:$I$41,Inputs!$F$42:$I$42))/Grams_Oz*Inputs!$F$45)*LOOKUP(YEAR(M$5),Inputs!$F$49:$I$49,Inputs!$F$50:$I$50)/Thousand/LOOKUP(YEAR(M$5),Inputs!$F$89:$I$89,Inputs!$F$90:$I$90)*Inputs!$F$97/(M5-L5))-(((Inputs!$F$64*(IF(ROUNDUP(SUM($J$7:N$7)*N$7/Qtrs_Yr,0)=0,0,LOOKUP(ROUNDUP(SUM($J$7:N$7)*N$7/Qtrs_Yr,0),Inputs!$F$35:$I$35,Inputs!$F$36:$I$36))/Thousand/Qtrs_Yr+IF(ROUNDUP(SUM($J$7:N$7)*N$7/Qtrs_Yr,0)=0,0,LOOKUP(ROUNDUP(SUM($J$7:N$7)*N$7/Qtrs_Yr,0),Inputs!$F$35:$I$35,Inputs!$F$38:$I$38)*LOOKUP(ROUNDUP(SUM($J$7:N$7)*N$7/Qtrs_Yr,0),Inputs!$F$35:$I$35,Inputs!$F$36:$I$36))/Thousand/Qtrs_Yr)+Inputs!$F$65*(IF(ROUNDUP(SUM($J$7:N$7)*N$7/Qtrs_Yr,0)=0,0,LOOKUP(ROUNDUP(SUM($J$7:N$7)*N$7/Qtrs_Yr,0),Inputs!$F$35:$I$35,Inputs!$F$36:$I$36))/Thousand/Qtrs_Yr)+Inputs!$F$66*(IF(ROUNDUP(SUM($J$7:N$7)*N$7/Qtrs_Yr,0)=0,0,LOOKUP(ROUNDUP(SUM($J$7:N$7)*N$7/Qtrs_Yr,0),Inputs!$F$35:$I$35,Inputs!$F$38:$I$38)*LOOKUP(ROUNDUP(SUM($J$7:N$7)*N$7/Qtrs_Yr,0),Inputs!$F$35:$I$35,Inputs!$F$36:$I$36))/Thousand/Qtrs_Yr))/Thousand+SUM(Inputs!$F$54:$F$61)*N$7/Qtrs_Yr)*(1+LOOKUP(YEAR(N$5),Inputs!$F$93:$I$93,Inputs!$F$94:$I$94)/Qtrs_Yr)^(COUNT($J$7:N7))*(N5-M5-Inputs!$F$98)/(N5-M5)+((Inputs!$F$64*(IF(ROUNDUP(SUM($I$7:M$7)*M$7/Qtrs_Yr,0)=0,0,LOOKUP(ROUNDUP(SUM($I$7:M$7)*M$7/Qtrs_Yr,0),Inputs!$F$35:$I$35,Inputs!$F$36:$I$36))/Thousand/Qtrs_Yr+IF(ROUNDUP(SUM($I$7:M$7)*M$7/Qtrs_Yr,0)=0,0,LOOKUP(ROUNDUP(SUM($I$7:M$7)*M$7/Qtrs_Yr,0),Inputs!$F$35:$I$35,Inputs!$F$38:$I$38)*LOOKUP(ROUNDUP(SUM($I$7:M$7)*M$7/Qtrs_Yr,0),Inputs!$F$35:$I$35,Inputs!$F$36:$I$36))/Thousand/Qtrs_Yr)+Inputs!$F$65*(IF(ROUNDUP(SUM($I$7:M$7)*M$7/Qtrs_Yr,0)=0,0,LOOKUP(ROUNDUP(SUM($I$7:M$7)*M$7/Qtrs_Yr,0),Inputs!$F$35:$I$35,Inputs!$F$36:$I$36))/Thousand/Qtrs_Yr)+Inputs!$F$66*(IF(ROUNDUP(SUM($I$7:M$7)*M$7/Qtrs_Yr,0)=0,0,LOOKUP(ROUNDUP(SUM($I$7:M$7)*M$7/Qtrs_Yr,0),Inputs!$F$35:$I$35,Inputs!$F$38:$I$38)*LOOKUP(ROUNDUP(SUM($I$7:M$7)*M$7/Qtrs_Yr,0),Inputs!$F$35:$I$35,Inputs!$F$36:$I$36))/Thousand/Qtrs_Yr))/Thousand+SUM(Inputs!$F$54:$F$61)*M$7/Qtrs_Yr)*(1+LOOKUP(YEAR(N$5),Inputs!$F$93:$I$93,Inputs!$F$94:$I$94)/Qtrs_Yr)^(COUNT($I$7:M7))*Inputs!$F$98/(M5-L5))-(((IF(ROUNDUP(SUM($J$7:N$7)*N$7/Qtrs_Yr,0)=0,0,LOOKUP(ROUNDUP(SUM($J$7:N$7)*N$7/Qtrs_Yr,0),Inputs!$F$35:$I$35,Inputs!$F$36:$I$36))/Thousand/Qtrs_Yr)*IF(ROUNDUP(SUM($J$7:N$7)*N$7/Qtrs_Yr,0)=0,0,LOOKUP(ROUNDUP(SUM($J$7:N$7)*N$7/Qtrs_Yr,0),Inputs!$F$41:$I$41,Inputs!$F$42:$I$42))/Grams_Oz*Inputs!$F$45)*LOOKUP(YEAR(N$5),Inputs!$F$49:$I$49,Inputs!$F$50:$I$50)/Thousand/LOOKUP(YEAR(N$5),Inputs!$F$89:$I$89,Inputs!$F$90:$I$90)-((Inputs!$F$64*(IF(ROUNDUP(SUM($J$7:N$7)*N$7/Qtrs_Yr,0)=0,0,LOOKUP(ROUNDUP(SUM($J$7:N$7)*N$7/Qtrs_Yr,0),Inputs!$F$35:$I$35,Inputs!$F$36:$I$36))/Thousand/Qtrs_Yr+IF(ROUNDUP(SUM($J$7:N$7)*N$7/Qtrs_Yr,0)=0,0,LOOKUP(ROUNDUP(SUM($J$7:N$7)*N$7/Qtrs_Yr,0),Inputs!$F$35:$I$35,Inputs!$F$38:$I$38)*LOOKUP(ROUNDUP(SUM($J$7:N$7)*N$7/Qtrs_Yr,0),Inputs!$F$35:$I$35,Inputs!$F$36:$I$36))/Thousand/Qtrs_Yr)+Inputs!$F$65*(IF(ROUNDUP(SUM($J$7:N$7)*N$7/Qtrs_Yr,0)=0,0,LOOKUP(ROUNDUP(SUM($J$7:N$7)*N$7/Qtrs_Yr,0),Inputs!$F$35:$I$35,Inputs!$F$36:$I$36))/Thousand/Qtrs_Yr)+Inputs!$F$66*(IF(ROUNDUP(SUM($J$7:N$7)*N$7/Qtrs_Yr,0)=0,0,LOOKUP(ROUNDUP(SUM($J$7:N$7)*N$7/Qtrs_Yr,0),Inputs!$F$35:$I$35,Inputs!$F$38:$I$38)*LOOKUP(ROUNDUP(SUM($J$7:N$7)*N$7/Qtrs_Yr,0),Inputs!$F$35:$I$35,Inputs!$F$36:$I$36))/Thousand/Qtrs_Yr))/Thousand+SUM(Inputs!$F$54:$F$61)*N$7/Qtrs_Yr)*(1+LOOKUP(YEAR(N$5),Inputs!$F$93:$I$93,Inputs!$F$94:$I$94)/Qtrs_Yr)^(COUNT($J$7:N7))-Inputs!$E$29*(1+Inputs!$E$31)*N$7/Inputs!$E$16/Qtrs_Yr-IF(OR(N$7=0,SUM($J7:N7)*N7&gt;Inputs!$F$77*Qtrs_Yr),0,(Inputs!$F$71-SUM($J7:N7,-1)*N7*Inputs!$F$71/Inputs!$F$77/Qtrs_Yr)*(LOOKUP(YEAR(O$5),Inputs!$F$85:$I$85,Inputs!$F$86:$I$86)+LOOKUP(ROUNDUP(SUM($J7:O7)*O7/Qtrs_Yr,0),Inputs!$G$73:$J$73,Inputs!$G$74:$J$74))/Qtrs_Yr))*Inputs!$F$101-IF(OR(N$7=0,SUM($J7:N7)*N7&gt;Inputs!$F$77*Qtrs_Yr),0,(Inputs!$F$71-SUM($J7:N7,-1)*N7*Inputs!$F$71/Inputs!$F$77/Qtrs_Yr)*(LOOKUP(YEAR(O$5),Inputs!$F$85:$I$85,Inputs!$F$86:$I$86)+LOOKUP(ROUNDUP(SUM($J7:O7)*O7/Qtrs_Yr,0),Inputs!$G$73:$J$73,Inputs!$G$74:$J$74))/Qtrs_Yr)-IF(OR(N$7=0,SUM($J7:N7)*N7&gt;Inputs!$F$77*Qtrs_Yr),0,Inputs!$F$71/Inputs!$F$77/Qtrs_Yr)</f>
        <v>1.2273457270300705</v>
      </c>
      <c r="O11" s="28">
        <f>(((IF(ROUNDUP(SUM($J$7:O$7)*O$7/Qtrs_Yr,0)=0,0,LOOKUP(ROUNDUP(SUM($J$7:O$7)*O$7/Qtrs_Yr,0),Inputs!$F$35:$I$35,Inputs!$F$36:$I$36))/Thousand/Qtrs_Yr)*IF(ROUNDUP(SUM($J$7:O$7)*O$7/Qtrs_Yr,0)=0,0,LOOKUP(ROUNDUP(SUM($J$7:O$7)*O$7/Qtrs_Yr,0),Inputs!$F$41:$I$41,Inputs!$F$42:$I$42))/Grams_Oz*Inputs!$F$45)*LOOKUP(YEAR(O$5),Inputs!$F$49:$I$49,Inputs!$F$50:$I$50)/Thousand/LOOKUP(YEAR(O$5),Inputs!$F$89:$I$89,Inputs!$F$90:$I$90)*(O5-N5-Inputs!$F$97)/(O5-N5)+((IF(ROUNDUP(SUM($I$7:N$7)*N$7/Qtrs_Yr,0)=0,0,LOOKUP(ROUNDUP(SUM($I$7:N$7)*N$7/Qtrs_Yr,0),Inputs!$F$35:$I$35,Inputs!$F$36:$I$36))/Thousand/Qtrs_Yr)*IF(ROUNDUP(SUM($I$7:N$7)*N$7/Qtrs_Yr,0)=0,0,LOOKUP(ROUNDUP(SUM($I$7:N$7)*N$7/Qtrs_Yr,0),Inputs!$F$41:$I$41,Inputs!$F$42:$I$42))/Grams_Oz*Inputs!$F$45)*LOOKUP(YEAR(N$5),Inputs!$F$49:$I$49,Inputs!$F$50:$I$50)/Thousand/LOOKUP(YEAR(N$5),Inputs!$F$89:$I$89,Inputs!$F$90:$I$90)*Inputs!$F$97/(N5-M5))-(((Inputs!$F$64*(IF(ROUNDUP(SUM($J$7:O$7)*O$7/Qtrs_Yr,0)=0,0,LOOKUP(ROUNDUP(SUM($J$7:O$7)*O$7/Qtrs_Yr,0),Inputs!$F$35:$I$35,Inputs!$F$36:$I$36))/Thousand/Qtrs_Yr+IF(ROUNDUP(SUM($J$7:O$7)*O$7/Qtrs_Yr,0)=0,0,LOOKUP(ROUNDUP(SUM($J$7:O$7)*O$7/Qtrs_Yr,0),Inputs!$F$35:$I$35,Inputs!$F$38:$I$38)*LOOKUP(ROUNDUP(SUM($J$7:O$7)*O$7/Qtrs_Yr,0),Inputs!$F$35:$I$35,Inputs!$F$36:$I$36))/Thousand/Qtrs_Yr)+Inputs!$F$65*(IF(ROUNDUP(SUM($J$7:O$7)*O$7/Qtrs_Yr,0)=0,0,LOOKUP(ROUNDUP(SUM($J$7:O$7)*O$7/Qtrs_Yr,0),Inputs!$F$35:$I$35,Inputs!$F$36:$I$36))/Thousand/Qtrs_Yr)+Inputs!$F$66*(IF(ROUNDUP(SUM($J$7:O$7)*O$7/Qtrs_Yr,0)=0,0,LOOKUP(ROUNDUP(SUM($J$7:O$7)*O$7/Qtrs_Yr,0),Inputs!$F$35:$I$35,Inputs!$F$38:$I$38)*LOOKUP(ROUNDUP(SUM($J$7:O$7)*O$7/Qtrs_Yr,0),Inputs!$F$35:$I$35,Inputs!$F$36:$I$36))/Thousand/Qtrs_Yr))/Thousand+SUM(Inputs!$F$54:$F$61)*O$7/Qtrs_Yr)*(1+LOOKUP(YEAR(O$5),Inputs!$F$93:$I$93,Inputs!$F$94:$I$94)/Qtrs_Yr)^(COUNT($J$7:O7))*(O5-N5-Inputs!$F$98)/(O5-N5)+((Inputs!$F$64*(IF(ROUNDUP(SUM($I$7:N$7)*N$7/Qtrs_Yr,0)=0,0,LOOKUP(ROUNDUP(SUM($I$7:N$7)*N$7/Qtrs_Yr,0),Inputs!$F$35:$I$35,Inputs!$F$36:$I$36))/Thousand/Qtrs_Yr+IF(ROUNDUP(SUM($I$7:N$7)*N$7/Qtrs_Yr,0)=0,0,LOOKUP(ROUNDUP(SUM($I$7:N$7)*N$7/Qtrs_Yr,0),Inputs!$F$35:$I$35,Inputs!$F$38:$I$38)*LOOKUP(ROUNDUP(SUM($I$7:N$7)*N$7/Qtrs_Yr,0),Inputs!$F$35:$I$35,Inputs!$F$36:$I$36))/Thousand/Qtrs_Yr)+Inputs!$F$65*(IF(ROUNDUP(SUM($I$7:N$7)*N$7/Qtrs_Yr,0)=0,0,LOOKUP(ROUNDUP(SUM($I$7:N$7)*N$7/Qtrs_Yr,0),Inputs!$F$35:$I$35,Inputs!$F$36:$I$36))/Thousand/Qtrs_Yr)+Inputs!$F$66*(IF(ROUNDUP(SUM($I$7:N$7)*N$7/Qtrs_Yr,0)=0,0,LOOKUP(ROUNDUP(SUM($I$7:N$7)*N$7/Qtrs_Yr,0),Inputs!$F$35:$I$35,Inputs!$F$38:$I$38)*LOOKUP(ROUNDUP(SUM($I$7:N$7)*N$7/Qtrs_Yr,0),Inputs!$F$35:$I$35,Inputs!$F$36:$I$36))/Thousand/Qtrs_Yr))/Thousand+SUM(Inputs!$F$54:$F$61)*N$7/Qtrs_Yr)*(1+LOOKUP(YEAR(O$5),Inputs!$F$93:$I$93,Inputs!$F$94:$I$94)/Qtrs_Yr)^(COUNT($I$7:N7))*Inputs!$F$98/(N5-M5))-(((IF(ROUNDUP(SUM($J$7:O$7)*O$7/Qtrs_Yr,0)=0,0,LOOKUP(ROUNDUP(SUM($J$7:O$7)*O$7/Qtrs_Yr,0),Inputs!$F$35:$I$35,Inputs!$F$36:$I$36))/Thousand/Qtrs_Yr)*IF(ROUNDUP(SUM($J$7:O$7)*O$7/Qtrs_Yr,0)=0,0,LOOKUP(ROUNDUP(SUM($J$7:O$7)*O$7/Qtrs_Yr,0),Inputs!$F$41:$I$41,Inputs!$F$42:$I$42))/Grams_Oz*Inputs!$F$45)*LOOKUP(YEAR(O$5),Inputs!$F$49:$I$49,Inputs!$F$50:$I$50)/Thousand/LOOKUP(YEAR(O$5),Inputs!$F$89:$I$89,Inputs!$F$90:$I$90)-((Inputs!$F$64*(IF(ROUNDUP(SUM($J$7:O$7)*O$7/Qtrs_Yr,0)=0,0,LOOKUP(ROUNDUP(SUM($J$7:O$7)*O$7/Qtrs_Yr,0),Inputs!$F$35:$I$35,Inputs!$F$36:$I$36))/Thousand/Qtrs_Yr+IF(ROUNDUP(SUM($J$7:O$7)*O$7/Qtrs_Yr,0)=0,0,LOOKUP(ROUNDUP(SUM($J$7:O$7)*O$7/Qtrs_Yr,0),Inputs!$F$35:$I$35,Inputs!$F$38:$I$38)*LOOKUP(ROUNDUP(SUM($J$7:O$7)*O$7/Qtrs_Yr,0),Inputs!$F$35:$I$35,Inputs!$F$36:$I$36))/Thousand/Qtrs_Yr)+Inputs!$F$65*(IF(ROUNDUP(SUM($J$7:O$7)*O$7/Qtrs_Yr,0)=0,0,LOOKUP(ROUNDUP(SUM($J$7:O$7)*O$7/Qtrs_Yr,0),Inputs!$F$35:$I$35,Inputs!$F$36:$I$36))/Thousand/Qtrs_Yr)+Inputs!$F$66*(IF(ROUNDUP(SUM($J$7:O$7)*O$7/Qtrs_Yr,0)=0,0,LOOKUP(ROUNDUP(SUM($J$7:O$7)*O$7/Qtrs_Yr,0),Inputs!$F$35:$I$35,Inputs!$F$38:$I$38)*LOOKUP(ROUNDUP(SUM($J$7:O$7)*O$7/Qtrs_Yr,0),Inputs!$F$35:$I$35,Inputs!$F$36:$I$36))/Thousand/Qtrs_Yr))/Thousand+SUM(Inputs!$F$54:$F$61)*O$7/Qtrs_Yr)*(1+LOOKUP(YEAR(O$5),Inputs!$F$93:$I$93,Inputs!$F$94:$I$94)/Qtrs_Yr)^(COUNT($J$7:O7))-Inputs!$E$29*(1+Inputs!$E$31)*O$7/Inputs!$E$16/Qtrs_Yr-IF(OR(O$7=0,SUM($J7:O7)*O7&gt;Inputs!$F$77*Qtrs_Yr),0,(Inputs!$F$71-SUM($J7:O7,-1)*O7*Inputs!$F$71/Inputs!$F$77/Qtrs_Yr)*(LOOKUP(YEAR(P$5),Inputs!$F$85:$I$85,Inputs!$F$86:$I$86)+LOOKUP(ROUNDUP(SUM($J7:P7)*P7/Qtrs_Yr,0),Inputs!$G$73:$J$73,Inputs!$G$74:$J$74))/Qtrs_Yr))*Inputs!$F$101-IF(OR(O$7=0,SUM($J7:O7)*O7&gt;Inputs!$F$77*Qtrs_Yr),0,(Inputs!$F$71-SUM($J7:O7,-1)*O7*Inputs!$F$71/Inputs!$F$77/Qtrs_Yr)*(LOOKUP(YEAR(P$5),Inputs!$F$85:$I$85,Inputs!$F$86:$I$86)+LOOKUP(ROUNDUP(SUM($J7:P7)*P7/Qtrs_Yr,0),Inputs!$G$73:$J$73,Inputs!$G$74:$J$74))/Qtrs_Yr)-IF(OR(O$7=0,SUM($J7:O7)*O7&gt;Inputs!$F$77*Qtrs_Yr),0,Inputs!$F$71/Inputs!$F$77/Qtrs_Yr)</f>
        <v>4.1659452978124758</v>
      </c>
      <c r="P11" s="28">
        <f>(((IF(ROUNDUP(SUM($J$7:P$7)*P$7/Qtrs_Yr,0)=0,0,LOOKUP(ROUNDUP(SUM($J$7:P$7)*P$7/Qtrs_Yr,0),Inputs!$F$35:$I$35,Inputs!$F$36:$I$36))/Thousand/Qtrs_Yr)*IF(ROUNDUP(SUM($J$7:P$7)*P$7/Qtrs_Yr,0)=0,0,LOOKUP(ROUNDUP(SUM($J$7:P$7)*P$7/Qtrs_Yr,0),Inputs!$F$41:$I$41,Inputs!$F$42:$I$42))/Grams_Oz*Inputs!$F$45)*LOOKUP(YEAR(P$5),Inputs!$F$49:$I$49,Inputs!$F$50:$I$50)/Thousand/LOOKUP(YEAR(P$5),Inputs!$F$89:$I$89,Inputs!$F$90:$I$90)*(P5-O5-Inputs!$F$97)/(P5-O5)+((IF(ROUNDUP(SUM($I$7:O$7)*O$7/Qtrs_Yr,0)=0,0,LOOKUP(ROUNDUP(SUM($I$7:O$7)*O$7/Qtrs_Yr,0),Inputs!$F$35:$I$35,Inputs!$F$36:$I$36))/Thousand/Qtrs_Yr)*IF(ROUNDUP(SUM($I$7:O$7)*O$7/Qtrs_Yr,0)=0,0,LOOKUP(ROUNDUP(SUM($I$7:O$7)*O$7/Qtrs_Yr,0),Inputs!$F$41:$I$41,Inputs!$F$42:$I$42))/Grams_Oz*Inputs!$F$45)*LOOKUP(YEAR(O$5),Inputs!$F$49:$I$49,Inputs!$F$50:$I$50)/Thousand/LOOKUP(YEAR(O$5),Inputs!$F$89:$I$89,Inputs!$F$90:$I$90)*Inputs!$F$97/(O5-N5))-(((Inputs!$F$64*(IF(ROUNDUP(SUM($J$7:P$7)*P$7/Qtrs_Yr,0)=0,0,LOOKUP(ROUNDUP(SUM($J$7:P$7)*P$7/Qtrs_Yr,0),Inputs!$F$35:$I$35,Inputs!$F$36:$I$36))/Thousand/Qtrs_Yr+IF(ROUNDUP(SUM($J$7:P$7)*P$7/Qtrs_Yr,0)=0,0,LOOKUP(ROUNDUP(SUM($J$7:P$7)*P$7/Qtrs_Yr,0),Inputs!$F$35:$I$35,Inputs!$F$38:$I$38)*LOOKUP(ROUNDUP(SUM($J$7:P$7)*P$7/Qtrs_Yr,0),Inputs!$F$35:$I$35,Inputs!$F$36:$I$36))/Thousand/Qtrs_Yr)+Inputs!$F$65*(IF(ROUNDUP(SUM($J$7:P$7)*P$7/Qtrs_Yr,0)=0,0,LOOKUP(ROUNDUP(SUM($J$7:P$7)*P$7/Qtrs_Yr,0),Inputs!$F$35:$I$35,Inputs!$F$36:$I$36))/Thousand/Qtrs_Yr)+Inputs!$F$66*(IF(ROUNDUP(SUM($J$7:P$7)*P$7/Qtrs_Yr,0)=0,0,LOOKUP(ROUNDUP(SUM($J$7:P$7)*P$7/Qtrs_Yr,0),Inputs!$F$35:$I$35,Inputs!$F$38:$I$38)*LOOKUP(ROUNDUP(SUM($J$7:P$7)*P$7/Qtrs_Yr,0),Inputs!$F$35:$I$35,Inputs!$F$36:$I$36))/Thousand/Qtrs_Yr))/Thousand+SUM(Inputs!$F$54:$F$61)*P$7/Qtrs_Yr)*(1+LOOKUP(YEAR(P$5),Inputs!$F$93:$I$93,Inputs!$F$94:$I$94)/Qtrs_Yr)^(COUNT($J$7:P7))*(P5-O5-Inputs!$F$98)/(P5-O5)+((Inputs!$F$64*(IF(ROUNDUP(SUM($I$7:O$7)*O$7/Qtrs_Yr,0)=0,0,LOOKUP(ROUNDUP(SUM($I$7:O$7)*O$7/Qtrs_Yr,0),Inputs!$F$35:$I$35,Inputs!$F$36:$I$36))/Thousand/Qtrs_Yr+IF(ROUNDUP(SUM($I$7:O$7)*O$7/Qtrs_Yr,0)=0,0,LOOKUP(ROUNDUP(SUM($I$7:O$7)*O$7/Qtrs_Yr,0),Inputs!$F$35:$I$35,Inputs!$F$38:$I$38)*LOOKUP(ROUNDUP(SUM($I$7:O$7)*O$7/Qtrs_Yr,0),Inputs!$F$35:$I$35,Inputs!$F$36:$I$36))/Thousand/Qtrs_Yr)+Inputs!$F$65*(IF(ROUNDUP(SUM($I$7:O$7)*O$7/Qtrs_Yr,0)=0,0,LOOKUP(ROUNDUP(SUM($I$7:O$7)*O$7/Qtrs_Yr,0),Inputs!$F$35:$I$35,Inputs!$F$36:$I$36))/Thousand/Qtrs_Yr)+Inputs!$F$66*(IF(ROUNDUP(SUM($I$7:O$7)*O$7/Qtrs_Yr,0)=0,0,LOOKUP(ROUNDUP(SUM($I$7:O$7)*O$7/Qtrs_Yr,0),Inputs!$F$35:$I$35,Inputs!$F$38:$I$38)*LOOKUP(ROUNDUP(SUM($I$7:O$7)*O$7/Qtrs_Yr,0),Inputs!$F$35:$I$35,Inputs!$F$36:$I$36))/Thousand/Qtrs_Yr))/Thousand+SUM(Inputs!$F$54:$F$61)*O$7/Qtrs_Yr)*(1+LOOKUP(YEAR(P$5),Inputs!$F$93:$I$93,Inputs!$F$94:$I$94)/Qtrs_Yr)^(COUNT($I$7:O7))*Inputs!$F$98/(O5-N5))-(((IF(ROUNDUP(SUM($J$7:P$7)*P$7/Qtrs_Yr,0)=0,0,LOOKUP(ROUNDUP(SUM($J$7:P$7)*P$7/Qtrs_Yr,0),Inputs!$F$35:$I$35,Inputs!$F$36:$I$36))/Thousand/Qtrs_Yr)*IF(ROUNDUP(SUM($J$7:P$7)*P$7/Qtrs_Yr,0)=0,0,LOOKUP(ROUNDUP(SUM($J$7:P$7)*P$7/Qtrs_Yr,0),Inputs!$F$41:$I$41,Inputs!$F$42:$I$42))/Grams_Oz*Inputs!$F$45)*LOOKUP(YEAR(P$5),Inputs!$F$49:$I$49,Inputs!$F$50:$I$50)/Thousand/LOOKUP(YEAR(P$5),Inputs!$F$89:$I$89,Inputs!$F$90:$I$90)-((Inputs!$F$64*(IF(ROUNDUP(SUM($J$7:P$7)*P$7/Qtrs_Yr,0)=0,0,LOOKUP(ROUNDUP(SUM($J$7:P$7)*P$7/Qtrs_Yr,0),Inputs!$F$35:$I$35,Inputs!$F$36:$I$36))/Thousand/Qtrs_Yr+IF(ROUNDUP(SUM($J$7:P$7)*P$7/Qtrs_Yr,0)=0,0,LOOKUP(ROUNDUP(SUM($J$7:P$7)*P$7/Qtrs_Yr,0),Inputs!$F$35:$I$35,Inputs!$F$38:$I$38)*LOOKUP(ROUNDUP(SUM($J$7:P$7)*P$7/Qtrs_Yr,0),Inputs!$F$35:$I$35,Inputs!$F$36:$I$36))/Thousand/Qtrs_Yr)+Inputs!$F$65*(IF(ROUNDUP(SUM($J$7:P$7)*P$7/Qtrs_Yr,0)=0,0,LOOKUP(ROUNDUP(SUM($J$7:P$7)*P$7/Qtrs_Yr,0),Inputs!$F$35:$I$35,Inputs!$F$36:$I$36))/Thousand/Qtrs_Yr)+Inputs!$F$66*(IF(ROUNDUP(SUM($J$7:P$7)*P$7/Qtrs_Yr,0)=0,0,LOOKUP(ROUNDUP(SUM($J$7:P$7)*P$7/Qtrs_Yr,0),Inputs!$F$35:$I$35,Inputs!$F$38:$I$38)*LOOKUP(ROUNDUP(SUM($J$7:P$7)*P$7/Qtrs_Yr,0),Inputs!$F$35:$I$35,Inputs!$F$36:$I$36))/Thousand/Qtrs_Yr))/Thousand+SUM(Inputs!$F$54:$F$61)*P$7/Qtrs_Yr)*(1+LOOKUP(YEAR(P$5),Inputs!$F$93:$I$93,Inputs!$F$94:$I$94)/Qtrs_Yr)^(COUNT($J$7:P7))-Inputs!$E$29*(1+Inputs!$E$31)*P$7/Inputs!$E$16/Qtrs_Yr-IF(OR(P$7=0,SUM($J7:P7)*P7&gt;Inputs!$F$77*Qtrs_Yr),0,(Inputs!$F$71-SUM($J7:P7,-1)*P7*Inputs!$F$71/Inputs!$F$77/Qtrs_Yr)*(LOOKUP(YEAR(Q$5),Inputs!$F$85:$I$85,Inputs!$F$86:$I$86)+LOOKUP(ROUNDUP(SUM($J7:Q7)*Q7/Qtrs_Yr,0),Inputs!$G$73:$J$73,Inputs!$G$74:$J$74))/Qtrs_Yr))*Inputs!$F$101-IF(OR(P$7=0,SUM($J7:P7)*P7&gt;Inputs!$F$77*Qtrs_Yr),0,(Inputs!$F$71-SUM($J7:P7,-1)*P7*Inputs!$F$71/Inputs!$F$77/Qtrs_Yr)*(LOOKUP(YEAR(Q$5),Inputs!$F$85:$I$85,Inputs!$F$86:$I$86)+LOOKUP(ROUNDUP(SUM($J7:Q7)*Q7/Qtrs_Yr,0),Inputs!$G$73:$J$73,Inputs!$G$74:$J$74))/Qtrs_Yr)-IF(OR(P$7=0,SUM($J7:P7)*P7&gt;Inputs!$F$77*Qtrs_Yr),0,Inputs!$F$71/Inputs!$F$77/Qtrs_Yr)</f>
        <v>4.1682945789555035</v>
      </c>
      <c r="Q11" s="28">
        <f>(((IF(ROUNDUP(SUM($J$7:Q$7)*Q$7/Qtrs_Yr,0)=0,0,LOOKUP(ROUNDUP(SUM($J$7:Q$7)*Q$7/Qtrs_Yr,0),Inputs!$F$35:$I$35,Inputs!$F$36:$I$36))/Thousand/Qtrs_Yr)*IF(ROUNDUP(SUM($J$7:Q$7)*Q$7/Qtrs_Yr,0)=0,0,LOOKUP(ROUNDUP(SUM($J$7:Q$7)*Q$7/Qtrs_Yr,0),Inputs!$F$41:$I$41,Inputs!$F$42:$I$42))/Grams_Oz*Inputs!$F$45)*LOOKUP(YEAR(Q$5),Inputs!$F$49:$I$49,Inputs!$F$50:$I$50)/Thousand/LOOKUP(YEAR(Q$5),Inputs!$F$89:$I$89,Inputs!$F$90:$I$90)*(Q5-P5-Inputs!$F$97)/(Q5-P5)+((IF(ROUNDUP(SUM($I$7:P$7)*P$7/Qtrs_Yr,0)=0,0,LOOKUP(ROUNDUP(SUM($I$7:P$7)*P$7/Qtrs_Yr,0),Inputs!$F$35:$I$35,Inputs!$F$36:$I$36))/Thousand/Qtrs_Yr)*IF(ROUNDUP(SUM($I$7:P$7)*P$7/Qtrs_Yr,0)=0,0,LOOKUP(ROUNDUP(SUM($I$7:P$7)*P$7/Qtrs_Yr,0),Inputs!$F$41:$I$41,Inputs!$F$42:$I$42))/Grams_Oz*Inputs!$F$45)*LOOKUP(YEAR(P$5),Inputs!$F$49:$I$49,Inputs!$F$50:$I$50)/Thousand/LOOKUP(YEAR(P$5),Inputs!$F$89:$I$89,Inputs!$F$90:$I$90)*Inputs!$F$97/(P5-O5))-(((Inputs!$F$64*(IF(ROUNDUP(SUM($J$7:Q$7)*Q$7/Qtrs_Yr,0)=0,0,LOOKUP(ROUNDUP(SUM($J$7:Q$7)*Q$7/Qtrs_Yr,0),Inputs!$F$35:$I$35,Inputs!$F$36:$I$36))/Thousand/Qtrs_Yr+IF(ROUNDUP(SUM($J$7:Q$7)*Q$7/Qtrs_Yr,0)=0,0,LOOKUP(ROUNDUP(SUM($J$7:Q$7)*Q$7/Qtrs_Yr,0),Inputs!$F$35:$I$35,Inputs!$F$38:$I$38)*LOOKUP(ROUNDUP(SUM($J$7:Q$7)*Q$7/Qtrs_Yr,0),Inputs!$F$35:$I$35,Inputs!$F$36:$I$36))/Thousand/Qtrs_Yr)+Inputs!$F$65*(IF(ROUNDUP(SUM($J$7:Q$7)*Q$7/Qtrs_Yr,0)=0,0,LOOKUP(ROUNDUP(SUM($J$7:Q$7)*Q$7/Qtrs_Yr,0),Inputs!$F$35:$I$35,Inputs!$F$36:$I$36))/Thousand/Qtrs_Yr)+Inputs!$F$66*(IF(ROUNDUP(SUM($J$7:Q$7)*Q$7/Qtrs_Yr,0)=0,0,LOOKUP(ROUNDUP(SUM($J$7:Q$7)*Q$7/Qtrs_Yr,0),Inputs!$F$35:$I$35,Inputs!$F$38:$I$38)*LOOKUP(ROUNDUP(SUM($J$7:Q$7)*Q$7/Qtrs_Yr,0),Inputs!$F$35:$I$35,Inputs!$F$36:$I$36))/Thousand/Qtrs_Yr))/Thousand+SUM(Inputs!$F$54:$F$61)*Q$7/Qtrs_Yr)*(1+LOOKUP(YEAR(Q$5),Inputs!$F$93:$I$93,Inputs!$F$94:$I$94)/Qtrs_Yr)^(COUNT($J$7:Q7))*(Q5-P5-Inputs!$F$98)/(Q5-P5)+((Inputs!$F$64*(IF(ROUNDUP(SUM($I$7:P$7)*P$7/Qtrs_Yr,0)=0,0,LOOKUP(ROUNDUP(SUM($I$7:P$7)*P$7/Qtrs_Yr,0),Inputs!$F$35:$I$35,Inputs!$F$36:$I$36))/Thousand/Qtrs_Yr+IF(ROUNDUP(SUM($I$7:P$7)*P$7/Qtrs_Yr,0)=0,0,LOOKUP(ROUNDUP(SUM($I$7:P$7)*P$7/Qtrs_Yr,0),Inputs!$F$35:$I$35,Inputs!$F$38:$I$38)*LOOKUP(ROUNDUP(SUM($I$7:P$7)*P$7/Qtrs_Yr,0),Inputs!$F$35:$I$35,Inputs!$F$36:$I$36))/Thousand/Qtrs_Yr)+Inputs!$F$65*(IF(ROUNDUP(SUM($I$7:P$7)*P$7/Qtrs_Yr,0)=0,0,LOOKUP(ROUNDUP(SUM($I$7:P$7)*P$7/Qtrs_Yr,0),Inputs!$F$35:$I$35,Inputs!$F$36:$I$36))/Thousand/Qtrs_Yr)+Inputs!$F$66*(IF(ROUNDUP(SUM($I$7:P$7)*P$7/Qtrs_Yr,0)=0,0,LOOKUP(ROUNDUP(SUM($I$7:P$7)*P$7/Qtrs_Yr,0),Inputs!$F$35:$I$35,Inputs!$F$38:$I$38)*LOOKUP(ROUNDUP(SUM($I$7:P$7)*P$7/Qtrs_Yr,0),Inputs!$F$35:$I$35,Inputs!$F$36:$I$36))/Thousand/Qtrs_Yr))/Thousand+SUM(Inputs!$F$54:$F$61)*P$7/Qtrs_Yr)*(1+LOOKUP(YEAR(Q$5),Inputs!$F$93:$I$93,Inputs!$F$94:$I$94)/Qtrs_Yr)^(COUNT($I$7:P7))*Inputs!$F$98/(P5-O5))-(((IF(ROUNDUP(SUM($J$7:Q$7)*Q$7/Qtrs_Yr,0)=0,0,LOOKUP(ROUNDUP(SUM($J$7:Q$7)*Q$7/Qtrs_Yr,0),Inputs!$F$35:$I$35,Inputs!$F$36:$I$36))/Thousand/Qtrs_Yr)*IF(ROUNDUP(SUM($J$7:Q$7)*Q$7/Qtrs_Yr,0)=0,0,LOOKUP(ROUNDUP(SUM($J$7:Q$7)*Q$7/Qtrs_Yr,0),Inputs!$F$41:$I$41,Inputs!$F$42:$I$42))/Grams_Oz*Inputs!$F$45)*LOOKUP(YEAR(Q$5),Inputs!$F$49:$I$49,Inputs!$F$50:$I$50)/Thousand/LOOKUP(YEAR(Q$5),Inputs!$F$89:$I$89,Inputs!$F$90:$I$90)-((Inputs!$F$64*(IF(ROUNDUP(SUM($J$7:Q$7)*Q$7/Qtrs_Yr,0)=0,0,LOOKUP(ROUNDUP(SUM($J$7:Q$7)*Q$7/Qtrs_Yr,0),Inputs!$F$35:$I$35,Inputs!$F$36:$I$36))/Thousand/Qtrs_Yr+IF(ROUNDUP(SUM($J$7:Q$7)*Q$7/Qtrs_Yr,0)=0,0,LOOKUP(ROUNDUP(SUM($J$7:Q$7)*Q$7/Qtrs_Yr,0),Inputs!$F$35:$I$35,Inputs!$F$38:$I$38)*LOOKUP(ROUNDUP(SUM($J$7:Q$7)*Q$7/Qtrs_Yr,0),Inputs!$F$35:$I$35,Inputs!$F$36:$I$36))/Thousand/Qtrs_Yr)+Inputs!$F$65*(IF(ROUNDUP(SUM($J$7:Q$7)*Q$7/Qtrs_Yr,0)=0,0,LOOKUP(ROUNDUP(SUM($J$7:Q$7)*Q$7/Qtrs_Yr,0),Inputs!$F$35:$I$35,Inputs!$F$36:$I$36))/Thousand/Qtrs_Yr)+Inputs!$F$66*(IF(ROUNDUP(SUM($J$7:Q$7)*Q$7/Qtrs_Yr,0)=0,0,LOOKUP(ROUNDUP(SUM($J$7:Q$7)*Q$7/Qtrs_Yr,0),Inputs!$F$35:$I$35,Inputs!$F$38:$I$38)*LOOKUP(ROUNDUP(SUM($J$7:Q$7)*Q$7/Qtrs_Yr,0),Inputs!$F$35:$I$35,Inputs!$F$36:$I$36))/Thousand/Qtrs_Yr))/Thousand+SUM(Inputs!$F$54:$F$61)*Q$7/Qtrs_Yr)*(1+LOOKUP(YEAR(Q$5),Inputs!$F$93:$I$93,Inputs!$F$94:$I$94)/Qtrs_Yr)^(COUNT($J$7:Q7))-Inputs!$E$29*(1+Inputs!$E$31)*Q$7/Inputs!$E$16/Qtrs_Yr-IF(OR(Q$7=0,SUM($J7:Q7)*Q7&gt;Inputs!$F$77*Qtrs_Yr),0,(Inputs!$F$71-SUM($J7:Q7,-1)*Q7*Inputs!$F$71/Inputs!$F$77/Qtrs_Yr)*(LOOKUP(YEAR(R$5),Inputs!$F$85:$I$85,Inputs!$F$86:$I$86)+LOOKUP(ROUNDUP(SUM($J7:R7)*R7/Qtrs_Yr,0),Inputs!$G$73:$J$73,Inputs!$G$74:$J$74))/Qtrs_Yr))*Inputs!$F$101-IF(OR(Q$7=0,SUM($J7:Q7)*Q7&gt;Inputs!$F$77*Qtrs_Yr),0,(Inputs!$F$71-SUM($J7:Q7,-1)*Q7*Inputs!$F$71/Inputs!$F$77/Qtrs_Yr)*(LOOKUP(YEAR(R$5),Inputs!$F$85:$I$85,Inputs!$F$86:$I$86)+LOOKUP(ROUNDUP(SUM($J7:R7)*R7/Qtrs_Yr,0),Inputs!$G$73:$J$73,Inputs!$G$74:$J$74))/Qtrs_Yr)-IF(OR(Q$7=0,SUM($J7:Q7)*Q7&gt;Inputs!$F$77*Qtrs_Yr),0,Inputs!$F$71/Inputs!$F$77/Qtrs_Yr)</f>
        <v>4.1228064869402647</v>
      </c>
      <c r="R11" s="28">
        <f>(((IF(ROUNDUP(SUM($J$7:R$7)*R$7/Qtrs_Yr,0)=0,0,LOOKUP(ROUNDUP(SUM($J$7:R$7)*R$7/Qtrs_Yr,0),Inputs!$F$35:$I$35,Inputs!$F$36:$I$36))/Thousand/Qtrs_Yr)*IF(ROUNDUP(SUM($J$7:R$7)*R$7/Qtrs_Yr,0)=0,0,LOOKUP(ROUNDUP(SUM($J$7:R$7)*R$7/Qtrs_Yr,0),Inputs!$F$41:$I$41,Inputs!$F$42:$I$42))/Grams_Oz*Inputs!$F$45)*LOOKUP(YEAR(R$5),Inputs!$F$49:$I$49,Inputs!$F$50:$I$50)/Thousand/LOOKUP(YEAR(R$5),Inputs!$F$89:$I$89,Inputs!$F$90:$I$90)*(R5-Q5-Inputs!$F$97)/(R5-Q5)+((IF(ROUNDUP(SUM($I$7:Q$7)*Q$7/Qtrs_Yr,0)=0,0,LOOKUP(ROUNDUP(SUM($I$7:Q$7)*Q$7/Qtrs_Yr,0),Inputs!$F$35:$I$35,Inputs!$F$36:$I$36))/Thousand/Qtrs_Yr)*IF(ROUNDUP(SUM($I$7:Q$7)*Q$7/Qtrs_Yr,0)=0,0,LOOKUP(ROUNDUP(SUM($I$7:Q$7)*Q$7/Qtrs_Yr,0),Inputs!$F$41:$I$41,Inputs!$F$42:$I$42))/Grams_Oz*Inputs!$F$45)*LOOKUP(YEAR(Q$5),Inputs!$F$49:$I$49,Inputs!$F$50:$I$50)/Thousand/LOOKUP(YEAR(Q$5),Inputs!$F$89:$I$89,Inputs!$F$90:$I$90)*Inputs!$F$97/(Q5-P5))-(((Inputs!$F$64*(IF(ROUNDUP(SUM($J$7:R$7)*R$7/Qtrs_Yr,0)=0,0,LOOKUP(ROUNDUP(SUM($J$7:R$7)*R$7/Qtrs_Yr,0),Inputs!$F$35:$I$35,Inputs!$F$36:$I$36))/Thousand/Qtrs_Yr+IF(ROUNDUP(SUM($J$7:R$7)*R$7/Qtrs_Yr,0)=0,0,LOOKUP(ROUNDUP(SUM($J$7:R$7)*R$7/Qtrs_Yr,0),Inputs!$F$35:$I$35,Inputs!$F$38:$I$38)*LOOKUP(ROUNDUP(SUM($J$7:R$7)*R$7/Qtrs_Yr,0),Inputs!$F$35:$I$35,Inputs!$F$36:$I$36))/Thousand/Qtrs_Yr)+Inputs!$F$65*(IF(ROUNDUP(SUM($J$7:R$7)*R$7/Qtrs_Yr,0)=0,0,LOOKUP(ROUNDUP(SUM($J$7:R$7)*R$7/Qtrs_Yr,0),Inputs!$F$35:$I$35,Inputs!$F$36:$I$36))/Thousand/Qtrs_Yr)+Inputs!$F$66*(IF(ROUNDUP(SUM($J$7:R$7)*R$7/Qtrs_Yr,0)=0,0,LOOKUP(ROUNDUP(SUM($J$7:R$7)*R$7/Qtrs_Yr,0),Inputs!$F$35:$I$35,Inputs!$F$38:$I$38)*LOOKUP(ROUNDUP(SUM($J$7:R$7)*R$7/Qtrs_Yr,0),Inputs!$F$35:$I$35,Inputs!$F$36:$I$36))/Thousand/Qtrs_Yr))/Thousand+SUM(Inputs!$F$54:$F$61)*R$7/Qtrs_Yr)*(1+LOOKUP(YEAR(R$5),Inputs!$F$93:$I$93,Inputs!$F$94:$I$94)/Qtrs_Yr)^(COUNT($J$7:R7))*(R5-Q5-Inputs!$F$98)/(R5-Q5)+((Inputs!$F$64*(IF(ROUNDUP(SUM($I$7:Q$7)*Q$7/Qtrs_Yr,0)=0,0,LOOKUP(ROUNDUP(SUM($I$7:Q$7)*Q$7/Qtrs_Yr,0),Inputs!$F$35:$I$35,Inputs!$F$36:$I$36))/Thousand/Qtrs_Yr+IF(ROUNDUP(SUM($I$7:Q$7)*Q$7/Qtrs_Yr,0)=0,0,LOOKUP(ROUNDUP(SUM($I$7:Q$7)*Q$7/Qtrs_Yr,0),Inputs!$F$35:$I$35,Inputs!$F$38:$I$38)*LOOKUP(ROUNDUP(SUM($I$7:Q$7)*Q$7/Qtrs_Yr,0),Inputs!$F$35:$I$35,Inputs!$F$36:$I$36))/Thousand/Qtrs_Yr)+Inputs!$F$65*(IF(ROUNDUP(SUM($I$7:Q$7)*Q$7/Qtrs_Yr,0)=0,0,LOOKUP(ROUNDUP(SUM($I$7:Q$7)*Q$7/Qtrs_Yr,0),Inputs!$F$35:$I$35,Inputs!$F$36:$I$36))/Thousand/Qtrs_Yr)+Inputs!$F$66*(IF(ROUNDUP(SUM($I$7:Q$7)*Q$7/Qtrs_Yr,0)=0,0,LOOKUP(ROUNDUP(SUM($I$7:Q$7)*Q$7/Qtrs_Yr,0),Inputs!$F$35:$I$35,Inputs!$F$38:$I$38)*LOOKUP(ROUNDUP(SUM($I$7:Q$7)*Q$7/Qtrs_Yr,0),Inputs!$F$35:$I$35,Inputs!$F$36:$I$36))/Thousand/Qtrs_Yr))/Thousand+SUM(Inputs!$F$54:$F$61)*Q$7/Qtrs_Yr)*(1+LOOKUP(YEAR(R$5),Inputs!$F$93:$I$93,Inputs!$F$94:$I$94)/Qtrs_Yr)^(COUNT($I$7:Q7))*Inputs!$F$98/(Q5-P5))-(((IF(ROUNDUP(SUM($J$7:R$7)*R$7/Qtrs_Yr,0)=0,0,LOOKUP(ROUNDUP(SUM($J$7:R$7)*R$7/Qtrs_Yr,0),Inputs!$F$35:$I$35,Inputs!$F$36:$I$36))/Thousand/Qtrs_Yr)*IF(ROUNDUP(SUM($J$7:R$7)*R$7/Qtrs_Yr,0)=0,0,LOOKUP(ROUNDUP(SUM($J$7:R$7)*R$7/Qtrs_Yr,0),Inputs!$F$41:$I$41,Inputs!$F$42:$I$42))/Grams_Oz*Inputs!$F$45)*LOOKUP(YEAR(R$5),Inputs!$F$49:$I$49,Inputs!$F$50:$I$50)/Thousand/LOOKUP(YEAR(R$5),Inputs!$F$89:$I$89,Inputs!$F$90:$I$90)-((Inputs!$F$64*(IF(ROUNDUP(SUM($J$7:R$7)*R$7/Qtrs_Yr,0)=0,0,LOOKUP(ROUNDUP(SUM($J$7:R$7)*R$7/Qtrs_Yr,0),Inputs!$F$35:$I$35,Inputs!$F$36:$I$36))/Thousand/Qtrs_Yr+IF(ROUNDUP(SUM($J$7:R$7)*R$7/Qtrs_Yr,0)=0,0,LOOKUP(ROUNDUP(SUM($J$7:R$7)*R$7/Qtrs_Yr,0),Inputs!$F$35:$I$35,Inputs!$F$38:$I$38)*LOOKUP(ROUNDUP(SUM($J$7:R$7)*R$7/Qtrs_Yr,0),Inputs!$F$35:$I$35,Inputs!$F$36:$I$36))/Thousand/Qtrs_Yr)+Inputs!$F$65*(IF(ROUNDUP(SUM($J$7:R$7)*R$7/Qtrs_Yr,0)=0,0,LOOKUP(ROUNDUP(SUM($J$7:R$7)*R$7/Qtrs_Yr,0),Inputs!$F$35:$I$35,Inputs!$F$36:$I$36))/Thousand/Qtrs_Yr)+Inputs!$F$66*(IF(ROUNDUP(SUM($J$7:R$7)*R$7/Qtrs_Yr,0)=0,0,LOOKUP(ROUNDUP(SUM($J$7:R$7)*R$7/Qtrs_Yr,0),Inputs!$F$35:$I$35,Inputs!$F$38:$I$38)*LOOKUP(ROUNDUP(SUM($J$7:R$7)*R$7/Qtrs_Yr,0),Inputs!$F$35:$I$35,Inputs!$F$36:$I$36))/Thousand/Qtrs_Yr))/Thousand+SUM(Inputs!$F$54:$F$61)*R$7/Qtrs_Yr)*(1+LOOKUP(YEAR(R$5),Inputs!$F$93:$I$93,Inputs!$F$94:$I$94)/Qtrs_Yr)^(COUNT($J$7:R7))-Inputs!$E$29*(1+Inputs!$E$31)*R$7/Inputs!$E$16/Qtrs_Yr-IF(OR(R$7=0,SUM($J7:R7)*R7&gt;Inputs!$F$77*Qtrs_Yr),0,(Inputs!$F$71-SUM($J7:R7,-1)*R7*Inputs!$F$71/Inputs!$F$77/Qtrs_Yr)*(LOOKUP(YEAR(S$5),Inputs!$F$85:$I$85,Inputs!$F$86:$I$86)+LOOKUP(ROUNDUP(SUM($J7:S7)*S7/Qtrs_Yr,0),Inputs!$G$73:$J$73,Inputs!$G$74:$J$74))/Qtrs_Yr))*Inputs!$F$101-IF(OR(R$7=0,SUM($J7:R7)*R7&gt;Inputs!$F$77*Qtrs_Yr),0,(Inputs!$F$71-SUM($J7:R7,-1)*R7*Inputs!$F$71/Inputs!$F$77/Qtrs_Yr)*(LOOKUP(YEAR(S$5),Inputs!$F$85:$I$85,Inputs!$F$86:$I$86)+LOOKUP(ROUNDUP(SUM($J7:S7)*S7/Qtrs_Yr,0),Inputs!$G$73:$J$73,Inputs!$G$74:$J$74))/Qtrs_Yr)-IF(OR(R$7=0,SUM($J7:R7)*R7&gt;Inputs!$F$77*Qtrs_Yr),0,Inputs!$F$71/Inputs!$F$77/Qtrs_Yr)</f>
        <v>6.8237854724015587</v>
      </c>
      <c r="S11" s="28">
        <f>(((IF(ROUNDUP(SUM($J$7:S$7)*S$7/Qtrs_Yr,0)=0,0,LOOKUP(ROUNDUP(SUM($J$7:S$7)*S$7/Qtrs_Yr,0),Inputs!$F$35:$I$35,Inputs!$F$36:$I$36))/Thousand/Qtrs_Yr)*IF(ROUNDUP(SUM($J$7:S$7)*S$7/Qtrs_Yr,0)=0,0,LOOKUP(ROUNDUP(SUM($J$7:S$7)*S$7/Qtrs_Yr,0),Inputs!$F$41:$I$41,Inputs!$F$42:$I$42))/Grams_Oz*Inputs!$F$45)*LOOKUP(YEAR(S$5),Inputs!$F$49:$I$49,Inputs!$F$50:$I$50)/Thousand/LOOKUP(YEAR(S$5),Inputs!$F$89:$I$89,Inputs!$F$90:$I$90)*(S5-R5-Inputs!$F$97)/(S5-R5)+((IF(ROUNDUP(SUM($I$7:R$7)*R$7/Qtrs_Yr,0)=0,0,LOOKUP(ROUNDUP(SUM($I$7:R$7)*R$7/Qtrs_Yr,0),Inputs!$F$35:$I$35,Inputs!$F$36:$I$36))/Thousand/Qtrs_Yr)*IF(ROUNDUP(SUM($I$7:R$7)*R$7/Qtrs_Yr,0)=0,0,LOOKUP(ROUNDUP(SUM($I$7:R$7)*R$7/Qtrs_Yr,0),Inputs!$F$41:$I$41,Inputs!$F$42:$I$42))/Grams_Oz*Inputs!$F$45)*LOOKUP(YEAR(R$5),Inputs!$F$49:$I$49,Inputs!$F$50:$I$50)/Thousand/LOOKUP(YEAR(R$5),Inputs!$F$89:$I$89,Inputs!$F$90:$I$90)*Inputs!$F$97/(R5-Q5))-(((Inputs!$F$64*(IF(ROUNDUP(SUM($J$7:S$7)*S$7/Qtrs_Yr,0)=0,0,LOOKUP(ROUNDUP(SUM($J$7:S$7)*S$7/Qtrs_Yr,0),Inputs!$F$35:$I$35,Inputs!$F$36:$I$36))/Thousand/Qtrs_Yr+IF(ROUNDUP(SUM($J$7:S$7)*S$7/Qtrs_Yr,0)=0,0,LOOKUP(ROUNDUP(SUM($J$7:S$7)*S$7/Qtrs_Yr,0),Inputs!$F$35:$I$35,Inputs!$F$38:$I$38)*LOOKUP(ROUNDUP(SUM($J$7:S$7)*S$7/Qtrs_Yr,0),Inputs!$F$35:$I$35,Inputs!$F$36:$I$36))/Thousand/Qtrs_Yr)+Inputs!$F$65*(IF(ROUNDUP(SUM($J$7:S$7)*S$7/Qtrs_Yr,0)=0,0,LOOKUP(ROUNDUP(SUM($J$7:S$7)*S$7/Qtrs_Yr,0),Inputs!$F$35:$I$35,Inputs!$F$36:$I$36))/Thousand/Qtrs_Yr)+Inputs!$F$66*(IF(ROUNDUP(SUM($J$7:S$7)*S$7/Qtrs_Yr,0)=0,0,LOOKUP(ROUNDUP(SUM($J$7:S$7)*S$7/Qtrs_Yr,0),Inputs!$F$35:$I$35,Inputs!$F$38:$I$38)*LOOKUP(ROUNDUP(SUM($J$7:S$7)*S$7/Qtrs_Yr,0),Inputs!$F$35:$I$35,Inputs!$F$36:$I$36))/Thousand/Qtrs_Yr))/Thousand+SUM(Inputs!$F$54:$F$61)*S$7/Qtrs_Yr)*(1+LOOKUP(YEAR(S$5),Inputs!$F$93:$I$93,Inputs!$F$94:$I$94)/Qtrs_Yr)^(COUNT($J$7:S7))*(S5-R5-Inputs!$F$98)/(S5-R5)+((Inputs!$F$64*(IF(ROUNDUP(SUM($I$7:R$7)*R$7/Qtrs_Yr,0)=0,0,LOOKUP(ROUNDUP(SUM($I$7:R$7)*R$7/Qtrs_Yr,0),Inputs!$F$35:$I$35,Inputs!$F$36:$I$36))/Thousand/Qtrs_Yr+IF(ROUNDUP(SUM($I$7:R$7)*R$7/Qtrs_Yr,0)=0,0,LOOKUP(ROUNDUP(SUM($I$7:R$7)*R$7/Qtrs_Yr,0),Inputs!$F$35:$I$35,Inputs!$F$38:$I$38)*LOOKUP(ROUNDUP(SUM($I$7:R$7)*R$7/Qtrs_Yr,0),Inputs!$F$35:$I$35,Inputs!$F$36:$I$36))/Thousand/Qtrs_Yr)+Inputs!$F$65*(IF(ROUNDUP(SUM($I$7:R$7)*R$7/Qtrs_Yr,0)=0,0,LOOKUP(ROUNDUP(SUM($I$7:R$7)*R$7/Qtrs_Yr,0),Inputs!$F$35:$I$35,Inputs!$F$36:$I$36))/Thousand/Qtrs_Yr)+Inputs!$F$66*(IF(ROUNDUP(SUM($I$7:R$7)*R$7/Qtrs_Yr,0)=0,0,LOOKUP(ROUNDUP(SUM($I$7:R$7)*R$7/Qtrs_Yr,0),Inputs!$F$35:$I$35,Inputs!$F$38:$I$38)*LOOKUP(ROUNDUP(SUM($I$7:R$7)*R$7/Qtrs_Yr,0),Inputs!$F$35:$I$35,Inputs!$F$36:$I$36))/Thousand/Qtrs_Yr))/Thousand+SUM(Inputs!$F$54:$F$61)*R$7/Qtrs_Yr)*(1+LOOKUP(YEAR(S$5),Inputs!$F$93:$I$93,Inputs!$F$94:$I$94)/Qtrs_Yr)^(COUNT($I$7:R7))*Inputs!$F$98/(R5-Q5))-(((IF(ROUNDUP(SUM($J$7:S$7)*S$7/Qtrs_Yr,0)=0,0,LOOKUP(ROUNDUP(SUM($J$7:S$7)*S$7/Qtrs_Yr,0),Inputs!$F$35:$I$35,Inputs!$F$36:$I$36))/Thousand/Qtrs_Yr)*IF(ROUNDUP(SUM($J$7:S$7)*S$7/Qtrs_Yr,0)=0,0,LOOKUP(ROUNDUP(SUM($J$7:S$7)*S$7/Qtrs_Yr,0),Inputs!$F$41:$I$41,Inputs!$F$42:$I$42))/Grams_Oz*Inputs!$F$45)*LOOKUP(YEAR(S$5),Inputs!$F$49:$I$49,Inputs!$F$50:$I$50)/Thousand/LOOKUP(YEAR(S$5),Inputs!$F$89:$I$89,Inputs!$F$90:$I$90)-((Inputs!$F$64*(IF(ROUNDUP(SUM($J$7:S$7)*S$7/Qtrs_Yr,0)=0,0,LOOKUP(ROUNDUP(SUM($J$7:S$7)*S$7/Qtrs_Yr,0),Inputs!$F$35:$I$35,Inputs!$F$36:$I$36))/Thousand/Qtrs_Yr+IF(ROUNDUP(SUM($J$7:S$7)*S$7/Qtrs_Yr,0)=0,0,LOOKUP(ROUNDUP(SUM($J$7:S$7)*S$7/Qtrs_Yr,0),Inputs!$F$35:$I$35,Inputs!$F$38:$I$38)*LOOKUP(ROUNDUP(SUM($J$7:S$7)*S$7/Qtrs_Yr,0),Inputs!$F$35:$I$35,Inputs!$F$36:$I$36))/Thousand/Qtrs_Yr)+Inputs!$F$65*(IF(ROUNDUP(SUM($J$7:S$7)*S$7/Qtrs_Yr,0)=0,0,LOOKUP(ROUNDUP(SUM($J$7:S$7)*S$7/Qtrs_Yr,0),Inputs!$F$35:$I$35,Inputs!$F$36:$I$36))/Thousand/Qtrs_Yr)+Inputs!$F$66*(IF(ROUNDUP(SUM($J$7:S$7)*S$7/Qtrs_Yr,0)=0,0,LOOKUP(ROUNDUP(SUM($J$7:S$7)*S$7/Qtrs_Yr,0),Inputs!$F$35:$I$35,Inputs!$F$38:$I$38)*LOOKUP(ROUNDUP(SUM($J$7:S$7)*S$7/Qtrs_Yr,0),Inputs!$F$35:$I$35,Inputs!$F$36:$I$36))/Thousand/Qtrs_Yr))/Thousand+SUM(Inputs!$F$54:$F$61)*S$7/Qtrs_Yr)*(1+LOOKUP(YEAR(S$5),Inputs!$F$93:$I$93,Inputs!$F$94:$I$94)/Qtrs_Yr)^(COUNT($J$7:S7))-Inputs!$E$29*(1+Inputs!$E$31)*S$7/Inputs!$E$16/Qtrs_Yr-IF(OR(S$7=0,SUM($J7:S7)*S7&gt;Inputs!$F$77*Qtrs_Yr),0,(Inputs!$F$71-SUM($J7:S7,-1)*S7*Inputs!$F$71/Inputs!$F$77/Qtrs_Yr)*(LOOKUP(YEAR(T$5),Inputs!$F$85:$I$85,Inputs!$F$86:$I$86)+LOOKUP(ROUNDUP(SUM($J7:T7)*T7/Qtrs_Yr,0),Inputs!$G$73:$J$73,Inputs!$G$74:$J$74))/Qtrs_Yr))*Inputs!$F$101-IF(OR(S$7=0,SUM($J7:S7)*S7&gt;Inputs!$F$77*Qtrs_Yr),0,(Inputs!$F$71-SUM($J7:S7,-1)*S7*Inputs!$F$71/Inputs!$F$77/Qtrs_Yr)*(LOOKUP(YEAR(T$5),Inputs!$F$85:$I$85,Inputs!$F$86:$I$86)+LOOKUP(ROUNDUP(SUM($J7:T7)*T7/Qtrs_Yr,0),Inputs!$G$73:$J$73,Inputs!$G$74:$J$74))/Qtrs_Yr)-IF(OR(S$7=0,SUM($J7:S7)*S7&gt;Inputs!$F$77*Qtrs_Yr),0,Inputs!$F$71/Inputs!$F$77/Qtrs_Yr)</f>
        <v>6.5963641118915763</v>
      </c>
      <c r="T11" s="28">
        <f>(((IF(ROUNDUP(SUM($J$7:T$7)*T$7/Qtrs_Yr,0)=0,0,LOOKUP(ROUNDUP(SUM($J$7:T$7)*T$7/Qtrs_Yr,0),Inputs!$F$35:$I$35,Inputs!$F$36:$I$36))/Thousand/Qtrs_Yr)*IF(ROUNDUP(SUM($J$7:T$7)*T$7/Qtrs_Yr,0)=0,0,LOOKUP(ROUNDUP(SUM($J$7:T$7)*T$7/Qtrs_Yr,0),Inputs!$F$41:$I$41,Inputs!$F$42:$I$42))/Grams_Oz*Inputs!$F$45)*LOOKUP(YEAR(T$5),Inputs!$F$49:$I$49,Inputs!$F$50:$I$50)/Thousand/LOOKUP(YEAR(T$5),Inputs!$F$89:$I$89,Inputs!$F$90:$I$90)*(T5-S5-Inputs!$F$97)/(T5-S5)+((IF(ROUNDUP(SUM($I$7:S$7)*S$7/Qtrs_Yr,0)=0,0,LOOKUP(ROUNDUP(SUM($I$7:S$7)*S$7/Qtrs_Yr,0),Inputs!$F$35:$I$35,Inputs!$F$36:$I$36))/Thousand/Qtrs_Yr)*IF(ROUNDUP(SUM($I$7:S$7)*S$7/Qtrs_Yr,0)=0,0,LOOKUP(ROUNDUP(SUM($I$7:S$7)*S$7/Qtrs_Yr,0),Inputs!$F$41:$I$41,Inputs!$F$42:$I$42))/Grams_Oz*Inputs!$F$45)*LOOKUP(YEAR(S$5),Inputs!$F$49:$I$49,Inputs!$F$50:$I$50)/Thousand/LOOKUP(YEAR(S$5),Inputs!$F$89:$I$89,Inputs!$F$90:$I$90)*Inputs!$F$97/(S5-R5))-(((Inputs!$F$64*(IF(ROUNDUP(SUM($J$7:T$7)*T$7/Qtrs_Yr,0)=0,0,LOOKUP(ROUNDUP(SUM($J$7:T$7)*T$7/Qtrs_Yr,0),Inputs!$F$35:$I$35,Inputs!$F$36:$I$36))/Thousand/Qtrs_Yr+IF(ROUNDUP(SUM($J$7:T$7)*T$7/Qtrs_Yr,0)=0,0,LOOKUP(ROUNDUP(SUM($J$7:T$7)*T$7/Qtrs_Yr,0),Inputs!$F$35:$I$35,Inputs!$F$38:$I$38)*LOOKUP(ROUNDUP(SUM($J$7:T$7)*T$7/Qtrs_Yr,0),Inputs!$F$35:$I$35,Inputs!$F$36:$I$36))/Thousand/Qtrs_Yr)+Inputs!$F$65*(IF(ROUNDUP(SUM($J$7:T$7)*T$7/Qtrs_Yr,0)=0,0,LOOKUP(ROUNDUP(SUM($J$7:T$7)*T$7/Qtrs_Yr,0),Inputs!$F$35:$I$35,Inputs!$F$36:$I$36))/Thousand/Qtrs_Yr)+Inputs!$F$66*(IF(ROUNDUP(SUM($J$7:T$7)*T$7/Qtrs_Yr,0)=0,0,LOOKUP(ROUNDUP(SUM($J$7:T$7)*T$7/Qtrs_Yr,0),Inputs!$F$35:$I$35,Inputs!$F$38:$I$38)*LOOKUP(ROUNDUP(SUM($J$7:T$7)*T$7/Qtrs_Yr,0),Inputs!$F$35:$I$35,Inputs!$F$36:$I$36))/Thousand/Qtrs_Yr))/Thousand+SUM(Inputs!$F$54:$F$61)*T$7/Qtrs_Yr)*(1+LOOKUP(YEAR(T$5),Inputs!$F$93:$I$93,Inputs!$F$94:$I$94)/Qtrs_Yr)^(COUNT($J$7:T7))*(T5-S5-Inputs!$F$98)/(T5-S5)+((Inputs!$F$64*(IF(ROUNDUP(SUM($I$7:S$7)*S$7/Qtrs_Yr,0)=0,0,LOOKUP(ROUNDUP(SUM($I$7:S$7)*S$7/Qtrs_Yr,0),Inputs!$F$35:$I$35,Inputs!$F$36:$I$36))/Thousand/Qtrs_Yr+IF(ROUNDUP(SUM($I$7:S$7)*S$7/Qtrs_Yr,0)=0,0,LOOKUP(ROUNDUP(SUM($I$7:S$7)*S$7/Qtrs_Yr,0),Inputs!$F$35:$I$35,Inputs!$F$38:$I$38)*LOOKUP(ROUNDUP(SUM($I$7:S$7)*S$7/Qtrs_Yr,0),Inputs!$F$35:$I$35,Inputs!$F$36:$I$36))/Thousand/Qtrs_Yr)+Inputs!$F$65*(IF(ROUNDUP(SUM($I$7:S$7)*S$7/Qtrs_Yr,0)=0,0,LOOKUP(ROUNDUP(SUM($I$7:S$7)*S$7/Qtrs_Yr,0),Inputs!$F$35:$I$35,Inputs!$F$36:$I$36))/Thousand/Qtrs_Yr)+Inputs!$F$66*(IF(ROUNDUP(SUM($I$7:S$7)*S$7/Qtrs_Yr,0)=0,0,LOOKUP(ROUNDUP(SUM($I$7:S$7)*S$7/Qtrs_Yr,0),Inputs!$F$35:$I$35,Inputs!$F$38:$I$38)*LOOKUP(ROUNDUP(SUM($I$7:S$7)*S$7/Qtrs_Yr,0),Inputs!$F$35:$I$35,Inputs!$F$36:$I$36))/Thousand/Qtrs_Yr))/Thousand+SUM(Inputs!$F$54:$F$61)*S$7/Qtrs_Yr)*(1+LOOKUP(YEAR(T$5),Inputs!$F$93:$I$93,Inputs!$F$94:$I$94)/Qtrs_Yr)^(COUNT($I$7:S7))*Inputs!$F$98/(S5-R5))-(((IF(ROUNDUP(SUM($J$7:T$7)*T$7/Qtrs_Yr,0)=0,0,LOOKUP(ROUNDUP(SUM($J$7:T$7)*T$7/Qtrs_Yr,0),Inputs!$F$35:$I$35,Inputs!$F$36:$I$36))/Thousand/Qtrs_Yr)*IF(ROUNDUP(SUM($J$7:T$7)*T$7/Qtrs_Yr,0)=0,0,LOOKUP(ROUNDUP(SUM($J$7:T$7)*T$7/Qtrs_Yr,0),Inputs!$F$41:$I$41,Inputs!$F$42:$I$42))/Grams_Oz*Inputs!$F$45)*LOOKUP(YEAR(T$5),Inputs!$F$49:$I$49,Inputs!$F$50:$I$50)/Thousand/LOOKUP(YEAR(T$5),Inputs!$F$89:$I$89,Inputs!$F$90:$I$90)-((Inputs!$F$64*(IF(ROUNDUP(SUM($J$7:T$7)*T$7/Qtrs_Yr,0)=0,0,LOOKUP(ROUNDUP(SUM($J$7:T$7)*T$7/Qtrs_Yr,0),Inputs!$F$35:$I$35,Inputs!$F$36:$I$36))/Thousand/Qtrs_Yr+IF(ROUNDUP(SUM($J$7:T$7)*T$7/Qtrs_Yr,0)=0,0,LOOKUP(ROUNDUP(SUM($J$7:T$7)*T$7/Qtrs_Yr,0),Inputs!$F$35:$I$35,Inputs!$F$38:$I$38)*LOOKUP(ROUNDUP(SUM($J$7:T$7)*T$7/Qtrs_Yr,0),Inputs!$F$35:$I$35,Inputs!$F$36:$I$36))/Thousand/Qtrs_Yr)+Inputs!$F$65*(IF(ROUNDUP(SUM($J$7:T$7)*T$7/Qtrs_Yr,0)=0,0,LOOKUP(ROUNDUP(SUM($J$7:T$7)*T$7/Qtrs_Yr,0),Inputs!$F$35:$I$35,Inputs!$F$36:$I$36))/Thousand/Qtrs_Yr)+Inputs!$F$66*(IF(ROUNDUP(SUM($J$7:T$7)*T$7/Qtrs_Yr,0)=0,0,LOOKUP(ROUNDUP(SUM($J$7:T$7)*T$7/Qtrs_Yr,0),Inputs!$F$35:$I$35,Inputs!$F$38:$I$38)*LOOKUP(ROUNDUP(SUM($J$7:T$7)*T$7/Qtrs_Yr,0),Inputs!$F$35:$I$35,Inputs!$F$36:$I$36))/Thousand/Qtrs_Yr))/Thousand+SUM(Inputs!$F$54:$F$61)*T$7/Qtrs_Yr)*(1+LOOKUP(YEAR(T$5),Inputs!$F$93:$I$93,Inputs!$F$94:$I$94)/Qtrs_Yr)^(COUNT($J$7:T7))-Inputs!$E$29*(1+Inputs!$E$31)*T$7/Inputs!$E$16/Qtrs_Yr-IF(OR(T$7=0,SUM($J7:T7)*T7&gt;Inputs!$F$77*Qtrs_Yr),0,(Inputs!$F$71-SUM($J7:T7,-1)*T7*Inputs!$F$71/Inputs!$F$77/Qtrs_Yr)*(LOOKUP(YEAR(U$5),Inputs!$F$85:$I$85,Inputs!$F$86:$I$86)+LOOKUP(ROUNDUP(SUM($J7:U7)*U7/Qtrs_Yr,0),Inputs!$G$73:$J$73,Inputs!$G$74:$J$74))/Qtrs_Yr))*Inputs!$F$101-IF(OR(T$7=0,SUM($J7:T7)*T7&gt;Inputs!$F$77*Qtrs_Yr),0,(Inputs!$F$71-SUM($J7:T7,-1)*T7*Inputs!$F$71/Inputs!$F$77/Qtrs_Yr)*(LOOKUP(YEAR(U$5),Inputs!$F$85:$I$85,Inputs!$F$86:$I$86)+LOOKUP(ROUNDUP(SUM($J7:U7)*U7/Qtrs_Yr,0),Inputs!$G$73:$J$73,Inputs!$G$74:$J$74))/Qtrs_Yr)-IF(OR(T$7=0,SUM($J7:T7)*T7&gt;Inputs!$F$77*Qtrs_Yr),0,Inputs!$F$71/Inputs!$F$77/Qtrs_Yr)</f>
        <v>6.551745577859867</v>
      </c>
      <c r="U11" s="28">
        <f>(((IF(ROUNDUP(SUM($J$7:U$7)*U$7/Qtrs_Yr,0)=0,0,LOOKUP(ROUNDUP(SUM($J$7:U$7)*U$7/Qtrs_Yr,0),Inputs!$F$35:$I$35,Inputs!$F$36:$I$36))/Thousand/Qtrs_Yr)*IF(ROUNDUP(SUM($J$7:U$7)*U$7/Qtrs_Yr,0)=0,0,LOOKUP(ROUNDUP(SUM($J$7:U$7)*U$7/Qtrs_Yr,0),Inputs!$F$41:$I$41,Inputs!$F$42:$I$42))/Grams_Oz*Inputs!$F$45)*LOOKUP(YEAR(U$5),Inputs!$F$49:$I$49,Inputs!$F$50:$I$50)/Thousand/LOOKUP(YEAR(U$5),Inputs!$F$89:$I$89,Inputs!$F$90:$I$90)*(U5-T5-Inputs!$F$97)/(U5-T5)+((IF(ROUNDUP(SUM($I$7:T$7)*T$7/Qtrs_Yr,0)=0,0,LOOKUP(ROUNDUP(SUM($I$7:T$7)*T$7/Qtrs_Yr,0),Inputs!$F$35:$I$35,Inputs!$F$36:$I$36))/Thousand/Qtrs_Yr)*IF(ROUNDUP(SUM($I$7:T$7)*T$7/Qtrs_Yr,0)=0,0,LOOKUP(ROUNDUP(SUM($I$7:T$7)*T$7/Qtrs_Yr,0),Inputs!$F$41:$I$41,Inputs!$F$42:$I$42))/Grams_Oz*Inputs!$F$45)*LOOKUP(YEAR(T$5),Inputs!$F$49:$I$49,Inputs!$F$50:$I$50)/Thousand/LOOKUP(YEAR(T$5),Inputs!$F$89:$I$89,Inputs!$F$90:$I$90)*Inputs!$F$97/(T5-S5))-(((Inputs!$F$64*(IF(ROUNDUP(SUM($J$7:U$7)*U$7/Qtrs_Yr,0)=0,0,LOOKUP(ROUNDUP(SUM($J$7:U$7)*U$7/Qtrs_Yr,0),Inputs!$F$35:$I$35,Inputs!$F$36:$I$36))/Thousand/Qtrs_Yr+IF(ROUNDUP(SUM($J$7:U$7)*U$7/Qtrs_Yr,0)=0,0,LOOKUP(ROUNDUP(SUM($J$7:U$7)*U$7/Qtrs_Yr,0),Inputs!$F$35:$I$35,Inputs!$F$38:$I$38)*LOOKUP(ROUNDUP(SUM($J$7:U$7)*U$7/Qtrs_Yr,0),Inputs!$F$35:$I$35,Inputs!$F$36:$I$36))/Thousand/Qtrs_Yr)+Inputs!$F$65*(IF(ROUNDUP(SUM($J$7:U$7)*U$7/Qtrs_Yr,0)=0,0,LOOKUP(ROUNDUP(SUM($J$7:U$7)*U$7/Qtrs_Yr,0),Inputs!$F$35:$I$35,Inputs!$F$36:$I$36))/Thousand/Qtrs_Yr)+Inputs!$F$66*(IF(ROUNDUP(SUM($J$7:U$7)*U$7/Qtrs_Yr,0)=0,0,LOOKUP(ROUNDUP(SUM($J$7:U$7)*U$7/Qtrs_Yr,0),Inputs!$F$35:$I$35,Inputs!$F$38:$I$38)*LOOKUP(ROUNDUP(SUM($J$7:U$7)*U$7/Qtrs_Yr,0),Inputs!$F$35:$I$35,Inputs!$F$36:$I$36))/Thousand/Qtrs_Yr))/Thousand+SUM(Inputs!$F$54:$F$61)*U$7/Qtrs_Yr)*(1+LOOKUP(YEAR(U$5),Inputs!$F$93:$I$93,Inputs!$F$94:$I$94)/Qtrs_Yr)^(COUNT($J$7:U7))*(U5-T5-Inputs!$F$98)/(U5-T5)+((Inputs!$F$64*(IF(ROUNDUP(SUM($I$7:T$7)*T$7/Qtrs_Yr,0)=0,0,LOOKUP(ROUNDUP(SUM($I$7:T$7)*T$7/Qtrs_Yr,0),Inputs!$F$35:$I$35,Inputs!$F$36:$I$36))/Thousand/Qtrs_Yr+IF(ROUNDUP(SUM($I$7:T$7)*T$7/Qtrs_Yr,0)=0,0,LOOKUP(ROUNDUP(SUM($I$7:T$7)*T$7/Qtrs_Yr,0),Inputs!$F$35:$I$35,Inputs!$F$38:$I$38)*LOOKUP(ROUNDUP(SUM($I$7:T$7)*T$7/Qtrs_Yr,0),Inputs!$F$35:$I$35,Inputs!$F$36:$I$36))/Thousand/Qtrs_Yr)+Inputs!$F$65*(IF(ROUNDUP(SUM($I$7:T$7)*T$7/Qtrs_Yr,0)=0,0,LOOKUP(ROUNDUP(SUM($I$7:T$7)*T$7/Qtrs_Yr,0),Inputs!$F$35:$I$35,Inputs!$F$36:$I$36))/Thousand/Qtrs_Yr)+Inputs!$F$66*(IF(ROUNDUP(SUM($I$7:T$7)*T$7/Qtrs_Yr,0)=0,0,LOOKUP(ROUNDUP(SUM($I$7:T$7)*T$7/Qtrs_Yr,0),Inputs!$F$35:$I$35,Inputs!$F$38:$I$38)*LOOKUP(ROUNDUP(SUM($I$7:T$7)*T$7/Qtrs_Yr,0),Inputs!$F$35:$I$35,Inputs!$F$36:$I$36))/Thousand/Qtrs_Yr))/Thousand+SUM(Inputs!$F$54:$F$61)*T$7/Qtrs_Yr)*(1+LOOKUP(YEAR(U$5),Inputs!$F$93:$I$93,Inputs!$F$94:$I$94)/Qtrs_Yr)^(COUNT($I$7:T7))*Inputs!$F$98/(T5-S5))-(((IF(ROUNDUP(SUM($J$7:U$7)*U$7/Qtrs_Yr,0)=0,0,LOOKUP(ROUNDUP(SUM($J$7:U$7)*U$7/Qtrs_Yr,0),Inputs!$F$35:$I$35,Inputs!$F$36:$I$36))/Thousand/Qtrs_Yr)*IF(ROUNDUP(SUM($J$7:U$7)*U$7/Qtrs_Yr,0)=0,0,LOOKUP(ROUNDUP(SUM($J$7:U$7)*U$7/Qtrs_Yr,0),Inputs!$F$41:$I$41,Inputs!$F$42:$I$42))/Grams_Oz*Inputs!$F$45)*LOOKUP(YEAR(U$5),Inputs!$F$49:$I$49,Inputs!$F$50:$I$50)/Thousand/LOOKUP(YEAR(U$5),Inputs!$F$89:$I$89,Inputs!$F$90:$I$90)-((Inputs!$F$64*(IF(ROUNDUP(SUM($J$7:U$7)*U$7/Qtrs_Yr,0)=0,0,LOOKUP(ROUNDUP(SUM($J$7:U$7)*U$7/Qtrs_Yr,0),Inputs!$F$35:$I$35,Inputs!$F$36:$I$36))/Thousand/Qtrs_Yr+IF(ROUNDUP(SUM($J$7:U$7)*U$7/Qtrs_Yr,0)=0,0,LOOKUP(ROUNDUP(SUM($J$7:U$7)*U$7/Qtrs_Yr,0),Inputs!$F$35:$I$35,Inputs!$F$38:$I$38)*LOOKUP(ROUNDUP(SUM($J$7:U$7)*U$7/Qtrs_Yr,0),Inputs!$F$35:$I$35,Inputs!$F$36:$I$36))/Thousand/Qtrs_Yr)+Inputs!$F$65*(IF(ROUNDUP(SUM($J$7:U$7)*U$7/Qtrs_Yr,0)=0,0,LOOKUP(ROUNDUP(SUM($J$7:U$7)*U$7/Qtrs_Yr,0),Inputs!$F$35:$I$35,Inputs!$F$36:$I$36))/Thousand/Qtrs_Yr)+Inputs!$F$66*(IF(ROUNDUP(SUM($J$7:U$7)*U$7/Qtrs_Yr,0)=0,0,LOOKUP(ROUNDUP(SUM($J$7:U$7)*U$7/Qtrs_Yr,0),Inputs!$F$35:$I$35,Inputs!$F$38:$I$38)*LOOKUP(ROUNDUP(SUM($J$7:U$7)*U$7/Qtrs_Yr,0),Inputs!$F$35:$I$35,Inputs!$F$36:$I$36))/Thousand/Qtrs_Yr))/Thousand+SUM(Inputs!$F$54:$F$61)*U$7/Qtrs_Yr)*(1+LOOKUP(YEAR(U$5),Inputs!$F$93:$I$93,Inputs!$F$94:$I$94)/Qtrs_Yr)^(COUNT($J$7:U7))-Inputs!$E$29*(1+Inputs!$E$31)*U$7/Inputs!$E$16/Qtrs_Yr-IF(OR(U$7=0,SUM($J7:U7)*U7&gt;Inputs!$F$77*Qtrs_Yr),0,(Inputs!$F$71-SUM($J7:U7,-1)*U7*Inputs!$F$71/Inputs!$F$77/Qtrs_Yr)*(LOOKUP(YEAR(V$5),Inputs!$F$85:$I$85,Inputs!$F$86:$I$86)+LOOKUP(ROUNDUP(SUM($J7:V7)*V7/Qtrs_Yr,0),Inputs!$G$73:$J$73,Inputs!$G$74:$J$74))/Qtrs_Yr))*Inputs!$F$101-IF(OR(U$7=0,SUM($J7:U7)*U7&gt;Inputs!$F$77*Qtrs_Yr),0,(Inputs!$F$71-SUM($J7:U7,-1)*U7*Inputs!$F$71/Inputs!$F$77/Qtrs_Yr)*(LOOKUP(YEAR(V$5),Inputs!$F$85:$I$85,Inputs!$F$86:$I$86)+LOOKUP(ROUNDUP(SUM($J7:V7)*V7/Qtrs_Yr,0),Inputs!$G$73:$J$73,Inputs!$G$74:$J$74))/Qtrs_Yr)-IF(OR(U$7=0,SUM($J7:U7)*U7&gt;Inputs!$F$77*Qtrs_Yr),0,Inputs!$F$71/Inputs!$F$77/Qtrs_Yr)</f>
        <v>6.4826287609995799</v>
      </c>
      <c r="V11" s="28">
        <f>(((IF(ROUNDUP(SUM($J$7:V$7)*V$7/Qtrs_Yr,0)=0,0,LOOKUP(ROUNDUP(SUM($J$7:V$7)*V$7/Qtrs_Yr,0),Inputs!$F$35:$I$35,Inputs!$F$36:$I$36))/Thousand/Qtrs_Yr)*IF(ROUNDUP(SUM($J$7:V$7)*V$7/Qtrs_Yr,0)=0,0,LOOKUP(ROUNDUP(SUM($J$7:V$7)*V$7/Qtrs_Yr,0),Inputs!$F$41:$I$41,Inputs!$F$42:$I$42))/Grams_Oz*Inputs!$F$45)*LOOKUP(YEAR(V$5),Inputs!$F$49:$I$49,Inputs!$F$50:$I$50)/Thousand/LOOKUP(YEAR(V$5),Inputs!$F$89:$I$89,Inputs!$F$90:$I$90)*(V5-U5-Inputs!$F$97)/(V5-U5)+((IF(ROUNDUP(SUM($I$7:U$7)*U$7/Qtrs_Yr,0)=0,0,LOOKUP(ROUNDUP(SUM($I$7:U$7)*U$7/Qtrs_Yr,0),Inputs!$F$35:$I$35,Inputs!$F$36:$I$36))/Thousand/Qtrs_Yr)*IF(ROUNDUP(SUM($I$7:U$7)*U$7/Qtrs_Yr,0)=0,0,LOOKUP(ROUNDUP(SUM($I$7:U$7)*U$7/Qtrs_Yr,0),Inputs!$F$41:$I$41,Inputs!$F$42:$I$42))/Grams_Oz*Inputs!$F$45)*LOOKUP(YEAR(U$5),Inputs!$F$49:$I$49,Inputs!$F$50:$I$50)/Thousand/LOOKUP(YEAR(U$5),Inputs!$F$89:$I$89,Inputs!$F$90:$I$90)*Inputs!$F$97/(U5-T5))-(((Inputs!$F$64*(IF(ROUNDUP(SUM($J$7:V$7)*V$7/Qtrs_Yr,0)=0,0,LOOKUP(ROUNDUP(SUM($J$7:V$7)*V$7/Qtrs_Yr,0),Inputs!$F$35:$I$35,Inputs!$F$36:$I$36))/Thousand/Qtrs_Yr+IF(ROUNDUP(SUM($J$7:V$7)*V$7/Qtrs_Yr,0)=0,0,LOOKUP(ROUNDUP(SUM($J$7:V$7)*V$7/Qtrs_Yr,0),Inputs!$F$35:$I$35,Inputs!$F$38:$I$38)*LOOKUP(ROUNDUP(SUM($J$7:V$7)*V$7/Qtrs_Yr,0),Inputs!$F$35:$I$35,Inputs!$F$36:$I$36))/Thousand/Qtrs_Yr)+Inputs!$F$65*(IF(ROUNDUP(SUM($J$7:V$7)*V$7/Qtrs_Yr,0)=0,0,LOOKUP(ROUNDUP(SUM($J$7:V$7)*V$7/Qtrs_Yr,0),Inputs!$F$35:$I$35,Inputs!$F$36:$I$36))/Thousand/Qtrs_Yr)+Inputs!$F$66*(IF(ROUNDUP(SUM($J$7:V$7)*V$7/Qtrs_Yr,0)=0,0,LOOKUP(ROUNDUP(SUM($J$7:V$7)*V$7/Qtrs_Yr,0),Inputs!$F$35:$I$35,Inputs!$F$38:$I$38)*LOOKUP(ROUNDUP(SUM($J$7:V$7)*V$7/Qtrs_Yr,0),Inputs!$F$35:$I$35,Inputs!$F$36:$I$36))/Thousand/Qtrs_Yr))/Thousand+SUM(Inputs!$F$54:$F$61)*V$7/Qtrs_Yr)*(1+LOOKUP(YEAR(V$5),Inputs!$F$93:$I$93,Inputs!$F$94:$I$94)/Qtrs_Yr)^(COUNT($J$7:V7))*(V5-U5-Inputs!$F$98)/(V5-U5)+((Inputs!$F$64*(IF(ROUNDUP(SUM($I$7:U$7)*U$7/Qtrs_Yr,0)=0,0,LOOKUP(ROUNDUP(SUM($I$7:U$7)*U$7/Qtrs_Yr,0),Inputs!$F$35:$I$35,Inputs!$F$36:$I$36))/Thousand/Qtrs_Yr+IF(ROUNDUP(SUM($I$7:U$7)*U$7/Qtrs_Yr,0)=0,0,LOOKUP(ROUNDUP(SUM($I$7:U$7)*U$7/Qtrs_Yr,0),Inputs!$F$35:$I$35,Inputs!$F$38:$I$38)*LOOKUP(ROUNDUP(SUM($I$7:U$7)*U$7/Qtrs_Yr,0),Inputs!$F$35:$I$35,Inputs!$F$36:$I$36))/Thousand/Qtrs_Yr)+Inputs!$F$65*(IF(ROUNDUP(SUM($I$7:U$7)*U$7/Qtrs_Yr,0)=0,0,LOOKUP(ROUNDUP(SUM($I$7:U$7)*U$7/Qtrs_Yr,0),Inputs!$F$35:$I$35,Inputs!$F$36:$I$36))/Thousand/Qtrs_Yr)+Inputs!$F$66*(IF(ROUNDUP(SUM($I$7:U$7)*U$7/Qtrs_Yr,0)=0,0,LOOKUP(ROUNDUP(SUM($I$7:U$7)*U$7/Qtrs_Yr,0),Inputs!$F$35:$I$35,Inputs!$F$38:$I$38)*LOOKUP(ROUNDUP(SUM($I$7:U$7)*U$7/Qtrs_Yr,0),Inputs!$F$35:$I$35,Inputs!$F$36:$I$36))/Thousand/Qtrs_Yr))/Thousand+SUM(Inputs!$F$54:$F$61)*U$7/Qtrs_Yr)*(1+LOOKUP(YEAR(V$5),Inputs!$F$93:$I$93,Inputs!$F$94:$I$94)/Qtrs_Yr)^(COUNT($I$7:U7))*Inputs!$F$98/(U5-T5))-(((IF(ROUNDUP(SUM($J$7:V$7)*V$7/Qtrs_Yr,0)=0,0,LOOKUP(ROUNDUP(SUM($J$7:V$7)*V$7/Qtrs_Yr,0),Inputs!$F$35:$I$35,Inputs!$F$36:$I$36))/Thousand/Qtrs_Yr)*IF(ROUNDUP(SUM($J$7:V$7)*V$7/Qtrs_Yr,0)=0,0,LOOKUP(ROUNDUP(SUM($J$7:V$7)*V$7/Qtrs_Yr,0),Inputs!$F$41:$I$41,Inputs!$F$42:$I$42))/Grams_Oz*Inputs!$F$45)*LOOKUP(YEAR(V$5),Inputs!$F$49:$I$49,Inputs!$F$50:$I$50)/Thousand/LOOKUP(YEAR(V$5),Inputs!$F$89:$I$89,Inputs!$F$90:$I$90)-((Inputs!$F$64*(IF(ROUNDUP(SUM($J$7:V$7)*V$7/Qtrs_Yr,0)=0,0,LOOKUP(ROUNDUP(SUM($J$7:V$7)*V$7/Qtrs_Yr,0),Inputs!$F$35:$I$35,Inputs!$F$36:$I$36))/Thousand/Qtrs_Yr+IF(ROUNDUP(SUM($J$7:V$7)*V$7/Qtrs_Yr,0)=0,0,LOOKUP(ROUNDUP(SUM($J$7:V$7)*V$7/Qtrs_Yr,0),Inputs!$F$35:$I$35,Inputs!$F$38:$I$38)*LOOKUP(ROUNDUP(SUM($J$7:V$7)*V$7/Qtrs_Yr,0),Inputs!$F$35:$I$35,Inputs!$F$36:$I$36))/Thousand/Qtrs_Yr)+Inputs!$F$65*(IF(ROUNDUP(SUM($J$7:V$7)*V$7/Qtrs_Yr,0)=0,0,LOOKUP(ROUNDUP(SUM($J$7:V$7)*V$7/Qtrs_Yr,0),Inputs!$F$35:$I$35,Inputs!$F$36:$I$36))/Thousand/Qtrs_Yr)+Inputs!$F$66*(IF(ROUNDUP(SUM($J$7:V$7)*V$7/Qtrs_Yr,0)=0,0,LOOKUP(ROUNDUP(SUM($J$7:V$7)*V$7/Qtrs_Yr,0),Inputs!$F$35:$I$35,Inputs!$F$38:$I$38)*LOOKUP(ROUNDUP(SUM($J$7:V$7)*V$7/Qtrs_Yr,0),Inputs!$F$35:$I$35,Inputs!$F$36:$I$36))/Thousand/Qtrs_Yr))/Thousand+SUM(Inputs!$F$54:$F$61)*V$7/Qtrs_Yr)*(1+LOOKUP(YEAR(V$5),Inputs!$F$93:$I$93,Inputs!$F$94:$I$94)/Qtrs_Yr)^(COUNT($J$7:V7))-Inputs!$E$29*(1+Inputs!$E$31)*V$7/Inputs!$E$16/Qtrs_Yr-IF(OR(V$7=0,SUM($J7:V7)*V7&gt;Inputs!$F$77*Qtrs_Yr),0,(Inputs!$F$71-SUM($J7:V7,-1)*V7*Inputs!$F$71/Inputs!$F$77/Qtrs_Yr)*(LOOKUP(YEAR(W$5),Inputs!$F$85:$I$85,Inputs!$F$86:$I$86)+LOOKUP(ROUNDUP(SUM($J7:W7)*W7/Qtrs_Yr,0),Inputs!$G$73:$J$73,Inputs!$G$74:$J$74))/Qtrs_Yr))*Inputs!$F$101-IF(OR(V$7=0,SUM($J7:V7)*V7&gt;Inputs!$F$77*Qtrs_Yr),0,(Inputs!$F$71-SUM($J7:V7,-1)*V7*Inputs!$F$71/Inputs!$F$77/Qtrs_Yr)*(LOOKUP(YEAR(W$5),Inputs!$F$85:$I$85,Inputs!$F$86:$I$86)+LOOKUP(ROUNDUP(SUM($J7:W7)*W7/Qtrs_Yr,0),Inputs!$G$73:$J$73,Inputs!$G$74:$J$74))/Qtrs_Yr)-IF(OR(V$7=0,SUM($J7:V7)*V7&gt;Inputs!$F$77*Qtrs_Yr),0,Inputs!$F$71/Inputs!$F$77/Qtrs_Yr)</f>
        <v>6.1335828698798736</v>
      </c>
      <c r="W11" s="28">
        <f>(((IF(ROUNDUP(SUM($J$7:W$7)*W$7/Qtrs_Yr,0)=0,0,LOOKUP(ROUNDUP(SUM($J$7:W$7)*W$7/Qtrs_Yr,0),Inputs!$F$35:$I$35,Inputs!$F$36:$I$36))/Thousand/Qtrs_Yr)*IF(ROUNDUP(SUM($J$7:W$7)*W$7/Qtrs_Yr,0)=0,0,LOOKUP(ROUNDUP(SUM($J$7:W$7)*W$7/Qtrs_Yr,0),Inputs!$F$41:$I$41,Inputs!$F$42:$I$42))/Grams_Oz*Inputs!$F$45)*LOOKUP(YEAR(W$5),Inputs!$F$49:$I$49,Inputs!$F$50:$I$50)/Thousand/LOOKUP(YEAR(W$5),Inputs!$F$89:$I$89,Inputs!$F$90:$I$90)*(W5-V5-Inputs!$F$97)/(W5-V5)+((IF(ROUNDUP(SUM($I$7:V$7)*V$7/Qtrs_Yr,0)=0,0,LOOKUP(ROUNDUP(SUM($I$7:V$7)*V$7/Qtrs_Yr,0),Inputs!$F$35:$I$35,Inputs!$F$36:$I$36))/Thousand/Qtrs_Yr)*IF(ROUNDUP(SUM($I$7:V$7)*V$7/Qtrs_Yr,0)=0,0,LOOKUP(ROUNDUP(SUM($I$7:V$7)*V$7/Qtrs_Yr,0),Inputs!$F$41:$I$41,Inputs!$F$42:$I$42))/Grams_Oz*Inputs!$F$45)*LOOKUP(YEAR(V$5),Inputs!$F$49:$I$49,Inputs!$F$50:$I$50)/Thousand/LOOKUP(YEAR(V$5),Inputs!$F$89:$I$89,Inputs!$F$90:$I$90)*Inputs!$F$97/(V5-U5))-(((Inputs!$F$64*(IF(ROUNDUP(SUM($J$7:W$7)*W$7/Qtrs_Yr,0)=0,0,LOOKUP(ROUNDUP(SUM($J$7:W$7)*W$7/Qtrs_Yr,0),Inputs!$F$35:$I$35,Inputs!$F$36:$I$36))/Thousand/Qtrs_Yr+IF(ROUNDUP(SUM($J$7:W$7)*W$7/Qtrs_Yr,0)=0,0,LOOKUP(ROUNDUP(SUM($J$7:W$7)*W$7/Qtrs_Yr,0),Inputs!$F$35:$I$35,Inputs!$F$38:$I$38)*LOOKUP(ROUNDUP(SUM($J$7:W$7)*W$7/Qtrs_Yr,0),Inputs!$F$35:$I$35,Inputs!$F$36:$I$36))/Thousand/Qtrs_Yr)+Inputs!$F$65*(IF(ROUNDUP(SUM($J$7:W$7)*W$7/Qtrs_Yr,0)=0,0,LOOKUP(ROUNDUP(SUM($J$7:W$7)*W$7/Qtrs_Yr,0),Inputs!$F$35:$I$35,Inputs!$F$36:$I$36))/Thousand/Qtrs_Yr)+Inputs!$F$66*(IF(ROUNDUP(SUM($J$7:W$7)*W$7/Qtrs_Yr,0)=0,0,LOOKUP(ROUNDUP(SUM($J$7:W$7)*W$7/Qtrs_Yr,0),Inputs!$F$35:$I$35,Inputs!$F$38:$I$38)*LOOKUP(ROUNDUP(SUM($J$7:W$7)*W$7/Qtrs_Yr,0),Inputs!$F$35:$I$35,Inputs!$F$36:$I$36))/Thousand/Qtrs_Yr))/Thousand+SUM(Inputs!$F$54:$F$61)*W$7/Qtrs_Yr)*(1+LOOKUP(YEAR(W$5),Inputs!$F$93:$I$93,Inputs!$F$94:$I$94)/Qtrs_Yr)^(COUNT($J$7:W7))*(W5-V5-Inputs!$F$98)/(W5-V5)+((Inputs!$F$64*(IF(ROUNDUP(SUM($I$7:V$7)*V$7/Qtrs_Yr,0)=0,0,LOOKUP(ROUNDUP(SUM($I$7:V$7)*V$7/Qtrs_Yr,0),Inputs!$F$35:$I$35,Inputs!$F$36:$I$36))/Thousand/Qtrs_Yr+IF(ROUNDUP(SUM($I$7:V$7)*V$7/Qtrs_Yr,0)=0,0,LOOKUP(ROUNDUP(SUM($I$7:V$7)*V$7/Qtrs_Yr,0),Inputs!$F$35:$I$35,Inputs!$F$38:$I$38)*LOOKUP(ROUNDUP(SUM($I$7:V$7)*V$7/Qtrs_Yr,0),Inputs!$F$35:$I$35,Inputs!$F$36:$I$36))/Thousand/Qtrs_Yr)+Inputs!$F$65*(IF(ROUNDUP(SUM($I$7:V$7)*V$7/Qtrs_Yr,0)=0,0,LOOKUP(ROUNDUP(SUM($I$7:V$7)*V$7/Qtrs_Yr,0),Inputs!$F$35:$I$35,Inputs!$F$36:$I$36))/Thousand/Qtrs_Yr)+Inputs!$F$66*(IF(ROUNDUP(SUM($I$7:V$7)*V$7/Qtrs_Yr,0)=0,0,LOOKUP(ROUNDUP(SUM($I$7:V$7)*V$7/Qtrs_Yr,0),Inputs!$F$35:$I$35,Inputs!$F$38:$I$38)*LOOKUP(ROUNDUP(SUM($I$7:V$7)*V$7/Qtrs_Yr,0),Inputs!$F$35:$I$35,Inputs!$F$36:$I$36))/Thousand/Qtrs_Yr))/Thousand+SUM(Inputs!$F$54:$F$61)*V$7/Qtrs_Yr)*(1+LOOKUP(YEAR(W$5),Inputs!$F$93:$I$93,Inputs!$F$94:$I$94)/Qtrs_Yr)^(COUNT($I$7:V7))*Inputs!$F$98/(V5-U5))-(((IF(ROUNDUP(SUM($J$7:W$7)*W$7/Qtrs_Yr,0)=0,0,LOOKUP(ROUNDUP(SUM($J$7:W$7)*W$7/Qtrs_Yr,0),Inputs!$F$35:$I$35,Inputs!$F$36:$I$36))/Thousand/Qtrs_Yr)*IF(ROUNDUP(SUM($J$7:W$7)*W$7/Qtrs_Yr,0)=0,0,LOOKUP(ROUNDUP(SUM($J$7:W$7)*W$7/Qtrs_Yr,0),Inputs!$F$41:$I$41,Inputs!$F$42:$I$42))/Grams_Oz*Inputs!$F$45)*LOOKUP(YEAR(W$5),Inputs!$F$49:$I$49,Inputs!$F$50:$I$50)/Thousand/LOOKUP(YEAR(W$5),Inputs!$F$89:$I$89,Inputs!$F$90:$I$90)-((Inputs!$F$64*(IF(ROUNDUP(SUM($J$7:W$7)*W$7/Qtrs_Yr,0)=0,0,LOOKUP(ROUNDUP(SUM($J$7:W$7)*W$7/Qtrs_Yr,0),Inputs!$F$35:$I$35,Inputs!$F$36:$I$36))/Thousand/Qtrs_Yr+IF(ROUNDUP(SUM($J$7:W$7)*W$7/Qtrs_Yr,0)=0,0,LOOKUP(ROUNDUP(SUM($J$7:W$7)*W$7/Qtrs_Yr,0),Inputs!$F$35:$I$35,Inputs!$F$38:$I$38)*LOOKUP(ROUNDUP(SUM($J$7:W$7)*W$7/Qtrs_Yr,0),Inputs!$F$35:$I$35,Inputs!$F$36:$I$36))/Thousand/Qtrs_Yr)+Inputs!$F$65*(IF(ROUNDUP(SUM($J$7:W$7)*W$7/Qtrs_Yr,0)=0,0,LOOKUP(ROUNDUP(SUM($J$7:W$7)*W$7/Qtrs_Yr,0),Inputs!$F$35:$I$35,Inputs!$F$36:$I$36))/Thousand/Qtrs_Yr)+Inputs!$F$66*(IF(ROUNDUP(SUM($J$7:W$7)*W$7/Qtrs_Yr,0)=0,0,LOOKUP(ROUNDUP(SUM($J$7:W$7)*W$7/Qtrs_Yr,0),Inputs!$F$35:$I$35,Inputs!$F$38:$I$38)*LOOKUP(ROUNDUP(SUM($J$7:W$7)*W$7/Qtrs_Yr,0),Inputs!$F$35:$I$35,Inputs!$F$36:$I$36))/Thousand/Qtrs_Yr))/Thousand+SUM(Inputs!$F$54:$F$61)*W$7/Qtrs_Yr)*(1+LOOKUP(YEAR(W$5),Inputs!$F$93:$I$93,Inputs!$F$94:$I$94)/Qtrs_Yr)^(COUNT($J$7:W7))-Inputs!$E$29*(1+Inputs!$E$31)*W$7/Inputs!$E$16/Qtrs_Yr-IF(OR(W$7=0,SUM($J7:W7)*W7&gt;Inputs!$F$77*Qtrs_Yr),0,(Inputs!$F$71-SUM($J7:W7,-1)*W7*Inputs!$F$71/Inputs!$F$77/Qtrs_Yr)*(LOOKUP(YEAR(X$5),Inputs!$F$85:$I$85,Inputs!$F$86:$I$86)+LOOKUP(ROUNDUP(SUM($J7:X7)*X7/Qtrs_Yr,0),Inputs!$G$73:$J$73,Inputs!$G$74:$J$74))/Qtrs_Yr))*Inputs!$F$101-IF(OR(W$7=0,SUM($J7:W7)*W7&gt;Inputs!$F$77*Qtrs_Yr),0,(Inputs!$F$71-SUM($J7:W7,-1)*W7*Inputs!$F$71/Inputs!$F$77/Qtrs_Yr)*(LOOKUP(YEAR(X$5),Inputs!$F$85:$I$85,Inputs!$F$86:$I$86)+LOOKUP(ROUNDUP(SUM($J7:X7)*X7/Qtrs_Yr,0),Inputs!$G$73:$J$73,Inputs!$G$74:$J$74))/Qtrs_Yr)-IF(OR(W$7=0,SUM($J7:W7)*W7&gt;Inputs!$F$77*Qtrs_Yr),0,Inputs!$F$71/Inputs!$F$77/Qtrs_Yr)</f>
        <v>7.0061722509408089</v>
      </c>
      <c r="X11" s="28">
        <f>(((IF(ROUNDUP(SUM($J$7:X$7)*X$7/Qtrs_Yr,0)=0,0,LOOKUP(ROUNDUP(SUM($J$7:X$7)*X$7/Qtrs_Yr,0),Inputs!$F$35:$I$35,Inputs!$F$36:$I$36))/Thousand/Qtrs_Yr)*IF(ROUNDUP(SUM($J$7:X$7)*X$7/Qtrs_Yr,0)=0,0,LOOKUP(ROUNDUP(SUM($J$7:X$7)*X$7/Qtrs_Yr,0),Inputs!$F$41:$I$41,Inputs!$F$42:$I$42))/Grams_Oz*Inputs!$F$45)*LOOKUP(YEAR(X$5),Inputs!$F$49:$I$49,Inputs!$F$50:$I$50)/Thousand/LOOKUP(YEAR(X$5),Inputs!$F$89:$I$89,Inputs!$F$90:$I$90)*(X5-W5-Inputs!$F$97)/(X5-W5)+((IF(ROUNDUP(SUM($I$7:W$7)*W$7/Qtrs_Yr,0)=0,0,LOOKUP(ROUNDUP(SUM($I$7:W$7)*W$7/Qtrs_Yr,0),Inputs!$F$35:$I$35,Inputs!$F$36:$I$36))/Thousand/Qtrs_Yr)*IF(ROUNDUP(SUM($I$7:W$7)*W$7/Qtrs_Yr,0)=0,0,LOOKUP(ROUNDUP(SUM($I$7:W$7)*W$7/Qtrs_Yr,0),Inputs!$F$41:$I$41,Inputs!$F$42:$I$42))/Grams_Oz*Inputs!$F$45)*LOOKUP(YEAR(W$5),Inputs!$F$49:$I$49,Inputs!$F$50:$I$50)/Thousand/LOOKUP(YEAR(W$5),Inputs!$F$89:$I$89,Inputs!$F$90:$I$90)*Inputs!$F$97/(W5-V5))-(((Inputs!$F$64*(IF(ROUNDUP(SUM($J$7:X$7)*X$7/Qtrs_Yr,0)=0,0,LOOKUP(ROUNDUP(SUM($J$7:X$7)*X$7/Qtrs_Yr,0),Inputs!$F$35:$I$35,Inputs!$F$36:$I$36))/Thousand/Qtrs_Yr+IF(ROUNDUP(SUM($J$7:X$7)*X$7/Qtrs_Yr,0)=0,0,LOOKUP(ROUNDUP(SUM($J$7:X$7)*X$7/Qtrs_Yr,0),Inputs!$F$35:$I$35,Inputs!$F$38:$I$38)*LOOKUP(ROUNDUP(SUM($J$7:X$7)*X$7/Qtrs_Yr,0),Inputs!$F$35:$I$35,Inputs!$F$36:$I$36))/Thousand/Qtrs_Yr)+Inputs!$F$65*(IF(ROUNDUP(SUM($J$7:X$7)*X$7/Qtrs_Yr,0)=0,0,LOOKUP(ROUNDUP(SUM($J$7:X$7)*X$7/Qtrs_Yr,0),Inputs!$F$35:$I$35,Inputs!$F$36:$I$36))/Thousand/Qtrs_Yr)+Inputs!$F$66*(IF(ROUNDUP(SUM($J$7:X$7)*X$7/Qtrs_Yr,0)=0,0,LOOKUP(ROUNDUP(SUM($J$7:X$7)*X$7/Qtrs_Yr,0),Inputs!$F$35:$I$35,Inputs!$F$38:$I$38)*LOOKUP(ROUNDUP(SUM($J$7:X$7)*X$7/Qtrs_Yr,0),Inputs!$F$35:$I$35,Inputs!$F$36:$I$36))/Thousand/Qtrs_Yr))/Thousand+SUM(Inputs!$F$54:$F$61)*X$7/Qtrs_Yr)*(1+LOOKUP(YEAR(X$5),Inputs!$F$93:$I$93,Inputs!$F$94:$I$94)/Qtrs_Yr)^(COUNT($J$7:X7))*(X5-W5-Inputs!$F$98)/(X5-W5)+((Inputs!$F$64*(IF(ROUNDUP(SUM($I$7:W$7)*W$7/Qtrs_Yr,0)=0,0,LOOKUP(ROUNDUP(SUM($I$7:W$7)*W$7/Qtrs_Yr,0),Inputs!$F$35:$I$35,Inputs!$F$36:$I$36))/Thousand/Qtrs_Yr+IF(ROUNDUP(SUM($I$7:W$7)*W$7/Qtrs_Yr,0)=0,0,LOOKUP(ROUNDUP(SUM($I$7:W$7)*W$7/Qtrs_Yr,0),Inputs!$F$35:$I$35,Inputs!$F$38:$I$38)*LOOKUP(ROUNDUP(SUM($I$7:W$7)*W$7/Qtrs_Yr,0),Inputs!$F$35:$I$35,Inputs!$F$36:$I$36))/Thousand/Qtrs_Yr)+Inputs!$F$65*(IF(ROUNDUP(SUM($I$7:W$7)*W$7/Qtrs_Yr,0)=0,0,LOOKUP(ROUNDUP(SUM($I$7:W$7)*W$7/Qtrs_Yr,0),Inputs!$F$35:$I$35,Inputs!$F$36:$I$36))/Thousand/Qtrs_Yr)+Inputs!$F$66*(IF(ROUNDUP(SUM($I$7:W$7)*W$7/Qtrs_Yr,0)=0,0,LOOKUP(ROUNDUP(SUM($I$7:W$7)*W$7/Qtrs_Yr,0),Inputs!$F$35:$I$35,Inputs!$F$38:$I$38)*LOOKUP(ROUNDUP(SUM($I$7:W$7)*W$7/Qtrs_Yr,0),Inputs!$F$35:$I$35,Inputs!$F$36:$I$36))/Thousand/Qtrs_Yr))/Thousand+SUM(Inputs!$F$54:$F$61)*W$7/Qtrs_Yr)*(1+LOOKUP(YEAR(X$5),Inputs!$F$93:$I$93,Inputs!$F$94:$I$94)/Qtrs_Yr)^(COUNT($I$7:W7))*Inputs!$F$98/(W5-V5))-(((IF(ROUNDUP(SUM($J$7:X$7)*X$7/Qtrs_Yr,0)=0,0,LOOKUP(ROUNDUP(SUM($J$7:X$7)*X$7/Qtrs_Yr,0),Inputs!$F$35:$I$35,Inputs!$F$36:$I$36))/Thousand/Qtrs_Yr)*IF(ROUNDUP(SUM($J$7:X$7)*X$7/Qtrs_Yr,0)=0,0,LOOKUP(ROUNDUP(SUM($J$7:X$7)*X$7/Qtrs_Yr,0),Inputs!$F$41:$I$41,Inputs!$F$42:$I$42))/Grams_Oz*Inputs!$F$45)*LOOKUP(YEAR(X$5),Inputs!$F$49:$I$49,Inputs!$F$50:$I$50)/Thousand/LOOKUP(YEAR(X$5),Inputs!$F$89:$I$89,Inputs!$F$90:$I$90)-((Inputs!$F$64*(IF(ROUNDUP(SUM($J$7:X$7)*X$7/Qtrs_Yr,0)=0,0,LOOKUP(ROUNDUP(SUM($J$7:X$7)*X$7/Qtrs_Yr,0),Inputs!$F$35:$I$35,Inputs!$F$36:$I$36))/Thousand/Qtrs_Yr+IF(ROUNDUP(SUM($J$7:X$7)*X$7/Qtrs_Yr,0)=0,0,LOOKUP(ROUNDUP(SUM($J$7:X$7)*X$7/Qtrs_Yr,0),Inputs!$F$35:$I$35,Inputs!$F$38:$I$38)*LOOKUP(ROUNDUP(SUM($J$7:X$7)*X$7/Qtrs_Yr,0),Inputs!$F$35:$I$35,Inputs!$F$36:$I$36))/Thousand/Qtrs_Yr)+Inputs!$F$65*(IF(ROUNDUP(SUM($J$7:X$7)*X$7/Qtrs_Yr,0)=0,0,LOOKUP(ROUNDUP(SUM($J$7:X$7)*X$7/Qtrs_Yr,0),Inputs!$F$35:$I$35,Inputs!$F$36:$I$36))/Thousand/Qtrs_Yr)+Inputs!$F$66*(IF(ROUNDUP(SUM($J$7:X$7)*X$7/Qtrs_Yr,0)=0,0,LOOKUP(ROUNDUP(SUM($J$7:X$7)*X$7/Qtrs_Yr,0),Inputs!$F$35:$I$35,Inputs!$F$38:$I$38)*LOOKUP(ROUNDUP(SUM($J$7:X$7)*X$7/Qtrs_Yr,0),Inputs!$F$35:$I$35,Inputs!$F$36:$I$36))/Thousand/Qtrs_Yr))/Thousand+SUM(Inputs!$F$54:$F$61)*X$7/Qtrs_Yr)*(1+LOOKUP(YEAR(X$5),Inputs!$F$93:$I$93,Inputs!$F$94:$I$94)/Qtrs_Yr)^(COUNT($J$7:X7))-Inputs!$E$29*(1+Inputs!$E$31)*X$7/Inputs!$E$16/Qtrs_Yr-IF(OR(X$7=0,SUM($J7:X7)*X7&gt;Inputs!$F$77*Qtrs_Yr),0,(Inputs!$F$71-SUM($J7:X7,-1)*X7*Inputs!$F$71/Inputs!$F$77/Qtrs_Yr)*(LOOKUP(YEAR(Y$5),Inputs!$F$85:$I$85,Inputs!$F$86:$I$86)+LOOKUP(ROUNDUP(SUM($J7:Y7)*Y7/Qtrs_Yr,0),Inputs!$G$73:$J$73,Inputs!$G$74:$J$74))/Qtrs_Yr))*Inputs!$F$101-IF(OR(X$7=0,SUM($J7:X7)*X7&gt;Inputs!$F$77*Qtrs_Yr),0,(Inputs!$F$71-SUM($J7:X7,-1)*X7*Inputs!$F$71/Inputs!$F$77/Qtrs_Yr)*(LOOKUP(YEAR(Y$5),Inputs!$F$85:$I$85,Inputs!$F$86:$I$86)+LOOKUP(ROUNDUP(SUM($J7:Y7)*Y7/Qtrs_Yr,0),Inputs!$G$73:$J$73,Inputs!$G$74:$J$74))/Qtrs_Yr)-IF(OR(X$7=0,SUM($J7:X7)*X7&gt;Inputs!$F$77*Qtrs_Yr),0,Inputs!$F$71/Inputs!$F$77/Qtrs_Yr)</f>
        <v>6.9773370093928104</v>
      </c>
      <c r="Y11" s="28">
        <f>(((IF(ROUNDUP(SUM($J$7:Y$7)*Y$7/Qtrs_Yr,0)=0,0,LOOKUP(ROUNDUP(SUM($J$7:Y$7)*Y$7/Qtrs_Yr,0),Inputs!$F$35:$I$35,Inputs!$F$36:$I$36))/Thousand/Qtrs_Yr)*IF(ROUNDUP(SUM($J$7:Y$7)*Y$7/Qtrs_Yr,0)=0,0,LOOKUP(ROUNDUP(SUM($J$7:Y$7)*Y$7/Qtrs_Yr,0),Inputs!$F$41:$I$41,Inputs!$F$42:$I$42))/Grams_Oz*Inputs!$F$45)*LOOKUP(YEAR(Y$5),Inputs!$F$49:$I$49,Inputs!$F$50:$I$50)/Thousand/LOOKUP(YEAR(Y$5),Inputs!$F$89:$I$89,Inputs!$F$90:$I$90)*(Y5-X5-Inputs!$F$97)/(Y5-X5)+((IF(ROUNDUP(SUM($I$7:X$7)*X$7/Qtrs_Yr,0)=0,0,LOOKUP(ROUNDUP(SUM($I$7:X$7)*X$7/Qtrs_Yr,0),Inputs!$F$35:$I$35,Inputs!$F$36:$I$36))/Thousand/Qtrs_Yr)*IF(ROUNDUP(SUM($I$7:X$7)*X$7/Qtrs_Yr,0)=0,0,LOOKUP(ROUNDUP(SUM($I$7:X$7)*X$7/Qtrs_Yr,0),Inputs!$F$41:$I$41,Inputs!$F$42:$I$42))/Grams_Oz*Inputs!$F$45)*LOOKUP(YEAR(X$5),Inputs!$F$49:$I$49,Inputs!$F$50:$I$50)/Thousand/LOOKUP(YEAR(X$5),Inputs!$F$89:$I$89,Inputs!$F$90:$I$90)*Inputs!$F$97/(X5-W5))-(((Inputs!$F$64*(IF(ROUNDUP(SUM($J$7:Y$7)*Y$7/Qtrs_Yr,0)=0,0,LOOKUP(ROUNDUP(SUM($J$7:Y$7)*Y$7/Qtrs_Yr,0),Inputs!$F$35:$I$35,Inputs!$F$36:$I$36))/Thousand/Qtrs_Yr+IF(ROUNDUP(SUM($J$7:Y$7)*Y$7/Qtrs_Yr,0)=0,0,LOOKUP(ROUNDUP(SUM($J$7:Y$7)*Y$7/Qtrs_Yr,0),Inputs!$F$35:$I$35,Inputs!$F$38:$I$38)*LOOKUP(ROUNDUP(SUM($J$7:Y$7)*Y$7/Qtrs_Yr,0),Inputs!$F$35:$I$35,Inputs!$F$36:$I$36))/Thousand/Qtrs_Yr)+Inputs!$F$65*(IF(ROUNDUP(SUM($J$7:Y$7)*Y$7/Qtrs_Yr,0)=0,0,LOOKUP(ROUNDUP(SUM($J$7:Y$7)*Y$7/Qtrs_Yr,0),Inputs!$F$35:$I$35,Inputs!$F$36:$I$36))/Thousand/Qtrs_Yr)+Inputs!$F$66*(IF(ROUNDUP(SUM($J$7:Y$7)*Y$7/Qtrs_Yr,0)=0,0,LOOKUP(ROUNDUP(SUM($J$7:Y$7)*Y$7/Qtrs_Yr,0),Inputs!$F$35:$I$35,Inputs!$F$38:$I$38)*LOOKUP(ROUNDUP(SUM($J$7:Y$7)*Y$7/Qtrs_Yr,0),Inputs!$F$35:$I$35,Inputs!$F$36:$I$36))/Thousand/Qtrs_Yr))/Thousand+SUM(Inputs!$F$54:$F$61)*Y$7/Qtrs_Yr)*(1+LOOKUP(YEAR(Y$5),Inputs!$F$93:$I$93,Inputs!$F$94:$I$94)/Qtrs_Yr)^(COUNT($J$7:Y7))*(Y5-X5-Inputs!$F$98)/(Y5-X5)+((Inputs!$F$64*(IF(ROUNDUP(SUM($I$7:X$7)*X$7/Qtrs_Yr,0)=0,0,LOOKUP(ROUNDUP(SUM($I$7:X$7)*X$7/Qtrs_Yr,0),Inputs!$F$35:$I$35,Inputs!$F$36:$I$36))/Thousand/Qtrs_Yr+IF(ROUNDUP(SUM($I$7:X$7)*X$7/Qtrs_Yr,0)=0,0,LOOKUP(ROUNDUP(SUM($I$7:X$7)*X$7/Qtrs_Yr,0),Inputs!$F$35:$I$35,Inputs!$F$38:$I$38)*LOOKUP(ROUNDUP(SUM($I$7:X$7)*X$7/Qtrs_Yr,0),Inputs!$F$35:$I$35,Inputs!$F$36:$I$36))/Thousand/Qtrs_Yr)+Inputs!$F$65*(IF(ROUNDUP(SUM($I$7:X$7)*X$7/Qtrs_Yr,0)=0,0,LOOKUP(ROUNDUP(SUM($I$7:X$7)*X$7/Qtrs_Yr,0),Inputs!$F$35:$I$35,Inputs!$F$36:$I$36))/Thousand/Qtrs_Yr)+Inputs!$F$66*(IF(ROUNDUP(SUM($I$7:X$7)*X$7/Qtrs_Yr,0)=0,0,LOOKUP(ROUNDUP(SUM($I$7:X$7)*X$7/Qtrs_Yr,0),Inputs!$F$35:$I$35,Inputs!$F$38:$I$38)*LOOKUP(ROUNDUP(SUM($I$7:X$7)*X$7/Qtrs_Yr,0),Inputs!$F$35:$I$35,Inputs!$F$36:$I$36))/Thousand/Qtrs_Yr))/Thousand+SUM(Inputs!$F$54:$F$61)*X$7/Qtrs_Yr)*(1+LOOKUP(YEAR(Y$5),Inputs!$F$93:$I$93,Inputs!$F$94:$I$94)/Qtrs_Yr)^(COUNT($I$7:X7))*Inputs!$F$98/(X5-W5))-(((IF(ROUNDUP(SUM($J$7:Y$7)*Y$7/Qtrs_Yr,0)=0,0,LOOKUP(ROUNDUP(SUM($J$7:Y$7)*Y$7/Qtrs_Yr,0),Inputs!$F$35:$I$35,Inputs!$F$36:$I$36))/Thousand/Qtrs_Yr)*IF(ROUNDUP(SUM($J$7:Y$7)*Y$7/Qtrs_Yr,0)=0,0,LOOKUP(ROUNDUP(SUM($J$7:Y$7)*Y$7/Qtrs_Yr,0),Inputs!$F$41:$I$41,Inputs!$F$42:$I$42))/Grams_Oz*Inputs!$F$45)*LOOKUP(YEAR(Y$5),Inputs!$F$49:$I$49,Inputs!$F$50:$I$50)/Thousand/LOOKUP(YEAR(Y$5),Inputs!$F$89:$I$89,Inputs!$F$90:$I$90)-((Inputs!$F$64*(IF(ROUNDUP(SUM($J$7:Y$7)*Y$7/Qtrs_Yr,0)=0,0,LOOKUP(ROUNDUP(SUM($J$7:Y$7)*Y$7/Qtrs_Yr,0),Inputs!$F$35:$I$35,Inputs!$F$36:$I$36))/Thousand/Qtrs_Yr+IF(ROUNDUP(SUM($J$7:Y$7)*Y$7/Qtrs_Yr,0)=0,0,LOOKUP(ROUNDUP(SUM($J$7:Y$7)*Y$7/Qtrs_Yr,0),Inputs!$F$35:$I$35,Inputs!$F$38:$I$38)*LOOKUP(ROUNDUP(SUM($J$7:Y$7)*Y$7/Qtrs_Yr,0),Inputs!$F$35:$I$35,Inputs!$F$36:$I$36))/Thousand/Qtrs_Yr)+Inputs!$F$65*(IF(ROUNDUP(SUM($J$7:Y$7)*Y$7/Qtrs_Yr,0)=0,0,LOOKUP(ROUNDUP(SUM($J$7:Y$7)*Y$7/Qtrs_Yr,0),Inputs!$F$35:$I$35,Inputs!$F$36:$I$36))/Thousand/Qtrs_Yr)+Inputs!$F$66*(IF(ROUNDUP(SUM($J$7:Y$7)*Y$7/Qtrs_Yr,0)=0,0,LOOKUP(ROUNDUP(SUM($J$7:Y$7)*Y$7/Qtrs_Yr,0),Inputs!$F$35:$I$35,Inputs!$F$38:$I$38)*LOOKUP(ROUNDUP(SUM($J$7:Y$7)*Y$7/Qtrs_Yr,0),Inputs!$F$35:$I$35,Inputs!$F$36:$I$36))/Thousand/Qtrs_Yr))/Thousand+SUM(Inputs!$F$54:$F$61)*Y$7/Qtrs_Yr)*(1+LOOKUP(YEAR(Y$5),Inputs!$F$93:$I$93,Inputs!$F$94:$I$94)/Qtrs_Yr)^(COUNT($J$7:Y7))-Inputs!$E$29*(1+Inputs!$E$31)*Y$7/Inputs!$E$16/Qtrs_Yr-IF(OR(Y$7=0,SUM($J7:Y7)*Y7&gt;Inputs!$F$77*Qtrs_Yr),0,(Inputs!$F$71-SUM($J7:Y7,-1)*Y7*Inputs!$F$71/Inputs!$F$77/Qtrs_Yr)*(LOOKUP(YEAR(Z$5),Inputs!$F$85:$I$85,Inputs!$F$86:$I$86)+LOOKUP(ROUNDUP(SUM($J7:Z7)*Z7/Qtrs_Yr,0),Inputs!$G$73:$J$73,Inputs!$G$74:$J$74))/Qtrs_Yr))*Inputs!$F$101-IF(OR(Y$7=0,SUM($J7:Y7)*Y7&gt;Inputs!$F$77*Qtrs_Yr),0,(Inputs!$F$71-SUM($J7:Y7,-1)*Y7*Inputs!$F$71/Inputs!$F$77/Qtrs_Yr)*(LOOKUP(YEAR(Z$5),Inputs!$F$85:$I$85,Inputs!$F$86:$I$86)+LOOKUP(ROUNDUP(SUM($J7:Z7)*Z7/Qtrs_Yr,0),Inputs!$G$73:$J$73,Inputs!$G$74:$J$74))/Qtrs_Yr)-IF(OR(Y$7=0,SUM($J7:Y7)*Y7&gt;Inputs!$F$77*Qtrs_Yr),0,Inputs!$F$71/Inputs!$F$77/Qtrs_Yr)</f>
        <v>6.9174971140378307</v>
      </c>
      <c r="Z11" s="28">
        <f>(((IF(ROUNDUP(SUM($J$7:Z$7)*Z$7/Qtrs_Yr,0)=0,0,LOOKUP(ROUNDUP(SUM($J$7:Z$7)*Z$7/Qtrs_Yr,0),Inputs!$F$35:$I$35,Inputs!$F$36:$I$36))/Thousand/Qtrs_Yr)*IF(ROUNDUP(SUM($J$7:Z$7)*Z$7/Qtrs_Yr,0)=0,0,LOOKUP(ROUNDUP(SUM($J$7:Z$7)*Z$7/Qtrs_Yr,0),Inputs!$F$41:$I$41,Inputs!$F$42:$I$42))/Grams_Oz*Inputs!$F$45)*LOOKUP(YEAR(Z$5),Inputs!$F$49:$I$49,Inputs!$F$50:$I$50)/Thousand/LOOKUP(YEAR(Z$5),Inputs!$F$89:$I$89,Inputs!$F$90:$I$90)*(Z5-Y5-Inputs!$F$97)/(Z5-Y5)+((IF(ROUNDUP(SUM($I$7:Y$7)*Y$7/Qtrs_Yr,0)=0,0,LOOKUP(ROUNDUP(SUM($I$7:Y$7)*Y$7/Qtrs_Yr,0),Inputs!$F$35:$I$35,Inputs!$F$36:$I$36))/Thousand/Qtrs_Yr)*IF(ROUNDUP(SUM($I$7:Y$7)*Y$7/Qtrs_Yr,0)=0,0,LOOKUP(ROUNDUP(SUM($I$7:Y$7)*Y$7/Qtrs_Yr,0),Inputs!$F$41:$I$41,Inputs!$F$42:$I$42))/Grams_Oz*Inputs!$F$45)*LOOKUP(YEAR(Y$5),Inputs!$F$49:$I$49,Inputs!$F$50:$I$50)/Thousand/LOOKUP(YEAR(Y$5),Inputs!$F$89:$I$89,Inputs!$F$90:$I$90)*Inputs!$F$97/(Y5-X5))-(((Inputs!$F$64*(IF(ROUNDUP(SUM($J$7:Z$7)*Z$7/Qtrs_Yr,0)=0,0,LOOKUP(ROUNDUP(SUM($J$7:Z$7)*Z$7/Qtrs_Yr,0),Inputs!$F$35:$I$35,Inputs!$F$36:$I$36))/Thousand/Qtrs_Yr+IF(ROUNDUP(SUM($J$7:Z$7)*Z$7/Qtrs_Yr,0)=0,0,LOOKUP(ROUNDUP(SUM($J$7:Z$7)*Z$7/Qtrs_Yr,0),Inputs!$F$35:$I$35,Inputs!$F$38:$I$38)*LOOKUP(ROUNDUP(SUM($J$7:Z$7)*Z$7/Qtrs_Yr,0),Inputs!$F$35:$I$35,Inputs!$F$36:$I$36))/Thousand/Qtrs_Yr)+Inputs!$F$65*(IF(ROUNDUP(SUM($J$7:Z$7)*Z$7/Qtrs_Yr,0)=0,0,LOOKUP(ROUNDUP(SUM($J$7:Z$7)*Z$7/Qtrs_Yr,0),Inputs!$F$35:$I$35,Inputs!$F$36:$I$36))/Thousand/Qtrs_Yr)+Inputs!$F$66*(IF(ROUNDUP(SUM($J$7:Z$7)*Z$7/Qtrs_Yr,0)=0,0,LOOKUP(ROUNDUP(SUM($J$7:Z$7)*Z$7/Qtrs_Yr,0),Inputs!$F$35:$I$35,Inputs!$F$38:$I$38)*LOOKUP(ROUNDUP(SUM($J$7:Z$7)*Z$7/Qtrs_Yr,0),Inputs!$F$35:$I$35,Inputs!$F$36:$I$36))/Thousand/Qtrs_Yr))/Thousand+SUM(Inputs!$F$54:$F$61)*Z$7/Qtrs_Yr)*(1+LOOKUP(YEAR(Z$5),Inputs!$F$93:$I$93,Inputs!$F$94:$I$94)/Qtrs_Yr)^(COUNT($J$7:Z7))*(Z5-Y5-Inputs!$F$98)/(Z5-Y5)+((Inputs!$F$64*(IF(ROUNDUP(SUM($I$7:Y$7)*Y$7/Qtrs_Yr,0)=0,0,LOOKUP(ROUNDUP(SUM($I$7:Y$7)*Y$7/Qtrs_Yr,0),Inputs!$F$35:$I$35,Inputs!$F$36:$I$36))/Thousand/Qtrs_Yr+IF(ROUNDUP(SUM($I$7:Y$7)*Y$7/Qtrs_Yr,0)=0,0,LOOKUP(ROUNDUP(SUM($I$7:Y$7)*Y$7/Qtrs_Yr,0),Inputs!$F$35:$I$35,Inputs!$F$38:$I$38)*LOOKUP(ROUNDUP(SUM($I$7:Y$7)*Y$7/Qtrs_Yr,0),Inputs!$F$35:$I$35,Inputs!$F$36:$I$36))/Thousand/Qtrs_Yr)+Inputs!$F$65*(IF(ROUNDUP(SUM($I$7:Y$7)*Y$7/Qtrs_Yr,0)=0,0,LOOKUP(ROUNDUP(SUM($I$7:Y$7)*Y$7/Qtrs_Yr,0),Inputs!$F$35:$I$35,Inputs!$F$36:$I$36))/Thousand/Qtrs_Yr)+Inputs!$F$66*(IF(ROUNDUP(SUM($I$7:Y$7)*Y$7/Qtrs_Yr,0)=0,0,LOOKUP(ROUNDUP(SUM($I$7:Y$7)*Y$7/Qtrs_Yr,0),Inputs!$F$35:$I$35,Inputs!$F$38:$I$38)*LOOKUP(ROUNDUP(SUM($I$7:Y$7)*Y$7/Qtrs_Yr,0),Inputs!$F$35:$I$35,Inputs!$F$36:$I$36))/Thousand/Qtrs_Yr))/Thousand+SUM(Inputs!$F$54:$F$61)*Y$7/Qtrs_Yr)*(1+LOOKUP(YEAR(Z$5),Inputs!$F$93:$I$93,Inputs!$F$94:$I$94)/Qtrs_Yr)^(COUNT($I$7:Y7))*Inputs!$F$98/(Y5-X5))-(((IF(ROUNDUP(SUM($J$7:Z$7)*Z$7/Qtrs_Yr,0)=0,0,LOOKUP(ROUNDUP(SUM($J$7:Z$7)*Z$7/Qtrs_Yr,0),Inputs!$F$35:$I$35,Inputs!$F$36:$I$36))/Thousand/Qtrs_Yr)*IF(ROUNDUP(SUM($J$7:Z$7)*Z$7/Qtrs_Yr,0)=0,0,LOOKUP(ROUNDUP(SUM($J$7:Z$7)*Z$7/Qtrs_Yr,0),Inputs!$F$41:$I$41,Inputs!$F$42:$I$42))/Grams_Oz*Inputs!$F$45)*LOOKUP(YEAR(Z$5),Inputs!$F$49:$I$49,Inputs!$F$50:$I$50)/Thousand/LOOKUP(YEAR(Z$5),Inputs!$F$89:$I$89,Inputs!$F$90:$I$90)-((Inputs!$F$64*(IF(ROUNDUP(SUM($J$7:Z$7)*Z$7/Qtrs_Yr,0)=0,0,LOOKUP(ROUNDUP(SUM($J$7:Z$7)*Z$7/Qtrs_Yr,0),Inputs!$F$35:$I$35,Inputs!$F$36:$I$36))/Thousand/Qtrs_Yr+IF(ROUNDUP(SUM($J$7:Z$7)*Z$7/Qtrs_Yr,0)=0,0,LOOKUP(ROUNDUP(SUM($J$7:Z$7)*Z$7/Qtrs_Yr,0),Inputs!$F$35:$I$35,Inputs!$F$38:$I$38)*LOOKUP(ROUNDUP(SUM($J$7:Z$7)*Z$7/Qtrs_Yr,0),Inputs!$F$35:$I$35,Inputs!$F$36:$I$36))/Thousand/Qtrs_Yr)+Inputs!$F$65*(IF(ROUNDUP(SUM($J$7:Z$7)*Z$7/Qtrs_Yr,0)=0,0,LOOKUP(ROUNDUP(SUM($J$7:Z$7)*Z$7/Qtrs_Yr,0),Inputs!$F$35:$I$35,Inputs!$F$36:$I$36))/Thousand/Qtrs_Yr)+Inputs!$F$66*(IF(ROUNDUP(SUM($J$7:Z$7)*Z$7/Qtrs_Yr,0)=0,0,LOOKUP(ROUNDUP(SUM($J$7:Z$7)*Z$7/Qtrs_Yr,0),Inputs!$F$35:$I$35,Inputs!$F$38:$I$38)*LOOKUP(ROUNDUP(SUM($J$7:Z$7)*Z$7/Qtrs_Yr,0),Inputs!$F$35:$I$35,Inputs!$F$36:$I$36))/Thousand/Qtrs_Yr))/Thousand+SUM(Inputs!$F$54:$F$61)*Z$7/Qtrs_Yr)*(1+LOOKUP(YEAR(Z$5),Inputs!$F$93:$I$93,Inputs!$F$94:$I$94)/Qtrs_Yr)^(COUNT($J$7:Z7))-Inputs!$E$29*(1+Inputs!$E$31)*Z$7/Inputs!$E$16/Qtrs_Yr-IF(OR(Z$7=0,SUM($J7:Z7)*Z7&gt;Inputs!$F$77*Qtrs_Yr),0,(Inputs!$F$71-SUM($J7:Z7,-1)*Z7*Inputs!$F$71/Inputs!$F$77/Qtrs_Yr)*(LOOKUP(YEAR(AA$5),Inputs!$F$85:$I$85,Inputs!$F$86:$I$86)+LOOKUP(ROUNDUP(SUM($J7:AA7)*AA7/Qtrs_Yr,0),Inputs!$G$73:$J$73,Inputs!$G$74:$J$74))/Qtrs_Yr))*Inputs!$F$101-IF(OR(Z$7=0,SUM($J7:Z7)*Z7&gt;Inputs!$F$77*Qtrs_Yr),0,(Inputs!$F$71-SUM($J7:Z7,-1)*Z7*Inputs!$F$71/Inputs!$F$77/Qtrs_Yr)*(LOOKUP(YEAR(AA$5),Inputs!$F$85:$I$85,Inputs!$F$86:$I$86)+LOOKUP(ROUNDUP(SUM($J7:AA7)*AA7/Qtrs_Yr,0),Inputs!$G$73:$J$73,Inputs!$G$74:$J$74))/Qtrs_Yr)-IF(OR(Z$7=0,SUM($J7:Z7)*Z7&gt;Inputs!$F$77*Qtrs_Yr),0,Inputs!$F$71/Inputs!$F$77/Qtrs_Yr)</f>
        <v>5.3085184359639772</v>
      </c>
      <c r="AA11" s="28">
        <f>(((IF(ROUNDUP(SUM($J$7:AA$7)*AA$7/Qtrs_Yr,0)=0,0,LOOKUP(ROUNDUP(SUM($J$7:AA$7)*AA$7/Qtrs_Yr,0),Inputs!$F$35:$I$35,Inputs!$F$36:$I$36))/Thousand/Qtrs_Yr)*IF(ROUNDUP(SUM($J$7:AA$7)*AA$7/Qtrs_Yr,0)=0,0,LOOKUP(ROUNDUP(SUM($J$7:AA$7)*AA$7/Qtrs_Yr,0),Inputs!$F$41:$I$41,Inputs!$F$42:$I$42))/Grams_Oz*Inputs!$F$45)*LOOKUP(YEAR(AA$5),Inputs!$F$49:$I$49,Inputs!$F$50:$I$50)/Thousand/LOOKUP(YEAR(AA$5),Inputs!$F$89:$I$89,Inputs!$F$90:$I$90)*(AA5-Z5-Inputs!$F$97)/(AA5-Z5)+((IF(ROUNDUP(SUM($I$7:Z$7)*Z$7/Qtrs_Yr,0)=0,0,LOOKUP(ROUNDUP(SUM($I$7:Z$7)*Z$7/Qtrs_Yr,0),Inputs!$F$35:$I$35,Inputs!$F$36:$I$36))/Thousand/Qtrs_Yr)*IF(ROUNDUP(SUM($I$7:Z$7)*Z$7/Qtrs_Yr,0)=0,0,LOOKUP(ROUNDUP(SUM($I$7:Z$7)*Z$7/Qtrs_Yr,0),Inputs!$F$41:$I$41,Inputs!$F$42:$I$42))/Grams_Oz*Inputs!$F$45)*LOOKUP(YEAR(Z$5),Inputs!$F$49:$I$49,Inputs!$F$50:$I$50)/Thousand/LOOKUP(YEAR(Z$5),Inputs!$F$89:$I$89,Inputs!$F$90:$I$90)*Inputs!$F$97/(Z5-Y5))-(((Inputs!$F$64*(IF(ROUNDUP(SUM($J$7:AA$7)*AA$7/Qtrs_Yr,0)=0,0,LOOKUP(ROUNDUP(SUM($J$7:AA$7)*AA$7/Qtrs_Yr,0),Inputs!$F$35:$I$35,Inputs!$F$36:$I$36))/Thousand/Qtrs_Yr+IF(ROUNDUP(SUM($J$7:AA$7)*AA$7/Qtrs_Yr,0)=0,0,LOOKUP(ROUNDUP(SUM($J$7:AA$7)*AA$7/Qtrs_Yr,0),Inputs!$F$35:$I$35,Inputs!$F$38:$I$38)*LOOKUP(ROUNDUP(SUM($J$7:AA$7)*AA$7/Qtrs_Yr,0),Inputs!$F$35:$I$35,Inputs!$F$36:$I$36))/Thousand/Qtrs_Yr)+Inputs!$F$65*(IF(ROUNDUP(SUM($J$7:AA$7)*AA$7/Qtrs_Yr,0)=0,0,LOOKUP(ROUNDUP(SUM($J$7:AA$7)*AA$7/Qtrs_Yr,0),Inputs!$F$35:$I$35,Inputs!$F$36:$I$36))/Thousand/Qtrs_Yr)+Inputs!$F$66*(IF(ROUNDUP(SUM($J$7:AA$7)*AA$7/Qtrs_Yr,0)=0,0,LOOKUP(ROUNDUP(SUM($J$7:AA$7)*AA$7/Qtrs_Yr,0),Inputs!$F$35:$I$35,Inputs!$F$38:$I$38)*LOOKUP(ROUNDUP(SUM($J$7:AA$7)*AA$7/Qtrs_Yr,0),Inputs!$F$35:$I$35,Inputs!$F$36:$I$36))/Thousand/Qtrs_Yr))/Thousand+SUM(Inputs!$F$54:$F$61)*AA$7/Qtrs_Yr)*(1+LOOKUP(YEAR(AA$5),Inputs!$F$93:$I$93,Inputs!$F$94:$I$94)/Qtrs_Yr)^(COUNT($J$7:AA7))*(AA5-Z5-Inputs!$F$98)/(AA5-Z5)+((Inputs!$F$64*(IF(ROUNDUP(SUM($I$7:Z$7)*Z$7/Qtrs_Yr,0)=0,0,LOOKUP(ROUNDUP(SUM($I$7:Z$7)*Z$7/Qtrs_Yr,0),Inputs!$F$35:$I$35,Inputs!$F$36:$I$36))/Thousand/Qtrs_Yr+IF(ROUNDUP(SUM($I$7:Z$7)*Z$7/Qtrs_Yr,0)=0,0,LOOKUP(ROUNDUP(SUM($I$7:Z$7)*Z$7/Qtrs_Yr,0),Inputs!$F$35:$I$35,Inputs!$F$38:$I$38)*LOOKUP(ROUNDUP(SUM($I$7:Z$7)*Z$7/Qtrs_Yr,0),Inputs!$F$35:$I$35,Inputs!$F$36:$I$36))/Thousand/Qtrs_Yr)+Inputs!$F$65*(IF(ROUNDUP(SUM($I$7:Z$7)*Z$7/Qtrs_Yr,0)=0,0,LOOKUP(ROUNDUP(SUM($I$7:Z$7)*Z$7/Qtrs_Yr,0),Inputs!$F$35:$I$35,Inputs!$F$36:$I$36))/Thousand/Qtrs_Yr)+Inputs!$F$66*(IF(ROUNDUP(SUM($I$7:Z$7)*Z$7/Qtrs_Yr,0)=0,0,LOOKUP(ROUNDUP(SUM($I$7:Z$7)*Z$7/Qtrs_Yr,0),Inputs!$F$35:$I$35,Inputs!$F$38:$I$38)*LOOKUP(ROUNDUP(SUM($I$7:Z$7)*Z$7/Qtrs_Yr,0),Inputs!$F$35:$I$35,Inputs!$F$36:$I$36))/Thousand/Qtrs_Yr))/Thousand+SUM(Inputs!$F$54:$F$61)*Z$7/Qtrs_Yr)*(1+LOOKUP(YEAR(AA$5),Inputs!$F$93:$I$93,Inputs!$F$94:$I$94)/Qtrs_Yr)^(COUNT($I$7:Z7))*Inputs!$F$98/(Z5-Y5))-(((IF(ROUNDUP(SUM($J$7:AA$7)*AA$7/Qtrs_Yr,0)=0,0,LOOKUP(ROUNDUP(SUM($J$7:AA$7)*AA$7/Qtrs_Yr,0),Inputs!$F$35:$I$35,Inputs!$F$36:$I$36))/Thousand/Qtrs_Yr)*IF(ROUNDUP(SUM($J$7:AA$7)*AA$7/Qtrs_Yr,0)=0,0,LOOKUP(ROUNDUP(SUM($J$7:AA$7)*AA$7/Qtrs_Yr,0),Inputs!$F$41:$I$41,Inputs!$F$42:$I$42))/Grams_Oz*Inputs!$F$45)*LOOKUP(YEAR(AA$5),Inputs!$F$49:$I$49,Inputs!$F$50:$I$50)/Thousand/LOOKUP(YEAR(AA$5),Inputs!$F$89:$I$89,Inputs!$F$90:$I$90)-((Inputs!$F$64*(IF(ROUNDUP(SUM($J$7:AA$7)*AA$7/Qtrs_Yr,0)=0,0,LOOKUP(ROUNDUP(SUM($J$7:AA$7)*AA$7/Qtrs_Yr,0),Inputs!$F$35:$I$35,Inputs!$F$36:$I$36))/Thousand/Qtrs_Yr+IF(ROUNDUP(SUM($J$7:AA$7)*AA$7/Qtrs_Yr,0)=0,0,LOOKUP(ROUNDUP(SUM($J$7:AA$7)*AA$7/Qtrs_Yr,0),Inputs!$F$35:$I$35,Inputs!$F$38:$I$38)*LOOKUP(ROUNDUP(SUM($J$7:AA$7)*AA$7/Qtrs_Yr,0),Inputs!$F$35:$I$35,Inputs!$F$36:$I$36))/Thousand/Qtrs_Yr)+Inputs!$F$65*(IF(ROUNDUP(SUM($J$7:AA$7)*AA$7/Qtrs_Yr,0)=0,0,LOOKUP(ROUNDUP(SUM($J$7:AA$7)*AA$7/Qtrs_Yr,0),Inputs!$F$35:$I$35,Inputs!$F$36:$I$36))/Thousand/Qtrs_Yr)+Inputs!$F$66*(IF(ROUNDUP(SUM($J$7:AA$7)*AA$7/Qtrs_Yr,0)=0,0,LOOKUP(ROUNDUP(SUM($J$7:AA$7)*AA$7/Qtrs_Yr,0),Inputs!$F$35:$I$35,Inputs!$F$38:$I$38)*LOOKUP(ROUNDUP(SUM($J$7:AA$7)*AA$7/Qtrs_Yr,0),Inputs!$F$35:$I$35,Inputs!$F$36:$I$36))/Thousand/Qtrs_Yr))/Thousand+SUM(Inputs!$F$54:$F$61)*AA$7/Qtrs_Yr)*(1+LOOKUP(YEAR(AA$5),Inputs!$F$93:$I$93,Inputs!$F$94:$I$94)/Qtrs_Yr)^(COUNT($J$7:AA7))-Inputs!$E$29*(1+Inputs!$E$31)*AA$7/Inputs!$E$16/Qtrs_Yr-IF(OR(AA$7=0,SUM($J7:AA7)*AA7&gt;Inputs!$F$77*Qtrs_Yr),0,(Inputs!$F$71-SUM($J7:AA7,-1)*AA7*Inputs!$F$71/Inputs!$F$77/Qtrs_Yr)*(LOOKUP(YEAR(AB$5),Inputs!$F$85:$I$85,Inputs!$F$86:$I$86)+LOOKUP(ROUNDUP(SUM($J7:AB7)*AB7/Qtrs_Yr,0),Inputs!$G$73:$J$73,Inputs!$G$74:$J$74))/Qtrs_Yr))*Inputs!$F$101-IF(OR(AA$7=0,SUM($J7:AA7)*AA7&gt;Inputs!$F$77*Qtrs_Yr),0,(Inputs!$F$71-SUM($J7:AA7,-1)*AA7*Inputs!$F$71/Inputs!$F$77/Qtrs_Yr)*(LOOKUP(YEAR(AB$5),Inputs!$F$85:$I$85,Inputs!$F$86:$I$86)+LOOKUP(ROUNDUP(SUM($J7:AB7)*AB7/Qtrs_Yr,0),Inputs!$G$73:$J$73,Inputs!$G$74:$J$74))/Qtrs_Yr)-IF(OR(AA$7=0,SUM($J7:AA7)*AA7&gt;Inputs!$F$77*Qtrs_Yr),0,Inputs!$F$71/Inputs!$F$77/Qtrs_Yr)</f>
        <v>3.9315639574796606</v>
      </c>
      <c r="AB11" s="28">
        <f>(((IF(ROUNDUP(SUM($J$7:AB$7)*AB$7/Qtrs_Yr,0)=0,0,LOOKUP(ROUNDUP(SUM($J$7:AB$7)*AB$7/Qtrs_Yr,0),Inputs!$F$35:$I$35,Inputs!$F$36:$I$36))/Thousand/Qtrs_Yr)*IF(ROUNDUP(SUM($J$7:AB$7)*AB$7/Qtrs_Yr,0)=0,0,LOOKUP(ROUNDUP(SUM($J$7:AB$7)*AB$7/Qtrs_Yr,0),Inputs!$F$41:$I$41,Inputs!$F$42:$I$42))/Grams_Oz*Inputs!$F$45)*LOOKUP(YEAR(AB$5),Inputs!$F$49:$I$49,Inputs!$F$50:$I$50)/Thousand/LOOKUP(YEAR(AB$5),Inputs!$F$89:$I$89,Inputs!$F$90:$I$90)*(AB5-AA5-Inputs!$F$97)/(AB5-AA5)+((IF(ROUNDUP(SUM($I$7:AA$7)*AA$7/Qtrs_Yr,0)=0,0,LOOKUP(ROUNDUP(SUM($I$7:AA$7)*AA$7/Qtrs_Yr,0),Inputs!$F$35:$I$35,Inputs!$F$36:$I$36))/Thousand/Qtrs_Yr)*IF(ROUNDUP(SUM($I$7:AA$7)*AA$7/Qtrs_Yr,0)=0,0,LOOKUP(ROUNDUP(SUM($I$7:AA$7)*AA$7/Qtrs_Yr,0),Inputs!$F$41:$I$41,Inputs!$F$42:$I$42))/Grams_Oz*Inputs!$F$45)*LOOKUP(YEAR(AA$5),Inputs!$F$49:$I$49,Inputs!$F$50:$I$50)/Thousand/LOOKUP(YEAR(AA$5),Inputs!$F$89:$I$89,Inputs!$F$90:$I$90)*Inputs!$F$97/(AA5-Z5))-(((Inputs!$F$64*(IF(ROUNDUP(SUM($J$7:AB$7)*AB$7/Qtrs_Yr,0)=0,0,LOOKUP(ROUNDUP(SUM($J$7:AB$7)*AB$7/Qtrs_Yr,0),Inputs!$F$35:$I$35,Inputs!$F$36:$I$36))/Thousand/Qtrs_Yr+IF(ROUNDUP(SUM($J$7:AB$7)*AB$7/Qtrs_Yr,0)=0,0,LOOKUP(ROUNDUP(SUM($J$7:AB$7)*AB$7/Qtrs_Yr,0),Inputs!$F$35:$I$35,Inputs!$F$38:$I$38)*LOOKUP(ROUNDUP(SUM($J$7:AB$7)*AB$7/Qtrs_Yr,0),Inputs!$F$35:$I$35,Inputs!$F$36:$I$36))/Thousand/Qtrs_Yr)+Inputs!$F$65*(IF(ROUNDUP(SUM($J$7:AB$7)*AB$7/Qtrs_Yr,0)=0,0,LOOKUP(ROUNDUP(SUM($J$7:AB$7)*AB$7/Qtrs_Yr,0),Inputs!$F$35:$I$35,Inputs!$F$36:$I$36))/Thousand/Qtrs_Yr)+Inputs!$F$66*(IF(ROUNDUP(SUM($J$7:AB$7)*AB$7/Qtrs_Yr,0)=0,0,LOOKUP(ROUNDUP(SUM($J$7:AB$7)*AB$7/Qtrs_Yr,0),Inputs!$F$35:$I$35,Inputs!$F$38:$I$38)*LOOKUP(ROUNDUP(SUM($J$7:AB$7)*AB$7/Qtrs_Yr,0),Inputs!$F$35:$I$35,Inputs!$F$36:$I$36))/Thousand/Qtrs_Yr))/Thousand+SUM(Inputs!$F$54:$F$61)*AB$7/Qtrs_Yr)*(1+LOOKUP(YEAR(AB$5),Inputs!$F$93:$I$93,Inputs!$F$94:$I$94)/Qtrs_Yr)^(COUNT($J$7:AB7))*(AB5-AA5-Inputs!$F$98)/(AB5-AA5)+((Inputs!$F$64*(IF(ROUNDUP(SUM($I$7:AA$7)*AA$7/Qtrs_Yr,0)=0,0,LOOKUP(ROUNDUP(SUM($I$7:AA$7)*AA$7/Qtrs_Yr,0),Inputs!$F$35:$I$35,Inputs!$F$36:$I$36))/Thousand/Qtrs_Yr+IF(ROUNDUP(SUM($I$7:AA$7)*AA$7/Qtrs_Yr,0)=0,0,LOOKUP(ROUNDUP(SUM($I$7:AA$7)*AA$7/Qtrs_Yr,0),Inputs!$F$35:$I$35,Inputs!$F$38:$I$38)*LOOKUP(ROUNDUP(SUM($I$7:AA$7)*AA$7/Qtrs_Yr,0),Inputs!$F$35:$I$35,Inputs!$F$36:$I$36))/Thousand/Qtrs_Yr)+Inputs!$F$65*(IF(ROUNDUP(SUM($I$7:AA$7)*AA$7/Qtrs_Yr,0)=0,0,LOOKUP(ROUNDUP(SUM($I$7:AA$7)*AA$7/Qtrs_Yr,0),Inputs!$F$35:$I$35,Inputs!$F$36:$I$36))/Thousand/Qtrs_Yr)+Inputs!$F$66*(IF(ROUNDUP(SUM($I$7:AA$7)*AA$7/Qtrs_Yr,0)=0,0,LOOKUP(ROUNDUP(SUM($I$7:AA$7)*AA$7/Qtrs_Yr,0),Inputs!$F$35:$I$35,Inputs!$F$38:$I$38)*LOOKUP(ROUNDUP(SUM($I$7:AA$7)*AA$7/Qtrs_Yr,0),Inputs!$F$35:$I$35,Inputs!$F$36:$I$36))/Thousand/Qtrs_Yr))/Thousand+SUM(Inputs!$F$54:$F$61)*AA$7/Qtrs_Yr)*(1+LOOKUP(YEAR(AB$5),Inputs!$F$93:$I$93,Inputs!$F$94:$I$94)/Qtrs_Yr)^(COUNT($I$7:AA7))*Inputs!$F$98/(AA5-Z5))-(((IF(ROUNDUP(SUM($J$7:AB$7)*AB$7/Qtrs_Yr,0)=0,0,LOOKUP(ROUNDUP(SUM($J$7:AB$7)*AB$7/Qtrs_Yr,0),Inputs!$F$35:$I$35,Inputs!$F$36:$I$36))/Thousand/Qtrs_Yr)*IF(ROUNDUP(SUM($J$7:AB$7)*AB$7/Qtrs_Yr,0)=0,0,LOOKUP(ROUNDUP(SUM($J$7:AB$7)*AB$7/Qtrs_Yr,0),Inputs!$F$41:$I$41,Inputs!$F$42:$I$42))/Grams_Oz*Inputs!$F$45)*LOOKUP(YEAR(AB$5),Inputs!$F$49:$I$49,Inputs!$F$50:$I$50)/Thousand/LOOKUP(YEAR(AB$5),Inputs!$F$89:$I$89,Inputs!$F$90:$I$90)-((Inputs!$F$64*(IF(ROUNDUP(SUM($J$7:AB$7)*AB$7/Qtrs_Yr,0)=0,0,LOOKUP(ROUNDUP(SUM($J$7:AB$7)*AB$7/Qtrs_Yr,0),Inputs!$F$35:$I$35,Inputs!$F$36:$I$36))/Thousand/Qtrs_Yr+IF(ROUNDUP(SUM($J$7:AB$7)*AB$7/Qtrs_Yr,0)=0,0,LOOKUP(ROUNDUP(SUM($J$7:AB$7)*AB$7/Qtrs_Yr,0),Inputs!$F$35:$I$35,Inputs!$F$38:$I$38)*LOOKUP(ROUNDUP(SUM($J$7:AB$7)*AB$7/Qtrs_Yr,0),Inputs!$F$35:$I$35,Inputs!$F$36:$I$36))/Thousand/Qtrs_Yr)+Inputs!$F$65*(IF(ROUNDUP(SUM($J$7:AB$7)*AB$7/Qtrs_Yr,0)=0,0,LOOKUP(ROUNDUP(SUM($J$7:AB$7)*AB$7/Qtrs_Yr,0),Inputs!$F$35:$I$35,Inputs!$F$36:$I$36))/Thousand/Qtrs_Yr)+Inputs!$F$66*(IF(ROUNDUP(SUM($J$7:AB$7)*AB$7/Qtrs_Yr,0)=0,0,LOOKUP(ROUNDUP(SUM($J$7:AB$7)*AB$7/Qtrs_Yr,0),Inputs!$F$35:$I$35,Inputs!$F$38:$I$38)*LOOKUP(ROUNDUP(SUM($J$7:AB$7)*AB$7/Qtrs_Yr,0),Inputs!$F$35:$I$35,Inputs!$F$36:$I$36))/Thousand/Qtrs_Yr))/Thousand+SUM(Inputs!$F$54:$F$61)*AB$7/Qtrs_Yr)*(1+LOOKUP(YEAR(AB$5),Inputs!$F$93:$I$93,Inputs!$F$94:$I$94)/Qtrs_Yr)^(COUNT($J$7:AB7))-Inputs!$E$29*(1+Inputs!$E$31)*AB$7/Inputs!$E$16/Qtrs_Yr-IF(OR(AB$7=0,SUM($J7:AB7)*AB7&gt;Inputs!$F$77*Qtrs_Yr),0,(Inputs!$F$71-SUM($J7:AB7,-1)*AB7*Inputs!$F$71/Inputs!$F$77/Qtrs_Yr)*(LOOKUP(YEAR(AC$5),Inputs!$F$85:$I$85,Inputs!$F$86:$I$86)+LOOKUP(ROUNDUP(SUM($J7:AC7)*AC7/Qtrs_Yr,0),Inputs!$G$73:$J$73,Inputs!$G$74:$J$74))/Qtrs_Yr))*Inputs!$F$101-IF(OR(AB$7=0,SUM($J7:AB7)*AB7&gt;Inputs!$F$77*Qtrs_Yr),0,(Inputs!$F$71-SUM($J7:AB7,-1)*AB7*Inputs!$F$71/Inputs!$F$77/Qtrs_Yr)*(LOOKUP(YEAR(AC$5),Inputs!$F$85:$I$85,Inputs!$F$86:$I$86)+LOOKUP(ROUNDUP(SUM($J7:AC7)*AC7/Qtrs_Yr,0),Inputs!$G$73:$J$73,Inputs!$G$74:$J$74))/Qtrs_Yr)-IF(OR(AB$7=0,SUM($J7:AB7)*AB7&gt;Inputs!$F$77*Qtrs_Yr),0,Inputs!$F$71/Inputs!$F$77/Qtrs_Yr)</f>
        <v>3.9177627102098249</v>
      </c>
      <c r="AC11" s="28">
        <f>(((IF(ROUNDUP(SUM($J$7:AC$7)*AC$7/Qtrs_Yr,0)=0,0,LOOKUP(ROUNDUP(SUM($J$7:AC$7)*AC$7/Qtrs_Yr,0),Inputs!$F$35:$I$35,Inputs!$F$36:$I$36))/Thousand/Qtrs_Yr)*IF(ROUNDUP(SUM($J$7:AC$7)*AC$7/Qtrs_Yr,0)=0,0,LOOKUP(ROUNDUP(SUM($J$7:AC$7)*AC$7/Qtrs_Yr,0),Inputs!$F$41:$I$41,Inputs!$F$42:$I$42))/Grams_Oz*Inputs!$F$45)*LOOKUP(YEAR(AC$5),Inputs!$F$49:$I$49,Inputs!$F$50:$I$50)/Thousand/LOOKUP(YEAR(AC$5),Inputs!$F$89:$I$89,Inputs!$F$90:$I$90)*(AC5-AB5-Inputs!$F$97)/(AC5-AB5)+((IF(ROUNDUP(SUM($I$7:AB$7)*AB$7/Qtrs_Yr,0)=0,0,LOOKUP(ROUNDUP(SUM($I$7:AB$7)*AB$7/Qtrs_Yr,0),Inputs!$F$35:$I$35,Inputs!$F$36:$I$36))/Thousand/Qtrs_Yr)*IF(ROUNDUP(SUM($I$7:AB$7)*AB$7/Qtrs_Yr,0)=0,0,LOOKUP(ROUNDUP(SUM($I$7:AB$7)*AB$7/Qtrs_Yr,0),Inputs!$F$41:$I$41,Inputs!$F$42:$I$42))/Grams_Oz*Inputs!$F$45)*LOOKUP(YEAR(AB$5),Inputs!$F$49:$I$49,Inputs!$F$50:$I$50)/Thousand/LOOKUP(YEAR(AB$5),Inputs!$F$89:$I$89,Inputs!$F$90:$I$90)*Inputs!$F$97/(AB5-AA5))-(((Inputs!$F$64*(IF(ROUNDUP(SUM($J$7:AC$7)*AC$7/Qtrs_Yr,0)=0,0,LOOKUP(ROUNDUP(SUM($J$7:AC$7)*AC$7/Qtrs_Yr,0),Inputs!$F$35:$I$35,Inputs!$F$36:$I$36))/Thousand/Qtrs_Yr+IF(ROUNDUP(SUM($J$7:AC$7)*AC$7/Qtrs_Yr,0)=0,0,LOOKUP(ROUNDUP(SUM($J$7:AC$7)*AC$7/Qtrs_Yr,0),Inputs!$F$35:$I$35,Inputs!$F$38:$I$38)*LOOKUP(ROUNDUP(SUM($J$7:AC$7)*AC$7/Qtrs_Yr,0),Inputs!$F$35:$I$35,Inputs!$F$36:$I$36))/Thousand/Qtrs_Yr)+Inputs!$F$65*(IF(ROUNDUP(SUM($J$7:AC$7)*AC$7/Qtrs_Yr,0)=0,0,LOOKUP(ROUNDUP(SUM($J$7:AC$7)*AC$7/Qtrs_Yr,0),Inputs!$F$35:$I$35,Inputs!$F$36:$I$36))/Thousand/Qtrs_Yr)+Inputs!$F$66*(IF(ROUNDUP(SUM($J$7:AC$7)*AC$7/Qtrs_Yr,0)=0,0,LOOKUP(ROUNDUP(SUM($J$7:AC$7)*AC$7/Qtrs_Yr,0),Inputs!$F$35:$I$35,Inputs!$F$38:$I$38)*LOOKUP(ROUNDUP(SUM($J$7:AC$7)*AC$7/Qtrs_Yr,0),Inputs!$F$35:$I$35,Inputs!$F$36:$I$36))/Thousand/Qtrs_Yr))/Thousand+SUM(Inputs!$F$54:$F$61)*AC$7/Qtrs_Yr)*(1+LOOKUP(YEAR(AC$5),Inputs!$F$93:$I$93,Inputs!$F$94:$I$94)/Qtrs_Yr)^(COUNT($J$7:AC7))*(AC5-AB5-Inputs!$F$98)/(AC5-AB5)+((Inputs!$F$64*(IF(ROUNDUP(SUM($I$7:AB$7)*AB$7/Qtrs_Yr,0)=0,0,LOOKUP(ROUNDUP(SUM($I$7:AB$7)*AB$7/Qtrs_Yr,0),Inputs!$F$35:$I$35,Inputs!$F$36:$I$36))/Thousand/Qtrs_Yr+IF(ROUNDUP(SUM($I$7:AB$7)*AB$7/Qtrs_Yr,0)=0,0,LOOKUP(ROUNDUP(SUM($I$7:AB$7)*AB$7/Qtrs_Yr,0),Inputs!$F$35:$I$35,Inputs!$F$38:$I$38)*LOOKUP(ROUNDUP(SUM($I$7:AB$7)*AB$7/Qtrs_Yr,0),Inputs!$F$35:$I$35,Inputs!$F$36:$I$36))/Thousand/Qtrs_Yr)+Inputs!$F$65*(IF(ROUNDUP(SUM($I$7:AB$7)*AB$7/Qtrs_Yr,0)=0,0,LOOKUP(ROUNDUP(SUM($I$7:AB$7)*AB$7/Qtrs_Yr,0),Inputs!$F$35:$I$35,Inputs!$F$36:$I$36))/Thousand/Qtrs_Yr)+Inputs!$F$66*(IF(ROUNDUP(SUM($I$7:AB$7)*AB$7/Qtrs_Yr,0)=0,0,LOOKUP(ROUNDUP(SUM($I$7:AB$7)*AB$7/Qtrs_Yr,0),Inputs!$F$35:$I$35,Inputs!$F$38:$I$38)*LOOKUP(ROUNDUP(SUM($I$7:AB$7)*AB$7/Qtrs_Yr,0),Inputs!$F$35:$I$35,Inputs!$F$36:$I$36))/Thousand/Qtrs_Yr))/Thousand+SUM(Inputs!$F$54:$F$61)*AB$7/Qtrs_Yr)*(1+LOOKUP(YEAR(AC$5),Inputs!$F$93:$I$93,Inputs!$F$94:$I$94)/Qtrs_Yr)^(COUNT($I$7:AB7))*Inputs!$F$98/(AB5-AA5))-(((IF(ROUNDUP(SUM($J$7:AC$7)*AC$7/Qtrs_Yr,0)=0,0,LOOKUP(ROUNDUP(SUM($J$7:AC$7)*AC$7/Qtrs_Yr,0),Inputs!$F$35:$I$35,Inputs!$F$36:$I$36))/Thousand/Qtrs_Yr)*IF(ROUNDUP(SUM($J$7:AC$7)*AC$7/Qtrs_Yr,0)=0,0,LOOKUP(ROUNDUP(SUM($J$7:AC$7)*AC$7/Qtrs_Yr,0),Inputs!$F$41:$I$41,Inputs!$F$42:$I$42))/Grams_Oz*Inputs!$F$45)*LOOKUP(YEAR(AC$5),Inputs!$F$49:$I$49,Inputs!$F$50:$I$50)/Thousand/LOOKUP(YEAR(AC$5),Inputs!$F$89:$I$89,Inputs!$F$90:$I$90)-((Inputs!$F$64*(IF(ROUNDUP(SUM($J$7:AC$7)*AC$7/Qtrs_Yr,0)=0,0,LOOKUP(ROUNDUP(SUM($J$7:AC$7)*AC$7/Qtrs_Yr,0),Inputs!$F$35:$I$35,Inputs!$F$36:$I$36))/Thousand/Qtrs_Yr+IF(ROUNDUP(SUM($J$7:AC$7)*AC$7/Qtrs_Yr,0)=0,0,LOOKUP(ROUNDUP(SUM($J$7:AC$7)*AC$7/Qtrs_Yr,0),Inputs!$F$35:$I$35,Inputs!$F$38:$I$38)*LOOKUP(ROUNDUP(SUM($J$7:AC$7)*AC$7/Qtrs_Yr,0),Inputs!$F$35:$I$35,Inputs!$F$36:$I$36))/Thousand/Qtrs_Yr)+Inputs!$F$65*(IF(ROUNDUP(SUM($J$7:AC$7)*AC$7/Qtrs_Yr,0)=0,0,LOOKUP(ROUNDUP(SUM($J$7:AC$7)*AC$7/Qtrs_Yr,0),Inputs!$F$35:$I$35,Inputs!$F$36:$I$36))/Thousand/Qtrs_Yr)+Inputs!$F$66*(IF(ROUNDUP(SUM($J$7:AC$7)*AC$7/Qtrs_Yr,0)=0,0,LOOKUP(ROUNDUP(SUM($J$7:AC$7)*AC$7/Qtrs_Yr,0),Inputs!$F$35:$I$35,Inputs!$F$38:$I$38)*LOOKUP(ROUNDUP(SUM($J$7:AC$7)*AC$7/Qtrs_Yr,0),Inputs!$F$35:$I$35,Inputs!$F$36:$I$36))/Thousand/Qtrs_Yr))/Thousand+SUM(Inputs!$F$54:$F$61)*AC$7/Qtrs_Yr)*(1+LOOKUP(YEAR(AC$5),Inputs!$F$93:$I$93,Inputs!$F$94:$I$94)/Qtrs_Yr)^(COUNT($J$7:AC7))-Inputs!$E$29*(1+Inputs!$E$31)*AC$7/Inputs!$E$16/Qtrs_Yr-IF(OR(AC$7=0,SUM($J7:AC7)*AC7&gt;Inputs!$F$77*Qtrs_Yr),0,(Inputs!$F$71-SUM($J7:AC7,-1)*AC7*Inputs!$F$71/Inputs!$F$77/Qtrs_Yr)*(LOOKUP(YEAR(AD$5),Inputs!$F$85:$I$85,Inputs!$F$86:$I$86)+LOOKUP(ROUNDUP(SUM($J7:AD7)*AD7/Qtrs_Yr,0),Inputs!$G$73:$J$73,Inputs!$G$74:$J$74))/Qtrs_Yr))*Inputs!$F$101-IF(OR(AC$7=0,SUM($J7:AC7)*AC7&gt;Inputs!$F$77*Qtrs_Yr),0,(Inputs!$F$71-SUM($J7:AC7,-1)*AC7*Inputs!$F$71/Inputs!$F$77/Qtrs_Yr)*(LOOKUP(YEAR(AD$5),Inputs!$F$85:$I$85,Inputs!$F$86:$I$86)+LOOKUP(ROUNDUP(SUM($J7:AD7)*AD7/Qtrs_Yr,0),Inputs!$G$73:$J$73,Inputs!$G$74:$J$74))/Qtrs_Yr)-IF(OR(AC$7=0,SUM($J7:AC7)*AC7&gt;Inputs!$F$77*Qtrs_Yr),0,Inputs!$F$71/Inputs!$F$77/Qtrs_Yr)</f>
        <v>3.8734740878595719</v>
      </c>
      <c r="AD11" s="28">
        <f>(((IF(ROUNDUP(SUM($J$7:AD$7)*AD$7/Qtrs_Yr,0)=0,0,LOOKUP(ROUNDUP(SUM($J$7:AD$7)*AD$7/Qtrs_Yr,0),Inputs!$F$35:$I$35,Inputs!$F$36:$I$36))/Thousand/Qtrs_Yr)*IF(ROUNDUP(SUM($J$7:AD$7)*AD$7/Qtrs_Yr,0)=0,0,LOOKUP(ROUNDUP(SUM($J$7:AD$7)*AD$7/Qtrs_Yr,0),Inputs!$F$41:$I$41,Inputs!$F$42:$I$42))/Grams_Oz*Inputs!$F$45)*LOOKUP(YEAR(AD$5),Inputs!$F$49:$I$49,Inputs!$F$50:$I$50)/Thousand/LOOKUP(YEAR(AD$5),Inputs!$F$89:$I$89,Inputs!$F$90:$I$90)*(AD5-AC5-Inputs!$F$97)/(AD5-AC5)+((IF(ROUNDUP(SUM($I$7:AC$7)*AC$7/Qtrs_Yr,0)=0,0,LOOKUP(ROUNDUP(SUM($I$7:AC$7)*AC$7/Qtrs_Yr,0),Inputs!$F$35:$I$35,Inputs!$F$36:$I$36))/Thousand/Qtrs_Yr)*IF(ROUNDUP(SUM($I$7:AC$7)*AC$7/Qtrs_Yr,0)=0,0,LOOKUP(ROUNDUP(SUM($I$7:AC$7)*AC$7/Qtrs_Yr,0),Inputs!$F$41:$I$41,Inputs!$F$42:$I$42))/Grams_Oz*Inputs!$F$45)*LOOKUP(YEAR(AC$5),Inputs!$F$49:$I$49,Inputs!$F$50:$I$50)/Thousand/LOOKUP(YEAR(AC$5),Inputs!$F$89:$I$89,Inputs!$F$90:$I$90)*Inputs!$F$97/(AC5-AB5))-(((Inputs!$F$64*(IF(ROUNDUP(SUM($J$7:AD$7)*AD$7/Qtrs_Yr,0)=0,0,LOOKUP(ROUNDUP(SUM($J$7:AD$7)*AD$7/Qtrs_Yr,0),Inputs!$F$35:$I$35,Inputs!$F$36:$I$36))/Thousand/Qtrs_Yr+IF(ROUNDUP(SUM($J$7:AD$7)*AD$7/Qtrs_Yr,0)=0,0,LOOKUP(ROUNDUP(SUM($J$7:AD$7)*AD$7/Qtrs_Yr,0),Inputs!$F$35:$I$35,Inputs!$F$38:$I$38)*LOOKUP(ROUNDUP(SUM($J$7:AD$7)*AD$7/Qtrs_Yr,0),Inputs!$F$35:$I$35,Inputs!$F$36:$I$36))/Thousand/Qtrs_Yr)+Inputs!$F$65*(IF(ROUNDUP(SUM($J$7:AD$7)*AD$7/Qtrs_Yr,0)=0,0,LOOKUP(ROUNDUP(SUM($J$7:AD$7)*AD$7/Qtrs_Yr,0),Inputs!$F$35:$I$35,Inputs!$F$36:$I$36))/Thousand/Qtrs_Yr)+Inputs!$F$66*(IF(ROUNDUP(SUM($J$7:AD$7)*AD$7/Qtrs_Yr,0)=0,0,LOOKUP(ROUNDUP(SUM($J$7:AD$7)*AD$7/Qtrs_Yr,0),Inputs!$F$35:$I$35,Inputs!$F$38:$I$38)*LOOKUP(ROUNDUP(SUM($J$7:AD$7)*AD$7/Qtrs_Yr,0),Inputs!$F$35:$I$35,Inputs!$F$36:$I$36))/Thousand/Qtrs_Yr))/Thousand+SUM(Inputs!$F$54:$F$61)*AD$7/Qtrs_Yr)*(1+LOOKUP(YEAR(AD$5),Inputs!$F$93:$I$93,Inputs!$F$94:$I$94)/Qtrs_Yr)^(COUNT($J$7:AD7))*(AD5-AC5-Inputs!$F$98)/(AD5-AC5)+((Inputs!$F$64*(IF(ROUNDUP(SUM($I$7:AC$7)*AC$7/Qtrs_Yr,0)=0,0,LOOKUP(ROUNDUP(SUM($I$7:AC$7)*AC$7/Qtrs_Yr,0),Inputs!$F$35:$I$35,Inputs!$F$36:$I$36))/Thousand/Qtrs_Yr+IF(ROUNDUP(SUM($I$7:AC$7)*AC$7/Qtrs_Yr,0)=0,0,LOOKUP(ROUNDUP(SUM($I$7:AC$7)*AC$7/Qtrs_Yr,0),Inputs!$F$35:$I$35,Inputs!$F$38:$I$38)*LOOKUP(ROUNDUP(SUM($I$7:AC$7)*AC$7/Qtrs_Yr,0),Inputs!$F$35:$I$35,Inputs!$F$36:$I$36))/Thousand/Qtrs_Yr)+Inputs!$F$65*(IF(ROUNDUP(SUM($I$7:AC$7)*AC$7/Qtrs_Yr,0)=0,0,LOOKUP(ROUNDUP(SUM($I$7:AC$7)*AC$7/Qtrs_Yr,0),Inputs!$F$35:$I$35,Inputs!$F$36:$I$36))/Thousand/Qtrs_Yr)+Inputs!$F$66*(IF(ROUNDUP(SUM($I$7:AC$7)*AC$7/Qtrs_Yr,0)=0,0,LOOKUP(ROUNDUP(SUM($I$7:AC$7)*AC$7/Qtrs_Yr,0),Inputs!$F$35:$I$35,Inputs!$F$38:$I$38)*LOOKUP(ROUNDUP(SUM($I$7:AC$7)*AC$7/Qtrs_Yr,0),Inputs!$F$35:$I$35,Inputs!$F$36:$I$36))/Thousand/Qtrs_Yr))/Thousand+SUM(Inputs!$F$54:$F$61)*AC$7/Qtrs_Yr)*(1+LOOKUP(YEAR(AD$5),Inputs!$F$93:$I$93,Inputs!$F$94:$I$94)/Qtrs_Yr)^(COUNT($I$7:AC7))*Inputs!$F$98/(AC5-AB5))-(((IF(ROUNDUP(SUM($J$7:AD$7)*AD$7/Qtrs_Yr,0)=0,0,LOOKUP(ROUNDUP(SUM($J$7:AD$7)*AD$7/Qtrs_Yr,0),Inputs!$F$35:$I$35,Inputs!$F$36:$I$36))/Thousand/Qtrs_Yr)*IF(ROUNDUP(SUM($J$7:AD$7)*AD$7/Qtrs_Yr,0)=0,0,LOOKUP(ROUNDUP(SUM($J$7:AD$7)*AD$7/Qtrs_Yr,0),Inputs!$F$41:$I$41,Inputs!$F$42:$I$42))/Grams_Oz*Inputs!$F$45)*LOOKUP(YEAR(AD$5),Inputs!$F$49:$I$49,Inputs!$F$50:$I$50)/Thousand/LOOKUP(YEAR(AD$5),Inputs!$F$89:$I$89,Inputs!$F$90:$I$90)-((Inputs!$F$64*(IF(ROUNDUP(SUM($J$7:AD$7)*AD$7/Qtrs_Yr,0)=0,0,LOOKUP(ROUNDUP(SUM($J$7:AD$7)*AD$7/Qtrs_Yr,0),Inputs!$F$35:$I$35,Inputs!$F$36:$I$36))/Thousand/Qtrs_Yr+IF(ROUNDUP(SUM($J$7:AD$7)*AD$7/Qtrs_Yr,0)=0,0,LOOKUP(ROUNDUP(SUM($J$7:AD$7)*AD$7/Qtrs_Yr,0),Inputs!$F$35:$I$35,Inputs!$F$38:$I$38)*LOOKUP(ROUNDUP(SUM($J$7:AD$7)*AD$7/Qtrs_Yr,0),Inputs!$F$35:$I$35,Inputs!$F$36:$I$36))/Thousand/Qtrs_Yr)+Inputs!$F$65*(IF(ROUNDUP(SUM($J$7:AD$7)*AD$7/Qtrs_Yr,0)=0,0,LOOKUP(ROUNDUP(SUM($J$7:AD$7)*AD$7/Qtrs_Yr,0),Inputs!$F$35:$I$35,Inputs!$F$36:$I$36))/Thousand/Qtrs_Yr)+Inputs!$F$66*(IF(ROUNDUP(SUM($J$7:AD$7)*AD$7/Qtrs_Yr,0)=0,0,LOOKUP(ROUNDUP(SUM($J$7:AD$7)*AD$7/Qtrs_Yr,0),Inputs!$F$35:$I$35,Inputs!$F$38:$I$38)*LOOKUP(ROUNDUP(SUM($J$7:AD$7)*AD$7/Qtrs_Yr,0),Inputs!$F$35:$I$35,Inputs!$F$36:$I$36))/Thousand/Qtrs_Yr))/Thousand+SUM(Inputs!$F$54:$F$61)*AD$7/Qtrs_Yr)*(1+LOOKUP(YEAR(AD$5),Inputs!$F$93:$I$93,Inputs!$F$94:$I$94)/Qtrs_Yr)^(COUNT($J$7:AD7))-Inputs!$E$29*(1+Inputs!$E$31)*AD$7/Inputs!$E$16/Qtrs_Yr-IF(OR(AD$7=0,SUM($J7:AD7)*AD7&gt;Inputs!$F$77*Qtrs_Yr),0,(Inputs!$F$71-SUM($J7:AD7,-1)*AD7*Inputs!$F$71/Inputs!$F$77/Qtrs_Yr)*(LOOKUP(YEAR(AE$5),Inputs!$F$85:$I$85,Inputs!$F$86:$I$86)+LOOKUP(ROUNDUP(SUM($J7:AE7)*AE7/Qtrs_Yr,0),Inputs!$G$73:$J$73,Inputs!$G$74:$J$74))/Qtrs_Yr))*Inputs!$F$101-IF(OR(AD$7=0,SUM($J7:AD7)*AD7&gt;Inputs!$F$77*Qtrs_Yr),0,(Inputs!$F$71-SUM($J7:AD7,-1)*AD7*Inputs!$F$71/Inputs!$F$77/Qtrs_Yr)*(LOOKUP(YEAR(AE$5),Inputs!$F$85:$I$85,Inputs!$F$86:$I$86)+LOOKUP(ROUNDUP(SUM($J7:AE7)*AE7/Qtrs_Yr,0),Inputs!$G$73:$J$73,Inputs!$G$74:$J$74))/Qtrs_Yr)-IF(OR(AD$7=0,SUM($J7:AD7)*AD7&gt;Inputs!$F$77*Qtrs_Yr),0,Inputs!$F$71/Inputs!$F$77/Qtrs_Yr)</f>
        <v>3.8163396655625181</v>
      </c>
      <c r="AE11" s="28">
        <f>(((IF(ROUNDUP(SUM($J$7:AE$7)*AE$7/Qtrs_Yr,0)=0,0,LOOKUP(ROUNDUP(SUM($J$7:AE$7)*AE$7/Qtrs_Yr,0),Inputs!$F$35:$I$35,Inputs!$F$36:$I$36))/Thousand/Qtrs_Yr)*IF(ROUNDUP(SUM($J$7:AE$7)*AE$7/Qtrs_Yr,0)=0,0,LOOKUP(ROUNDUP(SUM($J$7:AE$7)*AE$7/Qtrs_Yr,0),Inputs!$F$41:$I$41,Inputs!$F$42:$I$42))/Grams_Oz*Inputs!$F$45)*LOOKUP(YEAR(AE$5),Inputs!$F$49:$I$49,Inputs!$F$50:$I$50)/Thousand/LOOKUP(YEAR(AE$5),Inputs!$F$89:$I$89,Inputs!$F$90:$I$90)*(AE5-AD5-Inputs!$F$97)/(AE5-AD5)+((IF(ROUNDUP(SUM($I$7:AD$7)*AD$7/Qtrs_Yr,0)=0,0,LOOKUP(ROUNDUP(SUM($I$7:AD$7)*AD$7/Qtrs_Yr,0),Inputs!$F$35:$I$35,Inputs!$F$36:$I$36))/Thousand/Qtrs_Yr)*IF(ROUNDUP(SUM($I$7:AD$7)*AD$7/Qtrs_Yr,0)=0,0,LOOKUP(ROUNDUP(SUM($I$7:AD$7)*AD$7/Qtrs_Yr,0),Inputs!$F$41:$I$41,Inputs!$F$42:$I$42))/Grams_Oz*Inputs!$F$45)*LOOKUP(YEAR(AD$5),Inputs!$F$49:$I$49,Inputs!$F$50:$I$50)/Thousand/LOOKUP(YEAR(AD$5),Inputs!$F$89:$I$89,Inputs!$F$90:$I$90)*Inputs!$F$97/(AD5-AC5))-(((Inputs!$F$64*(IF(ROUNDUP(SUM($J$7:AE$7)*AE$7/Qtrs_Yr,0)=0,0,LOOKUP(ROUNDUP(SUM($J$7:AE$7)*AE$7/Qtrs_Yr,0),Inputs!$F$35:$I$35,Inputs!$F$36:$I$36))/Thousand/Qtrs_Yr+IF(ROUNDUP(SUM($J$7:AE$7)*AE$7/Qtrs_Yr,0)=0,0,LOOKUP(ROUNDUP(SUM($J$7:AE$7)*AE$7/Qtrs_Yr,0),Inputs!$F$35:$I$35,Inputs!$F$38:$I$38)*LOOKUP(ROUNDUP(SUM($J$7:AE$7)*AE$7/Qtrs_Yr,0),Inputs!$F$35:$I$35,Inputs!$F$36:$I$36))/Thousand/Qtrs_Yr)+Inputs!$F$65*(IF(ROUNDUP(SUM($J$7:AE$7)*AE$7/Qtrs_Yr,0)=0,0,LOOKUP(ROUNDUP(SUM($J$7:AE$7)*AE$7/Qtrs_Yr,0),Inputs!$F$35:$I$35,Inputs!$F$36:$I$36))/Thousand/Qtrs_Yr)+Inputs!$F$66*(IF(ROUNDUP(SUM($J$7:AE$7)*AE$7/Qtrs_Yr,0)=0,0,LOOKUP(ROUNDUP(SUM($J$7:AE$7)*AE$7/Qtrs_Yr,0),Inputs!$F$35:$I$35,Inputs!$F$38:$I$38)*LOOKUP(ROUNDUP(SUM($J$7:AE$7)*AE$7/Qtrs_Yr,0),Inputs!$F$35:$I$35,Inputs!$F$36:$I$36))/Thousand/Qtrs_Yr))/Thousand+SUM(Inputs!$F$54:$F$61)*AE$7/Qtrs_Yr)*(1+LOOKUP(YEAR(AE$5),Inputs!$F$93:$I$93,Inputs!$F$94:$I$94)/Qtrs_Yr)^(COUNT($J$7:AE7))*(AE5-AD5-Inputs!$F$98)/(AE5-AD5)+((Inputs!$F$64*(IF(ROUNDUP(SUM($I$7:AD$7)*AD$7/Qtrs_Yr,0)=0,0,LOOKUP(ROUNDUP(SUM($I$7:AD$7)*AD$7/Qtrs_Yr,0),Inputs!$F$35:$I$35,Inputs!$F$36:$I$36))/Thousand/Qtrs_Yr+IF(ROUNDUP(SUM($I$7:AD$7)*AD$7/Qtrs_Yr,0)=0,0,LOOKUP(ROUNDUP(SUM($I$7:AD$7)*AD$7/Qtrs_Yr,0),Inputs!$F$35:$I$35,Inputs!$F$38:$I$38)*LOOKUP(ROUNDUP(SUM($I$7:AD$7)*AD$7/Qtrs_Yr,0),Inputs!$F$35:$I$35,Inputs!$F$36:$I$36))/Thousand/Qtrs_Yr)+Inputs!$F$65*(IF(ROUNDUP(SUM($I$7:AD$7)*AD$7/Qtrs_Yr,0)=0,0,LOOKUP(ROUNDUP(SUM($I$7:AD$7)*AD$7/Qtrs_Yr,0),Inputs!$F$35:$I$35,Inputs!$F$36:$I$36))/Thousand/Qtrs_Yr)+Inputs!$F$66*(IF(ROUNDUP(SUM($I$7:AD$7)*AD$7/Qtrs_Yr,0)=0,0,LOOKUP(ROUNDUP(SUM($I$7:AD$7)*AD$7/Qtrs_Yr,0),Inputs!$F$35:$I$35,Inputs!$F$38:$I$38)*LOOKUP(ROUNDUP(SUM($I$7:AD$7)*AD$7/Qtrs_Yr,0),Inputs!$F$35:$I$35,Inputs!$F$36:$I$36))/Thousand/Qtrs_Yr))/Thousand+SUM(Inputs!$F$54:$F$61)*AD$7/Qtrs_Yr)*(1+LOOKUP(YEAR(AE$5),Inputs!$F$93:$I$93,Inputs!$F$94:$I$94)/Qtrs_Yr)^(COUNT($I$7:AD7))*Inputs!$F$98/(AD5-AC5))-(((IF(ROUNDUP(SUM($J$7:AE$7)*AE$7/Qtrs_Yr,0)=0,0,LOOKUP(ROUNDUP(SUM($J$7:AE$7)*AE$7/Qtrs_Yr,0),Inputs!$F$35:$I$35,Inputs!$F$36:$I$36))/Thousand/Qtrs_Yr)*IF(ROUNDUP(SUM($J$7:AE$7)*AE$7/Qtrs_Yr,0)=0,0,LOOKUP(ROUNDUP(SUM($J$7:AE$7)*AE$7/Qtrs_Yr,0),Inputs!$F$41:$I$41,Inputs!$F$42:$I$42))/Grams_Oz*Inputs!$F$45)*LOOKUP(YEAR(AE$5),Inputs!$F$49:$I$49,Inputs!$F$50:$I$50)/Thousand/LOOKUP(YEAR(AE$5),Inputs!$F$89:$I$89,Inputs!$F$90:$I$90)-((Inputs!$F$64*(IF(ROUNDUP(SUM($J$7:AE$7)*AE$7/Qtrs_Yr,0)=0,0,LOOKUP(ROUNDUP(SUM($J$7:AE$7)*AE$7/Qtrs_Yr,0),Inputs!$F$35:$I$35,Inputs!$F$36:$I$36))/Thousand/Qtrs_Yr+IF(ROUNDUP(SUM($J$7:AE$7)*AE$7/Qtrs_Yr,0)=0,0,LOOKUP(ROUNDUP(SUM($J$7:AE$7)*AE$7/Qtrs_Yr,0),Inputs!$F$35:$I$35,Inputs!$F$38:$I$38)*LOOKUP(ROUNDUP(SUM($J$7:AE$7)*AE$7/Qtrs_Yr,0),Inputs!$F$35:$I$35,Inputs!$F$36:$I$36))/Thousand/Qtrs_Yr)+Inputs!$F$65*(IF(ROUNDUP(SUM($J$7:AE$7)*AE$7/Qtrs_Yr,0)=0,0,LOOKUP(ROUNDUP(SUM($J$7:AE$7)*AE$7/Qtrs_Yr,0),Inputs!$F$35:$I$35,Inputs!$F$36:$I$36))/Thousand/Qtrs_Yr)+Inputs!$F$66*(IF(ROUNDUP(SUM($J$7:AE$7)*AE$7/Qtrs_Yr,0)=0,0,LOOKUP(ROUNDUP(SUM($J$7:AE$7)*AE$7/Qtrs_Yr,0),Inputs!$F$35:$I$35,Inputs!$F$38:$I$38)*LOOKUP(ROUNDUP(SUM($J$7:AE$7)*AE$7/Qtrs_Yr,0),Inputs!$F$35:$I$35,Inputs!$F$36:$I$36))/Thousand/Qtrs_Yr))/Thousand+SUM(Inputs!$F$54:$F$61)*AE$7/Qtrs_Yr)*(1+LOOKUP(YEAR(AE$5),Inputs!$F$93:$I$93,Inputs!$F$94:$I$94)/Qtrs_Yr)^(COUNT($J$7:AE7))-Inputs!$E$29*(1+Inputs!$E$31)*AE$7/Inputs!$E$16/Qtrs_Yr-IF(OR(AE$7=0,SUM($J7:AE7)*AE7&gt;Inputs!$F$77*Qtrs_Yr),0,(Inputs!$F$71-SUM($J7:AE7,-1)*AE7*Inputs!$F$71/Inputs!$F$77/Qtrs_Yr)*(LOOKUP(YEAR(AF$5),Inputs!$F$85:$I$85,Inputs!$F$86:$I$86)+LOOKUP(ROUNDUP(SUM($J7:AF7)*AF7/Qtrs_Yr,0),Inputs!$G$73:$J$73,Inputs!$G$74:$J$74))/Qtrs_Yr))*Inputs!$F$101-IF(OR(AE$7=0,SUM($J7:AE7)*AE7&gt;Inputs!$F$77*Qtrs_Yr),0,(Inputs!$F$71-SUM($J7:AE7,-1)*AE7*Inputs!$F$71/Inputs!$F$77/Qtrs_Yr)*(LOOKUP(YEAR(AF$5),Inputs!$F$85:$I$85,Inputs!$F$86:$I$86)+LOOKUP(ROUNDUP(SUM($J7:AF7)*AF7/Qtrs_Yr,0),Inputs!$G$73:$J$73,Inputs!$G$74:$J$74))/Qtrs_Yr)-IF(OR(AE$7=0,SUM($J7:AE7)*AE7&gt;Inputs!$F$77*Qtrs_Yr),0,Inputs!$F$71/Inputs!$F$77/Qtrs_Yr)</f>
        <v>3.8289395488768623</v>
      </c>
      <c r="AF11" s="28">
        <f>(((IF(ROUNDUP(SUM($J$7:AF$7)*AF$7/Qtrs_Yr,0)=0,0,LOOKUP(ROUNDUP(SUM($J$7:AF$7)*AF$7/Qtrs_Yr,0),Inputs!$F$35:$I$35,Inputs!$F$36:$I$36))/Thousand/Qtrs_Yr)*IF(ROUNDUP(SUM($J$7:AF$7)*AF$7/Qtrs_Yr,0)=0,0,LOOKUP(ROUNDUP(SUM($J$7:AF$7)*AF$7/Qtrs_Yr,0),Inputs!$F$41:$I$41,Inputs!$F$42:$I$42))/Grams_Oz*Inputs!$F$45)*LOOKUP(YEAR(AF$5),Inputs!$F$49:$I$49,Inputs!$F$50:$I$50)/Thousand/LOOKUP(YEAR(AF$5),Inputs!$F$89:$I$89,Inputs!$F$90:$I$90)*(AF5-AE5-Inputs!$F$97)/(AF5-AE5)+((IF(ROUNDUP(SUM($I$7:AE$7)*AE$7/Qtrs_Yr,0)=0,0,LOOKUP(ROUNDUP(SUM($I$7:AE$7)*AE$7/Qtrs_Yr,0),Inputs!$F$35:$I$35,Inputs!$F$36:$I$36))/Thousand/Qtrs_Yr)*IF(ROUNDUP(SUM($I$7:AE$7)*AE$7/Qtrs_Yr,0)=0,0,LOOKUP(ROUNDUP(SUM($I$7:AE$7)*AE$7/Qtrs_Yr,0),Inputs!$F$41:$I$41,Inputs!$F$42:$I$42))/Grams_Oz*Inputs!$F$45)*LOOKUP(YEAR(AE$5),Inputs!$F$49:$I$49,Inputs!$F$50:$I$50)/Thousand/LOOKUP(YEAR(AE$5),Inputs!$F$89:$I$89,Inputs!$F$90:$I$90)*Inputs!$F$97/(AE5-AD5))-(((Inputs!$F$64*(IF(ROUNDUP(SUM($J$7:AF$7)*AF$7/Qtrs_Yr,0)=0,0,LOOKUP(ROUNDUP(SUM($J$7:AF$7)*AF$7/Qtrs_Yr,0),Inputs!$F$35:$I$35,Inputs!$F$36:$I$36))/Thousand/Qtrs_Yr+IF(ROUNDUP(SUM($J$7:AF$7)*AF$7/Qtrs_Yr,0)=0,0,LOOKUP(ROUNDUP(SUM($J$7:AF$7)*AF$7/Qtrs_Yr,0),Inputs!$F$35:$I$35,Inputs!$F$38:$I$38)*LOOKUP(ROUNDUP(SUM($J$7:AF$7)*AF$7/Qtrs_Yr,0),Inputs!$F$35:$I$35,Inputs!$F$36:$I$36))/Thousand/Qtrs_Yr)+Inputs!$F$65*(IF(ROUNDUP(SUM($J$7:AF$7)*AF$7/Qtrs_Yr,0)=0,0,LOOKUP(ROUNDUP(SUM($J$7:AF$7)*AF$7/Qtrs_Yr,0),Inputs!$F$35:$I$35,Inputs!$F$36:$I$36))/Thousand/Qtrs_Yr)+Inputs!$F$66*(IF(ROUNDUP(SUM($J$7:AF$7)*AF$7/Qtrs_Yr,0)=0,0,LOOKUP(ROUNDUP(SUM($J$7:AF$7)*AF$7/Qtrs_Yr,0),Inputs!$F$35:$I$35,Inputs!$F$38:$I$38)*LOOKUP(ROUNDUP(SUM($J$7:AF$7)*AF$7/Qtrs_Yr,0),Inputs!$F$35:$I$35,Inputs!$F$36:$I$36))/Thousand/Qtrs_Yr))/Thousand+SUM(Inputs!$F$54:$F$61)*AF$7/Qtrs_Yr)*(1+LOOKUP(YEAR(AF$5),Inputs!$F$93:$I$93,Inputs!$F$94:$I$94)/Qtrs_Yr)^(COUNT($J$7:AF7))*(AF5-AE5-Inputs!$F$98)/(AF5-AE5)+((Inputs!$F$64*(IF(ROUNDUP(SUM($I$7:AE$7)*AE$7/Qtrs_Yr,0)=0,0,LOOKUP(ROUNDUP(SUM($I$7:AE$7)*AE$7/Qtrs_Yr,0),Inputs!$F$35:$I$35,Inputs!$F$36:$I$36))/Thousand/Qtrs_Yr+IF(ROUNDUP(SUM($I$7:AE$7)*AE$7/Qtrs_Yr,0)=0,0,LOOKUP(ROUNDUP(SUM($I$7:AE$7)*AE$7/Qtrs_Yr,0),Inputs!$F$35:$I$35,Inputs!$F$38:$I$38)*LOOKUP(ROUNDUP(SUM($I$7:AE$7)*AE$7/Qtrs_Yr,0),Inputs!$F$35:$I$35,Inputs!$F$36:$I$36))/Thousand/Qtrs_Yr)+Inputs!$F$65*(IF(ROUNDUP(SUM($I$7:AE$7)*AE$7/Qtrs_Yr,0)=0,0,LOOKUP(ROUNDUP(SUM($I$7:AE$7)*AE$7/Qtrs_Yr,0),Inputs!$F$35:$I$35,Inputs!$F$36:$I$36))/Thousand/Qtrs_Yr)+Inputs!$F$66*(IF(ROUNDUP(SUM($I$7:AE$7)*AE$7/Qtrs_Yr,0)=0,0,LOOKUP(ROUNDUP(SUM($I$7:AE$7)*AE$7/Qtrs_Yr,0),Inputs!$F$35:$I$35,Inputs!$F$38:$I$38)*LOOKUP(ROUNDUP(SUM($I$7:AE$7)*AE$7/Qtrs_Yr,0),Inputs!$F$35:$I$35,Inputs!$F$36:$I$36))/Thousand/Qtrs_Yr))/Thousand+SUM(Inputs!$F$54:$F$61)*AE$7/Qtrs_Yr)*(1+LOOKUP(YEAR(AF$5),Inputs!$F$93:$I$93,Inputs!$F$94:$I$94)/Qtrs_Yr)^(COUNT($I$7:AE7))*Inputs!$F$98/(AE5-AD5))-(((IF(ROUNDUP(SUM($J$7:AF$7)*AF$7/Qtrs_Yr,0)=0,0,LOOKUP(ROUNDUP(SUM($J$7:AF$7)*AF$7/Qtrs_Yr,0),Inputs!$F$35:$I$35,Inputs!$F$36:$I$36))/Thousand/Qtrs_Yr)*IF(ROUNDUP(SUM($J$7:AF$7)*AF$7/Qtrs_Yr,0)=0,0,LOOKUP(ROUNDUP(SUM($J$7:AF$7)*AF$7/Qtrs_Yr,0),Inputs!$F$41:$I$41,Inputs!$F$42:$I$42))/Grams_Oz*Inputs!$F$45)*LOOKUP(YEAR(AF$5),Inputs!$F$49:$I$49,Inputs!$F$50:$I$50)/Thousand/LOOKUP(YEAR(AF$5),Inputs!$F$89:$I$89,Inputs!$F$90:$I$90)-((Inputs!$F$64*(IF(ROUNDUP(SUM($J$7:AF$7)*AF$7/Qtrs_Yr,0)=0,0,LOOKUP(ROUNDUP(SUM($J$7:AF$7)*AF$7/Qtrs_Yr,0),Inputs!$F$35:$I$35,Inputs!$F$36:$I$36))/Thousand/Qtrs_Yr+IF(ROUNDUP(SUM($J$7:AF$7)*AF$7/Qtrs_Yr,0)=0,0,LOOKUP(ROUNDUP(SUM($J$7:AF$7)*AF$7/Qtrs_Yr,0),Inputs!$F$35:$I$35,Inputs!$F$38:$I$38)*LOOKUP(ROUNDUP(SUM($J$7:AF$7)*AF$7/Qtrs_Yr,0),Inputs!$F$35:$I$35,Inputs!$F$36:$I$36))/Thousand/Qtrs_Yr)+Inputs!$F$65*(IF(ROUNDUP(SUM($J$7:AF$7)*AF$7/Qtrs_Yr,0)=0,0,LOOKUP(ROUNDUP(SUM($J$7:AF$7)*AF$7/Qtrs_Yr,0),Inputs!$F$35:$I$35,Inputs!$F$36:$I$36))/Thousand/Qtrs_Yr)+Inputs!$F$66*(IF(ROUNDUP(SUM($J$7:AF$7)*AF$7/Qtrs_Yr,0)=0,0,LOOKUP(ROUNDUP(SUM($J$7:AF$7)*AF$7/Qtrs_Yr,0),Inputs!$F$35:$I$35,Inputs!$F$38:$I$38)*LOOKUP(ROUNDUP(SUM($J$7:AF$7)*AF$7/Qtrs_Yr,0),Inputs!$F$35:$I$35,Inputs!$F$36:$I$36))/Thousand/Qtrs_Yr))/Thousand+SUM(Inputs!$F$54:$F$61)*AF$7/Qtrs_Yr)*(1+LOOKUP(YEAR(AF$5),Inputs!$F$93:$I$93,Inputs!$F$94:$I$94)/Qtrs_Yr)^(COUNT($J$7:AF7))-Inputs!$E$29*(1+Inputs!$E$31)*AF$7/Inputs!$E$16/Qtrs_Yr-IF(OR(AF$7=0,SUM($J7:AF7)*AF7&gt;Inputs!$F$77*Qtrs_Yr),0,(Inputs!$F$71-SUM($J7:AF7,-1)*AF7*Inputs!$F$71/Inputs!$F$77/Qtrs_Yr)*(LOOKUP(YEAR(AG$5),Inputs!$F$85:$I$85,Inputs!$F$86:$I$86)+LOOKUP(ROUNDUP(SUM($J7:AG7)*AG7/Qtrs_Yr,0),Inputs!$G$73:$J$73,Inputs!$G$74:$J$74))/Qtrs_Yr))*Inputs!$F$101-IF(OR(AF$7=0,SUM($J7:AF7)*AF7&gt;Inputs!$F$77*Qtrs_Yr),0,(Inputs!$F$71-SUM($J7:AF7,-1)*AF7*Inputs!$F$71/Inputs!$F$77/Qtrs_Yr)*(LOOKUP(YEAR(AG$5),Inputs!$F$85:$I$85,Inputs!$F$86:$I$86)+LOOKUP(ROUNDUP(SUM($J7:AG7)*AG7/Qtrs_Yr,0),Inputs!$G$73:$J$73,Inputs!$G$74:$J$74))/Qtrs_Yr)-IF(OR(AF$7=0,SUM($J7:AF7)*AF7&gt;Inputs!$F$77*Qtrs_Yr),0,Inputs!$F$71/Inputs!$F$77/Qtrs_Yr)</f>
        <v>3.7974375813652088</v>
      </c>
      <c r="AG11" s="28">
        <f>(((IF(ROUNDUP(SUM($J$7:AG$7)*AG$7/Qtrs_Yr,0)=0,0,LOOKUP(ROUNDUP(SUM($J$7:AG$7)*AG$7/Qtrs_Yr,0),Inputs!$F$35:$I$35,Inputs!$F$36:$I$36))/Thousand/Qtrs_Yr)*IF(ROUNDUP(SUM($J$7:AG$7)*AG$7/Qtrs_Yr,0)=0,0,LOOKUP(ROUNDUP(SUM($J$7:AG$7)*AG$7/Qtrs_Yr,0),Inputs!$F$41:$I$41,Inputs!$F$42:$I$42))/Grams_Oz*Inputs!$F$45)*LOOKUP(YEAR(AG$5),Inputs!$F$49:$I$49,Inputs!$F$50:$I$50)/Thousand/LOOKUP(YEAR(AG$5),Inputs!$F$89:$I$89,Inputs!$F$90:$I$90)*(AG5-AF5-Inputs!$F$97)/(AG5-AF5)+((IF(ROUNDUP(SUM($I$7:AF$7)*AF$7/Qtrs_Yr,0)=0,0,LOOKUP(ROUNDUP(SUM($I$7:AF$7)*AF$7/Qtrs_Yr,0),Inputs!$F$35:$I$35,Inputs!$F$36:$I$36))/Thousand/Qtrs_Yr)*IF(ROUNDUP(SUM($I$7:AF$7)*AF$7/Qtrs_Yr,0)=0,0,LOOKUP(ROUNDUP(SUM($I$7:AF$7)*AF$7/Qtrs_Yr,0),Inputs!$F$41:$I$41,Inputs!$F$42:$I$42))/Grams_Oz*Inputs!$F$45)*LOOKUP(YEAR(AF$5),Inputs!$F$49:$I$49,Inputs!$F$50:$I$50)/Thousand/LOOKUP(YEAR(AF$5),Inputs!$F$89:$I$89,Inputs!$F$90:$I$90)*Inputs!$F$97/(AF5-AE5))-(((Inputs!$F$64*(IF(ROUNDUP(SUM($J$7:AG$7)*AG$7/Qtrs_Yr,0)=0,0,LOOKUP(ROUNDUP(SUM($J$7:AG$7)*AG$7/Qtrs_Yr,0),Inputs!$F$35:$I$35,Inputs!$F$36:$I$36))/Thousand/Qtrs_Yr+IF(ROUNDUP(SUM($J$7:AG$7)*AG$7/Qtrs_Yr,0)=0,0,LOOKUP(ROUNDUP(SUM($J$7:AG$7)*AG$7/Qtrs_Yr,0),Inputs!$F$35:$I$35,Inputs!$F$38:$I$38)*LOOKUP(ROUNDUP(SUM($J$7:AG$7)*AG$7/Qtrs_Yr,0),Inputs!$F$35:$I$35,Inputs!$F$36:$I$36))/Thousand/Qtrs_Yr)+Inputs!$F$65*(IF(ROUNDUP(SUM($J$7:AG$7)*AG$7/Qtrs_Yr,0)=0,0,LOOKUP(ROUNDUP(SUM($J$7:AG$7)*AG$7/Qtrs_Yr,0),Inputs!$F$35:$I$35,Inputs!$F$36:$I$36))/Thousand/Qtrs_Yr)+Inputs!$F$66*(IF(ROUNDUP(SUM($J$7:AG$7)*AG$7/Qtrs_Yr,0)=0,0,LOOKUP(ROUNDUP(SUM($J$7:AG$7)*AG$7/Qtrs_Yr,0),Inputs!$F$35:$I$35,Inputs!$F$38:$I$38)*LOOKUP(ROUNDUP(SUM($J$7:AG$7)*AG$7/Qtrs_Yr,0),Inputs!$F$35:$I$35,Inputs!$F$36:$I$36))/Thousand/Qtrs_Yr))/Thousand+SUM(Inputs!$F$54:$F$61)*AG$7/Qtrs_Yr)*(1+LOOKUP(YEAR(AG$5),Inputs!$F$93:$I$93,Inputs!$F$94:$I$94)/Qtrs_Yr)^(COUNT($J$7:AG7))*(AG5-AF5-Inputs!$F$98)/(AG5-AF5)+((Inputs!$F$64*(IF(ROUNDUP(SUM($I$7:AF$7)*AF$7/Qtrs_Yr,0)=0,0,LOOKUP(ROUNDUP(SUM($I$7:AF$7)*AF$7/Qtrs_Yr,0),Inputs!$F$35:$I$35,Inputs!$F$36:$I$36))/Thousand/Qtrs_Yr+IF(ROUNDUP(SUM($I$7:AF$7)*AF$7/Qtrs_Yr,0)=0,0,LOOKUP(ROUNDUP(SUM($I$7:AF$7)*AF$7/Qtrs_Yr,0),Inputs!$F$35:$I$35,Inputs!$F$38:$I$38)*LOOKUP(ROUNDUP(SUM($I$7:AF$7)*AF$7/Qtrs_Yr,0),Inputs!$F$35:$I$35,Inputs!$F$36:$I$36))/Thousand/Qtrs_Yr)+Inputs!$F$65*(IF(ROUNDUP(SUM($I$7:AF$7)*AF$7/Qtrs_Yr,0)=0,0,LOOKUP(ROUNDUP(SUM($I$7:AF$7)*AF$7/Qtrs_Yr,0),Inputs!$F$35:$I$35,Inputs!$F$36:$I$36))/Thousand/Qtrs_Yr)+Inputs!$F$66*(IF(ROUNDUP(SUM($I$7:AF$7)*AF$7/Qtrs_Yr,0)=0,0,LOOKUP(ROUNDUP(SUM($I$7:AF$7)*AF$7/Qtrs_Yr,0),Inputs!$F$35:$I$35,Inputs!$F$38:$I$38)*LOOKUP(ROUNDUP(SUM($I$7:AF$7)*AF$7/Qtrs_Yr,0),Inputs!$F$35:$I$35,Inputs!$F$36:$I$36))/Thousand/Qtrs_Yr))/Thousand+SUM(Inputs!$F$54:$F$61)*AF$7/Qtrs_Yr)*(1+LOOKUP(YEAR(AG$5),Inputs!$F$93:$I$93,Inputs!$F$94:$I$94)/Qtrs_Yr)^(COUNT($I$7:AF7))*Inputs!$F$98/(AF5-AE5))-(((IF(ROUNDUP(SUM($J$7:AG$7)*AG$7/Qtrs_Yr,0)=0,0,LOOKUP(ROUNDUP(SUM($J$7:AG$7)*AG$7/Qtrs_Yr,0),Inputs!$F$35:$I$35,Inputs!$F$36:$I$36))/Thousand/Qtrs_Yr)*IF(ROUNDUP(SUM($J$7:AG$7)*AG$7/Qtrs_Yr,0)=0,0,LOOKUP(ROUNDUP(SUM($J$7:AG$7)*AG$7/Qtrs_Yr,0),Inputs!$F$41:$I$41,Inputs!$F$42:$I$42))/Grams_Oz*Inputs!$F$45)*LOOKUP(YEAR(AG$5),Inputs!$F$49:$I$49,Inputs!$F$50:$I$50)/Thousand/LOOKUP(YEAR(AG$5),Inputs!$F$89:$I$89,Inputs!$F$90:$I$90)-((Inputs!$F$64*(IF(ROUNDUP(SUM($J$7:AG$7)*AG$7/Qtrs_Yr,0)=0,0,LOOKUP(ROUNDUP(SUM($J$7:AG$7)*AG$7/Qtrs_Yr,0),Inputs!$F$35:$I$35,Inputs!$F$36:$I$36))/Thousand/Qtrs_Yr+IF(ROUNDUP(SUM($J$7:AG$7)*AG$7/Qtrs_Yr,0)=0,0,LOOKUP(ROUNDUP(SUM($J$7:AG$7)*AG$7/Qtrs_Yr,0),Inputs!$F$35:$I$35,Inputs!$F$38:$I$38)*LOOKUP(ROUNDUP(SUM($J$7:AG$7)*AG$7/Qtrs_Yr,0),Inputs!$F$35:$I$35,Inputs!$F$36:$I$36))/Thousand/Qtrs_Yr)+Inputs!$F$65*(IF(ROUNDUP(SUM($J$7:AG$7)*AG$7/Qtrs_Yr,0)=0,0,LOOKUP(ROUNDUP(SUM($J$7:AG$7)*AG$7/Qtrs_Yr,0),Inputs!$F$35:$I$35,Inputs!$F$36:$I$36))/Thousand/Qtrs_Yr)+Inputs!$F$66*(IF(ROUNDUP(SUM($J$7:AG$7)*AG$7/Qtrs_Yr,0)=0,0,LOOKUP(ROUNDUP(SUM($J$7:AG$7)*AG$7/Qtrs_Yr,0),Inputs!$F$35:$I$35,Inputs!$F$38:$I$38)*LOOKUP(ROUNDUP(SUM($J$7:AG$7)*AG$7/Qtrs_Yr,0),Inputs!$F$35:$I$35,Inputs!$F$36:$I$36))/Thousand/Qtrs_Yr))/Thousand+SUM(Inputs!$F$54:$F$61)*AG$7/Qtrs_Yr)*(1+LOOKUP(YEAR(AG$5),Inputs!$F$93:$I$93,Inputs!$F$94:$I$94)/Qtrs_Yr)^(COUNT($J$7:AG7))-Inputs!$E$29*(1+Inputs!$E$31)*AG$7/Inputs!$E$16/Qtrs_Yr-IF(OR(AG$7=0,SUM($J7:AG7)*AG7&gt;Inputs!$F$77*Qtrs_Yr),0,(Inputs!$F$71-SUM($J7:AG7,-1)*AG7*Inputs!$F$71/Inputs!$F$77/Qtrs_Yr)*(LOOKUP(YEAR(AH$5),Inputs!$F$85:$I$85,Inputs!$F$86:$I$86)+LOOKUP(ROUNDUP(SUM($J7:AH7)*AH7/Qtrs_Yr,0),Inputs!$G$73:$J$73,Inputs!$G$74:$J$74))/Qtrs_Yr))*Inputs!$F$101-IF(OR(AG$7=0,SUM($J7:AG7)*AG7&gt;Inputs!$F$77*Qtrs_Yr),0,(Inputs!$F$71-SUM($J7:AG7,-1)*AG7*Inputs!$F$71/Inputs!$F$77/Qtrs_Yr)*(LOOKUP(YEAR(AH$5),Inputs!$F$85:$I$85,Inputs!$F$86:$I$86)+LOOKUP(ROUNDUP(SUM($J7:AH7)*AH7/Qtrs_Yr,0),Inputs!$G$73:$J$73,Inputs!$G$74:$J$74))/Qtrs_Yr)-IF(OR(AG$7=0,SUM($J7:AG7)*AG7&gt;Inputs!$F$77*Qtrs_Yr),0,Inputs!$F$71/Inputs!$F$77/Qtrs_Yr)</f>
        <v>3.7537102615895783</v>
      </c>
      <c r="AH11" s="28">
        <f>(((IF(ROUNDUP(SUM($J$7:AH$7)*AH$7/Qtrs_Yr,0)=0,0,LOOKUP(ROUNDUP(SUM($J$7:AH$7)*AH$7/Qtrs_Yr,0),Inputs!$F$35:$I$35,Inputs!$F$36:$I$36))/Thousand/Qtrs_Yr)*IF(ROUNDUP(SUM($J$7:AH$7)*AH$7/Qtrs_Yr,0)=0,0,LOOKUP(ROUNDUP(SUM($J$7:AH$7)*AH$7/Qtrs_Yr,0),Inputs!$F$41:$I$41,Inputs!$F$42:$I$42))/Grams_Oz*Inputs!$F$45)*LOOKUP(YEAR(AH$5),Inputs!$F$49:$I$49,Inputs!$F$50:$I$50)/Thousand/LOOKUP(YEAR(AH$5),Inputs!$F$89:$I$89,Inputs!$F$90:$I$90)*(AH5-AG5-Inputs!$F$97)/(AH5-AG5)+((IF(ROUNDUP(SUM($I$7:AG$7)*AG$7/Qtrs_Yr,0)=0,0,LOOKUP(ROUNDUP(SUM($I$7:AG$7)*AG$7/Qtrs_Yr,0),Inputs!$F$35:$I$35,Inputs!$F$36:$I$36))/Thousand/Qtrs_Yr)*IF(ROUNDUP(SUM($I$7:AG$7)*AG$7/Qtrs_Yr,0)=0,0,LOOKUP(ROUNDUP(SUM($I$7:AG$7)*AG$7/Qtrs_Yr,0),Inputs!$F$41:$I$41,Inputs!$F$42:$I$42))/Grams_Oz*Inputs!$F$45)*LOOKUP(YEAR(AG$5),Inputs!$F$49:$I$49,Inputs!$F$50:$I$50)/Thousand/LOOKUP(YEAR(AG$5),Inputs!$F$89:$I$89,Inputs!$F$90:$I$90)*Inputs!$F$97/(AG5-AF5))-(((Inputs!$F$64*(IF(ROUNDUP(SUM($J$7:AH$7)*AH$7/Qtrs_Yr,0)=0,0,LOOKUP(ROUNDUP(SUM($J$7:AH$7)*AH$7/Qtrs_Yr,0),Inputs!$F$35:$I$35,Inputs!$F$36:$I$36))/Thousand/Qtrs_Yr+IF(ROUNDUP(SUM($J$7:AH$7)*AH$7/Qtrs_Yr,0)=0,0,LOOKUP(ROUNDUP(SUM($J$7:AH$7)*AH$7/Qtrs_Yr,0),Inputs!$F$35:$I$35,Inputs!$F$38:$I$38)*LOOKUP(ROUNDUP(SUM($J$7:AH$7)*AH$7/Qtrs_Yr,0),Inputs!$F$35:$I$35,Inputs!$F$36:$I$36))/Thousand/Qtrs_Yr)+Inputs!$F$65*(IF(ROUNDUP(SUM($J$7:AH$7)*AH$7/Qtrs_Yr,0)=0,0,LOOKUP(ROUNDUP(SUM($J$7:AH$7)*AH$7/Qtrs_Yr,0),Inputs!$F$35:$I$35,Inputs!$F$36:$I$36))/Thousand/Qtrs_Yr)+Inputs!$F$66*(IF(ROUNDUP(SUM($J$7:AH$7)*AH$7/Qtrs_Yr,0)=0,0,LOOKUP(ROUNDUP(SUM($J$7:AH$7)*AH$7/Qtrs_Yr,0),Inputs!$F$35:$I$35,Inputs!$F$38:$I$38)*LOOKUP(ROUNDUP(SUM($J$7:AH$7)*AH$7/Qtrs_Yr,0),Inputs!$F$35:$I$35,Inputs!$F$36:$I$36))/Thousand/Qtrs_Yr))/Thousand+SUM(Inputs!$F$54:$F$61)*AH$7/Qtrs_Yr)*(1+LOOKUP(YEAR(AH$5),Inputs!$F$93:$I$93,Inputs!$F$94:$I$94)/Qtrs_Yr)^(COUNT($J$7:AH7))*(AH5-AG5-Inputs!$F$98)/(AH5-AG5)+((Inputs!$F$64*(IF(ROUNDUP(SUM($I$7:AG$7)*AG$7/Qtrs_Yr,0)=0,0,LOOKUP(ROUNDUP(SUM($I$7:AG$7)*AG$7/Qtrs_Yr,0),Inputs!$F$35:$I$35,Inputs!$F$36:$I$36))/Thousand/Qtrs_Yr+IF(ROUNDUP(SUM($I$7:AG$7)*AG$7/Qtrs_Yr,0)=0,0,LOOKUP(ROUNDUP(SUM($I$7:AG$7)*AG$7/Qtrs_Yr,0),Inputs!$F$35:$I$35,Inputs!$F$38:$I$38)*LOOKUP(ROUNDUP(SUM($I$7:AG$7)*AG$7/Qtrs_Yr,0),Inputs!$F$35:$I$35,Inputs!$F$36:$I$36))/Thousand/Qtrs_Yr)+Inputs!$F$65*(IF(ROUNDUP(SUM($I$7:AG$7)*AG$7/Qtrs_Yr,0)=0,0,LOOKUP(ROUNDUP(SUM($I$7:AG$7)*AG$7/Qtrs_Yr,0),Inputs!$F$35:$I$35,Inputs!$F$36:$I$36))/Thousand/Qtrs_Yr)+Inputs!$F$66*(IF(ROUNDUP(SUM($I$7:AG$7)*AG$7/Qtrs_Yr,0)=0,0,LOOKUP(ROUNDUP(SUM($I$7:AG$7)*AG$7/Qtrs_Yr,0),Inputs!$F$35:$I$35,Inputs!$F$38:$I$38)*LOOKUP(ROUNDUP(SUM($I$7:AG$7)*AG$7/Qtrs_Yr,0),Inputs!$F$35:$I$35,Inputs!$F$36:$I$36))/Thousand/Qtrs_Yr))/Thousand+SUM(Inputs!$F$54:$F$61)*AG$7/Qtrs_Yr)*(1+LOOKUP(YEAR(AH$5),Inputs!$F$93:$I$93,Inputs!$F$94:$I$94)/Qtrs_Yr)^(COUNT($I$7:AG7))*Inputs!$F$98/(AG5-AF5))-(((IF(ROUNDUP(SUM($J$7:AH$7)*AH$7/Qtrs_Yr,0)=0,0,LOOKUP(ROUNDUP(SUM($J$7:AH$7)*AH$7/Qtrs_Yr,0),Inputs!$F$35:$I$35,Inputs!$F$36:$I$36))/Thousand/Qtrs_Yr)*IF(ROUNDUP(SUM($J$7:AH$7)*AH$7/Qtrs_Yr,0)=0,0,LOOKUP(ROUNDUP(SUM($J$7:AH$7)*AH$7/Qtrs_Yr,0),Inputs!$F$41:$I$41,Inputs!$F$42:$I$42))/Grams_Oz*Inputs!$F$45)*LOOKUP(YEAR(AH$5),Inputs!$F$49:$I$49,Inputs!$F$50:$I$50)/Thousand/LOOKUP(YEAR(AH$5),Inputs!$F$89:$I$89,Inputs!$F$90:$I$90)-((Inputs!$F$64*(IF(ROUNDUP(SUM($J$7:AH$7)*AH$7/Qtrs_Yr,0)=0,0,LOOKUP(ROUNDUP(SUM($J$7:AH$7)*AH$7/Qtrs_Yr,0),Inputs!$F$35:$I$35,Inputs!$F$36:$I$36))/Thousand/Qtrs_Yr+IF(ROUNDUP(SUM($J$7:AH$7)*AH$7/Qtrs_Yr,0)=0,0,LOOKUP(ROUNDUP(SUM($J$7:AH$7)*AH$7/Qtrs_Yr,0),Inputs!$F$35:$I$35,Inputs!$F$38:$I$38)*LOOKUP(ROUNDUP(SUM($J$7:AH$7)*AH$7/Qtrs_Yr,0),Inputs!$F$35:$I$35,Inputs!$F$36:$I$36))/Thousand/Qtrs_Yr)+Inputs!$F$65*(IF(ROUNDUP(SUM($J$7:AH$7)*AH$7/Qtrs_Yr,0)=0,0,LOOKUP(ROUNDUP(SUM($J$7:AH$7)*AH$7/Qtrs_Yr,0),Inputs!$F$35:$I$35,Inputs!$F$36:$I$36))/Thousand/Qtrs_Yr)+Inputs!$F$66*(IF(ROUNDUP(SUM($J$7:AH$7)*AH$7/Qtrs_Yr,0)=0,0,LOOKUP(ROUNDUP(SUM($J$7:AH$7)*AH$7/Qtrs_Yr,0),Inputs!$F$35:$I$35,Inputs!$F$38:$I$38)*LOOKUP(ROUNDUP(SUM($J$7:AH$7)*AH$7/Qtrs_Yr,0),Inputs!$F$35:$I$35,Inputs!$F$36:$I$36))/Thousand/Qtrs_Yr))/Thousand+SUM(Inputs!$F$54:$F$61)*AH$7/Qtrs_Yr)*(1+LOOKUP(YEAR(AH$5),Inputs!$F$93:$I$93,Inputs!$F$94:$I$94)/Qtrs_Yr)^(COUNT($J$7:AH7))-Inputs!$E$29*(1+Inputs!$E$31)*AH$7/Inputs!$E$16/Qtrs_Yr-IF(OR(AH$7=0,SUM($J7:AH7)*AH7&gt;Inputs!$F$77*Qtrs_Yr),0,(Inputs!$F$71-SUM($J7:AH7,-1)*AH7*Inputs!$F$71/Inputs!$F$77/Qtrs_Yr)*(LOOKUP(YEAR(AI$5),Inputs!$F$85:$I$85,Inputs!$F$86:$I$86)+LOOKUP(ROUNDUP(SUM($J7:AI7)*AI7/Qtrs_Yr,0),Inputs!$G$73:$J$73,Inputs!$G$74:$J$74))/Qtrs_Yr))*Inputs!$F$101-IF(OR(AH$7=0,SUM($J7:AH7)*AH7&gt;Inputs!$F$77*Qtrs_Yr),0,(Inputs!$F$71-SUM($J7:AH7,-1)*AH7*Inputs!$F$71/Inputs!$F$77/Qtrs_Yr)*(LOOKUP(YEAR(AI$5),Inputs!$F$85:$I$85,Inputs!$F$86:$I$86)+LOOKUP(ROUNDUP(SUM($J7:AI7)*AI7/Qtrs_Yr,0),Inputs!$G$73:$J$73,Inputs!$G$74:$J$74))/Qtrs_Yr)-IF(OR(AH$7=0,SUM($J7:AH7)*AH7&gt;Inputs!$F$77*Qtrs_Yr),0,Inputs!$F$71/Inputs!$F$77/Qtrs_Yr)</f>
        <v>3.6993502615798963</v>
      </c>
      <c r="AI11" s="28">
        <f>(((IF(ROUNDUP(SUM($J$7:AI$7)*AI$7/Qtrs_Yr,0)=0,0,LOOKUP(ROUNDUP(SUM($J$7:AI$7)*AI$7/Qtrs_Yr,0),Inputs!$F$35:$I$35,Inputs!$F$36:$I$36))/Thousand/Qtrs_Yr)*IF(ROUNDUP(SUM($J$7:AI$7)*AI$7/Qtrs_Yr,0)=0,0,LOOKUP(ROUNDUP(SUM($J$7:AI$7)*AI$7/Qtrs_Yr,0),Inputs!$F$41:$I$41,Inputs!$F$42:$I$42))/Grams_Oz*Inputs!$F$45)*LOOKUP(YEAR(AI$5),Inputs!$F$49:$I$49,Inputs!$F$50:$I$50)/Thousand/LOOKUP(YEAR(AI$5),Inputs!$F$89:$I$89,Inputs!$F$90:$I$90)*(AI5-AH5-Inputs!$F$97)/(AI5-AH5)+((IF(ROUNDUP(SUM($I$7:AH$7)*AH$7/Qtrs_Yr,0)=0,0,LOOKUP(ROUNDUP(SUM($I$7:AH$7)*AH$7/Qtrs_Yr,0),Inputs!$F$35:$I$35,Inputs!$F$36:$I$36))/Thousand/Qtrs_Yr)*IF(ROUNDUP(SUM($I$7:AH$7)*AH$7/Qtrs_Yr,0)=0,0,LOOKUP(ROUNDUP(SUM($I$7:AH$7)*AH$7/Qtrs_Yr,0),Inputs!$F$41:$I$41,Inputs!$F$42:$I$42))/Grams_Oz*Inputs!$F$45)*LOOKUP(YEAR(AH$5),Inputs!$F$49:$I$49,Inputs!$F$50:$I$50)/Thousand/LOOKUP(YEAR(AH$5),Inputs!$F$89:$I$89,Inputs!$F$90:$I$90)*Inputs!$F$97/(AH5-AG5))-(((Inputs!$F$64*(IF(ROUNDUP(SUM($J$7:AI$7)*AI$7/Qtrs_Yr,0)=0,0,LOOKUP(ROUNDUP(SUM($J$7:AI$7)*AI$7/Qtrs_Yr,0),Inputs!$F$35:$I$35,Inputs!$F$36:$I$36))/Thousand/Qtrs_Yr+IF(ROUNDUP(SUM($J$7:AI$7)*AI$7/Qtrs_Yr,0)=0,0,LOOKUP(ROUNDUP(SUM($J$7:AI$7)*AI$7/Qtrs_Yr,0),Inputs!$F$35:$I$35,Inputs!$F$38:$I$38)*LOOKUP(ROUNDUP(SUM($J$7:AI$7)*AI$7/Qtrs_Yr,0),Inputs!$F$35:$I$35,Inputs!$F$36:$I$36))/Thousand/Qtrs_Yr)+Inputs!$F$65*(IF(ROUNDUP(SUM($J$7:AI$7)*AI$7/Qtrs_Yr,0)=0,0,LOOKUP(ROUNDUP(SUM($J$7:AI$7)*AI$7/Qtrs_Yr,0),Inputs!$F$35:$I$35,Inputs!$F$36:$I$36))/Thousand/Qtrs_Yr)+Inputs!$F$66*(IF(ROUNDUP(SUM($J$7:AI$7)*AI$7/Qtrs_Yr,0)=0,0,LOOKUP(ROUNDUP(SUM($J$7:AI$7)*AI$7/Qtrs_Yr,0),Inputs!$F$35:$I$35,Inputs!$F$38:$I$38)*LOOKUP(ROUNDUP(SUM($J$7:AI$7)*AI$7/Qtrs_Yr,0),Inputs!$F$35:$I$35,Inputs!$F$36:$I$36))/Thousand/Qtrs_Yr))/Thousand+SUM(Inputs!$F$54:$F$61)*AI$7/Qtrs_Yr)*(1+LOOKUP(YEAR(AI$5),Inputs!$F$93:$I$93,Inputs!$F$94:$I$94)/Qtrs_Yr)^(COUNT($J$7:AI7))*(AI5-AH5-Inputs!$F$98)/(AI5-AH5)+((Inputs!$F$64*(IF(ROUNDUP(SUM($I$7:AH$7)*AH$7/Qtrs_Yr,0)=0,0,LOOKUP(ROUNDUP(SUM($I$7:AH$7)*AH$7/Qtrs_Yr,0),Inputs!$F$35:$I$35,Inputs!$F$36:$I$36))/Thousand/Qtrs_Yr+IF(ROUNDUP(SUM($I$7:AH$7)*AH$7/Qtrs_Yr,0)=0,0,LOOKUP(ROUNDUP(SUM($I$7:AH$7)*AH$7/Qtrs_Yr,0),Inputs!$F$35:$I$35,Inputs!$F$38:$I$38)*LOOKUP(ROUNDUP(SUM($I$7:AH$7)*AH$7/Qtrs_Yr,0),Inputs!$F$35:$I$35,Inputs!$F$36:$I$36))/Thousand/Qtrs_Yr)+Inputs!$F$65*(IF(ROUNDUP(SUM($I$7:AH$7)*AH$7/Qtrs_Yr,0)=0,0,LOOKUP(ROUNDUP(SUM($I$7:AH$7)*AH$7/Qtrs_Yr,0),Inputs!$F$35:$I$35,Inputs!$F$36:$I$36))/Thousand/Qtrs_Yr)+Inputs!$F$66*(IF(ROUNDUP(SUM($I$7:AH$7)*AH$7/Qtrs_Yr,0)=0,0,LOOKUP(ROUNDUP(SUM($I$7:AH$7)*AH$7/Qtrs_Yr,0),Inputs!$F$35:$I$35,Inputs!$F$38:$I$38)*LOOKUP(ROUNDUP(SUM($I$7:AH$7)*AH$7/Qtrs_Yr,0),Inputs!$F$35:$I$35,Inputs!$F$36:$I$36))/Thousand/Qtrs_Yr))/Thousand+SUM(Inputs!$F$54:$F$61)*AH$7/Qtrs_Yr)*(1+LOOKUP(YEAR(AI$5),Inputs!$F$93:$I$93,Inputs!$F$94:$I$94)/Qtrs_Yr)^(COUNT($I$7:AH7))*Inputs!$F$98/(AH5-AG5))-(((IF(ROUNDUP(SUM($J$7:AI$7)*AI$7/Qtrs_Yr,0)=0,0,LOOKUP(ROUNDUP(SUM($J$7:AI$7)*AI$7/Qtrs_Yr,0),Inputs!$F$35:$I$35,Inputs!$F$36:$I$36))/Thousand/Qtrs_Yr)*IF(ROUNDUP(SUM($J$7:AI$7)*AI$7/Qtrs_Yr,0)=0,0,LOOKUP(ROUNDUP(SUM($J$7:AI$7)*AI$7/Qtrs_Yr,0),Inputs!$F$41:$I$41,Inputs!$F$42:$I$42))/Grams_Oz*Inputs!$F$45)*LOOKUP(YEAR(AI$5),Inputs!$F$49:$I$49,Inputs!$F$50:$I$50)/Thousand/LOOKUP(YEAR(AI$5),Inputs!$F$89:$I$89,Inputs!$F$90:$I$90)-((Inputs!$F$64*(IF(ROUNDUP(SUM($J$7:AI$7)*AI$7/Qtrs_Yr,0)=0,0,LOOKUP(ROUNDUP(SUM($J$7:AI$7)*AI$7/Qtrs_Yr,0),Inputs!$F$35:$I$35,Inputs!$F$36:$I$36))/Thousand/Qtrs_Yr+IF(ROUNDUP(SUM($J$7:AI$7)*AI$7/Qtrs_Yr,0)=0,0,LOOKUP(ROUNDUP(SUM($J$7:AI$7)*AI$7/Qtrs_Yr,0),Inputs!$F$35:$I$35,Inputs!$F$38:$I$38)*LOOKUP(ROUNDUP(SUM($J$7:AI$7)*AI$7/Qtrs_Yr,0),Inputs!$F$35:$I$35,Inputs!$F$36:$I$36))/Thousand/Qtrs_Yr)+Inputs!$F$65*(IF(ROUNDUP(SUM($J$7:AI$7)*AI$7/Qtrs_Yr,0)=0,0,LOOKUP(ROUNDUP(SUM($J$7:AI$7)*AI$7/Qtrs_Yr,0),Inputs!$F$35:$I$35,Inputs!$F$36:$I$36))/Thousand/Qtrs_Yr)+Inputs!$F$66*(IF(ROUNDUP(SUM($J$7:AI$7)*AI$7/Qtrs_Yr,0)=0,0,LOOKUP(ROUNDUP(SUM($J$7:AI$7)*AI$7/Qtrs_Yr,0),Inputs!$F$35:$I$35,Inputs!$F$38:$I$38)*LOOKUP(ROUNDUP(SUM($J$7:AI$7)*AI$7/Qtrs_Yr,0),Inputs!$F$35:$I$35,Inputs!$F$36:$I$36))/Thousand/Qtrs_Yr))/Thousand+SUM(Inputs!$F$54:$F$61)*AI$7/Qtrs_Yr)*(1+LOOKUP(YEAR(AI$5),Inputs!$F$93:$I$93,Inputs!$F$94:$I$94)/Qtrs_Yr)^(COUNT($J$7:AI7))-Inputs!$E$29*(1+Inputs!$E$31)*AI$7/Inputs!$E$16/Qtrs_Yr-IF(OR(AI$7=0,SUM($J7:AI7)*AI7&gt;Inputs!$F$77*Qtrs_Yr),0,(Inputs!$F$71-SUM($J7:AI7,-1)*AI7*Inputs!$F$71/Inputs!$F$77/Qtrs_Yr)*(LOOKUP(YEAR(AJ$5),Inputs!$F$85:$I$85,Inputs!$F$86:$I$86)+LOOKUP(ROUNDUP(SUM($J7:AJ7)*AJ7/Qtrs_Yr,0),Inputs!$G$73:$J$73,Inputs!$G$74:$J$74))/Qtrs_Yr))*Inputs!$F$101-IF(OR(AI$7=0,SUM($J7:AI7)*AI7&gt;Inputs!$F$77*Qtrs_Yr),0,(Inputs!$F$71-SUM($J7:AI7,-1)*AI7*Inputs!$F$71/Inputs!$F$77/Qtrs_Yr)*(LOOKUP(YEAR(AJ$5),Inputs!$F$85:$I$85,Inputs!$F$86:$I$86)+LOOKUP(ROUNDUP(SUM($J7:AJ7)*AJ7/Qtrs_Yr,0),Inputs!$G$73:$J$73,Inputs!$G$74:$J$74))/Qtrs_Yr)-IF(OR(AI$7=0,SUM($J7:AI7)*AI7&gt;Inputs!$F$77*Qtrs_Yr),0,Inputs!$F$71/Inputs!$F$77/Qtrs_Yr)</f>
        <v>3.7038773802009555</v>
      </c>
      <c r="AJ11" s="28">
        <f>(((IF(ROUNDUP(SUM($J$7:AJ$7)*AJ$7/Qtrs_Yr,0)=0,0,LOOKUP(ROUNDUP(SUM($J$7:AJ$7)*AJ$7/Qtrs_Yr,0),Inputs!$F$35:$I$35,Inputs!$F$36:$I$36))/Thousand/Qtrs_Yr)*IF(ROUNDUP(SUM($J$7:AJ$7)*AJ$7/Qtrs_Yr,0)=0,0,LOOKUP(ROUNDUP(SUM($J$7:AJ$7)*AJ$7/Qtrs_Yr,0),Inputs!$F$41:$I$41,Inputs!$F$42:$I$42))/Grams_Oz*Inputs!$F$45)*LOOKUP(YEAR(AJ$5),Inputs!$F$49:$I$49,Inputs!$F$50:$I$50)/Thousand/LOOKUP(YEAR(AJ$5),Inputs!$F$89:$I$89,Inputs!$F$90:$I$90)*(AJ5-AI5-Inputs!$F$97)/(AJ5-AI5)+((IF(ROUNDUP(SUM($I$7:AI$7)*AI$7/Qtrs_Yr,0)=0,0,LOOKUP(ROUNDUP(SUM($I$7:AI$7)*AI$7/Qtrs_Yr,0),Inputs!$F$35:$I$35,Inputs!$F$36:$I$36))/Thousand/Qtrs_Yr)*IF(ROUNDUP(SUM($I$7:AI$7)*AI$7/Qtrs_Yr,0)=0,0,LOOKUP(ROUNDUP(SUM($I$7:AI$7)*AI$7/Qtrs_Yr,0),Inputs!$F$41:$I$41,Inputs!$F$42:$I$42))/Grams_Oz*Inputs!$F$45)*LOOKUP(YEAR(AI$5),Inputs!$F$49:$I$49,Inputs!$F$50:$I$50)/Thousand/LOOKUP(YEAR(AI$5),Inputs!$F$89:$I$89,Inputs!$F$90:$I$90)*Inputs!$F$97/(AI5-AH5))-(((Inputs!$F$64*(IF(ROUNDUP(SUM($J$7:AJ$7)*AJ$7/Qtrs_Yr,0)=0,0,LOOKUP(ROUNDUP(SUM($J$7:AJ$7)*AJ$7/Qtrs_Yr,0),Inputs!$F$35:$I$35,Inputs!$F$36:$I$36))/Thousand/Qtrs_Yr+IF(ROUNDUP(SUM($J$7:AJ$7)*AJ$7/Qtrs_Yr,0)=0,0,LOOKUP(ROUNDUP(SUM($J$7:AJ$7)*AJ$7/Qtrs_Yr,0),Inputs!$F$35:$I$35,Inputs!$F$38:$I$38)*LOOKUP(ROUNDUP(SUM($J$7:AJ$7)*AJ$7/Qtrs_Yr,0),Inputs!$F$35:$I$35,Inputs!$F$36:$I$36))/Thousand/Qtrs_Yr)+Inputs!$F$65*(IF(ROUNDUP(SUM($J$7:AJ$7)*AJ$7/Qtrs_Yr,0)=0,0,LOOKUP(ROUNDUP(SUM($J$7:AJ$7)*AJ$7/Qtrs_Yr,0),Inputs!$F$35:$I$35,Inputs!$F$36:$I$36))/Thousand/Qtrs_Yr)+Inputs!$F$66*(IF(ROUNDUP(SUM($J$7:AJ$7)*AJ$7/Qtrs_Yr,0)=0,0,LOOKUP(ROUNDUP(SUM($J$7:AJ$7)*AJ$7/Qtrs_Yr,0),Inputs!$F$35:$I$35,Inputs!$F$38:$I$38)*LOOKUP(ROUNDUP(SUM($J$7:AJ$7)*AJ$7/Qtrs_Yr,0),Inputs!$F$35:$I$35,Inputs!$F$36:$I$36))/Thousand/Qtrs_Yr))/Thousand+SUM(Inputs!$F$54:$F$61)*AJ$7/Qtrs_Yr)*(1+LOOKUP(YEAR(AJ$5),Inputs!$F$93:$I$93,Inputs!$F$94:$I$94)/Qtrs_Yr)^(COUNT($J$7:AJ7))*(AJ5-AI5-Inputs!$F$98)/(AJ5-AI5)+((Inputs!$F$64*(IF(ROUNDUP(SUM($I$7:AI$7)*AI$7/Qtrs_Yr,0)=0,0,LOOKUP(ROUNDUP(SUM($I$7:AI$7)*AI$7/Qtrs_Yr,0),Inputs!$F$35:$I$35,Inputs!$F$36:$I$36))/Thousand/Qtrs_Yr+IF(ROUNDUP(SUM($I$7:AI$7)*AI$7/Qtrs_Yr,0)=0,0,LOOKUP(ROUNDUP(SUM($I$7:AI$7)*AI$7/Qtrs_Yr,0),Inputs!$F$35:$I$35,Inputs!$F$38:$I$38)*LOOKUP(ROUNDUP(SUM($I$7:AI$7)*AI$7/Qtrs_Yr,0),Inputs!$F$35:$I$35,Inputs!$F$36:$I$36))/Thousand/Qtrs_Yr)+Inputs!$F$65*(IF(ROUNDUP(SUM($I$7:AI$7)*AI$7/Qtrs_Yr,0)=0,0,LOOKUP(ROUNDUP(SUM($I$7:AI$7)*AI$7/Qtrs_Yr,0),Inputs!$F$35:$I$35,Inputs!$F$36:$I$36))/Thousand/Qtrs_Yr)+Inputs!$F$66*(IF(ROUNDUP(SUM($I$7:AI$7)*AI$7/Qtrs_Yr,0)=0,0,LOOKUP(ROUNDUP(SUM($I$7:AI$7)*AI$7/Qtrs_Yr,0),Inputs!$F$35:$I$35,Inputs!$F$38:$I$38)*LOOKUP(ROUNDUP(SUM($I$7:AI$7)*AI$7/Qtrs_Yr,0),Inputs!$F$35:$I$35,Inputs!$F$36:$I$36))/Thousand/Qtrs_Yr))/Thousand+SUM(Inputs!$F$54:$F$61)*AI$7/Qtrs_Yr)*(1+LOOKUP(YEAR(AJ$5),Inputs!$F$93:$I$93,Inputs!$F$94:$I$94)/Qtrs_Yr)^(COUNT($I$7:AI7))*Inputs!$F$98/(AI5-AH5))-(((IF(ROUNDUP(SUM($J$7:AJ$7)*AJ$7/Qtrs_Yr,0)=0,0,LOOKUP(ROUNDUP(SUM($J$7:AJ$7)*AJ$7/Qtrs_Yr,0),Inputs!$F$35:$I$35,Inputs!$F$36:$I$36))/Thousand/Qtrs_Yr)*IF(ROUNDUP(SUM($J$7:AJ$7)*AJ$7/Qtrs_Yr,0)=0,0,LOOKUP(ROUNDUP(SUM($J$7:AJ$7)*AJ$7/Qtrs_Yr,0),Inputs!$F$41:$I$41,Inputs!$F$42:$I$42))/Grams_Oz*Inputs!$F$45)*LOOKUP(YEAR(AJ$5),Inputs!$F$49:$I$49,Inputs!$F$50:$I$50)/Thousand/LOOKUP(YEAR(AJ$5),Inputs!$F$89:$I$89,Inputs!$F$90:$I$90)-((Inputs!$F$64*(IF(ROUNDUP(SUM($J$7:AJ$7)*AJ$7/Qtrs_Yr,0)=0,0,LOOKUP(ROUNDUP(SUM($J$7:AJ$7)*AJ$7/Qtrs_Yr,0),Inputs!$F$35:$I$35,Inputs!$F$36:$I$36))/Thousand/Qtrs_Yr+IF(ROUNDUP(SUM($J$7:AJ$7)*AJ$7/Qtrs_Yr,0)=0,0,LOOKUP(ROUNDUP(SUM($J$7:AJ$7)*AJ$7/Qtrs_Yr,0),Inputs!$F$35:$I$35,Inputs!$F$38:$I$38)*LOOKUP(ROUNDUP(SUM($J$7:AJ$7)*AJ$7/Qtrs_Yr,0),Inputs!$F$35:$I$35,Inputs!$F$36:$I$36))/Thousand/Qtrs_Yr)+Inputs!$F$65*(IF(ROUNDUP(SUM($J$7:AJ$7)*AJ$7/Qtrs_Yr,0)=0,0,LOOKUP(ROUNDUP(SUM($J$7:AJ$7)*AJ$7/Qtrs_Yr,0),Inputs!$F$35:$I$35,Inputs!$F$36:$I$36))/Thousand/Qtrs_Yr)+Inputs!$F$66*(IF(ROUNDUP(SUM($J$7:AJ$7)*AJ$7/Qtrs_Yr,0)=0,0,LOOKUP(ROUNDUP(SUM($J$7:AJ$7)*AJ$7/Qtrs_Yr,0),Inputs!$F$35:$I$35,Inputs!$F$38:$I$38)*LOOKUP(ROUNDUP(SUM($J$7:AJ$7)*AJ$7/Qtrs_Yr,0),Inputs!$F$35:$I$35,Inputs!$F$36:$I$36))/Thousand/Qtrs_Yr))/Thousand+SUM(Inputs!$F$54:$F$61)*AJ$7/Qtrs_Yr)*(1+LOOKUP(YEAR(AJ$5),Inputs!$F$93:$I$93,Inputs!$F$94:$I$94)/Qtrs_Yr)^(COUNT($J$7:AJ7))-Inputs!$E$29*(1+Inputs!$E$31)*AJ$7/Inputs!$E$16/Qtrs_Yr-IF(OR(AJ$7=0,SUM($J7:AJ7)*AJ7&gt;Inputs!$F$77*Qtrs_Yr),0,(Inputs!$F$71-SUM($J7:AJ7,-1)*AJ7*Inputs!$F$71/Inputs!$F$77/Qtrs_Yr)*(LOOKUP(YEAR(AK$5),Inputs!$F$85:$I$85,Inputs!$F$86:$I$86)+LOOKUP(ROUNDUP(SUM($J7:AK7)*AK7/Qtrs_Yr,0),Inputs!$G$73:$J$73,Inputs!$G$74:$J$74))/Qtrs_Yr))*Inputs!$F$101-IF(OR(AJ$7=0,SUM($J7:AJ7)*AJ7&gt;Inputs!$F$77*Qtrs_Yr),0,(Inputs!$F$71-SUM($J7:AJ7,-1)*AJ7*Inputs!$F$71/Inputs!$F$77/Qtrs_Yr)*(LOOKUP(YEAR(AK$5),Inputs!$F$85:$I$85,Inputs!$F$86:$I$86)+LOOKUP(ROUNDUP(SUM($J7:AK7)*AK7/Qtrs_Yr,0),Inputs!$G$73:$J$73,Inputs!$G$74:$J$74))/Qtrs_Yr)-IF(OR(AJ$7=0,SUM($J7:AJ7)*AJ7&gt;Inputs!$F$77*Qtrs_Yr),0,Inputs!$F$71/Inputs!$F$77/Qtrs_Yr)</f>
        <v>3.6708298806612181</v>
      </c>
      <c r="AK11" s="28">
        <f>(((IF(ROUNDUP(SUM($J$7:AK$7)*AK$7/Qtrs_Yr,0)=0,0,LOOKUP(ROUNDUP(SUM($J$7:AK$7)*AK$7/Qtrs_Yr,0),Inputs!$F$35:$I$35,Inputs!$F$36:$I$36))/Thousand/Qtrs_Yr)*IF(ROUNDUP(SUM($J$7:AK$7)*AK$7/Qtrs_Yr,0)=0,0,LOOKUP(ROUNDUP(SUM($J$7:AK$7)*AK$7/Qtrs_Yr,0),Inputs!$F$41:$I$41,Inputs!$F$42:$I$42))/Grams_Oz*Inputs!$F$45)*LOOKUP(YEAR(AK$5),Inputs!$F$49:$I$49,Inputs!$F$50:$I$50)/Thousand/LOOKUP(YEAR(AK$5),Inputs!$F$89:$I$89,Inputs!$F$90:$I$90)*(AK5-AJ5-Inputs!$F$97)/(AK5-AJ5)+((IF(ROUNDUP(SUM($I$7:AJ$7)*AJ$7/Qtrs_Yr,0)=0,0,LOOKUP(ROUNDUP(SUM($I$7:AJ$7)*AJ$7/Qtrs_Yr,0),Inputs!$F$35:$I$35,Inputs!$F$36:$I$36))/Thousand/Qtrs_Yr)*IF(ROUNDUP(SUM($I$7:AJ$7)*AJ$7/Qtrs_Yr,0)=0,0,LOOKUP(ROUNDUP(SUM($I$7:AJ$7)*AJ$7/Qtrs_Yr,0),Inputs!$F$41:$I$41,Inputs!$F$42:$I$42))/Grams_Oz*Inputs!$F$45)*LOOKUP(YEAR(AJ$5),Inputs!$F$49:$I$49,Inputs!$F$50:$I$50)/Thousand/LOOKUP(YEAR(AJ$5),Inputs!$F$89:$I$89,Inputs!$F$90:$I$90)*Inputs!$F$97/(AJ5-AI5))-(((Inputs!$F$64*(IF(ROUNDUP(SUM($J$7:AK$7)*AK$7/Qtrs_Yr,0)=0,0,LOOKUP(ROUNDUP(SUM($J$7:AK$7)*AK$7/Qtrs_Yr,0),Inputs!$F$35:$I$35,Inputs!$F$36:$I$36))/Thousand/Qtrs_Yr+IF(ROUNDUP(SUM($J$7:AK$7)*AK$7/Qtrs_Yr,0)=0,0,LOOKUP(ROUNDUP(SUM($J$7:AK$7)*AK$7/Qtrs_Yr,0),Inputs!$F$35:$I$35,Inputs!$F$38:$I$38)*LOOKUP(ROUNDUP(SUM($J$7:AK$7)*AK$7/Qtrs_Yr,0),Inputs!$F$35:$I$35,Inputs!$F$36:$I$36))/Thousand/Qtrs_Yr)+Inputs!$F$65*(IF(ROUNDUP(SUM($J$7:AK$7)*AK$7/Qtrs_Yr,0)=0,0,LOOKUP(ROUNDUP(SUM($J$7:AK$7)*AK$7/Qtrs_Yr,0),Inputs!$F$35:$I$35,Inputs!$F$36:$I$36))/Thousand/Qtrs_Yr)+Inputs!$F$66*(IF(ROUNDUP(SUM($J$7:AK$7)*AK$7/Qtrs_Yr,0)=0,0,LOOKUP(ROUNDUP(SUM($J$7:AK$7)*AK$7/Qtrs_Yr,0),Inputs!$F$35:$I$35,Inputs!$F$38:$I$38)*LOOKUP(ROUNDUP(SUM($J$7:AK$7)*AK$7/Qtrs_Yr,0),Inputs!$F$35:$I$35,Inputs!$F$36:$I$36))/Thousand/Qtrs_Yr))/Thousand+SUM(Inputs!$F$54:$F$61)*AK$7/Qtrs_Yr)*(1+LOOKUP(YEAR(AK$5),Inputs!$F$93:$I$93,Inputs!$F$94:$I$94)/Qtrs_Yr)^(COUNT($J$7:AK7))*(AK5-AJ5-Inputs!$F$98)/(AK5-AJ5)+((Inputs!$F$64*(IF(ROUNDUP(SUM($I$7:AJ$7)*AJ$7/Qtrs_Yr,0)=0,0,LOOKUP(ROUNDUP(SUM($I$7:AJ$7)*AJ$7/Qtrs_Yr,0),Inputs!$F$35:$I$35,Inputs!$F$36:$I$36))/Thousand/Qtrs_Yr+IF(ROUNDUP(SUM($I$7:AJ$7)*AJ$7/Qtrs_Yr,0)=0,0,LOOKUP(ROUNDUP(SUM($I$7:AJ$7)*AJ$7/Qtrs_Yr,0),Inputs!$F$35:$I$35,Inputs!$F$38:$I$38)*LOOKUP(ROUNDUP(SUM($I$7:AJ$7)*AJ$7/Qtrs_Yr,0),Inputs!$F$35:$I$35,Inputs!$F$36:$I$36))/Thousand/Qtrs_Yr)+Inputs!$F$65*(IF(ROUNDUP(SUM($I$7:AJ$7)*AJ$7/Qtrs_Yr,0)=0,0,LOOKUP(ROUNDUP(SUM($I$7:AJ$7)*AJ$7/Qtrs_Yr,0),Inputs!$F$35:$I$35,Inputs!$F$36:$I$36))/Thousand/Qtrs_Yr)+Inputs!$F$66*(IF(ROUNDUP(SUM($I$7:AJ$7)*AJ$7/Qtrs_Yr,0)=0,0,LOOKUP(ROUNDUP(SUM($I$7:AJ$7)*AJ$7/Qtrs_Yr,0),Inputs!$F$35:$I$35,Inputs!$F$38:$I$38)*LOOKUP(ROUNDUP(SUM($I$7:AJ$7)*AJ$7/Qtrs_Yr,0),Inputs!$F$35:$I$35,Inputs!$F$36:$I$36))/Thousand/Qtrs_Yr))/Thousand+SUM(Inputs!$F$54:$F$61)*AJ$7/Qtrs_Yr)*(1+LOOKUP(YEAR(AK$5),Inputs!$F$93:$I$93,Inputs!$F$94:$I$94)/Qtrs_Yr)^(COUNT($I$7:AJ7))*Inputs!$F$98/(AJ5-AI5))-(((IF(ROUNDUP(SUM($J$7:AK$7)*AK$7/Qtrs_Yr,0)=0,0,LOOKUP(ROUNDUP(SUM($J$7:AK$7)*AK$7/Qtrs_Yr,0),Inputs!$F$35:$I$35,Inputs!$F$36:$I$36))/Thousand/Qtrs_Yr)*IF(ROUNDUP(SUM($J$7:AK$7)*AK$7/Qtrs_Yr,0)=0,0,LOOKUP(ROUNDUP(SUM($J$7:AK$7)*AK$7/Qtrs_Yr,0),Inputs!$F$41:$I$41,Inputs!$F$42:$I$42))/Grams_Oz*Inputs!$F$45)*LOOKUP(YEAR(AK$5),Inputs!$F$49:$I$49,Inputs!$F$50:$I$50)/Thousand/LOOKUP(YEAR(AK$5),Inputs!$F$89:$I$89,Inputs!$F$90:$I$90)-((Inputs!$F$64*(IF(ROUNDUP(SUM($J$7:AK$7)*AK$7/Qtrs_Yr,0)=0,0,LOOKUP(ROUNDUP(SUM($J$7:AK$7)*AK$7/Qtrs_Yr,0),Inputs!$F$35:$I$35,Inputs!$F$36:$I$36))/Thousand/Qtrs_Yr+IF(ROUNDUP(SUM($J$7:AK$7)*AK$7/Qtrs_Yr,0)=0,0,LOOKUP(ROUNDUP(SUM($J$7:AK$7)*AK$7/Qtrs_Yr,0),Inputs!$F$35:$I$35,Inputs!$F$38:$I$38)*LOOKUP(ROUNDUP(SUM($J$7:AK$7)*AK$7/Qtrs_Yr,0),Inputs!$F$35:$I$35,Inputs!$F$36:$I$36))/Thousand/Qtrs_Yr)+Inputs!$F$65*(IF(ROUNDUP(SUM($J$7:AK$7)*AK$7/Qtrs_Yr,0)=0,0,LOOKUP(ROUNDUP(SUM($J$7:AK$7)*AK$7/Qtrs_Yr,0),Inputs!$F$35:$I$35,Inputs!$F$36:$I$36))/Thousand/Qtrs_Yr)+Inputs!$F$66*(IF(ROUNDUP(SUM($J$7:AK$7)*AK$7/Qtrs_Yr,0)=0,0,LOOKUP(ROUNDUP(SUM($J$7:AK$7)*AK$7/Qtrs_Yr,0),Inputs!$F$35:$I$35,Inputs!$F$38:$I$38)*LOOKUP(ROUNDUP(SUM($J$7:AK$7)*AK$7/Qtrs_Yr,0),Inputs!$F$35:$I$35,Inputs!$F$36:$I$36))/Thousand/Qtrs_Yr))/Thousand+SUM(Inputs!$F$54:$F$61)*AK$7/Qtrs_Yr)*(1+LOOKUP(YEAR(AK$5),Inputs!$F$93:$I$93,Inputs!$F$94:$I$94)/Qtrs_Yr)^(COUNT($J$7:AK7))-Inputs!$E$29*(1+Inputs!$E$31)*AK$7/Inputs!$E$16/Qtrs_Yr-IF(OR(AK$7=0,SUM($J7:AK7)*AK7&gt;Inputs!$F$77*Qtrs_Yr),0,(Inputs!$F$71-SUM($J7:AK7,-1)*AK7*Inputs!$F$71/Inputs!$F$77/Qtrs_Yr)*(LOOKUP(YEAR(AL$5),Inputs!$F$85:$I$85,Inputs!$F$86:$I$86)+LOOKUP(ROUNDUP(SUM($J7:AL7)*AL7/Qtrs_Yr,0),Inputs!$G$73:$J$73,Inputs!$G$74:$J$74))/Qtrs_Yr))*Inputs!$F$101-IF(OR(AK$7=0,SUM($J7:AK7)*AK7&gt;Inputs!$F$77*Qtrs_Yr),0,(Inputs!$F$71-SUM($J7:AK7,-1)*AK7*Inputs!$F$71/Inputs!$F$77/Qtrs_Yr)*(LOOKUP(YEAR(AL$5),Inputs!$F$85:$I$85,Inputs!$F$86:$I$86)+LOOKUP(ROUNDUP(SUM($J7:AL7)*AL7/Qtrs_Yr,0),Inputs!$G$73:$J$73,Inputs!$G$74:$J$74))/Qtrs_Yr)-IF(OR(AK$7=0,SUM($J7:AK7)*AK7&gt;Inputs!$F$77*Qtrs_Yr),0,Inputs!$F$71/Inputs!$F$77/Qtrs_Yr)</f>
        <v>3.6276751739880897</v>
      </c>
      <c r="AL11" s="28">
        <f>(((IF(ROUNDUP(SUM($J$7:AL$7)*AL$7/Qtrs_Yr,0)=0,0,LOOKUP(ROUNDUP(SUM($J$7:AL$7)*AL$7/Qtrs_Yr,0),Inputs!$F$35:$I$35,Inputs!$F$36:$I$36))/Thousand/Qtrs_Yr)*IF(ROUNDUP(SUM($J$7:AL$7)*AL$7/Qtrs_Yr,0)=0,0,LOOKUP(ROUNDUP(SUM($J$7:AL$7)*AL$7/Qtrs_Yr,0),Inputs!$F$41:$I$41,Inputs!$F$42:$I$42))/Grams_Oz*Inputs!$F$45)*LOOKUP(YEAR(AL$5),Inputs!$F$49:$I$49,Inputs!$F$50:$I$50)/Thousand/LOOKUP(YEAR(AL$5),Inputs!$F$89:$I$89,Inputs!$F$90:$I$90)*(AL5-AK5-Inputs!$F$97)/(AL5-AK5)+((IF(ROUNDUP(SUM($I$7:AK$7)*AK$7/Qtrs_Yr,0)=0,0,LOOKUP(ROUNDUP(SUM($I$7:AK$7)*AK$7/Qtrs_Yr,0),Inputs!$F$35:$I$35,Inputs!$F$36:$I$36))/Thousand/Qtrs_Yr)*IF(ROUNDUP(SUM($I$7:AK$7)*AK$7/Qtrs_Yr,0)=0,0,LOOKUP(ROUNDUP(SUM($I$7:AK$7)*AK$7/Qtrs_Yr,0),Inputs!$F$41:$I$41,Inputs!$F$42:$I$42))/Grams_Oz*Inputs!$F$45)*LOOKUP(YEAR(AK$5),Inputs!$F$49:$I$49,Inputs!$F$50:$I$50)/Thousand/LOOKUP(YEAR(AK$5),Inputs!$F$89:$I$89,Inputs!$F$90:$I$90)*Inputs!$F$97/(AK5-AJ5))-(((Inputs!$F$64*(IF(ROUNDUP(SUM($J$7:AL$7)*AL$7/Qtrs_Yr,0)=0,0,LOOKUP(ROUNDUP(SUM($J$7:AL$7)*AL$7/Qtrs_Yr,0),Inputs!$F$35:$I$35,Inputs!$F$36:$I$36))/Thousand/Qtrs_Yr+IF(ROUNDUP(SUM($J$7:AL$7)*AL$7/Qtrs_Yr,0)=0,0,LOOKUP(ROUNDUP(SUM($J$7:AL$7)*AL$7/Qtrs_Yr,0),Inputs!$F$35:$I$35,Inputs!$F$38:$I$38)*LOOKUP(ROUNDUP(SUM($J$7:AL$7)*AL$7/Qtrs_Yr,0),Inputs!$F$35:$I$35,Inputs!$F$36:$I$36))/Thousand/Qtrs_Yr)+Inputs!$F$65*(IF(ROUNDUP(SUM($J$7:AL$7)*AL$7/Qtrs_Yr,0)=0,0,LOOKUP(ROUNDUP(SUM($J$7:AL$7)*AL$7/Qtrs_Yr,0),Inputs!$F$35:$I$35,Inputs!$F$36:$I$36))/Thousand/Qtrs_Yr)+Inputs!$F$66*(IF(ROUNDUP(SUM($J$7:AL$7)*AL$7/Qtrs_Yr,0)=0,0,LOOKUP(ROUNDUP(SUM($J$7:AL$7)*AL$7/Qtrs_Yr,0),Inputs!$F$35:$I$35,Inputs!$F$38:$I$38)*LOOKUP(ROUNDUP(SUM($J$7:AL$7)*AL$7/Qtrs_Yr,0),Inputs!$F$35:$I$35,Inputs!$F$36:$I$36))/Thousand/Qtrs_Yr))/Thousand+SUM(Inputs!$F$54:$F$61)*AL$7/Qtrs_Yr)*(1+LOOKUP(YEAR(AL$5),Inputs!$F$93:$I$93,Inputs!$F$94:$I$94)/Qtrs_Yr)^(COUNT($J$7:AL7))*(AL5-AK5-Inputs!$F$98)/(AL5-AK5)+((Inputs!$F$64*(IF(ROUNDUP(SUM($I$7:AK$7)*AK$7/Qtrs_Yr,0)=0,0,LOOKUP(ROUNDUP(SUM($I$7:AK$7)*AK$7/Qtrs_Yr,0),Inputs!$F$35:$I$35,Inputs!$F$36:$I$36))/Thousand/Qtrs_Yr+IF(ROUNDUP(SUM($I$7:AK$7)*AK$7/Qtrs_Yr,0)=0,0,LOOKUP(ROUNDUP(SUM($I$7:AK$7)*AK$7/Qtrs_Yr,0),Inputs!$F$35:$I$35,Inputs!$F$38:$I$38)*LOOKUP(ROUNDUP(SUM($I$7:AK$7)*AK$7/Qtrs_Yr,0),Inputs!$F$35:$I$35,Inputs!$F$36:$I$36))/Thousand/Qtrs_Yr)+Inputs!$F$65*(IF(ROUNDUP(SUM($I$7:AK$7)*AK$7/Qtrs_Yr,0)=0,0,LOOKUP(ROUNDUP(SUM($I$7:AK$7)*AK$7/Qtrs_Yr,0),Inputs!$F$35:$I$35,Inputs!$F$36:$I$36))/Thousand/Qtrs_Yr)+Inputs!$F$66*(IF(ROUNDUP(SUM($I$7:AK$7)*AK$7/Qtrs_Yr,0)=0,0,LOOKUP(ROUNDUP(SUM($I$7:AK$7)*AK$7/Qtrs_Yr,0),Inputs!$F$35:$I$35,Inputs!$F$38:$I$38)*LOOKUP(ROUNDUP(SUM($I$7:AK$7)*AK$7/Qtrs_Yr,0),Inputs!$F$35:$I$35,Inputs!$F$36:$I$36))/Thousand/Qtrs_Yr))/Thousand+SUM(Inputs!$F$54:$F$61)*AK$7/Qtrs_Yr)*(1+LOOKUP(YEAR(AL$5),Inputs!$F$93:$I$93,Inputs!$F$94:$I$94)/Qtrs_Yr)^(COUNT($I$7:AK7))*Inputs!$F$98/(AK5-AJ5))-(((IF(ROUNDUP(SUM($J$7:AL$7)*AL$7/Qtrs_Yr,0)=0,0,LOOKUP(ROUNDUP(SUM($J$7:AL$7)*AL$7/Qtrs_Yr,0),Inputs!$F$35:$I$35,Inputs!$F$36:$I$36))/Thousand/Qtrs_Yr)*IF(ROUNDUP(SUM($J$7:AL$7)*AL$7/Qtrs_Yr,0)=0,0,LOOKUP(ROUNDUP(SUM($J$7:AL$7)*AL$7/Qtrs_Yr,0),Inputs!$F$41:$I$41,Inputs!$F$42:$I$42))/Grams_Oz*Inputs!$F$45)*LOOKUP(YEAR(AL$5),Inputs!$F$49:$I$49,Inputs!$F$50:$I$50)/Thousand/LOOKUP(YEAR(AL$5),Inputs!$F$89:$I$89,Inputs!$F$90:$I$90)-((Inputs!$F$64*(IF(ROUNDUP(SUM($J$7:AL$7)*AL$7/Qtrs_Yr,0)=0,0,LOOKUP(ROUNDUP(SUM($J$7:AL$7)*AL$7/Qtrs_Yr,0),Inputs!$F$35:$I$35,Inputs!$F$36:$I$36))/Thousand/Qtrs_Yr+IF(ROUNDUP(SUM($J$7:AL$7)*AL$7/Qtrs_Yr,0)=0,0,LOOKUP(ROUNDUP(SUM($J$7:AL$7)*AL$7/Qtrs_Yr,0),Inputs!$F$35:$I$35,Inputs!$F$38:$I$38)*LOOKUP(ROUNDUP(SUM($J$7:AL$7)*AL$7/Qtrs_Yr,0),Inputs!$F$35:$I$35,Inputs!$F$36:$I$36))/Thousand/Qtrs_Yr)+Inputs!$F$65*(IF(ROUNDUP(SUM($J$7:AL$7)*AL$7/Qtrs_Yr,0)=0,0,LOOKUP(ROUNDUP(SUM($J$7:AL$7)*AL$7/Qtrs_Yr,0),Inputs!$F$35:$I$35,Inputs!$F$36:$I$36))/Thousand/Qtrs_Yr)+Inputs!$F$66*(IF(ROUNDUP(SUM($J$7:AL$7)*AL$7/Qtrs_Yr,0)=0,0,LOOKUP(ROUNDUP(SUM($J$7:AL$7)*AL$7/Qtrs_Yr,0),Inputs!$F$35:$I$35,Inputs!$F$38:$I$38)*LOOKUP(ROUNDUP(SUM($J$7:AL$7)*AL$7/Qtrs_Yr,0),Inputs!$F$35:$I$35,Inputs!$F$36:$I$36))/Thousand/Qtrs_Yr))/Thousand+SUM(Inputs!$F$54:$F$61)*AL$7/Qtrs_Yr)*(1+LOOKUP(YEAR(AL$5),Inputs!$F$93:$I$93,Inputs!$F$94:$I$94)/Qtrs_Yr)^(COUNT($J$7:AL7))-Inputs!$E$29*(1+Inputs!$E$31)*AL$7/Inputs!$E$16/Qtrs_Yr-IF(OR(AL$7=0,SUM($J7:AL7)*AL7&gt;Inputs!$F$77*Qtrs_Yr),0,(Inputs!$F$71-SUM($J7:AL7,-1)*AL7*Inputs!$F$71/Inputs!$F$77/Qtrs_Yr)*(LOOKUP(YEAR(AM$5),Inputs!$F$85:$I$85,Inputs!$F$86:$I$86)+LOOKUP(ROUNDUP(SUM($J7:AM7)*AM7/Qtrs_Yr,0),Inputs!$G$73:$J$73,Inputs!$G$74:$J$74))/Qtrs_Yr))*Inputs!$F$101-IF(OR(AL$7=0,SUM($J7:AL7)*AL7&gt;Inputs!$F$77*Qtrs_Yr),0,(Inputs!$F$71-SUM($J7:AL7,-1)*AL7*Inputs!$F$71/Inputs!$F$77/Qtrs_Yr)*(LOOKUP(YEAR(AM$5),Inputs!$F$85:$I$85,Inputs!$F$86:$I$86)+LOOKUP(ROUNDUP(SUM($J7:AM7)*AM7/Qtrs_Yr,0),Inputs!$G$73:$J$73,Inputs!$G$74:$J$74))/Qtrs_Yr)-IF(OR(AL$7=0,SUM($J7:AL7)*AL7&gt;Inputs!$F$77*Qtrs_Yr),0,Inputs!$F$71/Inputs!$F$77/Qtrs_Yr)</f>
        <v>8.5490621689304849</v>
      </c>
      <c r="AM11" s="28">
        <f>(((IF(ROUNDUP(SUM($J$7:AM$7)*AM$7/Qtrs_Yr,0)=0,0,LOOKUP(ROUNDUP(SUM($J$7:AM$7)*AM$7/Qtrs_Yr,0),Inputs!$F$35:$I$35,Inputs!$F$36:$I$36))/Thousand/Qtrs_Yr)*IF(ROUNDUP(SUM($J$7:AM$7)*AM$7/Qtrs_Yr,0)=0,0,LOOKUP(ROUNDUP(SUM($J$7:AM$7)*AM$7/Qtrs_Yr,0),Inputs!$F$41:$I$41,Inputs!$F$42:$I$42))/Grams_Oz*Inputs!$F$45)*LOOKUP(YEAR(AM$5),Inputs!$F$49:$I$49,Inputs!$F$50:$I$50)/Thousand/LOOKUP(YEAR(AM$5),Inputs!$F$89:$I$89,Inputs!$F$90:$I$90)*(AM5-AL5-Inputs!$F$97)/(AM5-AL5)+((IF(ROUNDUP(SUM($I$7:AL$7)*AL$7/Qtrs_Yr,0)=0,0,LOOKUP(ROUNDUP(SUM($I$7:AL$7)*AL$7/Qtrs_Yr,0),Inputs!$F$35:$I$35,Inputs!$F$36:$I$36))/Thousand/Qtrs_Yr)*IF(ROUNDUP(SUM($I$7:AL$7)*AL$7/Qtrs_Yr,0)=0,0,LOOKUP(ROUNDUP(SUM($I$7:AL$7)*AL$7/Qtrs_Yr,0),Inputs!$F$41:$I$41,Inputs!$F$42:$I$42))/Grams_Oz*Inputs!$F$45)*LOOKUP(YEAR(AL$5),Inputs!$F$49:$I$49,Inputs!$F$50:$I$50)/Thousand/LOOKUP(YEAR(AL$5),Inputs!$F$89:$I$89,Inputs!$F$90:$I$90)*Inputs!$F$97/(AL5-AK5))-(((Inputs!$F$64*(IF(ROUNDUP(SUM($J$7:AM$7)*AM$7/Qtrs_Yr,0)=0,0,LOOKUP(ROUNDUP(SUM($J$7:AM$7)*AM$7/Qtrs_Yr,0),Inputs!$F$35:$I$35,Inputs!$F$36:$I$36))/Thousand/Qtrs_Yr+IF(ROUNDUP(SUM($J$7:AM$7)*AM$7/Qtrs_Yr,0)=0,0,LOOKUP(ROUNDUP(SUM($J$7:AM$7)*AM$7/Qtrs_Yr,0),Inputs!$F$35:$I$35,Inputs!$F$38:$I$38)*LOOKUP(ROUNDUP(SUM($J$7:AM$7)*AM$7/Qtrs_Yr,0),Inputs!$F$35:$I$35,Inputs!$F$36:$I$36))/Thousand/Qtrs_Yr)+Inputs!$F$65*(IF(ROUNDUP(SUM($J$7:AM$7)*AM$7/Qtrs_Yr,0)=0,0,LOOKUP(ROUNDUP(SUM($J$7:AM$7)*AM$7/Qtrs_Yr,0),Inputs!$F$35:$I$35,Inputs!$F$36:$I$36))/Thousand/Qtrs_Yr)+Inputs!$F$66*(IF(ROUNDUP(SUM($J$7:AM$7)*AM$7/Qtrs_Yr,0)=0,0,LOOKUP(ROUNDUP(SUM($J$7:AM$7)*AM$7/Qtrs_Yr,0),Inputs!$F$35:$I$35,Inputs!$F$38:$I$38)*LOOKUP(ROUNDUP(SUM($J$7:AM$7)*AM$7/Qtrs_Yr,0),Inputs!$F$35:$I$35,Inputs!$F$36:$I$36))/Thousand/Qtrs_Yr))/Thousand+SUM(Inputs!$F$54:$F$61)*AM$7/Qtrs_Yr)*(1+LOOKUP(YEAR(AM$5),Inputs!$F$93:$I$93,Inputs!$F$94:$I$94)/Qtrs_Yr)^(COUNT($J$7:AM7))*(AM5-AL5-Inputs!$F$98)/(AM5-AL5)+((Inputs!$F$64*(IF(ROUNDUP(SUM($I$7:AL$7)*AL$7/Qtrs_Yr,0)=0,0,LOOKUP(ROUNDUP(SUM($I$7:AL$7)*AL$7/Qtrs_Yr,0),Inputs!$F$35:$I$35,Inputs!$F$36:$I$36))/Thousand/Qtrs_Yr+IF(ROUNDUP(SUM($I$7:AL$7)*AL$7/Qtrs_Yr,0)=0,0,LOOKUP(ROUNDUP(SUM($I$7:AL$7)*AL$7/Qtrs_Yr,0),Inputs!$F$35:$I$35,Inputs!$F$38:$I$38)*LOOKUP(ROUNDUP(SUM($I$7:AL$7)*AL$7/Qtrs_Yr,0),Inputs!$F$35:$I$35,Inputs!$F$36:$I$36))/Thousand/Qtrs_Yr)+Inputs!$F$65*(IF(ROUNDUP(SUM($I$7:AL$7)*AL$7/Qtrs_Yr,0)=0,0,LOOKUP(ROUNDUP(SUM($I$7:AL$7)*AL$7/Qtrs_Yr,0),Inputs!$F$35:$I$35,Inputs!$F$36:$I$36))/Thousand/Qtrs_Yr)+Inputs!$F$66*(IF(ROUNDUP(SUM($I$7:AL$7)*AL$7/Qtrs_Yr,0)=0,0,LOOKUP(ROUNDUP(SUM($I$7:AL$7)*AL$7/Qtrs_Yr,0),Inputs!$F$35:$I$35,Inputs!$F$38:$I$38)*LOOKUP(ROUNDUP(SUM($I$7:AL$7)*AL$7/Qtrs_Yr,0),Inputs!$F$35:$I$35,Inputs!$F$36:$I$36))/Thousand/Qtrs_Yr))/Thousand+SUM(Inputs!$F$54:$F$61)*AL$7/Qtrs_Yr)*(1+LOOKUP(YEAR(AM$5),Inputs!$F$93:$I$93,Inputs!$F$94:$I$94)/Qtrs_Yr)^(COUNT($I$7:AL7))*Inputs!$F$98/(AL5-AK5))-(((IF(ROUNDUP(SUM($J$7:AM$7)*AM$7/Qtrs_Yr,0)=0,0,LOOKUP(ROUNDUP(SUM($J$7:AM$7)*AM$7/Qtrs_Yr,0),Inputs!$F$35:$I$35,Inputs!$F$36:$I$36))/Thousand/Qtrs_Yr)*IF(ROUNDUP(SUM($J$7:AM$7)*AM$7/Qtrs_Yr,0)=0,0,LOOKUP(ROUNDUP(SUM($J$7:AM$7)*AM$7/Qtrs_Yr,0),Inputs!$F$41:$I$41,Inputs!$F$42:$I$42))/Grams_Oz*Inputs!$F$45)*LOOKUP(YEAR(AM$5),Inputs!$F$49:$I$49,Inputs!$F$50:$I$50)/Thousand/LOOKUP(YEAR(AM$5),Inputs!$F$89:$I$89,Inputs!$F$90:$I$90)-((Inputs!$F$64*(IF(ROUNDUP(SUM($J$7:AM$7)*AM$7/Qtrs_Yr,0)=0,0,LOOKUP(ROUNDUP(SUM($J$7:AM$7)*AM$7/Qtrs_Yr,0),Inputs!$F$35:$I$35,Inputs!$F$36:$I$36))/Thousand/Qtrs_Yr+IF(ROUNDUP(SUM($J$7:AM$7)*AM$7/Qtrs_Yr,0)=0,0,LOOKUP(ROUNDUP(SUM($J$7:AM$7)*AM$7/Qtrs_Yr,0),Inputs!$F$35:$I$35,Inputs!$F$38:$I$38)*LOOKUP(ROUNDUP(SUM($J$7:AM$7)*AM$7/Qtrs_Yr,0),Inputs!$F$35:$I$35,Inputs!$F$36:$I$36))/Thousand/Qtrs_Yr)+Inputs!$F$65*(IF(ROUNDUP(SUM($J$7:AM$7)*AM$7/Qtrs_Yr,0)=0,0,LOOKUP(ROUNDUP(SUM($J$7:AM$7)*AM$7/Qtrs_Yr,0),Inputs!$F$35:$I$35,Inputs!$F$36:$I$36))/Thousand/Qtrs_Yr)+Inputs!$F$66*(IF(ROUNDUP(SUM($J$7:AM$7)*AM$7/Qtrs_Yr,0)=0,0,LOOKUP(ROUNDUP(SUM($J$7:AM$7)*AM$7/Qtrs_Yr,0),Inputs!$F$35:$I$35,Inputs!$F$38:$I$38)*LOOKUP(ROUNDUP(SUM($J$7:AM$7)*AM$7/Qtrs_Yr,0),Inputs!$F$35:$I$35,Inputs!$F$36:$I$36))/Thousand/Qtrs_Yr))/Thousand+SUM(Inputs!$F$54:$F$61)*AM$7/Qtrs_Yr)*(1+LOOKUP(YEAR(AM$5),Inputs!$F$93:$I$93,Inputs!$F$94:$I$94)/Qtrs_Yr)^(COUNT($J$7:AM7))-Inputs!$E$29*(1+Inputs!$E$31)*AM$7/Inputs!$E$16/Qtrs_Yr-IF(OR(AM$7=0,SUM($J7:AM7)*AM7&gt;Inputs!$F$77*Qtrs_Yr),0,(Inputs!$F$71-SUM($J7:AM7,-1)*AM7*Inputs!$F$71/Inputs!$F$77/Qtrs_Yr)*(LOOKUP(YEAR(AN$5),Inputs!$F$85:$I$85,Inputs!$F$86:$I$86)+LOOKUP(ROUNDUP(SUM($J7:AN7)*AN7/Qtrs_Yr,0),Inputs!$G$73:$J$73,Inputs!$G$74:$J$74))/Qtrs_Yr))*Inputs!$F$101-IF(OR(AM$7=0,SUM($J7:AM7)*AM7&gt;Inputs!$F$77*Qtrs_Yr),0,(Inputs!$F$71-SUM($J7:AM7,-1)*AM7*Inputs!$F$71/Inputs!$F$77/Qtrs_Yr)*(LOOKUP(YEAR(AN$5),Inputs!$F$85:$I$85,Inputs!$F$86:$I$86)+LOOKUP(ROUNDUP(SUM($J7:AN7)*AN7/Qtrs_Yr,0),Inputs!$G$73:$J$73,Inputs!$G$74:$J$74))/Qtrs_Yr)-IF(OR(AM$7=0,SUM($J7:AM7)*AM7&gt;Inputs!$F$77*Qtrs_Yr),0,Inputs!$F$71/Inputs!$F$77/Qtrs_Yr)</f>
        <v>8.4974895296915882</v>
      </c>
      <c r="AN11" s="28">
        <f>(((IF(ROUNDUP(SUM($J$7:AN$7)*AN$7/Qtrs_Yr,0)=0,0,LOOKUP(ROUNDUP(SUM($J$7:AN$7)*AN$7/Qtrs_Yr,0),Inputs!$F$35:$I$35,Inputs!$F$36:$I$36))/Thousand/Qtrs_Yr)*IF(ROUNDUP(SUM($J$7:AN$7)*AN$7/Qtrs_Yr,0)=0,0,LOOKUP(ROUNDUP(SUM($J$7:AN$7)*AN$7/Qtrs_Yr,0),Inputs!$F$41:$I$41,Inputs!$F$42:$I$42))/Grams_Oz*Inputs!$F$45)*LOOKUP(YEAR(AN$5),Inputs!$F$49:$I$49,Inputs!$F$50:$I$50)/Thousand/LOOKUP(YEAR(AN$5),Inputs!$F$89:$I$89,Inputs!$F$90:$I$90)*(AN5-AM5-Inputs!$F$97)/(AN5-AM5)+((IF(ROUNDUP(SUM($I$7:AM$7)*AM$7/Qtrs_Yr,0)=0,0,LOOKUP(ROUNDUP(SUM($I$7:AM$7)*AM$7/Qtrs_Yr,0),Inputs!$F$35:$I$35,Inputs!$F$36:$I$36))/Thousand/Qtrs_Yr)*IF(ROUNDUP(SUM($I$7:AM$7)*AM$7/Qtrs_Yr,0)=0,0,LOOKUP(ROUNDUP(SUM($I$7:AM$7)*AM$7/Qtrs_Yr,0),Inputs!$F$41:$I$41,Inputs!$F$42:$I$42))/Grams_Oz*Inputs!$F$45)*LOOKUP(YEAR(AM$5),Inputs!$F$49:$I$49,Inputs!$F$50:$I$50)/Thousand/LOOKUP(YEAR(AM$5),Inputs!$F$89:$I$89,Inputs!$F$90:$I$90)*Inputs!$F$97/(AM5-AL5))-(((Inputs!$F$64*(IF(ROUNDUP(SUM($J$7:AN$7)*AN$7/Qtrs_Yr,0)=0,0,LOOKUP(ROUNDUP(SUM($J$7:AN$7)*AN$7/Qtrs_Yr,0),Inputs!$F$35:$I$35,Inputs!$F$36:$I$36))/Thousand/Qtrs_Yr+IF(ROUNDUP(SUM($J$7:AN$7)*AN$7/Qtrs_Yr,0)=0,0,LOOKUP(ROUNDUP(SUM($J$7:AN$7)*AN$7/Qtrs_Yr,0),Inputs!$F$35:$I$35,Inputs!$F$38:$I$38)*LOOKUP(ROUNDUP(SUM($J$7:AN$7)*AN$7/Qtrs_Yr,0),Inputs!$F$35:$I$35,Inputs!$F$36:$I$36))/Thousand/Qtrs_Yr)+Inputs!$F$65*(IF(ROUNDUP(SUM($J$7:AN$7)*AN$7/Qtrs_Yr,0)=0,0,LOOKUP(ROUNDUP(SUM($J$7:AN$7)*AN$7/Qtrs_Yr,0),Inputs!$F$35:$I$35,Inputs!$F$36:$I$36))/Thousand/Qtrs_Yr)+Inputs!$F$66*(IF(ROUNDUP(SUM($J$7:AN$7)*AN$7/Qtrs_Yr,0)=0,0,LOOKUP(ROUNDUP(SUM($J$7:AN$7)*AN$7/Qtrs_Yr,0),Inputs!$F$35:$I$35,Inputs!$F$38:$I$38)*LOOKUP(ROUNDUP(SUM($J$7:AN$7)*AN$7/Qtrs_Yr,0),Inputs!$F$35:$I$35,Inputs!$F$36:$I$36))/Thousand/Qtrs_Yr))/Thousand+SUM(Inputs!$F$54:$F$61)*AN$7/Qtrs_Yr)*(1+LOOKUP(YEAR(AN$5),Inputs!$F$93:$I$93,Inputs!$F$94:$I$94)/Qtrs_Yr)^(COUNT($J$7:AN7))*(AN5-AM5-Inputs!$F$98)/(AN5-AM5)+((Inputs!$F$64*(IF(ROUNDUP(SUM($I$7:AM$7)*AM$7/Qtrs_Yr,0)=0,0,LOOKUP(ROUNDUP(SUM($I$7:AM$7)*AM$7/Qtrs_Yr,0),Inputs!$F$35:$I$35,Inputs!$F$36:$I$36))/Thousand/Qtrs_Yr+IF(ROUNDUP(SUM($I$7:AM$7)*AM$7/Qtrs_Yr,0)=0,0,LOOKUP(ROUNDUP(SUM($I$7:AM$7)*AM$7/Qtrs_Yr,0),Inputs!$F$35:$I$35,Inputs!$F$38:$I$38)*LOOKUP(ROUNDUP(SUM($I$7:AM$7)*AM$7/Qtrs_Yr,0),Inputs!$F$35:$I$35,Inputs!$F$36:$I$36))/Thousand/Qtrs_Yr)+Inputs!$F$65*(IF(ROUNDUP(SUM($I$7:AM$7)*AM$7/Qtrs_Yr,0)=0,0,LOOKUP(ROUNDUP(SUM($I$7:AM$7)*AM$7/Qtrs_Yr,0),Inputs!$F$35:$I$35,Inputs!$F$36:$I$36))/Thousand/Qtrs_Yr)+Inputs!$F$66*(IF(ROUNDUP(SUM($I$7:AM$7)*AM$7/Qtrs_Yr,0)=0,0,LOOKUP(ROUNDUP(SUM($I$7:AM$7)*AM$7/Qtrs_Yr,0),Inputs!$F$35:$I$35,Inputs!$F$38:$I$38)*LOOKUP(ROUNDUP(SUM($I$7:AM$7)*AM$7/Qtrs_Yr,0),Inputs!$F$35:$I$35,Inputs!$F$36:$I$36))/Thousand/Qtrs_Yr))/Thousand+SUM(Inputs!$F$54:$F$61)*AM$7/Qtrs_Yr)*(1+LOOKUP(YEAR(AN$5),Inputs!$F$93:$I$93,Inputs!$F$94:$I$94)/Qtrs_Yr)^(COUNT($I$7:AM7))*Inputs!$F$98/(AM5-AL5))-(((IF(ROUNDUP(SUM($J$7:AN$7)*AN$7/Qtrs_Yr,0)=0,0,LOOKUP(ROUNDUP(SUM($J$7:AN$7)*AN$7/Qtrs_Yr,0),Inputs!$F$35:$I$35,Inputs!$F$36:$I$36))/Thousand/Qtrs_Yr)*IF(ROUNDUP(SUM($J$7:AN$7)*AN$7/Qtrs_Yr,0)=0,0,LOOKUP(ROUNDUP(SUM($J$7:AN$7)*AN$7/Qtrs_Yr,0),Inputs!$F$41:$I$41,Inputs!$F$42:$I$42))/Grams_Oz*Inputs!$F$45)*LOOKUP(YEAR(AN$5),Inputs!$F$49:$I$49,Inputs!$F$50:$I$50)/Thousand/LOOKUP(YEAR(AN$5),Inputs!$F$89:$I$89,Inputs!$F$90:$I$90)-((Inputs!$F$64*(IF(ROUNDUP(SUM($J$7:AN$7)*AN$7/Qtrs_Yr,0)=0,0,LOOKUP(ROUNDUP(SUM($J$7:AN$7)*AN$7/Qtrs_Yr,0),Inputs!$F$35:$I$35,Inputs!$F$36:$I$36))/Thousand/Qtrs_Yr+IF(ROUNDUP(SUM($J$7:AN$7)*AN$7/Qtrs_Yr,0)=0,0,LOOKUP(ROUNDUP(SUM($J$7:AN$7)*AN$7/Qtrs_Yr,0),Inputs!$F$35:$I$35,Inputs!$F$38:$I$38)*LOOKUP(ROUNDUP(SUM($J$7:AN$7)*AN$7/Qtrs_Yr,0),Inputs!$F$35:$I$35,Inputs!$F$36:$I$36))/Thousand/Qtrs_Yr)+Inputs!$F$65*(IF(ROUNDUP(SUM($J$7:AN$7)*AN$7/Qtrs_Yr,0)=0,0,LOOKUP(ROUNDUP(SUM($J$7:AN$7)*AN$7/Qtrs_Yr,0),Inputs!$F$35:$I$35,Inputs!$F$36:$I$36))/Thousand/Qtrs_Yr)+Inputs!$F$66*(IF(ROUNDUP(SUM($J$7:AN$7)*AN$7/Qtrs_Yr,0)=0,0,LOOKUP(ROUNDUP(SUM($J$7:AN$7)*AN$7/Qtrs_Yr,0),Inputs!$F$35:$I$35,Inputs!$F$38:$I$38)*LOOKUP(ROUNDUP(SUM($J$7:AN$7)*AN$7/Qtrs_Yr,0),Inputs!$F$35:$I$35,Inputs!$F$36:$I$36))/Thousand/Qtrs_Yr))/Thousand+SUM(Inputs!$F$54:$F$61)*AN$7/Qtrs_Yr)*(1+LOOKUP(YEAR(AN$5),Inputs!$F$93:$I$93,Inputs!$F$94:$I$94)/Qtrs_Yr)^(COUNT($J$7:AN7))-Inputs!$E$29*(1+Inputs!$E$31)*AN$7/Inputs!$E$16/Qtrs_Yr-IF(OR(AN$7=0,SUM($J7:AN7)*AN7&gt;Inputs!$F$77*Qtrs_Yr),0,(Inputs!$F$71-SUM($J7:AN7,-1)*AN7*Inputs!$F$71/Inputs!$F$77/Qtrs_Yr)*(LOOKUP(YEAR(AO$5),Inputs!$F$85:$I$85,Inputs!$F$86:$I$86)+LOOKUP(ROUNDUP(SUM($J7:AO7)*AO7/Qtrs_Yr,0),Inputs!$G$73:$J$73,Inputs!$G$74:$J$74))/Qtrs_Yr))*Inputs!$F$101-IF(OR(AN$7=0,SUM($J7:AN7)*AN7&gt;Inputs!$F$77*Qtrs_Yr),0,(Inputs!$F$71-SUM($J7:AN7,-1)*AN7*Inputs!$F$71/Inputs!$F$77/Qtrs_Yr)*(LOOKUP(YEAR(AO$5),Inputs!$F$85:$I$85,Inputs!$F$86:$I$86)+LOOKUP(ROUNDUP(SUM($J7:AO7)*AO7/Qtrs_Yr,0),Inputs!$G$73:$J$73,Inputs!$G$74:$J$74))/Qtrs_Yr)-IF(OR(AN$7=0,SUM($J7:AN7)*AN7&gt;Inputs!$F$77*Qtrs_Yr),0,Inputs!$F$71/Inputs!$F$77/Qtrs_Yr)</f>
        <v>8.4150010319630084</v>
      </c>
      <c r="AO11" s="28">
        <f>(((IF(ROUNDUP(SUM($J$7:AO$7)*AO$7/Qtrs_Yr,0)=0,0,LOOKUP(ROUNDUP(SUM($J$7:AO$7)*AO$7/Qtrs_Yr,0),Inputs!$F$35:$I$35,Inputs!$F$36:$I$36))/Thousand/Qtrs_Yr)*IF(ROUNDUP(SUM($J$7:AO$7)*AO$7/Qtrs_Yr,0)=0,0,LOOKUP(ROUNDUP(SUM($J$7:AO$7)*AO$7/Qtrs_Yr,0),Inputs!$F$41:$I$41,Inputs!$F$42:$I$42))/Grams_Oz*Inputs!$F$45)*LOOKUP(YEAR(AO$5),Inputs!$F$49:$I$49,Inputs!$F$50:$I$50)/Thousand/LOOKUP(YEAR(AO$5),Inputs!$F$89:$I$89,Inputs!$F$90:$I$90)*(AO5-AN5-Inputs!$F$97)/(AO5-AN5)+((IF(ROUNDUP(SUM($I$7:AN$7)*AN$7/Qtrs_Yr,0)=0,0,LOOKUP(ROUNDUP(SUM($I$7:AN$7)*AN$7/Qtrs_Yr,0),Inputs!$F$35:$I$35,Inputs!$F$36:$I$36))/Thousand/Qtrs_Yr)*IF(ROUNDUP(SUM($I$7:AN$7)*AN$7/Qtrs_Yr,0)=0,0,LOOKUP(ROUNDUP(SUM($I$7:AN$7)*AN$7/Qtrs_Yr,0),Inputs!$F$41:$I$41,Inputs!$F$42:$I$42))/Grams_Oz*Inputs!$F$45)*LOOKUP(YEAR(AN$5),Inputs!$F$49:$I$49,Inputs!$F$50:$I$50)/Thousand/LOOKUP(YEAR(AN$5),Inputs!$F$89:$I$89,Inputs!$F$90:$I$90)*Inputs!$F$97/(AN5-AM5))-(((Inputs!$F$64*(IF(ROUNDUP(SUM($J$7:AO$7)*AO$7/Qtrs_Yr,0)=0,0,LOOKUP(ROUNDUP(SUM($J$7:AO$7)*AO$7/Qtrs_Yr,0),Inputs!$F$35:$I$35,Inputs!$F$36:$I$36))/Thousand/Qtrs_Yr+IF(ROUNDUP(SUM($J$7:AO$7)*AO$7/Qtrs_Yr,0)=0,0,LOOKUP(ROUNDUP(SUM($J$7:AO$7)*AO$7/Qtrs_Yr,0),Inputs!$F$35:$I$35,Inputs!$F$38:$I$38)*LOOKUP(ROUNDUP(SUM($J$7:AO$7)*AO$7/Qtrs_Yr,0),Inputs!$F$35:$I$35,Inputs!$F$36:$I$36))/Thousand/Qtrs_Yr)+Inputs!$F$65*(IF(ROUNDUP(SUM($J$7:AO$7)*AO$7/Qtrs_Yr,0)=0,0,LOOKUP(ROUNDUP(SUM($J$7:AO$7)*AO$7/Qtrs_Yr,0),Inputs!$F$35:$I$35,Inputs!$F$36:$I$36))/Thousand/Qtrs_Yr)+Inputs!$F$66*(IF(ROUNDUP(SUM($J$7:AO$7)*AO$7/Qtrs_Yr,0)=0,0,LOOKUP(ROUNDUP(SUM($J$7:AO$7)*AO$7/Qtrs_Yr,0),Inputs!$F$35:$I$35,Inputs!$F$38:$I$38)*LOOKUP(ROUNDUP(SUM($J$7:AO$7)*AO$7/Qtrs_Yr,0),Inputs!$F$35:$I$35,Inputs!$F$36:$I$36))/Thousand/Qtrs_Yr))/Thousand+SUM(Inputs!$F$54:$F$61)*AO$7/Qtrs_Yr)*(1+LOOKUP(YEAR(AO$5),Inputs!$F$93:$I$93,Inputs!$F$94:$I$94)/Qtrs_Yr)^(COUNT($J$7:AO7))*(AO5-AN5-Inputs!$F$98)/(AO5-AN5)+((Inputs!$F$64*(IF(ROUNDUP(SUM($I$7:AN$7)*AN$7/Qtrs_Yr,0)=0,0,LOOKUP(ROUNDUP(SUM($I$7:AN$7)*AN$7/Qtrs_Yr,0),Inputs!$F$35:$I$35,Inputs!$F$36:$I$36))/Thousand/Qtrs_Yr+IF(ROUNDUP(SUM($I$7:AN$7)*AN$7/Qtrs_Yr,0)=0,0,LOOKUP(ROUNDUP(SUM($I$7:AN$7)*AN$7/Qtrs_Yr,0),Inputs!$F$35:$I$35,Inputs!$F$38:$I$38)*LOOKUP(ROUNDUP(SUM($I$7:AN$7)*AN$7/Qtrs_Yr,0),Inputs!$F$35:$I$35,Inputs!$F$36:$I$36))/Thousand/Qtrs_Yr)+Inputs!$F$65*(IF(ROUNDUP(SUM($I$7:AN$7)*AN$7/Qtrs_Yr,0)=0,0,LOOKUP(ROUNDUP(SUM($I$7:AN$7)*AN$7/Qtrs_Yr,0),Inputs!$F$35:$I$35,Inputs!$F$36:$I$36))/Thousand/Qtrs_Yr)+Inputs!$F$66*(IF(ROUNDUP(SUM($I$7:AN$7)*AN$7/Qtrs_Yr,0)=0,0,LOOKUP(ROUNDUP(SUM($I$7:AN$7)*AN$7/Qtrs_Yr,0),Inputs!$F$35:$I$35,Inputs!$F$38:$I$38)*LOOKUP(ROUNDUP(SUM($I$7:AN$7)*AN$7/Qtrs_Yr,0),Inputs!$F$35:$I$35,Inputs!$F$36:$I$36))/Thousand/Qtrs_Yr))/Thousand+SUM(Inputs!$F$54:$F$61)*AN$7/Qtrs_Yr)*(1+LOOKUP(YEAR(AO$5),Inputs!$F$93:$I$93,Inputs!$F$94:$I$94)/Qtrs_Yr)^(COUNT($I$7:AN7))*Inputs!$F$98/(AN5-AM5))-(((IF(ROUNDUP(SUM($J$7:AO$7)*AO$7/Qtrs_Yr,0)=0,0,LOOKUP(ROUNDUP(SUM($J$7:AO$7)*AO$7/Qtrs_Yr,0),Inputs!$F$35:$I$35,Inputs!$F$36:$I$36))/Thousand/Qtrs_Yr)*IF(ROUNDUP(SUM($J$7:AO$7)*AO$7/Qtrs_Yr,0)=0,0,LOOKUP(ROUNDUP(SUM($J$7:AO$7)*AO$7/Qtrs_Yr,0),Inputs!$F$41:$I$41,Inputs!$F$42:$I$42))/Grams_Oz*Inputs!$F$45)*LOOKUP(YEAR(AO$5),Inputs!$F$49:$I$49,Inputs!$F$50:$I$50)/Thousand/LOOKUP(YEAR(AO$5),Inputs!$F$89:$I$89,Inputs!$F$90:$I$90)-((Inputs!$F$64*(IF(ROUNDUP(SUM($J$7:AO$7)*AO$7/Qtrs_Yr,0)=0,0,LOOKUP(ROUNDUP(SUM($J$7:AO$7)*AO$7/Qtrs_Yr,0),Inputs!$F$35:$I$35,Inputs!$F$36:$I$36))/Thousand/Qtrs_Yr+IF(ROUNDUP(SUM($J$7:AO$7)*AO$7/Qtrs_Yr,0)=0,0,LOOKUP(ROUNDUP(SUM($J$7:AO$7)*AO$7/Qtrs_Yr,0),Inputs!$F$35:$I$35,Inputs!$F$38:$I$38)*LOOKUP(ROUNDUP(SUM($J$7:AO$7)*AO$7/Qtrs_Yr,0),Inputs!$F$35:$I$35,Inputs!$F$36:$I$36))/Thousand/Qtrs_Yr)+Inputs!$F$65*(IF(ROUNDUP(SUM($J$7:AO$7)*AO$7/Qtrs_Yr,0)=0,0,LOOKUP(ROUNDUP(SUM($J$7:AO$7)*AO$7/Qtrs_Yr,0),Inputs!$F$35:$I$35,Inputs!$F$36:$I$36))/Thousand/Qtrs_Yr)+Inputs!$F$66*(IF(ROUNDUP(SUM($J$7:AO$7)*AO$7/Qtrs_Yr,0)=0,0,LOOKUP(ROUNDUP(SUM($J$7:AO$7)*AO$7/Qtrs_Yr,0),Inputs!$F$35:$I$35,Inputs!$F$38:$I$38)*LOOKUP(ROUNDUP(SUM($J$7:AO$7)*AO$7/Qtrs_Yr,0),Inputs!$F$35:$I$35,Inputs!$F$36:$I$36))/Thousand/Qtrs_Yr))/Thousand+SUM(Inputs!$F$54:$F$61)*AO$7/Qtrs_Yr)*(1+LOOKUP(YEAR(AO$5),Inputs!$F$93:$I$93,Inputs!$F$94:$I$94)/Qtrs_Yr)^(COUNT($J$7:AO7))-Inputs!$E$29*(1+Inputs!$E$31)*AO$7/Inputs!$E$16/Qtrs_Yr-IF(OR(AO$7=0,SUM($J7:AO7)*AO7&gt;Inputs!$F$77*Qtrs_Yr),0,(Inputs!$F$71-SUM($J7:AO7,-1)*AO7*Inputs!$F$71/Inputs!$F$77/Qtrs_Yr)*(LOOKUP(YEAR(AP$5),Inputs!$F$85:$I$85,Inputs!$F$86:$I$86)+LOOKUP(ROUNDUP(SUM($J7:AP7)*AP7/Qtrs_Yr,0),Inputs!$G$73:$J$73,Inputs!$G$74:$J$74))/Qtrs_Yr))*Inputs!$F$101-IF(OR(AO$7=0,SUM($J7:AO7)*AO7&gt;Inputs!$F$77*Qtrs_Yr),0,(Inputs!$F$71-SUM($J7:AO7,-1)*AO7*Inputs!$F$71/Inputs!$F$77/Qtrs_Yr)*(LOOKUP(YEAR(AP$5),Inputs!$F$85:$I$85,Inputs!$F$86:$I$86)+LOOKUP(ROUNDUP(SUM($J7:AP7)*AP7/Qtrs_Yr,0),Inputs!$G$73:$J$73,Inputs!$G$74:$J$74))/Qtrs_Yr)-IF(OR(AO$7=0,SUM($J7:AO7)*AO7&gt;Inputs!$F$77*Qtrs_Yr),0,Inputs!$F$71/Inputs!$F$77/Qtrs_Yr)</f>
        <v>8.324566153916388</v>
      </c>
      <c r="AP11" s="28">
        <f>(((IF(ROUNDUP(SUM($J$7:AP$7)*AP$7/Qtrs_Yr,0)=0,0,LOOKUP(ROUNDUP(SUM($J$7:AP$7)*AP$7/Qtrs_Yr,0),Inputs!$F$35:$I$35,Inputs!$F$36:$I$36))/Thousand/Qtrs_Yr)*IF(ROUNDUP(SUM($J$7:AP$7)*AP$7/Qtrs_Yr,0)=0,0,LOOKUP(ROUNDUP(SUM($J$7:AP$7)*AP$7/Qtrs_Yr,0),Inputs!$F$41:$I$41,Inputs!$F$42:$I$42))/Grams_Oz*Inputs!$F$45)*LOOKUP(YEAR(AP$5),Inputs!$F$49:$I$49,Inputs!$F$50:$I$50)/Thousand/LOOKUP(YEAR(AP$5),Inputs!$F$89:$I$89,Inputs!$F$90:$I$90)*(AP5-AO5-Inputs!$F$97)/(AP5-AO5)+((IF(ROUNDUP(SUM($I$7:AO$7)*AO$7/Qtrs_Yr,0)=0,0,LOOKUP(ROUNDUP(SUM($I$7:AO$7)*AO$7/Qtrs_Yr,0),Inputs!$F$35:$I$35,Inputs!$F$36:$I$36))/Thousand/Qtrs_Yr)*IF(ROUNDUP(SUM($I$7:AO$7)*AO$7/Qtrs_Yr,0)=0,0,LOOKUP(ROUNDUP(SUM($I$7:AO$7)*AO$7/Qtrs_Yr,0),Inputs!$F$41:$I$41,Inputs!$F$42:$I$42))/Grams_Oz*Inputs!$F$45)*LOOKUP(YEAR(AO$5),Inputs!$F$49:$I$49,Inputs!$F$50:$I$50)/Thousand/LOOKUP(YEAR(AO$5),Inputs!$F$89:$I$89,Inputs!$F$90:$I$90)*Inputs!$F$97/(AO5-AN5))-(((Inputs!$F$64*(IF(ROUNDUP(SUM($J$7:AP$7)*AP$7/Qtrs_Yr,0)=0,0,LOOKUP(ROUNDUP(SUM($J$7:AP$7)*AP$7/Qtrs_Yr,0),Inputs!$F$35:$I$35,Inputs!$F$36:$I$36))/Thousand/Qtrs_Yr+IF(ROUNDUP(SUM($J$7:AP$7)*AP$7/Qtrs_Yr,0)=0,0,LOOKUP(ROUNDUP(SUM($J$7:AP$7)*AP$7/Qtrs_Yr,0),Inputs!$F$35:$I$35,Inputs!$F$38:$I$38)*LOOKUP(ROUNDUP(SUM($J$7:AP$7)*AP$7/Qtrs_Yr,0),Inputs!$F$35:$I$35,Inputs!$F$36:$I$36))/Thousand/Qtrs_Yr)+Inputs!$F$65*(IF(ROUNDUP(SUM($J$7:AP$7)*AP$7/Qtrs_Yr,0)=0,0,LOOKUP(ROUNDUP(SUM($J$7:AP$7)*AP$7/Qtrs_Yr,0),Inputs!$F$35:$I$35,Inputs!$F$36:$I$36))/Thousand/Qtrs_Yr)+Inputs!$F$66*(IF(ROUNDUP(SUM($J$7:AP$7)*AP$7/Qtrs_Yr,0)=0,0,LOOKUP(ROUNDUP(SUM($J$7:AP$7)*AP$7/Qtrs_Yr,0),Inputs!$F$35:$I$35,Inputs!$F$38:$I$38)*LOOKUP(ROUNDUP(SUM($J$7:AP$7)*AP$7/Qtrs_Yr,0),Inputs!$F$35:$I$35,Inputs!$F$36:$I$36))/Thousand/Qtrs_Yr))/Thousand+SUM(Inputs!$F$54:$F$61)*AP$7/Qtrs_Yr)*(1+LOOKUP(YEAR(AP$5),Inputs!$F$93:$I$93,Inputs!$F$94:$I$94)/Qtrs_Yr)^(COUNT($J$7:AP7))*(AP5-AO5-Inputs!$F$98)/(AP5-AO5)+((Inputs!$F$64*(IF(ROUNDUP(SUM($I$7:AO$7)*AO$7/Qtrs_Yr,0)=0,0,LOOKUP(ROUNDUP(SUM($I$7:AO$7)*AO$7/Qtrs_Yr,0),Inputs!$F$35:$I$35,Inputs!$F$36:$I$36))/Thousand/Qtrs_Yr+IF(ROUNDUP(SUM($I$7:AO$7)*AO$7/Qtrs_Yr,0)=0,0,LOOKUP(ROUNDUP(SUM($I$7:AO$7)*AO$7/Qtrs_Yr,0),Inputs!$F$35:$I$35,Inputs!$F$38:$I$38)*LOOKUP(ROUNDUP(SUM($I$7:AO$7)*AO$7/Qtrs_Yr,0),Inputs!$F$35:$I$35,Inputs!$F$36:$I$36))/Thousand/Qtrs_Yr)+Inputs!$F$65*(IF(ROUNDUP(SUM($I$7:AO$7)*AO$7/Qtrs_Yr,0)=0,0,LOOKUP(ROUNDUP(SUM($I$7:AO$7)*AO$7/Qtrs_Yr,0),Inputs!$F$35:$I$35,Inputs!$F$36:$I$36))/Thousand/Qtrs_Yr)+Inputs!$F$66*(IF(ROUNDUP(SUM($I$7:AO$7)*AO$7/Qtrs_Yr,0)=0,0,LOOKUP(ROUNDUP(SUM($I$7:AO$7)*AO$7/Qtrs_Yr,0),Inputs!$F$35:$I$35,Inputs!$F$38:$I$38)*LOOKUP(ROUNDUP(SUM($I$7:AO$7)*AO$7/Qtrs_Yr,0),Inputs!$F$35:$I$35,Inputs!$F$36:$I$36))/Thousand/Qtrs_Yr))/Thousand+SUM(Inputs!$F$54:$F$61)*AO$7/Qtrs_Yr)*(1+LOOKUP(YEAR(AP$5),Inputs!$F$93:$I$93,Inputs!$F$94:$I$94)/Qtrs_Yr)^(COUNT($I$7:AO7))*Inputs!$F$98/(AO5-AN5))-(((IF(ROUNDUP(SUM($J$7:AP$7)*AP$7/Qtrs_Yr,0)=0,0,LOOKUP(ROUNDUP(SUM($J$7:AP$7)*AP$7/Qtrs_Yr,0),Inputs!$F$35:$I$35,Inputs!$F$36:$I$36))/Thousand/Qtrs_Yr)*IF(ROUNDUP(SUM($J$7:AP$7)*AP$7/Qtrs_Yr,0)=0,0,LOOKUP(ROUNDUP(SUM($J$7:AP$7)*AP$7/Qtrs_Yr,0),Inputs!$F$41:$I$41,Inputs!$F$42:$I$42))/Grams_Oz*Inputs!$F$45)*LOOKUP(YEAR(AP$5),Inputs!$F$49:$I$49,Inputs!$F$50:$I$50)/Thousand/LOOKUP(YEAR(AP$5),Inputs!$F$89:$I$89,Inputs!$F$90:$I$90)-((Inputs!$F$64*(IF(ROUNDUP(SUM($J$7:AP$7)*AP$7/Qtrs_Yr,0)=0,0,LOOKUP(ROUNDUP(SUM($J$7:AP$7)*AP$7/Qtrs_Yr,0),Inputs!$F$35:$I$35,Inputs!$F$36:$I$36))/Thousand/Qtrs_Yr+IF(ROUNDUP(SUM($J$7:AP$7)*AP$7/Qtrs_Yr,0)=0,0,LOOKUP(ROUNDUP(SUM($J$7:AP$7)*AP$7/Qtrs_Yr,0),Inputs!$F$35:$I$35,Inputs!$F$38:$I$38)*LOOKUP(ROUNDUP(SUM($J$7:AP$7)*AP$7/Qtrs_Yr,0),Inputs!$F$35:$I$35,Inputs!$F$36:$I$36))/Thousand/Qtrs_Yr)+Inputs!$F$65*(IF(ROUNDUP(SUM($J$7:AP$7)*AP$7/Qtrs_Yr,0)=0,0,LOOKUP(ROUNDUP(SUM($J$7:AP$7)*AP$7/Qtrs_Yr,0),Inputs!$F$35:$I$35,Inputs!$F$36:$I$36))/Thousand/Qtrs_Yr)+Inputs!$F$66*(IF(ROUNDUP(SUM($J$7:AP$7)*AP$7/Qtrs_Yr,0)=0,0,LOOKUP(ROUNDUP(SUM($J$7:AP$7)*AP$7/Qtrs_Yr,0),Inputs!$F$35:$I$35,Inputs!$F$38:$I$38)*LOOKUP(ROUNDUP(SUM($J$7:AP$7)*AP$7/Qtrs_Yr,0),Inputs!$F$35:$I$35,Inputs!$F$36:$I$36))/Thousand/Qtrs_Yr))/Thousand+SUM(Inputs!$F$54:$F$61)*AP$7/Qtrs_Yr)*(1+LOOKUP(YEAR(AP$5),Inputs!$F$93:$I$93,Inputs!$F$94:$I$94)/Qtrs_Yr)^(COUNT($J$7:AP7))-Inputs!$E$29*(1+Inputs!$E$31)*AP$7/Inputs!$E$16/Qtrs_Yr-IF(OR(AP$7=0,SUM($J7:AP7)*AP7&gt;Inputs!$F$77*Qtrs_Yr),0,(Inputs!$F$71-SUM($J7:AP7,-1)*AP7*Inputs!$F$71/Inputs!$F$77/Qtrs_Yr)*(LOOKUP(YEAR(AQ$5),Inputs!$F$85:$I$85,Inputs!$F$86:$I$86)+LOOKUP(ROUNDUP(SUM($J7:AQ7)*AQ7/Qtrs_Yr,0),Inputs!$G$73:$J$73,Inputs!$G$74:$J$74))/Qtrs_Yr))*Inputs!$F$101-IF(OR(AP$7=0,SUM($J7:AP7)*AP7&gt;Inputs!$F$77*Qtrs_Yr),0,(Inputs!$F$71-SUM($J7:AP7,-1)*AP7*Inputs!$F$71/Inputs!$F$77/Qtrs_Yr)*(LOOKUP(YEAR(AQ$5),Inputs!$F$85:$I$85,Inputs!$F$86:$I$86)+LOOKUP(ROUNDUP(SUM($J7:AQ7)*AQ7/Qtrs_Yr,0),Inputs!$G$73:$J$73,Inputs!$G$74:$J$74))/Qtrs_Yr)-IF(OR(AP$7=0,SUM($J7:AP7)*AP7&gt;Inputs!$F$77*Qtrs_Yr),0,Inputs!$F$71/Inputs!$F$77/Qtrs_Yr)</f>
        <v>8.2353990228272735</v>
      </c>
      <c r="AQ11" s="28">
        <f>(((IF(ROUNDUP(SUM($J$7:AQ$7)*AQ$7/Qtrs_Yr,0)=0,0,LOOKUP(ROUNDUP(SUM($J$7:AQ$7)*AQ$7/Qtrs_Yr,0),Inputs!$F$35:$I$35,Inputs!$F$36:$I$36))/Thousand/Qtrs_Yr)*IF(ROUNDUP(SUM($J$7:AQ$7)*AQ$7/Qtrs_Yr,0)=0,0,LOOKUP(ROUNDUP(SUM($J$7:AQ$7)*AQ$7/Qtrs_Yr,0),Inputs!$F$41:$I$41,Inputs!$F$42:$I$42))/Grams_Oz*Inputs!$F$45)*LOOKUP(YEAR(AQ$5),Inputs!$F$49:$I$49,Inputs!$F$50:$I$50)/Thousand/LOOKUP(YEAR(AQ$5),Inputs!$F$89:$I$89,Inputs!$F$90:$I$90)*(AQ5-AP5-Inputs!$F$97)/(AQ5-AP5)+((IF(ROUNDUP(SUM($I$7:AP$7)*AP$7/Qtrs_Yr,0)=0,0,LOOKUP(ROUNDUP(SUM($I$7:AP$7)*AP$7/Qtrs_Yr,0),Inputs!$F$35:$I$35,Inputs!$F$36:$I$36))/Thousand/Qtrs_Yr)*IF(ROUNDUP(SUM($I$7:AP$7)*AP$7/Qtrs_Yr,0)=0,0,LOOKUP(ROUNDUP(SUM($I$7:AP$7)*AP$7/Qtrs_Yr,0),Inputs!$F$41:$I$41,Inputs!$F$42:$I$42))/Grams_Oz*Inputs!$F$45)*LOOKUP(YEAR(AP$5),Inputs!$F$49:$I$49,Inputs!$F$50:$I$50)/Thousand/LOOKUP(YEAR(AP$5),Inputs!$F$89:$I$89,Inputs!$F$90:$I$90)*Inputs!$F$97/(AP5-AO5))-(((Inputs!$F$64*(IF(ROUNDUP(SUM($J$7:AQ$7)*AQ$7/Qtrs_Yr,0)=0,0,LOOKUP(ROUNDUP(SUM($J$7:AQ$7)*AQ$7/Qtrs_Yr,0),Inputs!$F$35:$I$35,Inputs!$F$36:$I$36))/Thousand/Qtrs_Yr+IF(ROUNDUP(SUM($J$7:AQ$7)*AQ$7/Qtrs_Yr,0)=0,0,LOOKUP(ROUNDUP(SUM($J$7:AQ$7)*AQ$7/Qtrs_Yr,0),Inputs!$F$35:$I$35,Inputs!$F$38:$I$38)*LOOKUP(ROUNDUP(SUM($J$7:AQ$7)*AQ$7/Qtrs_Yr,0),Inputs!$F$35:$I$35,Inputs!$F$36:$I$36))/Thousand/Qtrs_Yr)+Inputs!$F$65*(IF(ROUNDUP(SUM($J$7:AQ$7)*AQ$7/Qtrs_Yr,0)=0,0,LOOKUP(ROUNDUP(SUM($J$7:AQ$7)*AQ$7/Qtrs_Yr,0),Inputs!$F$35:$I$35,Inputs!$F$36:$I$36))/Thousand/Qtrs_Yr)+Inputs!$F$66*(IF(ROUNDUP(SUM($J$7:AQ$7)*AQ$7/Qtrs_Yr,0)=0,0,LOOKUP(ROUNDUP(SUM($J$7:AQ$7)*AQ$7/Qtrs_Yr,0),Inputs!$F$35:$I$35,Inputs!$F$38:$I$38)*LOOKUP(ROUNDUP(SUM($J$7:AQ$7)*AQ$7/Qtrs_Yr,0),Inputs!$F$35:$I$35,Inputs!$F$36:$I$36))/Thousand/Qtrs_Yr))/Thousand+SUM(Inputs!$F$54:$F$61)*AQ$7/Qtrs_Yr)*(1+LOOKUP(YEAR(AQ$5),Inputs!$F$93:$I$93,Inputs!$F$94:$I$94)/Qtrs_Yr)^(COUNT($J$7:AQ7))*(AQ5-AP5-Inputs!$F$98)/(AQ5-AP5)+((Inputs!$F$64*(IF(ROUNDUP(SUM($I$7:AP$7)*AP$7/Qtrs_Yr,0)=0,0,LOOKUP(ROUNDUP(SUM($I$7:AP$7)*AP$7/Qtrs_Yr,0),Inputs!$F$35:$I$35,Inputs!$F$36:$I$36))/Thousand/Qtrs_Yr+IF(ROUNDUP(SUM($I$7:AP$7)*AP$7/Qtrs_Yr,0)=0,0,LOOKUP(ROUNDUP(SUM($I$7:AP$7)*AP$7/Qtrs_Yr,0),Inputs!$F$35:$I$35,Inputs!$F$38:$I$38)*LOOKUP(ROUNDUP(SUM($I$7:AP$7)*AP$7/Qtrs_Yr,0),Inputs!$F$35:$I$35,Inputs!$F$36:$I$36))/Thousand/Qtrs_Yr)+Inputs!$F$65*(IF(ROUNDUP(SUM($I$7:AP$7)*AP$7/Qtrs_Yr,0)=0,0,LOOKUP(ROUNDUP(SUM($I$7:AP$7)*AP$7/Qtrs_Yr,0),Inputs!$F$35:$I$35,Inputs!$F$36:$I$36))/Thousand/Qtrs_Yr)+Inputs!$F$66*(IF(ROUNDUP(SUM($I$7:AP$7)*AP$7/Qtrs_Yr,0)=0,0,LOOKUP(ROUNDUP(SUM($I$7:AP$7)*AP$7/Qtrs_Yr,0),Inputs!$F$35:$I$35,Inputs!$F$38:$I$38)*LOOKUP(ROUNDUP(SUM($I$7:AP$7)*AP$7/Qtrs_Yr,0),Inputs!$F$35:$I$35,Inputs!$F$36:$I$36))/Thousand/Qtrs_Yr))/Thousand+SUM(Inputs!$F$54:$F$61)*AP$7/Qtrs_Yr)*(1+LOOKUP(YEAR(AQ$5),Inputs!$F$93:$I$93,Inputs!$F$94:$I$94)/Qtrs_Yr)^(COUNT($I$7:AP7))*Inputs!$F$98/(AP5-AO5))-(((IF(ROUNDUP(SUM($J$7:AQ$7)*AQ$7/Qtrs_Yr,0)=0,0,LOOKUP(ROUNDUP(SUM($J$7:AQ$7)*AQ$7/Qtrs_Yr,0),Inputs!$F$35:$I$35,Inputs!$F$36:$I$36))/Thousand/Qtrs_Yr)*IF(ROUNDUP(SUM($J$7:AQ$7)*AQ$7/Qtrs_Yr,0)=0,0,LOOKUP(ROUNDUP(SUM($J$7:AQ$7)*AQ$7/Qtrs_Yr,0),Inputs!$F$41:$I$41,Inputs!$F$42:$I$42))/Grams_Oz*Inputs!$F$45)*LOOKUP(YEAR(AQ$5),Inputs!$F$49:$I$49,Inputs!$F$50:$I$50)/Thousand/LOOKUP(YEAR(AQ$5),Inputs!$F$89:$I$89,Inputs!$F$90:$I$90)-((Inputs!$F$64*(IF(ROUNDUP(SUM($J$7:AQ$7)*AQ$7/Qtrs_Yr,0)=0,0,LOOKUP(ROUNDUP(SUM($J$7:AQ$7)*AQ$7/Qtrs_Yr,0),Inputs!$F$35:$I$35,Inputs!$F$36:$I$36))/Thousand/Qtrs_Yr+IF(ROUNDUP(SUM($J$7:AQ$7)*AQ$7/Qtrs_Yr,0)=0,0,LOOKUP(ROUNDUP(SUM($J$7:AQ$7)*AQ$7/Qtrs_Yr,0),Inputs!$F$35:$I$35,Inputs!$F$38:$I$38)*LOOKUP(ROUNDUP(SUM($J$7:AQ$7)*AQ$7/Qtrs_Yr,0),Inputs!$F$35:$I$35,Inputs!$F$36:$I$36))/Thousand/Qtrs_Yr)+Inputs!$F$65*(IF(ROUNDUP(SUM($J$7:AQ$7)*AQ$7/Qtrs_Yr,0)=0,0,LOOKUP(ROUNDUP(SUM($J$7:AQ$7)*AQ$7/Qtrs_Yr,0),Inputs!$F$35:$I$35,Inputs!$F$36:$I$36))/Thousand/Qtrs_Yr)+Inputs!$F$66*(IF(ROUNDUP(SUM($J$7:AQ$7)*AQ$7/Qtrs_Yr,0)=0,0,LOOKUP(ROUNDUP(SUM($J$7:AQ$7)*AQ$7/Qtrs_Yr,0),Inputs!$F$35:$I$35,Inputs!$F$38:$I$38)*LOOKUP(ROUNDUP(SUM($J$7:AQ$7)*AQ$7/Qtrs_Yr,0),Inputs!$F$35:$I$35,Inputs!$F$36:$I$36))/Thousand/Qtrs_Yr))/Thousand+SUM(Inputs!$F$54:$F$61)*AQ$7/Qtrs_Yr)*(1+LOOKUP(YEAR(AQ$5),Inputs!$F$93:$I$93,Inputs!$F$94:$I$94)/Qtrs_Yr)^(COUNT($J$7:AQ7))-Inputs!$E$29*(1+Inputs!$E$31)*AQ$7/Inputs!$E$16/Qtrs_Yr-IF(OR(AQ$7=0,SUM($J7:AQ7)*AQ7&gt;Inputs!$F$77*Qtrs_Yr),0,(Inputs!$F$71-SUM($J7:AQ7,-1)*AQ7*Inputs!$F$71/Inputs!$F$77/Qtrs_Yr)*(LOOKUP(YEAR(AR$5),Inputs!$F$85:$I$85,Inputs!$F$86:$I$86)+LOOKUP(ROUNDUP(SUM($J7:AR7)*AR7/Qtrs_Yr,0),Inputs!$G$73:$J$73,Inputs!$G$74:$J$74))/Qtrs_Yr))*Inputs!$F$101-IF(OR(AQ$7=0,SUM($J7:AQ7)*AQ7&gt;Inputs!$F$77*Qtrs_Yr),0,(Inputs!$F$71-SUM($J7:AQ7,-1)*AQ7*Inputs!$F$71/Inputs!$F$77/Qtrs_Yr)*(LOOKUP(YEAR(AR$5),Inputs!$F$85:$I$85,Inputs!$F$86:$I$86)+LOOKUP(ROUNDUP(SUM($J7:AR7)*AR7/Qtrs_Yr,0),Inputs!$G$73:$J$73,Inputs!$G$74:$J$74))/Qtrs_Yr)-IF(OR(AQ$7=0,SUM($J7:AQ7)*AQ7&gt;Inputs!$F$77*Qtrs_Yr),0,Inputs!$F$71/Inputs!$F$77/Qtrs_Yr)</f>
        <v>8.1607459950390808</v>
      </c>
      <c r="AR11" s="28">
        <f>(((IF(ROUNDUP(SUM($J$7:AR$7)*AR$7/Qtrs_Yr,0)=0,0,LOOKUP(ROUNDUP(SUM($J$7:AR$7)*AR$7/Qtrs_Yr,0),Inputs!$F$35:$I$35,Inputs!$F$36:$I$36))/Thousand/Qtrs_Yr)*IF(ROUNDUP(SUM($J$7:AR$7)*AR$7/Qtrs_Yr,0)=0,0,LOOKUP(ROUNDUP(SUM($J$7:AR$7)*AR$7/Qtrs_Yr,0),Inputs!$F$41:$I$41,Inputs!$F$42:$I$42))/Grams_Oz*Inputs!$F$45)*LOOKUP(YEAR(AR$5),Inputs!$F$49:$I$49,Inputs!$F$50:$I$50)/Thousand/LOOKUP(YEAR(AR$5),Inputs!$F$89:$I$89,Inputs!$F$90:$I$90)*(AR5-AQ5-Inputs!$F$97)/(AR5-AQ5)+((IF(ROUNDUP(SUM($I$7:AQ$7)*AQ$7/Qtrs_Yr,0)=0,0,LOOKUP(ROUNDUP(SUM($I$7:AQ$7)*AQ$7/Qtrs_Yr,0),Inputs!$F$35:$I$35,Inputs!$F$36:$I$36))/Thousand/Qtrs_Yr)*IF(ROUNDUP(SUM($I$7:AQ$7)*AQ$7/Qtrs_Yr,0)=0,0,LOOKUP(ROUNDUP(SUM($I$7:AQ$7)*AQ$7/Qtrs_Yr,0),Inputs!$F$41:$I$41,Inputs!$F$42:$I$42))/Grams_Oz*Inputs!$F$45)*LOOKUP(YEAR(AQ$5),Inputs!$F$49:$I$49,Inputs!$F$50:$I$50)/Thousand/LOOKUP(YEAR(AQ$5),Inputs!$F$89:$I$89,Inputs!$F$90:$I$90)*Inputs!$F$97/(AQ5-AP5))-(((Inputs!$F$64*(IF(ROUNDUP(SUM($J$7:AR$7)*AR$7/Qtrs_Yr,0)=0,0,LOOKUP(ROUNDUP(SUM($J$7:AR$7)*AR$7/Qtrs_Yr,0),Inputs!$F$35:$I$35,Inputs!$F$36:$I$36))/Thousand/Qtrs_Yr+IF(ROUNDUP(SUM($J$7:AR$7)*AR$7/Qtrs_Yr,0)=0,0,LOOKUP(ROUNDUP(SUM($J$7:AR$7)*AR$7/Qtrs_Yr,0),Inputs!$F$35:$I$35,Inputs!$F$38:$I$38)*LOOKUP(ROUNDUP(SUM($J$7:AR$7)*AR$7/Qtrs_Yr,0),Inputs!$F$35:$I$35,Inputs!$F$36:$I$36))/Thousand/Qtrs_Yr)+Inputs!$F$65*(IF(ROUNDUP(SUM($J$7:AR$7)*AR$7/Qtrs_Yr,0)=0,0,LOOKUP(ROUNDUP(SUM($J$7:AR$7)*AR$7/Qtrs_Yr,0),Inputs!$F$35:$I$35,Inputs!$F$36:$I$36))/Thousand/Qtrs_Yr)+Inputs!$F$66*(IF(ROUNDUP(SUM($J$7:AR$7)*AR$7/Qtrs_Yr,0)=0,0,LOOKUP(ROUNDUP(SUM($J$7:AR$7)*AR$7/Qtrs_Yr,0),Inputs!$F$35:$I$35,Inputs!$F$38:$I$38)*LOOKUP(ROUNDUP(SUM($J$7:AR$7)*AR$7/Qtrs_Yr,0),Inputs!$F$35:$I$35,Inputs!$F$36:$I$36))/Thousand/Qtrs_Yr))/Thousand+SUM(Inputs!$F$54:$F$61)*AR$7/Qtrs_Yr)*(1+LOOKUP(YEAR(AR$5),Inputs!$F$93:$I$93,Inputs!$F$94:$I$94)/Qtrs_Yr)^(COUNT($J$7:AR7))*(AR5-AQ5-Inputs!$F$98)/(AR5-AQ5)+((Inputs!$F$64*(IF(ROUNDUP(SUM($I$7:AQ$7)*AQ$7/Qtrs_Yr,0)=0,0,LOOKUP(ROUNDUP(SUM($I$7:AQ$7)*AQ$7/Qtrs_Yr,0),Inputs!$F$35:$I$35,Inputs!$F$36:$I$36))/Thousand/Qtrs_Yr+IF(ROUNDUP(SUM($I$7:AQ$7)*AQ$7/Qtrs_Yr,0)=0,0,LOOKUP(ROUNDUP(SUM($I$7:AQ$7)*AQ$7/Qtrs_Yr,0),Inputs!$F$35:$I$35,Inputs!$F$38:$I$38)*LOOKUP(ROUNDUP(SUM($I$7:AQ$7)*AQ$7/Qtrs_Yr,0),Inputs!$F$35:$I$35,Inputs!$F$36:$I$36))/Thousand/Qtrs_Yr)+Inputs!$F$65*(IF(ROUNDUP(SUM($I$7:AQ$7)*AQ$7/Qtrs_Yr,0)=0,0,LOOKUP(ROUNDUP(SUM($I$7:AQ$7)*AQ$7/Qtrs_Yr,0),Inputs!$F$35:$I$35,Inputs!$F$36:$I$36))/Thousand/Qtrs_Yr)+Inputs!$F$66*(IF(ROUNDUP(SUM($I$7:AQ$7)*AQ$7/Qtrs_Yr,0)=0,0,LOOKUP(ROUNDUP(SUM($I$7:AQ$7)*AQ$7/Qtrs_Yr,0),Inputs!$F$35:$I$35,Inputs!$F$38:$I$38)*LOOKUP(ROUNDUP(SUM($I$7:AQ$7)*AQ$7/Qtrs_Yr,0),Inputs!$F$35:$I$35,Inputs!$F$36:$I$36))/Thousand/Qtrs_Yr))/Thousand+SUM(Inputs!$F$54:$F$61)*AQ$7/Qtrs_Yr)*(1+LOOKUP(YEAR(AR$5),Inputs!$F$93:$I$93,Inputs!$F$94:$I$94)/Qtrs_Yr)^(COUNT($I$7:AQ7))*Inputs!$F$98/(AQ5-AP5))-(((IF(ROUNDUP(SUM($J$7:AR$7)*AR$7/Qtrs_Yr,0)=0,0,LOOKUP(ROUNDUP(SUM($J$7:AR$7)*AR$7/Qtrs_Yr,0),Inputs!$F$35:$I$35,Inputs!$F$36:$I$36))/Thousand/Qtrs_Yr)*IF(ROUNDUP(SUM($J$7:AR$7)*AR$7/Qtrs_Yr,0)=0,0,LOOKUP(ROUNDUP(SUM($J$7:AR$7)*AR$7/Qtrs_Yr,0),Inputs!$F$41:$I$41,Inputs!$F$42:$I$42))/Grams_Oz*Inputs!$F$45)*LOOKUP(YEAR(AR$5),Inputs!$F$49:$I$49,Inputs!$F$50:$I$50)/Thousand/LOOKUP(YEAR(AR$5),Inputs!$F$89:$I$89,Inputs!$F$90:$I$90)-((Inputs!$F$64*(IF(ROUNDUP(SUM($J$7:AR$7)*AR$7/Qtrs_Yr,0)=0,0,LOOKUP(ROUNDUP(SUM($J$7:AR$7)*AR$7/Qtrs_Yr,0),Inputs!$F$35:$I$35,Inputs!$F$36:$I$36))/Thousand/Qtrs_Yr+IF(ROUNDUP(SUM($J$7:AR$7)*AR$7/Qtrs_Yr,0)=0,0,LOOKUP(ROUNDUP(SUM($J$7:AR$7)*AR$7/Qtrs_Yr,0),Inputs!$F$35:$I$35,Inputs!$F$38:$I$38)*LOOKUP(ROUNDUP(SUM($J$7:AR$7)*AR$7/Qtrs_Yr,0),Inputs!$F$35:$I$35,Inputs!$F$36:$I$36))/Thousand/Qtrs_Yr)+Inputs!$F$65*(IF(ROUNDUP(SUM($J$7:AR$7)*AR$7/Qtrs_Yr,0)=0,0,LOOKUP(ROUNDUP(SUM($J$7:AR$7)*AR$7/Qtrs_Yr,0),Inputs!$F$35:$I$35,Inputs!$F$36:$I$36))/Thousand/Qtrs_Yr)+Inputs!$F$66*(IF(ROUNDUP(SUM($J$7:AR$7)*AR$7/Qtrs_Yr,0)=0,0,LOOKUP(ROUNDUP(SUM($J$7:AR$7)*AR$7/Qtrs_Yr,0),Inputs!$F$35:$I$35,Inputs!$F$38:$I$38)*LOOKUP(ROUNDUP(SUM($J$7:AR$7)*AR$7/Qtrs_Yr,0),Inputs!$F$35:$I$35,Inputs!$F$36:$I$36))/Thousand/Qtrs_Yr))/Thousand+SUM(Inputs!$F$54:$F$61)*AR$7/Qtrs_Yr)*(1+LOOKUP(YEAR(AR$5),Inputs!$F$93:$I$93,Inputs!$F$94:$I$94)/Qtrs_Yr)^(COUNT($J$7:AR7))-Inputs!$E$29*(1+Inputs!$E$31)*AR$7/Inputs!$E$16/Qtrs_Yr-IF(OR(AR$7=0,SUM($J7:AR7)*AR7&gt;Inputs!$F$77*Qtrs_Yr),0,(Inputs!$F$71-SUM($J7:AR7,-1)*AR7*Inputs!$F$71/Inputs!$F$77/Qtrs_Yr)*(LOOKUP(YEAR(AS$5),Inputs!$F$85:$I$85,Inputs!$F$86:$I$86)+LOOKUP(ROUNDUP(SUM($J7:AS7)*AS7/Qtrs_Yr,0),Inputs!$G$73:$J$73,Inputs!$G$74:$J$74))/Qtrs_Yr))*Inputs!$F$101-IF(OR(AR$7=0,SUM($J7:AR7)*AR7&gt;Inputs!$F$77*Qtrs_Yr),0,(Inputs!$F$71-SUM($J7:AR7,-1)*AR7*Inputs!$F$71/Inputs!$F$77/Qtrs_Yr)*(LOOKUP(YEAR(AS$5),Inputs!$F$85:$I$85,Inputs!$F$86:$I$86)+LOOKUP(ROUNDUP(SUM($J7:AS7)*AS7/Qtrs_Yr,0),Inputs!$G$73:$J$73,Inputs!$G$74:$J$74))/Qtrs_Yr)-IF(OR(AR$7=0,SUM($J7:AR7)*AR7&gt;Inputs!$F$77*Qtrs_Yr),0,Inputs!$F$71/Inputs!$F$77/Qtrs_Yr)</f>
        <v>8.0839885539767771</v>
      </c>
      <c r="AS11" s="28">
        <f>(((IF(ROUNDUP(SUM($J$7:AS$7)*AS$7/Qtrs_Yr,0)=0,0,LOOKUP(ROUNDUP(SUM($J$7:AS$7)*AS$7/Qtrs_Yr,0),Inputs!$F$35:$I$35,Inputs!$F$36:$I$36))/Thousand/Qtrs_Yr)*IF(ROUNDUP(SUM($J$7:AS$7)*AS$7/Qtrs_Yr,0)=0,0,LOOKUP(ROUNDUP(SUM($J$7:AS$7)*AS$7/Qtrs_Yr,0),Inputs!$F$41:$I$41,Inputs!$F$42:$I$42))/Grams_Oz*Inputs!$F$45)*LOOKUP(YEAR(AS$5),Inputs!$F$49:$I$49,Inputs!$F$50:$I$50)/Thousand/LOOKUP(YEAR(AS$5),Inputs!$F$89:$I$89,Inputs!$F$90:$I$90)*(AS5-AR5-Inputs!$F$97)/(AS5-AR5)+((IF(ROUNDUP(SUM($I$7:AR$7)*AR$7/Qtrs_Yr,0)=0,0,LOOKUP(ROUNDUP(SUM($I$7:AR$7)*AR$7/Qtrs_Yr,0),Inputs!$F$35:$I$35,Inputs!$F$36:$I$36))/Thousand/Qtrs_Yr)*IF(ROUNDUP(SUM($I$7:AR$7)*AR$7/Qtrs_Yr,0)=0,0,LOOKUP(ROUNDUP(SUM($I$7:AR$7)*AR$7/Qtrs_Yr,0),Inputs!$F$41:$I$41,Inputs!$F$42:$I$42))/Grams_Oz*Inputs!$F$45)*LOOKUP(YEAR(AR$5),Inputs!$F$49:$I$49,Inputs!$F$50:$I$50)/Thousand/LOOKUP(YEAR(AR$5),Inputs!$F$89:$I$89,Inputs!$F$90:$I$90)*Inputs!$F$97/(AR5-AQ5))-(((Inputs!$F$64*(IF(ROUNDUP(SUM($J$7:AS$7)*AS$7/Qtrs_Yr,0)=0,0,LOOKUP(ROUNDUP(SUM($J$7:AS$7)*AS$7/Qtrs_Yr,0),Inputs!$F$35:$I$35,Inputs!$F$36:$I$36))/Thousand/Qtrs_Yr+IF(ROUNDUP(SUM($J$7:AS$7)*AS$7/Qtrs_Yr,0)=0,0,LOOKUP(ROUNDUP(SUM($J$7:AS$7)*AS$7/Qtrs_Yr,0),Inputs!$F$35:$I$35,Inputs!$F$38:$I$38)*LOOKUP(ROUNDUP(SUM($J$7:AS$7)*AS$7/Qtrs_Yr,0),Inputs!$F$35:$I$35,Inputs!$F$36:$I$36))/Thousand/Qtrs_Yr)+Inputs!$F$65*(IF(ROUNDUP(SUM($J$7:AS$7)*AS$7/Qtrs_Yr,0)=0,0,LOOKUP(ROUNDUP(SUM($J$7:AS$7)*AS$7/Qtrs_Yr,0),Inputs!$F$35:$I$35,Inputs!$F$36:$I$36))/Thousand/Qtrs_Yr)+Inputs!$F$66*(IF(ROUNDUP(SUM($J$7:AS$7)*AS$7/Qtrs_Yr,0)=0,0,LOOKUP(ROUNDUP(SUM($J$7:AS$7)*AS$7/Qtrs_Yr,0),Inputs!$F$35:$I$35,Inputs!$F$38:$I$38)*LOOKUP(ROUNDUP(SUM($J$7:AS$7)*AS$7/Qtrs_Yr,0),Inputs!$F$35:$I$35,Inputs!$F$36:$I$36))/Thousand/Qtrs_Yr))/Thousand+SUM(Inputs!$F$54:$F$61)*AS$7/Qtrs_Yr)*(1+LOOKUP(YEAR(AS$5),Inputs!$F$93:$I$93,Inputs!$F$94:$I$94)/Qtrs_Yr)^(COUNT($J$7:AS7))*(AS5-AR5-Inputs!$F$98)/(AS5-AR5)+((Inputs!$F$64*(IF(ROUNDUP(SUM($I$7:AR$7)*AR$7/Qtrs_Yr,0)=0,0,LOOKUP(ROUNDUP(SUM($I$7:AR$7)*AR$7/Qtrs_Yr,0),Inputs!$F$35:$I$35,Inputs!$F$36:$I$36))/Thousand/Qtrs_Yr+IF(ROUNDUP(SUM($I$7:AR$7)*AR$7/Qtrs_Yr,0)=0,0,LOOKUP(ROUNDUP(SUM($I$7:AR$7)*AR$7/Qtrs_Yr,0),Inputs!$F$35:$I$35,Inputs!$F$38:$I$38)*LOOKUP(ROUNDUP(SUM($I$7:AR$7)*AR$7/Qtrs_Yr,0),Inputs!$F$35:$I$35,Inputs!$F$36:$I$36))/Thousand/Qtrs_Yr)+Inputs!$F$65*(IF(ROUNDUP(SUM($I$7:AR$7)*AR$7/Qtrs_Yr,0)=0,0,LOOKUP(ROUNDUP(SUM($I$7:AR$7)*AR$7/Qtrs_Yr,0),Inputs!$F$35:$I$35,Inputs!$F$36:$I$36))/Thousand/Qtrs_Yr)+Inputs!$F$66*(IF(ROUNDUP(SUM($I$7:AR$7)*AR$7/Qtrs_Yr,0)=0,0,LOOKUP(ROUNDUP(SUM($I$7:AR$7)*AR$7/Qtrs_Yr,0),Inputs!$F$35:$I$35,Inputs!$F$38:$I$38)*LOOKUP(ROUNDUP(SUM($I$7:AR$7)*AR$7/Qtrs_Yr,0),Inputs!$F$35:$I$35,Inputs!$F$36:$I$36))/Thousand/Qtrs_Yr))/Thousand+SUM(Inputs!$F$54:$F$61)*AR$7/Qtrs_Yr)*(1+LOOKUP(YEAR(AS$5),Inputs!$F$93:$I$93,Inputs!$F$94:$I$94)/Qtrs_Yr)^(COUNT($I$7:AR7))*Inputs!$F$98/(AR5-AQ5))-(((IF(ROUNDUP(SUM($J$7:AS$7)*AS$7/Qtrs_Yr,0)=0,0,LOOKUP(ROUNDUP(SUM($J$7:AS$7)*AS$7/Qtrs_Yr,0),Inputs!$F$35:$I$35,Inputs!$F$36:$I$36))/Thousand/Qtrs_Yr)*IF(ROUNDUP(SUM($J$7:AS$7)*AS$7/Qtrs_Yr,0)=0,0,LOOKUP(ROUNDUP(SUM($J$7:AS$7)*AS$7/Qtrs_Yr,0),Inputs!$F$41:$I$41,Inputs!$F$42:$I$42))/Grams_Oz*Inputs!$F$45)*LOOKUP(YEAR(AS$5),Inputs!$F$49:$I$49,Inputs!$F$50:$I$50)/Thousand/LOOKUP(YEAR(AS$5),Inputs!$F$89:$I$89,Inputs!$F$90:$I$90)-((Inputs!$F$64*(IF(ROUNDUP(SUM($J$7:AS$7)*AS$7/Qtrs_Yr,0)=0,0,LOOKUP(ROUNDUP(SUM($J$7:AS$7)*AS$7/Qtrs_Yr,0),Inputs!$F$35:$I$35,Inputs!$F$36:$I$36))/Thousand/Qtrs_Yr+IF(ROUNDUP(SUM($J$7:AS$7)*AS$7/Qtrs_Yr,0)=0,0,LOOKUP(ROUNDUP(SUM($J$7:AS$7)*AS$7/Qtrs_Yr,0),Inputs!$F$35:$I$35,Inputs!$F$38:$I$38)*LOOKUP(ROUNDUP(SUM($J$7:AS$7)*AS$7/Qtrs_Yr,0),Inputs!$F$35:$I$35,Inputs!$F$36:$I$36))/Thousand/Qtrs_Yr)+Inputs!$F$65*(IF(ROUNDUP(SUM($J$7:AS$7)*AS$7/Qtrs_Yr,0)=0,0,LOOKUP(ROUNDUP(SUM($J$7:AS$7)*AS$7/Qtrs_Yr,0),Inputs!$F$35:$I$35,Inputs!$F$36:$I$36))/Thousand/Qtrs_Yr)+Inputs!$F$66*(IF(ROUNDUP(SUM($J$7:AS$7)*AS$7/Qtrs_Yr,0)=0,0,LOOKUP(ROUNDUP(SUM($J$7:AS$7)*AS$7/Qtrs_Yr,0),Inputs!$F$35:$I$35,Inputs!$F$38:$I$38)*LOOKUP(ROUNDUP(SUM($J$7:AS$7)*AS$7/Qtrs_Yr,0),Inputs!$F$35:$I$35,Inputs!$F$36:$I$36))/Thousand/Qtrs_Yr))/Thousand+SUM(Inputs!$F$54:$F$61)*AS$7/Qtrs_Yr)*(1+LOOKUP(YEAR(AS$5),Inputs!$F$93:$I$93,Inputs!$F$94:$I$94)/Qtrs_Yr)^(COUNT($J$7:AS7))-Inputs!$E$29*(1+Inputs!$E$31)*AS$7/Inputs!$E$16/Qtrs_Yr-IF(OR(AS$7=0,SUM($J7:AS7)*AS7&gt;Inputs!$F$77*Qtrs_Yr),0,(Inputs!$F$71-SUM($J7:AS7,-1)*AS7*Inputs!$F$71/Inputs!$F$77/Qtrs_Yr)*(LOOKUP(YEAR(AT$5),Inputs!$F$85:$I$85,Inputs!$F$86:$I$86)+LOOKUP(ROUNDUP(SUM($J7:AT7)*AT7/Qtrs_Yr,0),Inputs!$G$73:$J$73,Inputs!$G$74:$J$74))/Qtrs_Yr))*Inputs!$F$101-IF(OR(AS$7=0,SUM($J7:AS7)*AS7&gt;Inputs!$F$77*Qtrs_Yr),0,(Inputs!$F$71-SUM($J7:AS7,-1)*AS7*Inputs!$F$71/Inputs!$F$77/Qtrs_Yr)*(LOOKUP(YEAR(AT$5),Inputs!$F$85:$I$85,Inputs!$F$86:$I$86)+LOOKUP(ROUNDUP(SUM($J7:AT7)*AT7/Qtrs_Yr,0),Inputs!$G$73:$J$73,Inputs!$G$74:$J$74))/Qtrs_Yr)-IF(OR(AS$7=0,SUM($J7:AS7)*AS7&gt;Inputs!$F$77*Qtrs_Yr),0,Inputs!$F$71/Inputs!$F$77/Qtrs_Yr)</f>
        <v>7.994149598419372</v>
      </c>
      <c r="AT11" s="28">
        <f>(((IF(ROUNDUP(SUM($J$7:AT$7)*AT$7/Qtrs_Yr,0)=0,0,LOOKUP(ROUNDUP(SUM($J$7:AT$7)*AT$7/Qtrs_Yr,0),Inputs!$F$35:$I$35,Inputs!$F$36:$I$36))/Thousand/Qtrs_Yr)*IF(ROUNDUP(SUM($J$7:AT$7)*AT$7/Qtrs_Yr,0)=0,0,LOOKUP(ROUNDUP(SUM($J$7:AT$7)*AT$7/Qtrs_Yr,0),Inputs!$F$41:$I$41,Inputs!$F$42:$I$42))/Grams_Oz*Inputs!$F$45)*LOOKUP(YEAR(AT$5),Inputs!$F$49:$I$49,Inputs!$F$50:$I$50)/Thousand/LOOKUP(YEAR(AT$5),Inputs!$F$89:$I$89,Inputs!$F$90:$I$90)*(AT5-AS5-Inputs!$F$97)/(AT5-AS5)+((IF(ROUNDUP(SUM($I$7:AS$7)*AS$7/Qtrs_Yr,0)=0,0,LOOKUP(ROUNDUP(SUM($I$7:AS$7)*AS$7/Qtrs_Yr,0),Inputs!$F$35:$I$35,Inputs!$F$36:$I$36))/Thousand/Qtrs_Yr)*IF(ROUNDUP(SUM($I$7:AS$7)*AS$7/Qtrs_Yr,0)=0,0,LOOKUP(ROUNDUP(SUM($I$7:AS$7)*AS$7/Qtrs_Yr,0),Inputs!$F$41:$I$41,Inputs!$F$42:$I$42))/Grams_Oz*Inputs!$F$45)*LOOKUP(YEAR(AS$5),Inputs!$F$49:$I$49,Inputs!$F$50:$I$50)/Thousand/LOOKUP(YEAR(AS$5),Inputs!$F$89:$I$89,Inputs!$F$90:$I$90)*Inputs!$F$97/(AS5-AR5))-(((Inputs!$F$64*(IF(ROUNDUP(SUM($J$7:AT$7)*AT$7/Qtrs_Yr,0)=0,0,LOOKUP(ROUNDUP(SUM($J$7:AT$7)*AT$7/Qtrs_Yr,0),Inputs!$F$35:$I$35,Inputs!$F$36:$I$36))/Thousand/Qtrs_Yr+IF(ROUNDUP(SUM($J$7:AT$7)*AT$7/Qtrs_Yr,0)=0,0,LOOKUP(ROUNDUP(SUM($J$7:AT$7)*AT$7/Qtrs_Yr,0),Inputs!$F$35:$I$35,Inputs!$F$38:$I$38)*LOOKUP(ROUNDUP(SUM($J$7:AT$7)*AT$7/Qtrs_Yr,0),Inputs!$F$35:$I$35,Inputs!$F$36:$I$36))/Thousand/Qtrs_Yr)+Inputs!$F$65*(IF(ROUNDUP(SUM($J$7:AT$7)*AT$7/Qtrs_Yr,0)=0,0,LOOKUP(ROUNDUP(SUM($J$7:AT$7)*AT$7/Qtrs_Yr,0),Inputs!$F$35:$I$35,Inputs!$F$36:$I$36))/Thousand/Qtrs_Yr)+Inputs!$F$66*(IF(ROUNDUP(SUM($J$7:AT$7)*AT$7/Qtrs_Yr,0)=0,0,LOOKUP(ROUNDUP(SUM($J$7:AT$7)*AT$7/Qtrs_Yr,0),Inputs!$F$35:$I$35,Inputs!$F$38:$I$38)*LOOKUP(ROUNDUP(SUM($J$7:AT$7)*AT$7/Qtrs_Yr,0),Inputs!$F$35:$I$35,Inputs!$F$36:$I$36))/Thousand/Qtrs_Yr))/Thousand+SUM(Inputs!$F$54:$F$61)*AT$7/Qtrs_Yr)*(1+LOOKUP(YEAR(AT$5),Inputs!$F$93:$I$93,Inputs!$F$94:$I$94)/Qtrs_Yr)^(COUNT($J$7:AT7))*(AT5-AS5-Inputs!$F$98)/(AT5-AS5)+((Inputs!$F$64*(IF(ROUNDUP(SUM($I$7:AS$7)*AS$7/Qtrs_Yr,0)=0,0,LOOKUP(ROUNDUP(SUM($I$7:AS$7)*AS$7/Qtrs_Yr,0),Inputs!$F$35:$I$35,Inputs!$F$36:$I$36))/Thousand/Qtrs_Yr+IF(ROUNDUP(SUM($I$7:AS$7)*AS$7/Qtrs_Yr,0)=0,0,LOOKUP(ROUNDUP(SUM($I$7:AS$7)*AS$7/Qtrs_Yr,0),Inputs!$F$35:$I$35,Inputs!$F$38:$I$38)*LOOKUP(ROUNDUP(SUM($I$7:AS$7)*AS$7/Qtrs_Yr,0),Inputs!$F$35:$I$35,Inputs!$F$36:$I$36))/Thousand/Qtrs_Yr)+Inputs!$F$65*(IF(ROUNDUP(SUM($I$7:AS$7)*AS$7/Qtrs_Yr,0)=0,0,LOOKUP(ROUNDUP(SUM($I$7:AS$7)*AS$7/Qtrs_Yr,0),Inputs!$F$35:$I$35,Inputs!$F$36:$I$36))/Thousand/Qtrs_Yr)+Inputs!$F$66*(IF(ROUNDUP(SUM($I$7:AS$7)*AS$7/Qtrs_Yr,0)=0,0,LOOKUP(ROUNDUP(SUM($I$7:AS$7)*AS$7/Qtrs_Yr,0),Inputs!$F$35:$I$35,Inputs!$F$38:$I$38)*LOOKUP(ROUNDUP(SUM($I$7:AS$7)*AS$7/Qtrs_Yr,0),Inputs!$F$35:$I$35,Inputs!$F$36:$I$36))/Thousand/Qtrs_Yr))/Thousand+SUM(Inputs!$F$54:$F$61)*AS$7/Qtrs_Yr)*(1+LOOKUP(YEAR(AT$5),Inputs!$F$93:$I$93,Inputs!$F$94:$I$94)/Qtrs_Yr)^(COUNT($I$7:AS7))*Inputs!$F$98/(AS5-AR5))-(((IF(ROUNDUP(SUM($J$7:AT$7)*AT$7/Qtrs_Yr,0)=0,0,LOOKUP(ROUNDUP(SUM($J$7:AT$7)*AT$7/Qtrs_Yr,0),Inputs!$F$35:$I$35,Inputs!$F$36:$I$36))/Thousand/Qtrs_Yr)*IF(ROUNDUP(SUM($J$7:AT$7)*AT$7/Qtrs_Yr,0)=0,0,LOOKUP(ROUNDUP(SUM($J$7:AT$7)*AT$7/Qtrs_Yr,0),Inputs!$F$41:$I$41,Inputs!$F$42:$I$42))/Grams_Oz*Inputs!$F$45)*LOOKUP(YEAR(AT$5),Inputs!$F$49:$I$49,Inputs!$F$50:$I$50)/Thousand/LOOKUP(YEAR(AT$5),Inputs!$F$89:$I$89,Inputs!$F$90:$I$90)-((Inputs!$F$64*(IF(ROUNDUP(SUM($J$7:AT$7)*AT$7/Qtrs_Yr,0)=0,0,LOOKUP(ROUNDUP(SUM($J$7:AT$7)*AT$7/Qtrs_Yr,0),Inputs!$F$35:$I$35,Inputs!$F$36:$I$36))/Thousand/Qtrs_Yr+IF(ROUNDUP(SUM($J$7:AT$7)*AT$7/Qtrs_Yr,0)=0,0,LOOKUP(ROUNDUP(SUM($J$7:AT$7)*AT$7/Qtrs_Yr,0),Inputs!$F$35:$I$35,Inputs!$F$38:$I$38)*LOOKUP(ROUNDUP(SUM($J$7:AT$7)*AT$7/Qtrs_Yr,0),Inputs!$F$35:$I$35,Inputs!$F$36:$I$36))/Thousand/Qtrs_Yr)+Inputs!$F$65*(IF(ROUNDUP(SUM($J$7:AT$7)*AT$7/Qtrs_Yr,0)=0,0,LOOKUP(ROUNDUP(SUM($J$7:AT$7)*AT$7/Qtrs_Yr,0),Inputs!$F$35:$I$35,Inputs!$F$36:$I$36))/Thousand/Qtrs_Yr)+Inputs!$F$66*(IF(ROUNDUP(SUM($J$7:AT$7)*AT$7/Qtrs_Yr,0)=0,0,LOOKUP(ROUNDUP(SUM($J$7:AT$7)*AT$7/Qtrs_Yr,0),Inputs!$F$35:$I$35,Inputs!$F$38:$I$38)*LOOKUP(ROUNDUP(SUM($J$7:AT$7)*AT$7/Qtrs_Yr,0),Inputs!$F$35:$I$35,Inputs!$F$36:$I$36))/Thousand/Qtrs_Yr))/Thousand+SUM(Inputs!$F$54:$F$61)*AT$7/Qtrs_Yr)*(1+LOOKUP(YEAR(AT$5),Inputs!$F$93:$I$93,Inputs!$F$94:$I$94)/Qtrs_Yr)^(COUNT($J$7:AT7))-Inputs!$E$29*(1+Inputs!$E$31)*AT$7/Inputs!$E$16/Qtrs_Yr-IF(OR(AT$7=0,SUM($J7:AT7)*AT7&gt;Inputs!$F$77*Qtrs_Yr),0,(Inputs!$F$71-SUM($J7:AT7,-1)*AT7*Inputs!$F$71/Inputs!$F$77/Qtrs_Yr)*(LOOKUP(YEAR(AU$5),Inputs!$F$85:$I$85,Inputs!$F$86:$I$86)+LOOKUP(ROUNDUP(SUM($J7:AU7)*AU7/Qtrs_Yr,0),Inputs!$G$73:$J$73,Inputs!$G$74:$J$74))/Qtrs_Yr))*Inputs!$F$101-IF(OR(AT$7=0,SUM($J7:AT7)*AT7&gt;Inputs!$F$77*Qtrs_Yr),0,(Inputs!$F$71-SUM($J7:AT7,-1)*AT7*Inputs!$F$71/Inputs!$F$77/Qtrs_Yr)*(LOOKUP(YEAR(AU$5),Inputs!$F$85:$I$85,Inputs!$F$86:$I$86)+LOOKUP(ROUNDUP(SUM($J7:AU7)*AU7/Qtrs_Yr,0),Inputs!$G$73:$J$73,Inputs!$G$74:$J$74))/Qtrs_Yr)-IF(OR(AT$7=0,SUM($J7:AT7)*AT7&gt;Inputs!$F$77*Qtrs_Yr),0,Inputs!$F$71/Inputs!$F$77/Qtrs_Yr)</f>
        <v>7.9005885071789823</v>
      </c>
      <c r="AU11" s="28">
        <f>(((IF(ROUNDUP(SUM($J$7:AU$7)*AU$7/Qtrs_Yr,0)=0,0,LOOKUP(ROUNDUP(SUM($J$7:AU$7)*AU$7/Qtrs_Yr,0),Inputs!$F$35:$I$35,Inputs!$F$36:$I$36))/Thousand/Qtrs_Yr)*IF(ROUNDUP(SUM($J$7:AU$7)*AU$7/Qtrs_Yr,0)=0,0,LOOKUP(ROUNDUP(SUM($J$7:AU$7)*AU$7/Qtrs_Yr,0),Inputs!$F$41:$I$41,Inputs!$F$42:$I$42))/Grams_Oz*Inputs!$F$45)*LOOKUP(YEAR(AU$5),Inputs!$F$49:$I$49,Inputs!$F$50:$I$50)/Thousand/LOOKUP(YEAR(AU$5),Inputs!$F$89:$I$89,Inputs!$F$90:$I$90)*(AU5-AT5-Inputs!$F$97)/(AU5-AT5)+((IF(ROUNDUP(SUM($I$7:AT$7)*AT$7/Qtrs_Yr,0)=0,0,LOOKUP(ROUNDUP(SUM($I$7:AT$7)*AT$7/Qtrs_Yr,0),Inputs!$F$35:$I$35,Inputs!$F$36:$I$36))/Thousand/Qtrs_Yr)*IF(ROUNDUP(SUM($I$7:AT$7)*AT$7/Qtrs_Yr,0)=0,0,LOOKUP(ROUNDUP(SUM($I$7:AT$7)*AT$7/Qtrs_Yr,0),Inputs!$F$41:$I$41,Inputs!$F$42:$I$42))/Grams_Oz*Inputs!$F$45)*LOOKUP(YEAR(AT$5),Inputs!$F$49:$I$49,Inputs!$F$50:$I$50)/Thousand/LOOKUP(YEAR(AT$5),Inputs!$F$89:$I$89,Inputs!$F$90:$I$90)*Inputs!$F$97/(AT5-AS5))-(((Inputs!$F$64*(IF(ROUNDUP(SUM($J$7:AU$7)*AU$7/Qtrs_Yr,0)=0,0,LOOKUP(ROUNDUP(SUM($J$7:AU$7)*AU$7/Qtrs_Yr,0),Inputs!$F$35:$I$35,Inputs!$F$36:$I$36))/Thousand/Qtrs_Yr+IF(ROUNDUP(SUM($J$7:AU$7)*AU$7/Qtrs_Yr,0)=0,0,LOOKUP(ROUNDUP(SUM($J$7:AU$7)*AU$7/Qtrs_Yr,0),Inputs!$F$35:$I$35,Inputs!$F$38:$I$38)*LOOKUP(ROUNDUP(SUM($J$7:AU$7)*AU$7/Qtrs_Yr,0),Inputs!$F$35:$I$35,Inputs!$F$36:$I$36))/Thousand/Qtrs_Yr)+Inputs!$F$65*(IF(ROUNDUP(SUM($J$7:AU$7)*AU$7/Qtrs_Yr,0)=0,0,LOOKUP(ROUNDUP(SUM($J$7:AU$7)*AU$7/Qtrs_Yr,0),Inputs!$F$35:$I$35,Inputs!$F$36:$I$36))/Thousand/Qtrs_Yr)+Inputs!$F$66*(IF(ROUNDUP(SUM($J$7:AU$7)*AU$7/Qtrs_Yr,0)=0,0,LOOKUP(ROUNDUP(SUM($J$7:AU$7)*AU$7/Qtrs_Yr,0),Inputs!$F$35:$I$35,Inputs!$F$38:$I$38)*LOOKUP(ROUNDUP(SUM($J$7:AU$7)*AU$7/Qtrs_Yr,0),Inputs!$F$35:$I$35,Inputs!$F$36:$I$36))/Thousand/Qtrs_Yr))/Thousand+SUM(Inputs!$F$54:$F$61)*AU$7/Qtrs_Yr)*(1+LOOKUP(YEAR(AU$5),Inputs!$F$93:$I$93,Inputs!$F$94:$I$94)/Qtrs_Yr)^(COUNT($J$7:AU7))*(AU5-AT5-Inputs!$F$98)/(AU5-AT5)+((Inputs!$F$64*(IF(ROUNDUP(SUM($I$7:AT$7)*AT$7/Qtrs_Yr,0)=0,0,LOOKUP(ROUNDUP(SUM($I$7:AT$7)*AT$7/Qtrs_Yr,0),Inputs!$F$35:$I$35,Inputs!$F$36:$I$36))/Thousand/Qtrs_Yr+IF(ROUNDUP(SUM($I$7:AT$7)*AT$7/Qtrs_Yr,0)=0,0,LOOKUP(ROUNDUP(SUM($I$7:AT$7)*AT$7/Qtrs_Yr,0),Inputs!$F$35:$I$35,Inputs!$F$38:$I$38)*LOOKUP(ROUNDUP(SUM($I$7:AT$7)*AT$7/Qtrs_Yr,0),Inputs!$F$35:$I$35,Inputs!$F$36:$I$36))/Thousand/Qtrs_Yr)+Inputs!$F$65*(IF(ROUNDUP(SUM($I$7:AT$7)*AT$7/Qtrs_Yr,0)=0,0,LOOKUP(ROUNDUP(SUM($I$7:AT$7)*AT$7/Qtrs_Yr,0),Inputs!$F$35:$I$35,Inputs!$F$36:$I$36))/Thousand/Qtrs_Yr)+Inputs!$F$66*(IF(ROUNDUP(SUM($I$7:AT$7)*AT$7/Qtrs_Yr,0)=0,0,LOOKUP(ROUNDUP(SUM($I$7:AT$7)*AT$7/Qtrs_Yr,0),Inputs!$F$35:$I$35,Inputs!$F$38:$I$38)*LOOKUP(ROUNDUP(SUM($I$7:AT$7)*AT$7/Qtrs_Yr,0),Inputs!$F$35:$I$35,Inputs!$F$36:$I$36))/Thousand/Qtrs_Yr))/Thousand+SUM(Inputs!$F$54:$F$61)*AT$7/Qtrs_Yr)*(1+LOOKUP(YEAR(AU$5),Inputs!$F$93:$I$93,Inputs!$F$94:$I$94)/Qtrs_Yr)^(COUNT($I$7:AT7))*Inputs!$F$98/(AT5-AS5))-(((IF(ROUNDUP(SUM($J$7:AU$7)*AU$7/Qtrs_Yr,0)=0,0,LOOKUP(ROUNDUP(SUM($J$7:AU$7)*AU$7/Qtrs_Yr,0),Inputs!$F$35:$I$35,Inputs!$F$36:$I$36))/Thousand/Qtrs_Yr)*IF(ROUNDUP(SUM($J$7:AU$7)*AU$7/Qtrs_Yr,0)=0,0,LOOKUP(ROUNDUP(SUM($J$7:AU$7)*AU$7/Qtrs_Yr,0),Inputs!$F$41:$I$41,Inputs!$F$42:$I$42))/Grams_Oz*Inputs!$F$45)*LOOKUP(YEAR(AU$5),Inputs!$F$49:$I$49,Inputs!$F$50:$I$50)/Thousand/LOOKUP(YEAR(AU$5),Inputs!$F$89:$I$89,Inputs!$F$90:$I$90)-((Inputs!$F$64*(IF(ROUNDUP(SUM($J$7:AU$7)*AU$7/Qtrs_Yr,0)=0,0,LOOKUP(ROUNDUP(SUM($J$7:AU$7)*AU$7/Qtrs_Yr,0),Inputs!$F$35:$I$35,Inputs!$F$36:$I$36))/Thousand/Qtrs_Yr+IF(ROUNDUP(SUM($J$7:AU$7)*AU$7/Qtrs_Yr,0)=0,0,LOOKUP(ROUNDUP(SUM($J$7:AU$7)*AU$7/Qtrs_Yr,0),Inputs!$F$35:$I$35,Inputs!$F$38:$I$38)*LOOKUP(ROUNDUP(SUM($J$7:AU$7)*AU$7/Qtrs_Yr,0),Inputs!$F$35:$I$35,Inputs!$F$36:$I$36))/Thousand/Qtrs_Yr)+Inputs!$F$65*(IF(ROUNDUP(SUM($J$7:AU$7)*AU$7/Qtrs_Yr,0)=0,0,LOOKUP(ROUNDUP(SUM($J$7:AU$7)*AU$7/Qtrs_Yr,0),Inputs!$F$35:$I$35,Inputs!$F$36:$I$36))/Thousand/Qtrs_Yr)+Inputs!$F$66*(IF(ROUNDUP(SUM($J$7:AU$7)*AU$7/Qtrs_Yr,0)=0,0,LOOKUP(ROUNDUP(SUM($J$7:AU$7)*AU$7/Qtrs_Yr,0),Inputs!$F$35:$I$35,Inputs!$F$38:$I$38)*LOOKUP(ROUNDUP(SUM($J$7:AU$7)*AU$7/Qtrs_Yr,0),Inputs!$F$35:$I$35,Inputs!$F$36:$I$36))/Thousand/Qtrs_Yr))/Thousand+SUM(Inputs!$F$54:$F$61)*AU$7/Qtrs_Yr)*(1+LOOKUP(YEAR(AU$5),Inputs!$F$93:$I$93,Inputs!$F$94:$I$94)/Qtrs_Yr)^(COUNT($J$7:AU7))-Inputs!$E$29*(1+Inputs!$E$31)*AU$7/Inputs!$E$16/Qtrs_Yr-IF(OR(AU$7=0,SUM($J7:AU7)*AU7&gt;Inputs!$F$77*Qtrs_Yr),0,(Inputs!$F$71-SUM($J7:AU7,-1)*AU7*Inputs!$F$71/Inputs!$F$77/Qtrs_Yr)*(LOOKUP(YEAR(AV$5),Inputs!$F$85:$I$85,Inputs!$F$86:$I$86)+LOOKUP(ROUNDUP(SUM($J7:AV7)*AV7/Qtrs_Yr,0),Inputs!$G$73:$J$73,Inputs!$G$74:$J$74))/Qtrs_Yr))*Inputs!$F$101-IF(OR(AU$7=0,SUM($J7:AU7)*AU7&gt;Inputs!$F$77*Qtrs_Yr),0,(Inputs!$F$71-SUM($J7:AU7,-1)*AU7*Inputs!$F$71/Inputs!$F$77/Qtrs_Yr)*(LOOKUP(YEAR(AV$5),Inputs!$F$85:$I$85,Inputs!$F$86:$I$86)+LOOKUP(ROUNDUP(SUM($J7:AV7)*AV7/Qtrs_Yr,0),Inputs!$G$73:$J$73,Inputs!$G$74:$J$74))/Qtrs_Yr)-IF(OR(AU$7=0,SUM($J7:AU7)*AU7&gt;Inputs!$F$77*Qtrs_Yr),0,Inputs!$F$71/Inputs!$F$77/Qtrs_Yr)</f>
        <v>7.8320438097045653</v>
      </c>
      <c r="AV11" s="28">
        <f>(((IF(ROUNDUP(SUM($J$7:AV$7)*AV$7/Qtrs_Yr,0)=0,0,LOOKUP(ROUNDUP(SUM($J$7:AV$7)*AV$7/Qtrs_Yr,0),Inputs!$F$35:$I$35,Inputs!$F$36:$I$36))/Thousand/Qtrs_Yr)*IF(ROUNDUP(SUM($J$7:AV$7)*AV$7/Qtrs_Yr,0)=0,0,LOOKUP(ROUNDUP(SUM($J$7:AV$7)*AV$7/Qtrs_Yr,0),Inputs!$F$41:$I$41,Inputs!$F$42:$I$42))/Grams_Oz*Inputs!$F$45)*LOOKUP(YEAR(AV$5),Inputs!$F$49:$I$49,Inputs!$F$50:$I$50)/Thousand/LOOKUP(YEAR(AV$5),Inputs!$F$89:$I$89,Inputs!$F$90:$I$90)*(AV5-AU5-Inputs!$F$97)/(AV5-AU5)+((IF(ROUNDUP(SUM($I$7:AU$7)*AU$7/Qtrs_Yr,0)=0,0,LOOKUP(ROUNDUP(SUM($I$7:AU$7)*AU$7/Qtrs_Yr,0),Inputs!$F$35:$I$35,Inputs!$F$36:$I$36))/Thousand/Qtrs_Yr)*IF(ROUNDUP(SUM($I$7:AU$7)*AU$7/Qtrs_Yr,0)=0,0,LOOKUP(ROUNDUP(SUM($I$7:AU$7)*AU$7/Qtrs_Yr,0),Inputs!$F$41:$I$41,Inputs!$F$42:$I$42))/Grams_Oz*Inputs!$F$45)*LOOKUP(YEAR(AU$5),Inputs!$F$49:$I$49,Inputs!$F$50:$I$50)/Thousand/LOOKUP(YEAR(AU$5),Inputs!$F$89:$I$89,Inputs!$F$90:$I$90)*Inputs!$F$97/(AU5-AT5))-(((Inputs!$F$64*(IF(ROUNDUP(SUM($J$7:AV$7)*AV$7/Qtrs_Yr,0)=0,0,LOOKUP(ROUNDUP(SUM($J$7:AV$7)*AV$7/Qtrs_Yr,0),Inputs!$F$35:$I$35,Inputs!$F$36:$I$36))/Thousand/Qtrs_Yr+IF(ROUNDUP(SUM($J$7:AV$7)*AV$7/Qtrs_Yr,0)=0,0,LOOKUP(ROUNDUP(SUM($J$7:AV$7)*AV$7/Qtrs_Yr,0),Inputs!$F$35:$I$35,Inputs!$F$38:$I$38)*LOOKUP(ROUNDUP(SUM($J$7:AV$7)*AV$7/Qtrs_Yr,0),Inputs!$F$35:$I$35,Inputs!$F$36:$I$36))/Thousand/Qtrs_Yr)+Inputs!$F$65*(IF(ROUNDUP(SUM($J$7:AV$7)*AV$7/Qtrs_Yr,0)=0,0,LOOKUP(ROUNDUP(SUM($J$7:AV$7)*AV$7/Qtrs_Yr,0),Inputs!$F$35:$I$35,Inputs!$F$36:$I$36))/Thousand/Qtrs_Yr)+Inputs!$F$66*(IF(ROUNDUP(SUM($J$7:AV$7)*AV$7/Qtrs_Yr,0)=0,0,LOOKUP(ROUNDUP(SUM($J$7:AV$7)*AV$7/Qtrs_Yr,0),Inputs!$F$35:$I$35,Inputs!$F$38:$I$38)*LOOKUP(ROUNDUP(SUM($J$7:AV$7)*AV$7/Qtrs_Yr,0),Inputs!$F$35:$I$35,Inputs!$F$36:$I$36))/Thousand/Qtrs_Yr))/Thousand+SUM(Inputs!$F$54:$F$61)*AV$7/Qtrs_Yr)*(1+LOOKUP(YEAR(AV$5),Inputs!$F$93:$I$93,Inputs!$F$94:$I$94)/Qtrs_Yr)^(COUNT($J$7:AV7))*(AV5-AU5-Inputs!$F$98)/(AV5-AU5)+((Inputs!$F$64*(IF(ROUNDUP(SUM($I$7:AU$7)*AU$7/Qtrs_Yr,0)=0,0,LOOKUP(ROUNDUP(SUM($I$7:AU$7)*AU$7/Qtrs_Yr,0),Inputs!$F$35:$I$35,Inputs!$F$36:$I$36))/Thousand/Qtrs_Yr+IF(ROUNDUP(SUM($I$7:AU$7)*AU$7/Qtrs_Yr,0)=0,0,LOOKUP(ROUNDUP(SUM($I$7:AU$7)*AU$7/Qtrs_Yr,0),Inputs!$F$35:$I$35,Inputs!$F$38:$I$38)*LOOKUP(ROUNDUP(SUM($I$7:AU$7)*AU$7/Qtrs_Yr,0),Inputs!$F$35:$I$35,Inputs!$F$36:$I$36))/Thousand/Qtrs_Yr)+Inputs!$F$65*(IF(ROUNDUP(SUM($I$7:AU$7)*AU$7/Qtrs_Yr,0)=0,0,LOOKUP(ROUNDUP(SUM($I$7:AU$7)*AU$7/Qtrs_Yr,0),Inputs!$F$35:$I$35,Inputs!$F$36:$I$36))/Thousand/Qtrs_Yr)+Inputs!$F$66*(IF(ROUNDUP(SUM($I$7:AU$7)*AU$7/Qtrs_Yr,0)=0,0,LOOKUP(ROUNDUP(SUM($I$7:AU$7)*AU$7/Qtrs_Yr,0),Inputs!$F$35:$I$35,Inputs!$F$38:$I$38)*LOOKUP(ROUNDUP(SUM($I$7:AU$7)*AU$7/Qtrs_Yr,0),Inputs!$F$35:$I$35,Inputs!$F$36:$I$36))/Thousand/Qtrs_Yr))/Thousand+SUM(Inputs!$F$54:$F$61)*AU$7/Qtrs_Yr)*(1+LOOKUP(YEAR(AV$5),Inputs!$F$93:$I$93,Inputs!$F$94:$I$94)/Qtrs_Yr)^(COUNT($I$7:AU7))*Inputs!$F$98/(AU5-AT5))-(((IF(ROUNDUP(SUM($J$7:AV$7)*AV$7/Qtrs_Yr,0)=0,0,LOOKUP(ROUNDUP(SUM($J$7:AV$7)*AV$7/Qtrs_Yr,0),Inputs!$F$35:$I$35,Inputs!$F$36:$I$36))/Thousand/Qtrs_Yr)*IF(ROUNDUP(SUM($J$7:AV$7)*AV$7/Qtrs_Yr,0)=0,0,LOOKUP(ROUNDUP(SUM($J$7:AV$7)*AV$7/Qtrs_Yr,0),Inputs!$F$41:$I$41,Inputs!$F$42:$I$42))/Grams_Oz*Inputs!$F$45)*LOOKUP(YEAR(AV$5),Inputs!$F$49:$I$49,Inputs!$F$50:$I$50)/Thousand/LOOKUP(YEAR(AV$5),Inputs!$F$89:$I$89,Inputs!$F$90:$I$90)-((Inputs!$F$64*(IF(ROUNDUP(SUM($J$7:AV$7)*AV$7/Qtrs_Yr,0)=0,0,LOOKUP(ROUNDUP(SUM($J$7:AV$7)*AV$7/Qtrs_Yr,0),Inputs!$F$35:$I$35,Inputs!$F$36:$I$36))/Thousand/Qtrs_Yr+IF(ROUNDUP(SUM($J$7:AV$7)*AV$7/Qtrs_Yr,0)=0,0,LOOKUP(ROUNDUP(SUM($J$7:AV$7)*AV$7/Qtrs_Yr,0),Inputs!$F$35:$I$35,Inputs!$F$38:$I$38)*LOOKUP(ROUNDUP(SUM($J$7:AV$7)*AV$7/Qtrs_Yr,0),Inputs!$F$35:$I$35,Inputs!$F$36:$I$36))/Thousand/Qtrs_Yr)+Inputs!$F$65*(IF(ROUNDUP(SUM($J$7:AV$7)*AV$7/Qtrs_Yr,0)=0,0,LOOKUP(ROUNDUP(SUM($J$7:AV$7)*AV$7/Qtrs_Yr,0),Inputs!$F$35:$I$35,Inputs!$F$36:$I$36))/Thousand/Qtrs_Yr)+Inputs!$F$66*(IF(ROUNDUP(SUM($J$7:AV$7)*AV$7/Qtrs_Yr,0)=0,0,LOOKUP(ROUNDUP(SUM($J$7:AV$7)*AV$7/Qtrs_Yr,0),Inputs!$F$35:$I$35,Inputs!$F$38:$I$38)*LOOKUP(ROUNDUP(SUM($J$7:AV$7)*AV$7/Qtrs_Yr,0),Inputs!$F$35:$I$35,Inputs!$F$36:$I$36))/Thousand/Qtrs_Yr))/Thousand+SUM(Inputs!$F$54:$F$61)*AV$7/Qtrs_Yr)*(1+LOOKUP(YEAR(AV$5),Inputs!$F$93:$I$93,Inputs!$F$94:$I$94)/Qtrs_Yr)^(COUNT($J$7:AV7))-Inputs!$E$29*(1+Inputs!$E$31)*AV$7/Inputs!$E$16/Qtrs_Yr-IF(OR(AV$7=0,SUM($J7:AV7)*AV7&gt;Inputs!$F$77*Qtrs_Yr),0,(Inputs!$F$71-SUM($J7:AV7,-1)*AV7*Inputs!$F$71/Inputs!$F$77/Qtrs_Yr)*(LOOKUP(YEAR(AW$5),Inputs!$F$85:$I$85,Inputs!$F$86:$I$86)+LOOKUP(ROUNDUP(SUM($J7:AW7)*AW7/Qtrs_Yr,0),Inputs!$G$73:$J$73,Inputs!$G$74:$J$74))/Qtrs_Yr))*Inputs!$F$101-IF(OR(AV$7=0,SUM($J7:AV7)*AV7&gt;Inputs!$F$77*Qtrs_Yr),0,(Inputs!$F$71-SUM($J7:AV7,-1)*AV7*Inputs!$F$71/Inputs!$F$77/Qtrs_Yr)*(LOOKUP(YEAR(AW$5),Inputs!$F$85:$I$85,Inputs!$F$86:$I$86)+LOOKUP(ROUNDUP(SUM($J7:AW7)*AW7/Qtrs_Yr,0),Inputs!$G$73:$J$73,Inputs!$G$74:$J$74))/Qtrs_Yr)-IF(OR(AV$7=0,SUM($J7:AV7)*AV7&gt;Inputs!$F$77*Qtrs_Yr),0,Inputs!$F$71/Inputs!$F$77/Qtrs_Yr)</f>
        <v>7.7463060088459992</v>
      </c>
      <c r="AW11" s="28">
        <f>(((IF(ROUNDUP(SUM($J$7:AW$7)*AW$7/Qtrs_Yr,0)=0,0,LOOKUP(ROUNDUP(SUM($J$7:AW$7)*AW$7/Qtrs_Yr,0),Inputs!$F$35:$I$35,Inputs!$F$36:$I$36))/Thousand/Qtrs_Yr)*IF(ROUNDUP(SUM($J$7:AW$7)*AW$7/Qtrs_Yr,0)=0,0,LOOKUP(ROUNDUP(SUM($J$7:AW$7)*AW$7/Qtrs_Yr,0),Inputs!$F$41:$I$41,Inputs!$F$42:$I$42))/Grams_Oz*Inputs!$F$45)*LOOKUP(YEAR(AW$5),Inputs!$F$49:$I$49,Inputs!$F$50:$I$50)/Thousand/LOOKUP(YEAR(AW$5),Inputs!$F$89:$I$89,Inputs!$F$90:$I$90)*(AW5-AV5-Inputs!$F$97)/(AW5-AV5)+((IF(ROUNDUP(SUM($I$7:AV$7)*AV$7/Qtrs_Yr,0)=0,0,LOOKUP(ROUNDUP(SUM($I$7:AV$7)*AV$7/Qtrs_Yr,0),Inputs!$F$35:$I$35,Inputs!$F$36:$I$36))/Thousand/Qtrs_Yr)*IF(ROUNDUP(SUM($I$7:AV$7)*AV$7/Qtrs_Yr,0)=0,0,LOOKUP(ROUNDUP(SUM($I$7:AV$7)*AV$7/Qtrs_Yr,0),Inputs!$F$41:$I$41,Inputs!$F$42:$I$42))/Grams_Oz*Inputs!$F$45)*LOOKUP(YEAR(AV$5),Inputs!$F$49:$I$49,Inputs!$F$50:$I$50)/Thousand/LOOKUP(YEAR(AV$5),Inputs!$F$89:$I$89,Inputs!$F$90:$I$90)*Inputs!$F$97/(AV5-AU5))-(((Inputs!$F$64*(IF(ROUNDUP(SUM($J$7:AW$7)*AW$7/Qtrs_Yr,0)=0,0,LOOKUP(ROUNDUP(SUM($J$7:AW$7)*AW$7/Qtrs_Yr,0),Inputs!$F$35:$I$35,Inputs!$F$36:$I$36))/Thousand/Qtrs_Yr+IF(ROUNDUP(SUM($J$7:AW$7)*AW$7/Qtrs_Yr,0)=0,0,LOOKUP(ROUNDUP(SUM($J$7:AW$7)*AW$7/Qtrs_Yr,0),Inputs!$F$35:$I$35,Inputs!$F$38:$I$38)*LOOKUP(ROUNDUP(SUM($J$7:AW$7)*AW$7/Qtrs_Yr,0),Inputs!$F$35:$I$35,Inputs!$F$36:$I$36))/Thousand/Qtrs_Yr)+Inputs!$F$65*(IF(ROUNDUP(SUM($J$7:AW$7)*AW$7/Qtrs_Yr,0)=0,0,LOOKUP(ROUNDUP(SUM($J$7:AW$7)*AW$7/Qtrs_Yr,0),Inputs!$F$35:$I$35,Inputs!$F$36:$I$36))/Thousand/Qtrs_Yr)+Inputs!$F$66*(IF(ROUNDUP(SUM($J$7:AW$7)*AW$7/Qtrs_Yr,0)=0,0,LOOKUP(ROUNDUP(SUM($J$7:AW$7)*AW$7/Qtrs_Yr,0),Inputs!$F$35:$I$35,Inputs!$F$38:$I$38)*LOOKUP(ROUNDUP(SUM($J$7:AW$7)*AW$7/Qtrs_Yr,0),Inputs!$F$35:$I$35,Inputs!$F$36:$I$36))/Thousand/Qtrs_Yr))/Thousand+SUM(Inputs!$F$54:$F$61)*AW$7/Qtrs_Yr)*(1+LOOKUP(YEAR(AW$5),Inputs!$F$93:$I$93,Inputs!$F$94:$I$94)/Qtrs_Yr)^(COUNT($J$7:AW7))*(AW5-AV5-Inputs!$F$98)/(AW5-AV5)+((Inputs!$F$64*(IF(ROUNDUP(SUM($I$7:AV$7)*AV$7/Qtrs_Yr,0)=0,0,LOOKUP(ROUNDUP(SUM($I$7:AV$7)*AV$7/Qtrs_Yr,0),Inputs!$F$35:$I$35,Inputs!$F$36:$I$36))/Thousand/Qtrs_Yr+IF(ROUNDUP(SUM($I$7:AV$7)*AV$7/Qtrs_Yr,0)=0,0,LOOKUP(ROUNDUP(SUM($I$7:AV$7)*AV$7/Qtrs_Yr,0),Inputs!$F$35:$I$35,Inputs!$F$38:$I$38)*LOOKUP(ROUNDUP(SUM($I$7:AV$7)*AV$7/Qtrs_Yr,0),Inputs!$F$35:$I$35,Inputs!$F$36:$I$36))/Thousand/Qtrs_Yr)+Inputs!$F$65*(IF(ROUNDUP(SUM($I$7:AV$7)*AV$7/Qtrs_Yr,0)=0,0,LOOKUP(ROUNDUP(SUM($I$7:AV$7)*AV$7/Qtrs_Yr,0),Inputs!$F$35:$I$35,Inputs!$F$36:$I$36))/Thousand/Qtrs_Yr)+Inputs!$F$66*(IF(ROUNDUP(SUM($I$7:AV$7)*AV$7/Qtrs_Yr,0)=0,0,LOOKUP(ROUNDUP(SUM($I$7:AV$7)*AV$7/Qtrs_Yr,0),Inputs!$F$35:$I$35,Inputs!$F$38:$I$38)*LOOKUP(ROUNDUP(SUM($I$7:AV$7)*AV$7/Qtrs_Yr,0),Inputs!$F$35:$I$35,Inputs!$F$36:$I$36))/Thousand/Qtrs_Yr))/Thousand+SUM(Inputs!$F$54:$F$61)*AV$7/Qtrs_Yr)*(1+LOOKUP(YEAR(AW$5),Inputs!$F$93:$I$93,Inputs!$F$94:$I$94)/Qtrs_Yr)^(COUNT($I$7:AV7))*Inputs!$F$98/(AV5-AU5))-(((IF(ROUNDUP(SUM($J$7:AW$7)*AW$7/Qtrs_Yr,0)=0,0,LOOKUP(ROUNDUP(SUM($J$7:AW$7)*AW$7/Qtrs_Yr,0),Inputs!$F$35:$I$35,Inputs!$F$36:$I$36))/Thousand/Qtrs_Yr)*IF(ROUNDUP(SUM($J$7:AW$7)*AW$7/Qtrs_Yr,0)=0,0,LOOKUP(ROUNDUP(SUM($J$7:AW$7)*AW$7/Qtrs_Yr,0),Inputs!$F$41:$I$41,Inputs!$F$42:$I$42))/Grams_Oz*Inputs!$F$45)*LOOKUP(YEAR(AW$5),Inputs!$F$49:$I$49,Inputs!$F$50:$I$50)/Thousand/LOOKUP(YEAR(AW$5),Inputs!$F$89:$I$89,Inputs!$F$90:$I$90)-((Inputs!$F$64*(IF(ROUNDUP(SUM($J$7:AW$7)*AW$7/Qtrs_Yr,0)=0,0,LOOKUP(ROUNDUP(SUM($J$7:AW$7)*AW$7/Qtrs_Yr,0),Inputs!$F$35:$I$35,Inputs!$F$36:$I$36))/Thousand/Qtrs_Yr+IF(ROUNDUP(SUM($J$7:AW$7)*AW$7/Qtrs_Yr,0)=0,0,LOOKUP(ROUNDUP(SUM($J$7:AW$7)*AW$7/Qtrs_Yr,0),Inputs!$F$35:$I$35,Inputs!$F$38:$I$38)*LOOKUP(ROUNDUP(SUM($J$7:AW$7)*AW$7/Qtrs_Yr,0),Inputs!$F$35:$I$35,Inputs!$F$36:$I$36))/Thousand/Qtrs_Yr)+Inputs!$F$65*(IF(ROUNDUP(SUM($J$7:AW$7)*AW$7/Qtrs_Yr,0)=0,0,LOOKUP(ROUNDUP(SUM($J$7:AW$7)*AW$7/Qtrs_Yr,0),Inputs!$F$35:$I$35,Inputs!$F$36:$I$36))/Thousand/Qtrs_Yr)+Inputs!$F$66*(IF(ROUNDUP(SUM($J$7:AW$7)*AW$7/Qtrs_Yr,0)=0,0,LOOKUP(ROUNDUP(SUM($J$7:AW$7)*AW$7/Qtrs_Yr,0),Inputs!$F$35:$I$35,Inputs!$F$38:$I$38)*LOOKUP(ROUNDUP(SUM($J$7:AW$7)*AW$7/Qtrs_Yr,0),Inputs!$F$35:$I$35,Inputs!$F$36:$I$36))/Thousand/Qtrs_Yr))/Thousand+SUM(Inputs!$F$54:$F$61)*AW$7/Qtrs_Yr)*(1+LOOKUP(YEAR(AW$5),Inputs!$F$93:$I$93,Inputs!$F$94:$I$94)/Qtrs_Yr)^(COUNT($J$7:AW7))-Inputs!$E$29*(1+Inputs!$E$31)*AW$7/Inputs!$E$16/Qtrs_Yr-IF(OR(AW$7=0,SUM($J7:AW7)*AW7&gt;Inputs!$F$77*Qtrs_Yr),0,(Inputs!$F$71-SUM($J7:AW7,-1)*AW7*Inputs!$F$71/Inputs!$F$77/Qtrs_Yr)*(LOOKUP(YEAR(AX$5),Inputs!$F$85:$I$85,Inputs!$F$86:$I$86)+LOOKUP(ROUNDUP(SUM($J7:AX7)*AX7/Qtrs_Yr,0),Inputs!$G$73:$J$73,Inputs!$G$74:$J$74))/Qtrs_Yr))*Inputs!$F$101-IF(OR(AW$7=0,SUM($J7:AW7)*AW7&gt;Inputs!$F$77*Qtrs_Yr),0,(Inputs!$F$71-SUM($J7:AW7,-1)*AW7*Inputs!$F$71/Inputs!$F$77/Qtrs_Yr)*(LOOKUP(YEAR(AX$5),Inputs!$F$85:$I$85,Inputs!$F$86:$I$86)+LOOKUP(ROUNDUP(SUM($J7:AX7)*AX7/Qtrs_Yr,0),Inputs!$G$73:$J$73,Inputs!$G$74:$J$74))/Qtrs_Yr)-IF(OR(AW$7=0,SUM($J7:AW7)*AW7&gt;Inputs!$F$77*Qtrs_Yr),0,Inputs!$F$71/Inputs!$F$77/Qtrs_Yr)</f>
        <v>7.6570749839143009</v>
      </c>
      <c r="AX11" s="28">
        <f>(((IF(ROUNDUP(SUM($J$7:AX$7)*AX$7/Qtrs_Yr,0)=0,0,LOOKUP(ROUNDUP(SUM($J$7:AX$7)*AX$7/Qtrs_Yr,0),Inputs!$F$35:$I$35,Inputs!$F$36:$I$36))/Thousand/Qtrs_Yr)*IF(ROUNDUP(SUM($J$7:AX$7)*AX$7/Qtrs_Yr,0)=0,0,LOOKUP(ROUNDUP(SUM($J$7:AX$7)*AX$7/Qtrs_Yr,0),Inputs!$F$41:$I$41,Inputs!$F$42:$I$42))/Grams_Oz*Inputs!$F$45)*LOOKUP(YEAR(AX$5),Inputs!$F$49:$I$49,Inputs!$F$50:$I$50)/Thousand/LOOKUP(YEAR(AX$5),Inputs!$F$89:$I$89,Inputs!$F$90:$I$90)*(AX5-AW5-Inputs!$F$97)/(AX5-AW5)+((IF(ROUNDUP(SUM($I$7:AW$7)*AW$7/Qtrs_Yr,0)=0,0,LOOKUP(ROUNDUP(SUM($I$7:AW$7)*AW$7/Qtrs_Yr,0),Inputs!$F$35:$I$35,Inputs!$F$36:$I$36))/Thousand/Qtrs_Yr)*IF(ROUNDUP(SUM($I$7:AW$7)*AW$7/Qtrs_Yr,0)=0,0,LOOKUP(ROUNDUP(SUM($I$7:AW$7)*AW$7/Qtrs_Yr,0),Inputs!$F$41:$I$41,Inputs!$F$42:$I$42))/Grams_Oz*Inputs!$F$45)*LOOKUP(YEAR(AW$5),Inputs!$F$49:$I$49,Inputs!$F$50:$I$50)/Thousand/LOOKUP(YEAR(AW$5),Inputs!$F$89:$I$89,Inputs!$F$90:$I$90)*Inputs!$F$97/(AW5-AV5))-(((Inputs!$F$64*(IF(ROUNDUP(SUM($J$7:AX$7)*AX$7/Qtrs_Yr,0)=0,0,LOOKUP(ROUNDUP(SUM($J$7:AX$7)*AX$7/Qtrs_Yr,0),Inputs!$F$35:$I$35,Inputs!$F$36:$I$36))/Thousand/Qtrs_Yr+IF(ROUNDUP(SUM($J$7:AX$7)*AX$7/Qtrs_Yr,0)=0,0,LOOKUP(ROUNDUP(SUM($J$7:AX$7)*AX$7/Qtrs_Yr,0),Inputs!$F$35:$I$35,Inputs!$F$38:$I$38)*LOOKUP(ROUNDUP(SUM($J$7:AX$7)*AX$7/Qtrs_Yr,0),Inputs!$F$35:$I$35,Inputs!$F$36:$I$36))/Thousand/Qtrs_Yr)+Inputs!$F$65*(IF(ROUNDUP(SUM($J$7:AX$7)*AX$7/Qtrs_Yr,0)=0,0,LOOKUP(ROUNDUP(SUM($J$7:AX$7)*AX$7/Qtrs_Yr,0),Inputs!$F$35:$I$35,Inputs!$F$36:$I$36))/Thousand/Qtrs_Yr)+Inputs!$F$66*(IF(ROUNDUP(SUM($J$7:AX$7)*AX$7/Qtrs_Yr,0)=0,0,LOOKUP(ROUNDUP(SUM($J$7:AX$7)*AX$7/Qtrs_Yr,0),Inputs!$F$35:$I$35,Inputs!$F$38:$I$38)*LOOKUP(ROUNDUP(SUM($J$7:AX$7)*AX$7/Qtrs_Yr,0),Inputs!$F$35:$I$35,Inputs!$F$36:$I$36))/Thousand/Qtrs_Yr))/Thousand+SUM(Inputs!$F$54:$F$61)*AX$7/Qtrs_Yr)*(1+LOOKUP(YEAR(AX$5),Inputs!$F$93:$I$93,Inputs!$F$94:$I$94)/Qtrs_Yr)^(COUNT($J$7:AX7))*(AX5-AW5-Inputs!$F$98)/(AX5-AW5)+((Inputs!$F$64*(IF(ROUNDUP(SUM($I$7:AW$7)*AW$7/Qtrs_Yr,0)=0,0,LOOKUP(ROUNDUP(SUM($I$7:AW$7)*AW$7/Qtrs_Yr,0),Inputs!$F$35:$I$35,Inputs!$F$36:$I$36))/Thousand/Qtrs_Yr+IF(ROUNDUP(SUM($I$7:AW$7)*AW$7/Qtrs_Yr,0)=0,0,LOOKUP(ROUNDUP(SUM($I$7:AW$7)*AW$7/Qtrs_Yr,0),Inputs!$F$35:$I$35,Inputs!$F$38:$I$38)*LOOKUP(ROUNDUP(SUM($I$7:AW$7)*AW$7/Qtrs_Yr,0),Inputs!$F$35:$I$35,Inputs!$F$36:$I$36))/Thousand/Qtrs_Yr)+Inputs!$F$65*(IF(ROUNDUP(SUM($I$7:AW$7)*AW$7/Qtrs_Yr,0)=0,0,LOOKUP(ROUNDUP(SUM($I$7:AW$7)*AW$7/Qtrs_Yr,0),Inputs!$F$35:$I$35,Inputs!$F$36:$I$36))/Thousand/Qtrs_Yr)+Inputs!$F$66*(IF(ROUNDUP(SUM($I$7:AW$7)*AW$7/Qtrs_Yr,0)=0,0,LOOKUP(ROUNDUP(SUM($I$7:AW$7)*AW$7/Qtrs_Yr,0),Inputs!$F$35:$I$35,Inputs!$F$38:$I$38)*LOOKUP(ROUNDUP(SUM($I$7:AW$7)*AW$7/Qtrs_Yr,0),Inputs!$F$35:$I$35,Inputs!$F$36:$I$36))/Thousand/Qtrs_Yr))/Thousand+SUM(Inputs!$F$54:$F$61)*AW$7/Qtrs_Yr)*(1+LOOKUP(YEAR(AX$5),Inputs!$F$93:$I$93,Inputs!$F$94:$I$94)/Qtrs_Yr)^(COUNT($I$7:AW7))*Inputs!$F$98/(AW5-AV5))-(((IF(ROUNDUP(SUM($J$7:AX$7)*AX$7/Qtrs_Yr,0)=0,0,LOOKUP(ROUNDUP(SUM($J$7:AX$7)*AX$7/Qtrs_Yr,0),Inputs!$F$35:$I$35,Inputs!$F$36:$I$36))/Thousand/Qtrs_Yr)*IF(ROUNDUP(SUM($J$7:AX$7)*AX$7/Qtrs_Yr,0)=0,0,LOOKUP(ROUNDUP(SUM($J$7:AX$7)*AX$7/Qtrs_Yr,0),Inputs!$F$41:$I$41,Inputs!$F$42:$I$42))/Grams_Oz*Inputs!$F$45)*LOOKUP(YEAR(AX$5),Inputs!$F$49:$I$49,Inputs!$F$50:$I$50)/Thousand/LOOKUP(YEAR(AX$5),Inputs!$F$89:$I$89,Inputs!$F$90:$I$90)-((Inputs!$F$64*(IF(ROUNDUP(SUM($J$7:AX$7)*AX$7/Qtrs_Yr,0)=0,0,LOOKUP(ROUNDUP(SUM($J$7:AX$7)*AX$7/Qtrs_Yr,0),Inputs!$F$35:$I$35,Inputs!$F$36:$I$36))/Thousand/Qtrs_Yr+IF(ROUNDUP(SUM($J$7:AX$7)*AX$7/Qtrs_Yr,0)=0,0,LOOKUP(ROUNDUP(SUM($J$7:AX$7)*AX$7/Qtrs_Yr,0),Inputs!$F$35:$I$35,Inputs!$F$38:$I$38)*LOOKUP(ROUNDUP(SUM($J$7:AX$7)*AX$7/Qtrs_Yr,0),Inputs!$F$35:$I$35,Inputs!$F$36:$I$36))/Thousand/Qtrs_Yr)+Inputs!$F$65*(IF(ROUNDUP(SUM($J$7:AX$7)*AX$7/Qtrs_Yr,0)=0,0,LOOKUP(ROUNDUP(SUM($J$7:AX$7)*AX$7/Qtrs_Yr,0),Inputs!$F$35:$I$35,Inputs!$F$36:$I$36))/Thousand/Qtrs_Yr)+Inputs!$F$66*(IF(ROUNDUP(SUM($J$7:AX$7)*AX$7/Qtrs_Yr,0)=0,0,LOOKUP(ROUNDUP(SUM($J$7:AX$7)*AX$7/Qtrs_Yr,0),Inputs!$F$35:$I$35,Inputs!$F$38:$I$38)*LOOKUP(ROUNDUP(SUM($J$7:AX$7)*AX$7/Qtrs_Yr,0),Inputs!$F$35:$I$35,Inputs!$F$36:$I$36))/Thousand/Qtrs_Yr))/Thousand+SUM(Inputs!$F$54:$F$61)*AX$7/Qtrs_Yr)*(1+LOOKUP(YEAR(AX$5),Inputs!$F$93:$I$93,Inputs!$F$94:$I$94)/Qtrs_Yr)^(COUNT($J$7:AX7))-Inputs!$E$29*(1+Inputs!$E$31)*AX$7/Inputs!$E$16/Qtrs_Yr-IF(OR(AX$7=0,SUM($J7:AX7)*AX7&gt;Inputs!$F$77*Qtrs_Yr),0,(Inputs!$F$71-SUM($J7:AX7,-1)*AX7*Inputs!$F$71/Inputs!$F$77/Qtrs_Yr)*(LOOKUP(YEAR(AY$5),Inputs!$F$85:$I$85,Inputs!$F$86:$I$86)+LOOKUP(ROUNDUP(SUM($J7:AY7)*AY7/Qtrs_Yr,0),Inputs!$G$73:$J$73,Inputs!$G$74:$J$74))/Qtrs_Yr))*Inputs!$F$101-IF(OR(AX$7=0,SUM($J7:AX7)*AX7&gt;Inputs!$F$77*Qtrs_Yr),0,(Inputs!$F$71-SUM($J7:AX7,-1)*AX7*Inputs!$F$71/Inputs!$F$77/Qtrs_Yr)*(LOOKUP(YEAR(AY$5),Inputs!$F$85:$I$85,Inputs!$F$86:$I$86)+LOOKUP(ROUNDUP(SUM($J7:AY7)*AY7/Qtrs_Yr,0),Inputs!$G$73:$J$73,Inputs!$G$74:$J$74))/Qtrs_Yr)-IF(OR(AX$7=0,SUM($J7:AX7)*AX7&gt;Inputs!$F$77*Qtrs_Yr),0,Inputs!$F$71/Inputs!$F$77/Qtrs_Yr)</f>
        <v>7.5665187894148209</v>
      </c>
      <c r="AY11" s="28">
        <f>(((IF(ROUNDUP(SUM($J$7:AY$7)*AY$7/Qtrs_Yr,0)=0,0,LOOKUP(ROUNDUP(SUM($J$7:AY$7)*AY$7/Qtrs_Yr,0),Inputs!$F$35:$I$35,Inputs!$F$36:$I$36))/Thousand/Qtrs_Yr)*IF(ROUNDUP(SUM($J$7:AY$7)*AY$7/Qtrs_Yr,0)=0,0,LOOKUP(ROUNDUP(SUM($J$7:AY$7)*AY$7/Qtrs_Yr,0),Inputs!$F$41:$I$41,Inputs!$F$42:$I$42))/Grams_Oz*Inputs!$F$45)*LOOKUP(YEAR(AY$5),Inputs!$F$49:$I$49,Inputs!$F$50:$I$50)/Thousand/LOOKUP(YEAR(AY$5),Inputs!$F$89:$I$89,Inputs!$F$90:$I$90)*(AY5-AX5-Inputs!$F$97)/(AY5-AX5)+((IF(ROUNDUP(SUM($I$7:AX$7)*AX$7/Qtrs_Yr,0)=0,0,LOOKUP(ROUNDUP(SUM($I$7:AX$7)*AX$7/Qtrs_Yr,0),Inputs!$F$35:$I$35,Inputs!$F$36:$I$36))/Thousand/Qtrs_Yr)*IF(ROUNDUP(SUM($I$7:AX$7)*AX$7/Qtrs_Yr,0)=0,0,LOOKUP(ROUNDUP(SUM($I$7:AX$7)*AX$7/Qtrs_Yr,0),Inputs!$F$41:$I$41,Inputs!$F$42:$I$42))/Grams_Oz*Inputs!$F$45)*LOOKUP(YEAR(AX$5),Inputs!$F$49:$I$49,Inputs!$F$50:$I$50)/Thousand/LOOKUP(YEAR(AX$5),Inputs!$F$89:$I$89,Inputs!$F$90:$I$90)*Inputs!$F$97/(AX5-AW5))-(((Inputs!$F$64*(IF(ROUNDUP(SUM($J$7:AY$7)*AY$7/Qtrs_Yr,0)=0,0,LOOKUP(ROUNDUP(SUM($J$7:AY$7)*AY$7/Qtrs_Yr,0),Inputs!$F$35:$I$35,Inputs!$F$36:$I$36))/Thousand/Qtrs_Yr+IF(ROUNDUP(SUM($J$7:AY$7)*AY$7/Qtrs_Yr,0)=0,0,LOOKUP(ROUNDUP(SUM($J$7:AY$7)*AY$7/Qtrs_Yr,0),Inputs!$F$35:$I$35,Inputs!$F$38:$I$38)*LOOKUP(ROUNDUP(SUM($J$7:AY$7)*AY$7/Qtrs_Yr,0),Inputs!$F$35:$I$35,Inputs!$F$36:$I$36))/Thousand/Qtrs_Yr)+Inputs!$F$65*(IF(ROUNDUP(SUM($J$7:AY$7)*AY$7/Qtrs_Yr,0)=0,0,LOOKUP(ROUNDUP(SUM($J$7:AY$7)*AY$7/Qtrs_Yr,0),Inputs!$F$35:$I$35,Inputs!$F$36:$I$36))/Thousand/Qtrs_Yr)+Inputs!$F$66*(IF(ROUNDUP(SUM($J$7:AY$7)*AY$7/Qtrs_Yr,0)=0,0,LOOKUP(ROUNDUP(SUM($J$7:AY$7)*AY$7/Qtrs_Yr,0),Inputs!$F$35:$I$35,Inputs!$F$38:$I$38)*LOOKUP(ROUNDUP(SUM($J$7:AY$7)*AY$7/Qtrs_Yr,0),Inputs!$F$35:$I$35,Inputs!$F$36:$I$36))/Thousand/Qtrs_Yr))/Thousand+SUM(Inputs!$F$54:$F$61)*AY$7/Qtrs_Yr)*(1+LOOKUP(YEAR(AY$5),Inputs!$F$93:$I$93,Inputs!$F$94:$I$94)/Qtrs_Yr)^(COUNT($J$7:AY7))*(AY5-AX5-Inputs!$F$98)/(AY5-AX5)+((Inputs!$F$64*(IF(ROUNDUP(SUM($I$7:AX$7)*AX$7/Qtrs_Yr,0)=0,0,LOOKUP(ROUNDUP(SUM($I$7:AX$7)*AX$7/Qtrs_Yr,0),Inputs!$F$35:$I$35,Inputs!$F$36:$I$36))/Thousand/Qtrs_Yr+IF(ROUNDUP(SUM($I$7:AX$7)*AX$7/Qtrs_Yr,0)=0,0,LOOKUP(ROUNDUP(SUM($I$7:AX$7)*AX$7/Qtrs_Yr,0),Inputs!$F$35:$I$35,Inputs!$F$38:$I$38)*LOOKUP(ROUNDUP(SUM($I$7:AX$7)*AX$7/Qtrs_Yr,0),Inputs!$F$35:$I$35,Inputs!$F$36:$I$36))/Thousand/Qtrs_Yr)+Inputs!$F$65*(IF(ROUNDUP(SUM($I$7:AX$7)*AX$7/Qtrs_Yr,0)=0,0,LOOKUP(ROUNDUP(SUM($I$7:AX$7)*AX$7/Qtrs_Yr,0),Inputs!$F$35:$I$35,Inputs!$F$36:$I$36))/Thousand/Qtrs_Yr)+Inputs!$F$66*(IF(ROUNDUP(SUM($I$7:AX$7)*AX$7/Qtrs_Yr,0)=0,0,LOOKUP(ROUNDUP(SUM($I$7:AX$7)*AX$7/Qtrs_Yr,0),Inputs!$F$35:$I$35,Inputs!$F$38:$I$38)*LOOKUP(ROUNDUP(SUM($I$7:AX$7)*AX$7/Qtrs_Yr,0),Inputs!$F$35:$I$35,Inputs!$F$36:$I$36))/Thousand/Qtrs_Yr))/Thousand+SUM(Inputs!$F$54:$F$61)*AX$7/Qtrs_Yr)*(1+LOOKUP(YEAR(AY$5),Inputs!$F$93:$I$93,Inputs!$F$94:$I$94)/Qtrs_Yr)^(COUNT($I$7:AX7))*Inputs!$F$98/(AX5-AW5))-(((IF(ROUNDUP(SUM($J$7:AY$7)*AY$7/Qtrs_Yr,0)=0,0,LOOKUP(ROUNDUP(SUM($J$7:AY$7)*AY$7/Qtrs_Yr,0),Inputs!$F$35:$I$35,Inputs!$F$36:$I$36))/Thousand/Qtrs_Yr)*IF(ROUNDUP(SUM($J$7:AY$7)*AY$7/Qtrs_Yr,0)=0,0,LOOKUP(ROUNDUP(SUM($J$7:AY$7)*AY$7/Qtrs_Yr,0),Inputs!$F$41:$I$41,Inputs!$F$42:$I$42))/Grams_Oz*Inputs!$F$45)*LOOKUP(YEAR(AY$5),Inputs!$F$49:$I$49,Inputs!$F$50:$I$50)/Thousand/LOOKUP(YEAR(AY$5),Inputs!$F$89:$I$89,Inputs!$F$90:$I$90)-((Inputs!$F$64*(IF(ROUNDUP(SUM($J$7:AY$7)*AY$7/Qtrs_Yr,0)=0,0,LOOKUP(ROUNDUP(SUM($J$7:AY$7)*AY$7/Qtrs_Yr,0),Inputs!$F$35:$I$35,Inputs!$F$36:$I$36))/Thousand/Qtrs_Yr+IF(ROUNDUP(SUM($J$7:AY$7)*AY$7/Qtrs_Yr,0)=0,0,LOOKUP(ROUNDUP(SUM($J$7:AY$7)*AY$7/Qtrs_Yr,0),Inputs!$F$35:$I$35,Inputs!$F$38:$I$38)*LOOKUP(ROUNDUP(SUM($J$7:AY$7)*AY$7/Qtrs_Yr,0),Inputs!$F$35:$I$35,Inputs!$F$36:$I$36))/Thousand/Qtrs_Yr)+Inputs!$F$65*(IF(ROUNDUP(SUM($J$7:AY$7)*AY$7/Qtrs_Yr,0)=0,0,LOOKUP(ROUNDUP(SUM($J$7:AY$7)*AY$7/Qtrs_Yr,0),Inputs!$F$35:$I$35,Inputs!$F$36:$I$36))/Thousand/Qtrs_Yr)+Inputs!$F$66*(IF(ROUNDUP(SUM($J$7:AY$7)*AY$7/Qtrs_Yr,0)=0,0,LOOKUP(ROUNDUP(SUM($J$7:AY$7)*AY$7/Qtrs_Yr,0),Inputs!$F$35:$I$35,Inputs!$F$38:$I$38)*LOOKUP(ROUNDUP(SUM($J$7:AY$7)*AY$7/Qtrs_Yr,0),Inputs!$F$35:$I$35,Inputs!$F$36:$I$36))/Thousand/Qtrs_Yr))/Thousand+SUM(Inputs!$F$54:$F$61)*AY$7/Qtrs_Yr)*(1+LOOKUP(YEAR(AY$5),Inputs!$F$93:$I$93,Inputs!$F$94:$I$94)/Qtrs_Yr)^(COUNT($J$7:AY7))-Inputs!$E$29*(1+Inputs!$E$31)*AY$7/Inputs!$E$16/Qtrs_Yr-IF(OR(AY$7=0,SUM($J7:AY7)*AY7&gt;Inputs!$F$77*Qtrs_Yr),0,(Inputs!$F$71-SUM($J7:AY7,-1)*AY7*Inputs!$F$71/Inputs!$F$77/Qtrs_Yr)*(LOOKUP(YEAR(AZ$5),Inputs!$F$85:$I$85,Inputs!$F$86:$I$86)+LOOKUP(ROUNDUP(SUM($J7:AZ7)*AZ7/Qtrs_Yr,0),Inputs!$G$73:$J$73,Inputs!$G$74:$J$74))/Qtrs_Yr))*Inputs!$F$101-IF(OR(AY$7=0,SUM($J7:AY7)*AY7&gt;Inputs!$F$77*Qtrs_Yr),0,(Inputs!$F$71-SUM($J7:AY7,-1)*AY7*Inputs!$F$71/Inputs!$F$77/Qtrs_Yr)*(LOOKUP(YEAR(AZ$5),Inputs!$F$85:$I$85,Inputs!$F$86:$I$86)+LOOKUP(ROUNDUP(SUM($J7:AZ7)*AZ7/Qtrs_Yr,0),Inputs!$G$73:$J$73,Inputs!$G$74:$J$74))/Qtrs_Yr)-IF(OR(AY$7=0,SUM($J7:AY7)*AY7&gt;Inputs!$F$77*Qtrs_Yr),0,Inputs!$F$71/Inputs!$F$77/Qtrs_Yr)</f>
        <v>7.4892307133900635</v>
      </c>
      <c r="AZ11" s="28">
        <f>(((IF(ROUNDUP(SUM($J$7:AZ$7)*AZ$7/Qtrs_Yr,0)=0,0,LOOKUP(ROUNDUP(SUM($J$7:AZ$7)*AZ$7/Qtrs_Yr,0),Inputs!$F$35:$I$35,Inputs!$F$36:$I$36))/Thousand/Qtrs_Yr)*IF(ROUNDUP(SUM($J$7:AZ$7)*AZ$7/Qtrs_Yr,0)=0,0,LOOKUP(ROUNDUP(SUM($J$7:AZ$7)*AZ$7/Qtrs_Yr,0),Inputs!$F$41:$I$41,Inputs!$F$42:$I$42))/Grams_Oz*Inputs!$F$45)*LOOKUP(YEAR(AZ$5),Inputs!$F$49:$I$49,Inputs!$F$50:$I$50)/Thousand/LOOKUP(YEAR(AZ$5),Inputs!$F$89:$I$89,Inputs!$F$90:$I$90)*(AZ5-AY5-Inputs!$F$97)/(AZ5-AY5)+((IF(ROUNDUP(SUM($I$7:AY$7)*AY$7/Qtrs_Yr,0)=0,0,LOOKUP(ROUNDUP(SUM($I$7:AY$7)*AY$7/Qtrs_Yr,0),Inputs!$F$35:$I$35,Inputs!$F$36:$I$36))/Thousand/Qtrs_Yr)*IF(ROUNDUP(SUM($I$7:AY$7)*AY$7/Qtrs_Yr,0)=0,0,LOOKUP(ROUNDUP(SUM($I$7:AY$7)*AY$7/Qtrs_Yr,0),Inputs!$F$41:$I$41,Inputs!$F$42:$I$42))/Grams_Oz*Inputs!$F$45)*LOOKUP(YEAR(AY$5),Inputs!$F$49:$I$49,Inputs!$F$50:$I$50)/Thousand/LOOKUP(YEAR(AY$5),Inputs!$F$89:$I$89,Inputs!$F$90:$I$90)*Inputs!$F$97/(AY5-AX5))-(((Inputs!$F$64*(IF(ROUNDUP(SUM($J$7:AZ$7)*AZ$7/Qtrs_Yr,0)=0,0,LOOKUP(ROUNDUP(SUM($J$7:AZ$7)*AZ$7/Qtrs_Yr,0),Inputs!$F$35:$I$35,Inputs!$F$36:$I$36))/Thousand/Qtrs_Yr+IF(ROUNDUP(SUM($J$7:AZ$7)*AZ$7/Qtrs_Yr,0)=0,0,LOOKUP(ROUNDUP(SUM($J$7:AZ$7)*AZ$7/Qtrs_Yr,0),Inputs!$F$35:$I$35,Inputs!$F$38:$I$38)*LOOKUP(ROUNDUP(SUM($J$7:AZ$7)*AZ$7/Qtrs_Yr,0),Inputs!$F$35:$I$35,Inputs!$F$36:$I$36))/Thousand/Qtrs_Yr)+Inputs!$F$65*(IF(ROUNDUP(SUM($J$7:AZ$7)*AZ$7/Qtrs_Yr,0)=0,0,LOOKUP(ROUNDUP(SUM($J$7:AZ$7)*AZ$7/Qtrs_Yr,0),Inputs!$F$35:$I$35,Inputs!$F$36:$I$36))/Thousand/Qtrs_Yr)+Inputs!$F$66*(IF(ROUNDUP(SUM($J$7:AZ$7)*AZ$7/Qtrs_Yr,0)=0,0,LOOKUP(ROUNDUP(SUM($J$7:AZ$7)*AZ$7/Qtrs_Yr,0),Inputs!$F$35:$I$35,Inputs!$F$38:$I$38)*LOOKUP(ROUNDUP(SUM($J$7:AZ$7)*AZ$7/Qtrs_Yr,0),Inputs!$F$35:$I$35,Inputs!$F$36:$I$36))/Thousand/Qtrs_Yr))/Thousand+SUM(Inputs!$F$54:$F$61)*AZ$7/Qtrs_Yr)*(1+LOOKUP(YEAR(AZ$5),Inputs!$F$93:$I$93,Inputs!$F$94:$I$94)/Qtrs_Yr)^(COUNT($J$7:AZ7))*(AZ5-AY5-Inputs!$F$98)/(AZ5-AY5)+((Inputs!$F$64*(IF(ROUNDUP(SUM($I$7:AY$7)*AY$7/Qtrs_Yr,0)=0,0,LOOKUP(ROUNDUP(SUM($I$7:AY$7)*AY$7/Qtrs_Yr,0),Inputs!$F$35:$I$35,Inputs!$F$36:$I$36))/Thousand/Qtrs_Yr+IF(ROUNDUP(SUM($I$7:AY$7)*AY$7/Qtrs_Yr,0)=0,0,LOOKUP(ROUNDUP(SUM($I$7:AY$7)*AY$7/Qtrs_Yr,0),Inputs!$F$35:$I$35,Inputs!$F$38:$I$38)*LOOKUP(ROUNDUP(SUM($I$7:AY$7)*AY$7/Qtrs_Yr,0),Inputs!$F$35:$I$35,Inputs!$F$36:$I$36))/Thousand/Qtrs_Yr)+Inputs!$F$65*(IF(ROUNDUP(SUM($I$7:AY$7)*AY$7/Qtrs_Yr,0)=0,0,LOOKUP(ROUNDUP(SUM($I$7:AY$7)*AY$7/Qtrs_Yr,0),Inputs!$F$35:$I$35,Inputs!$F$36:$I$36))/Thousand/Qtrs_Yr)+Inputs!$F$66*(IF(ROUNDUP(SUM($I$7:AY$7)*AY$7/Qtrs_Yr,0)=0,0,LOOKUP(ROUNDUP(SUM($I$7:AY$7)*AY$7/Qtrs_Yr,0),Inputs!$F$35:$I$35,Inputs!$F$38:$I$38)*LOOKUP(ROUNDUP(SUM($I$7:AY$7)*AY$7/Qtrs_Yr,0),Inputs!$F$35:$I$35,Inputs!$F$36:$I$36))/Thousand/Qtrs_Yr))/Thousand+SUM(Inputs!$F$54:$F$61)*AY$7/Qtrs_Yr)*(1+LOOKUP(YEAR(AZ$5),Inputs!$F$93:$I$93,Inputs!$F$94:$I$94)/Qtrs_Yr)^(COUNT($I$7:AY7))*Inputs!$F$98/(AY5-AX5))-(((IF(ROUNDUP(SUM($J$7:AZ$7)*AZ$7/Qtrs_Yr,0)=0,0,LOOKUP(ROUNDUP(SUM($J$7:AZ$7)*AZ$7/Qtrs_Yr,0),Inputs!$F$35:$I$35,Inputs!$F$36:$I$36))/Thousand/Qtrs_Yr)*IF(ROUNDUP(SUM($J$7:AZ$7)*AZ$7/Qtrs_Yr,0)=0,0,LOOKUP(ROUNDUP(SUM($J$7:AZ$7)*AZ$7/Qtrs_Yr,0),Inputs!$F$41:$I$41,Inputs!$F$42:$I$42))/Grams_Oz*Inputs!$F$45)*LOOKUP(YEAR(AZ$5),Inputs!$F$49:$I$49,Inputs!$F$50:$I$50)/Thousand/LOOKUP(YEAR(AZ$5),Inputs!$F$89:$I$89,Inputs!$F$90:$I$90)-((Inputs!$F$64*(IF(ROUNDUP(SUM($J$7:AZ$7)*AZ$7/Qtrs_Yr,0)=0,0,LOOKUP(ROUNDUP(SUM($J$7:AZ$7)*AZ$7/Qtrs_Yr,0),Inputs!$F$35:$I$35,Inputs!$F$36:$I$36))/Thousand/Qtrs_Yr+IF(ROUNDUP(SUM($J$7:AZ$7)*AZ$7/Qtrs_Yr,0)=0,0,LOOKUP(ROUNDUP(SUM($J$7:AZ$7)*AZ$7/Qtrs_Yr,0),Inputs!$F$35:$I$35,Inputs!$F$38:$I$38)*LOOKUP(ROUNDUP(SUM($J$7:AZ$7)*AZ$7/Qtrs_Yr,0),Inputs!$F$35:$I$35,Inputs!$F$36:$I$36))/Thousand/Qtrs_Yr)+Inputs!$F$65*(IF(ROUNDUP(SUM($J$7:AZ$7)*AZ$7/Qtrs_Yr,0)=0,0,LOOKUP(ROUNDUP(SUM($J$7:AZ$7)*AZ$7/Qtrs_Yr,0),Inputs!$F$35:$I$35,Inputs!$F$36:$I$36))/Thousand/Qtrs_Yr)+Inputs!$F$66*(IF(ROUNDUP(SUM($J$7:AZ$7)*AZ$7/Qtrs_Yr,0)=0,0,LOOKUP(ROUNDUP(SUM($J$7:AZ$7)*AZ$7/Qtrs_Yr,0),Inputs!$F$35:$I$35,Inputs!$F$38:$I$38)*LOOKUP(ROUNDUP(SUM($J$7:AZ$7)*AZ$7/Qtrs_Yr,0),Inputs!$F$35:$I$35,Inputs!$F$36:$I$36))/Thousand/Qtrs_Yr))/Thousand+SUM(Inputs!$F$54:$F$61)*AZ$7/Qtrs_Yr)*(1+LOOKUP(YEAR(AZ$5),Inputs!$F$93:$I$93,Inputs!$F$94:$I$94)/Qtrs_Yr)^(COUNT($J$7:AZ7))-Inputs!$E$29*(1+Inputs!$E$31)*AZ$7/Inputs!$E$16/Qtrs_Yr-IF(OR(AZ$7=0,SUM($J7:AZ7)*AZ7&gt;Inputs!$F$77*Qtrs_Yr),0,(Inputs!$F$71-SUM($J7:AZ7,-1)*AZ7*Inputs!$F$71/Inputs!$F$77/Qtrs_Yr)*(LOOKUP(YEAR(BA$5),Inputs!$F$85:$I$85,Inputs!$F$86:$I$86)+LOOKUP(ROUNDUP(SUM($J7:BA7)*BA7/Qtrs_Yr,0),Inputs!$G$73:$J$73,Inputs!$G$74:$J$74))/Qtrs_Yr))*Inputs!$F$101-IF(OR(AZ$7=0,SUM($J7:AZ7)*AZ7&gt;Inputs!$F$77*Qtrs_Yr),0,(Inputs!$F$71-SUM($J7:AZ7,-1)*AZ7*Inputs!$F$71/Inputs!$F$77/Qtrs_Yr)*(LOOKUP(YEAR(BA$5),Inputs!$F$85:$I$85,Inputs!$F$86:$I$86)+LOOKUP(ROUNDUP(SUM($J7:BA7)*BA7/Qtrs_Yr,0),Inputs!$G$73:$J$73,Inputs!$G$74:$J$74))/Qtrs_Yr)-IF(OR(AZ$7=0,SUM($J7:AZ7)*AZ7&gt;Inputs!$F$77*Qtrs_Yr),0,Inputs!$F$71/Inputs!$F$77/Qtrs_Yr)</f>
        <v>7.4018189913785131</v>
      </c>
      <c r="BA11" s="28">
        <f>(((IF(ROUNDUP(SUM($J$7:BA$7)*BA$7/Qtrs_Yr,0)=0,0,LOOKUP(ROUNDUP(SUM($J$7:BA$7)*BA$7/Qtrs_Yr,0),Inputs!$F$35:$I$35,Inputs!$F$36:$I$36))/Thousand/Qtrs_Yr)*IF(ROUNDUP(SUM($J$7:BA$7)*BA$7/Qtrs_Yr,0)=0,0,LOOKUP(ROUNDUP(SUM($J$7:BA$7)*BA$7/Qtrs_Yr,0),Inputs!$F$41:$I$41,Inputs!$F$42:$I$42))/Grams_Oz*Inputs!$F$45)*LOOKUP(YEAR(BA$5),Inputs!$F$49:$I$49,Inputs!$F$50:$I$50)/Thousand/LOOKUP(YEAR(BA$5),Inputs!$F$89:$I$89,Inputs!$F$90:$I$90)*(BA5-AZ5-Inputs!$F$97)/(BA5-AZ5)+((IF(ROUNDUP(SUM($I$7:AZ$7)*AZ$7/Qtrs_Yr,0)=0,0,LOOKUP(ROUNDUP(SUM($I$7:AZ$7)*AZ$7/Qtrs_Yr,0),Inputs!$F$35:$I$35,Inputs!$F$36:$I$36))/Thousand/Qtrs_Yr)*IF(ROUNDUP(SUM($I$7:AZ$7)*AZ$7/Qtrs_Yr,0)=0,0,LOOKUP(ROUNDUP(SUM($I$7:AZ$7)*AZ$7/Qtrs_Yr,0),Inputs!$F$41:$I$41,Inputs!$F$42:$I$42))/Grams_Oz*Inputs!$F$45)*LOOKUP(YEAR(AZ$5),Inputs!$F$49:$I$49,Inputs!$F$50:$I$50)/Thousand/LOOKUP(YEAR(AZ$5),Inputs!$F$89:$I$89,Inputs!$F$90:$I$90)*Inputs!$F$97/(AZ5-AY5))-(((Inputs!$F$64*(IF(ROUNDUP(SUM($J$7:BA$7)*BA$7/Qtrs_Yr,0)=0,0,LOOKUP(ROUNDUP(SUM($J$7:BA$7)*BA$7/Qtrs_Yr,0),Inputs!$F$35:$I$35,Inputs!$F$36:$I$36))/Thousand/Qtrs_Yr+IF(ROUNDUP(SUM($J$7:BA$7)*BA$7/Qtrs_Yr,0)=0,0,LOOKUP(ROUNDUP(SUM($J$7:BA$7)*BA$7/Qtrs_Yr,0),Inputs!$F$35:$I$35,Inputs!$F$38:$I$38)*LOOKUP(ROUNDUP(SUM($J$7:BA$7)*BA$7/Qtrs_Yr,0),Inputs!$F$35:$I$35,Inputs!$F$36:$I$36))/Thousand/Qtrs_Yr)+Inputs!$F$65*(IF(ROUNDUP(SUM($J$7:BA$7)*BA$7/Qtrs_Yr,0)=0,0,LOOKUP(ROUNDUP(SUM($J$7:BA$7)*BA$7/Qtrs_Yr,0),Inputs!$F$35:$I$35,Inputs!$F$36:$I$36))/Thousand/Qtrs_Yr)+Inputs!$F$66*(IF(ROUNDUP(SUM($J$7:BA$7)*BA$7/Qtrs_Yr,0)=0,0,LOOKUP(ROUNDUP(SUM($J$7:BA$7)*BA$7/Qtrs_Yr,0),Inputs!$F$35:$I$35,Inputs!$F$38:$I$38)*LOOKUP(ROUNDUP(SUM($J$7:BA$7)*BA$7/Qtrs_Yr,0),Inputs!$F$35:$I$35,Inputs!$F$36:$I$36))/Thousand/Qtrs_Yr))/Thousand+SUM(Inputs!$F$54:$F$61)*BA$7/Qtrs_Yr)*(1+LOOKUP(YEAR(BA$5),Inputs!$F$93:$I$93,Inputs!$F$94:$I$94)/Qtrs_Yr)^(COUNT($J$7:BA7))*(BA5-AZ5-Inputs!$F$98)/(BA5-AZ5)+((Inputs!$F$64*(IF(ROUNDUP(SUM($I$7:AZ$7)*AZ$7/Qtrs_Yr,0)=0,0,LOOKUP(ROUNDUP(SUM($I$7:AZ$7)*AZ$7/Qtrs_Yr,0),Inputs!$F$35:$I$35,Inputs!$F$36:$I$36))/Thousand/Qtrs_Yr+IF(ROUNDUP(SUM($I$7:AZ$7)*AZ$7/Qtrs_Yr,0)=0,0,LOOKUP(ROUNDUP(SUM($I$7:AZ$7)*AZ$7/Qtrs_Yr,0),Inputs!$F$35:$I$35,Inputs!$F$38:$I$38)*LOOKUP(ROUNDUP(SUM($I$7:AZ$7)*AZ$7/Qtrs_Yr,0),Inputs!$F$35:$I$35,Inputs!$F$36:$I$36))/Thousand/Qtrs_Yr)+Inputs!$F$65*(IF(ROUNDUP(SUM($I$7:AZ$7)*AZ$7/Qtrs_Yr,0)=0,0,LOOKUP(ROUNDUP(SUM($I$7:AZ$7)*AZ$7/Qtrs_Yr,0),Inputs!$F$35:$I$35,Inputs!$F$36:$I$36))/Thousand/Qtrs_Yr)+Inputs!$F$66*(IF(ROUNDUP(SUM($I$7:AZ$7)*AZ$7/Qtrs_Yr,0)=0,0,LOOKUP(ROUNDUP(SUM($I$7:AZ$7)*AZ$7/Qtrs_Yr,0),Inputs!$F$35:$I$35,Inputs!$F$38:$I$38)*LOOKUP(ROUNDUP(SUM($I$7:AZ$7)*AZ$7/Qtrs_Yr,0),Inputs!$F$35:$I$35,Inputs!$F$36:$I$36))/Thousand/Qtrs_Yr))/Thousand+SUM(Inputs!$F$54:$F$61)*AZ$7/Qtrs_Yr)*(1+LOOKUP(YEAR(BA$5),Inputs!$F$93:$I$93,Inputs!$F$94:$I$94)/Qtrs_Yr)^(COUNT($I$7:AZ7))*Inputs!$F$98/(AZ5-AY5))-(((IF(ROUNDUP(SUM($J$7:BA$7)*BA$7/Qtrs_Yr,0)=0,0,LOOKUP(ROUNDUP(SUM($J$7:BA$7)*BA$7/Qtrs_Yr,0),Inputs!$F$35:$I$35,Inputs!$F$36:$I$36))/Thousand/Qtrs_Yr)*IF(ROUNDUP(SUM($J$7:BA$7)*BA$7/Qtrs_Yr,0)=0,0,LOOKUP(ROUNDUP(SUM($J$7:BA$7)*BA$7/Qtrs_Yr,0),Inputs!$F$41:$I$41,Inputs!$F$42:$I$42))/Grams_Oz*Inputs!$F$45)*LOOKUP(YEAR(BA$5),Inputs!$F$49:$I$49,Inputs!$F$50:$I$50)/Thousand/LOOKUP(YEAR(BA$5),Inputs!$F$89:$I$89,Inputs!$F$90:$I$90)-((Inputs!$F$64*(IF(ROUNDUP(SUM($J$7:BA$7)*BA$7/Qtrs_Yr,0)=0,0,LOOKUP(ROUNDUP(SUM($J$7:BA$7)*BA$7/Qtrs_Yr,0),Inputs!$F$35:$I$35,Inputs!$F$36:$I$36))/Thousand/Qtrs_Yr+IF(ROUNDUP(SUM($J$7:BA$7)*BA$7/Qtrs_Yr,0)=0,0,LOOKUP(ROUNDUP(SUM($J$7:BA$7)*BA$7/Qtrs_Yr,0),Inputs!$F$35:$I$35,Inputs!$F$38:$I$38)*LOOKUP(ROUNDUP(SUM($J$7:BA$7)*BA$7/Qtrs_Yr,0),Inputs!$F$35:$I$35,Inputs!$F$36:$I$36))/Thousand/Qtrs_Yr)+Inputs!$F$65*(IF(ROUNDUP(SUM($J$7:BA$7)*BA$7/Qtrs_Yr,0)=0,0,LOOKUP(ROUNDUP(SUM($J$7:BA$7)*BA$7/Qtrs_Yr,0),Inputs!$F$35:$I$35,Inputs!$F$36:$I$36))/Thousand/Qtrs_Yr)+Inputs!$F$66*(IF(ROUNDUP(SUM($J$7:BA$7)*BA$7/Qtrs_Yr,0)=0,0,LOOKUP(ROUNDUP(SUM($J$7:BA$7)*BA$7/Qtrs_Yr,0),Inputs!$F$35:$I$35,Inputs!$F$38:$I$38)*LOOKUP(ROUNDUP(SUM($J$7:BA$7)*BA$7/Qtrs_Yr,0),Inputs!$F$35:$I$35,Inputs!$F$36:$I$36))/Thousand/Qtrs_Yr))/Thousand+SUM(Inputs!$F$54:$F$61)*BA$7/Qtrs_Yr)*(1+LOOKUP(YEAR(BA$5),Inputs!$F$93:$I$93,Inputs!$F$94:$I$94)/Qtrs_Yr)^(COUNT($J$7:BA7))-Inputs!$E$29*(1+Inputs!$E$31)*BA$7/Inputs!$E$16/Qtrs_Yr-IF(OR(BA$7=0,SUM($J7:BA7)*BA7&gt;Inputs!$F$77*Qtrs_Yr),0,(Inputs!$F$71-SUM($J7:BA7,-1)*BA7*Inputs!$F$71/Inputs!$F$77/Qtrs_Yr)*(LOOKUP(YEAR(BB$5),Inputs!$F$85:$I$85,Inputs!$F$86:$I$86)+LOOKUP(ROUNDUP(SUM($J7:BB7)*BB7/Qtrs_Yr,0),Inputs!$G$73:$J$73,Inputs!$G$74:$J$74))/Qtrs_Yr))*Inputs!$F$101-IF(OR(BA$7=0,SUM($J7:BA7)*BA7&gt;Inputs!$F$77*Qtrs_Yr),0,(Inputs!$F$71-SUM($J7:BA7,-1)*BA7*Inputs!$F$71/Inputs!$F$77/Qtrs_Yr)*(LOOKUP(YEAR(BB$5),Inputs!$F$85:$I$85,Inputs!$F$86:$I$86)+LOOKUP(ROUNDUP(SUM($J7:BB7)*BB7/Qtrs_Yr,0),Inputs!$G$73:$J$73,Inputs!$G$74:$J$74))/Qtrs_Yr)-IF(OR(BA$7=0,SUM($J7:BA7)*BA7&gt;Inputs!$F$77*Qtrs_Yr),0,Inputs!$F$71/Inputs!$F$77/Qtrs_Yr)</f>
        <v>7.3132081471789707</v>
      </c>
      <c r="BB11" s="28">
        <f>(((IF(ROUNDUP(SUM($J$7:BB$7)*BB$7/Qtrs_Yr,0)=0,0,LOOKUP(ROUNDUP(SUM($J$7:BB$7)*BB$7/Qtrs_Yr,0),Inputs!$F$35:$I$35,Inputs!$F$36:$I$36))/Thousand/Qtrs_Yr)*IF(ROUNDUP(SUM($J$7:BB$7)*BB$7/Qtrs_Yr,0)=0,0,LOOKUP(ROUNDUP(SUM($J$7:BB$7)*BB$7/Qtrs_Yr,0),Inputs!$F$41:$I$41,Inputs!$F$42:$I$42))/Grams_Oz*Inputs!$F$45)*LOOKUP(YEAR(BB$5),Inputs!$F$49:$I$49,Inputs!$F$50:$I$50)/Thousand/LOOKUP(YEAR(BB$5),Inputs!$F$89:$I$89,Inputs!$F$90:$I$90)*(BB5-BA5-Inputs!$F$97)/(BB5-BA5)+((IF(ROUNDUP(SUM($I$7:BA$7)*BA$7/Qtrs_Yr,0)=0,0,LOOKUP(ROUNDUP(SUM($I$7:BA$7)*BA$7/Qtrs_Yr,0),Inputs!$F$35:$I$35,Inputs!$F$36:$I$36))/Thousand/Qtrs_Yr)*IF(ROUNDUP(SUM($I$7:BA$7)*BA$7/Qtrs_Yr,0)=0,0,LOOKUP(ROUNDUP(SUM($I$7:BA$7)*BA$7/Qtrs_Yr,0),Inputs!$F$41:$I$41,Inputs!$F$42:$I$42))/Grams_Oz*Inputs!$F$45)*LOOKUP(YEAR(BA$5),Inputs!$F$49:$I$49,Inputs!$F$50:$I$50)/Thousand/LOOKUP(YEAR(BA$5),Inputs!$F$89:$I$89,Inputs!$F$90:$I$90)*Inputs!$F$97/(BA5-AZ5))-(((Inputs!$F$64*(IF(ROUNDUP(SUM($J$7:BB$7)*BB$7/Qtrs_Yr,0)=0,0,LOOKUP(ROUNDUP(SUM($J$7:BB$7)*BB$7/Qtrs_Yr,0),Inputs!$F$35:$I$35,Inputs!$F$36:$I$36))/Thousand/Qtrs_Yr+IF(ROUNDUP(SUM($J$7:BB$7)*BB$7/Qtrs_Yr,0)=0,0,LOOKUP(ROUNDUP(SUM($J$7:BB$7)*BB$7/Qtrs_Yr,0),Inputs!$F$35:$I$35,Inputs!$F$38:$I$38)*LOOKUP(ROUNDUP(SUM($J$7:BB$7)*BB$7/Qtrs_Yr,0),Inputs!$F$35:$I$35,Inputs!$F$36:$I$36))/Thousand/Qtrs_Yr)+Inputs!$F$65*(IF(ROUNDUP(SUM($J$7:BB$7)*BB$7/Qtrs_Yr,0)=0,0,LOOKUP(ROUNDUP(SUM($J$7:BB$7)*BB$7/Qtrs_Yr,0),Inputs!$F$35:$I$35,Inputs!$F$36:$I$36))/Thousand/Qtrs_Yr)+Inputs!$F$66*(IF(ROUNDUP(SUM($J$7:BB$7)*BB$7/Qtrs_Yr,0)=0,0,LOOKUP(ROUNDUP(SUM($J$7:BB$7)*BB$7/Qtrs_Yr,0),Inputs!$F$35:$I$35,Inputs!$F$38:$I$38)*LOOKUP(ROUNDUP(SUM($J$7:BB$7)*BB$7/Qtrs_Yr,0),Inputs!$F$35:$I$35,Inputs!$F$36:$I$36))/Thousand/Qtrs_Yr))/Thousand+SUM(Inputs!$F$54:$F$61)*BB$7/Qtrs_Yr)*(1+LOOKUP(YEAR(BB$5),Inputs!$F$93:$I$93,Inputs!$F$94:$I$94)/Qtrs_Yr)^(COUNT($J$7:BB7))*(BB5-BA5-Inputs!$F$98)/(BB5-BA5)+((Inputs!$F$64*(IF(ROUNDUP(SUM($I$7:BA$7)*BA$7/Qtrs_Yr,0)=0,0,LOOKUP(ROUNDUP(SUM($I$7:BA$7)*BA$7/Qtrs_Yr,0),Inputs!$F$35:$I$35,Inputs!$F$36:$I$36))/Thousand/Qtrs_Yr+IF(ROUNDUP(SUM($I$7:BA$7)*BA$7/Qtrs_Yr,0)=0,0,LOOKUP(ROUNDUP(SUM($I$7:BA$7)*BA$7/Qtrs_Yr,0),Inputs!$F$35:$I$35,Inputs!$F$38:$I$38)*LOOKUP(ROUNDUP(SUM($I$7:BA$7)*BA$7/Qtrs_Yr,0),Inputs!$F$35:$I$35,Inputs!$F$36:$I$36))/Thousand/Qtrs_Yr)+Inputs!$F$65*(IF(ROUNDUP(SUM($I$7:BA$7)*BA$7/Qtrs_Yr,0)=0,0,LOOKUP(ROUNDUP(SUM($I$7:BA$7)*BA$7/Qtrs_Yr,0),Inputs!$F$35:$I$35,Inputs!$F$36:$I$36))/Thousand/Qtrs_Yr)+Inputs!$F$66*(IF(ROUNDUP(SUM($I$7:BA$7)*BA$7/Qtrs_Yr,0)=0,0,LOOKUP(ROUNDUP(SUM($I$7:BA$7)*BA$7/Qtrs_Yr,0),Inputs!$F$35:$I$35,Inputs!$F$38:$I$38)*LOOKUP(ROUNDUP(SUM($I$7:BA$7)*BA$7/Qtrs_Yr,0),Inputs!$F$35:$I$35,Inputs!$F$36:$I$36))/Thousand/Qtrs_Yr))/Thousand+SUM(Inputs!$F$54:$F$61)*BA$7/Qtrs_Yr)*(1+LOOKUP(YEAR(BB$5),Inputs!$F$93:$I$93,Inputs!$F$94:$I$94)/Qtrs_Yr)^(COUNT($I$7:BA7))*Inputs!$F$98/(BA5-AZ5))-(((IF(ROUNDUP(SUM($J$7:BB$7)*BB$7/Qtrs_Yr,0)=0,0,LOOKUP(ROUNDUP(SUM($J$7:BB$7)*BB$7/Qtrs_Yr,0),Inputs!$F$35:$I$35,Inputs!$F$36:$I$36))/Thousand/Qtrs_Yr)*IF(ROUNDUP(SUM($J$7:BB$7)*BB$7/Qtrs_Yr,0)=0,0,LOOKUP(ROUNDUP(SUM($J$7:BB$7)*BB$7/Qtrs_Yr,0),Inputs!$F$41:$I$41,Inputs!$F$42:$I$42))/Grams_Oz*Inputs!$F$45)*LOOKUP(YEAR(BB$5),Inputs!$F$49:$I$49,Inputs!$F$50:$I$50)/Thousand/LOOKUP(YEAR(BB$5),Inputs!$F$89:$I$89,Inputs!$F$90:$I$90)-((Inputs!$F$64*(IF(ROUNDUP(SUM($J$7:BB$7)*BB$7/Qtrs_Yr,0)=0,0,LOOKUP(ROUNDUP(SUM($J$7:BB$7)*BB$7/Qtrs_Yr,0),Inputs!$F$35:$I$35,Inputs!$F$36:$I$36))/Thousand/Qtrs_Yr+IF(ROUNDUP(SUM($J$7:BB$7)*BB$7/Qtrs_Yr,0)=0,0,LOOKUP(ROUNDUP(SUM($J$7:BB$7)*BB$7/Qtrs_Yr,0),Inputs!$F$35:$I$35,Inputs!$F$38:$I$38)*LOOKUP(ROUNDUP(SUM($J$7:BB$7)*BB$7/Qtrs_Yr,0),Inputs!$F$35:$I$35,Inputs!$F$36:$I$36))/Thousand/Qtrs_Yr)+Inputs!$F$65*(IF(ROUNDUP(SUM($J$7:BB$7)*BB$7/Qtrs_Yr,0)=0,0,LOOKUP(ROUNDUP(SUM($J$7:BB$7)*BB$7/Qtrs_Yr,0),Inputs!$F$35:$I$35,Inputs!$F$36:$I$36))/Thousand/Qtrs_Yr)+Inputs!$F$66*(IF(ROUNDUP(SUM($J$7:BB$7)*BB$7/Qtrs_Yr,0)=0,0,LOOKUP(ROUNDUP(SUM($J$7:BB$7)*BB$7/Qtrs_Yr,0),Inputs!$F$35:$I$35,Inputs!$F$38:$I$38)*LOOKUP(ROUNDUP(SUM($J$7:BB$7)*BB$7/Qtrs_Yr,0),Inputs!$F$35:$I$35,Inputs!$F$36:$I$36))/Thousand/Qtrs_Yr))/Thousand+SUM(Inputs!$F$54:$F$61)*BB$7/Qtrs_Yr)*(1+LOOKUP(YEAR(BB$5),Inputs!$F$93:$I$93,Inputs!$F$94:$I$94)/Qtrs_Yr)^(COUNT($J$7:BB7))-Inputs!$E$29*(1+Inputs!$E$31)*BB$7/Inputs!$E$16/Qtrs_Yr-IF(OR(BB$7=0,SUM($J7:BB7)*BB7&gt;Inputs!$F$77*Qtrs_Yr),0,(Inputs!$F$71-SUM($J7:BB7,-1)*BB7*Inputs!$F$71/Inputs!$F$77/Qtrs_Yr)*(LOOKUP(YEAR(BC$5),Inputs!$F$85:$I$85,Inputs!$F$86:$I$86)+LOOKUP(ROUNDUP(SUM($J7:BC7)*BC7/Qtrs_Yr,0),Inputs!$G$73:$J$73,Inputs!$G$74:$J$74))/Qtrs_Yr))*Inputs!$F$101-IF(OR(BB$7=0,SUM($J7:BB7)*BB7&gt;Inputs!$F$77*Qtrs_Yr),0,(Inputs!$F$71-SUM($J7:BB7,-1)*BB7*Inputs!$F$71/Inputs!$F$77/Qtrs_Yr)*(LOOKUP(YEAR(BC$5),Inputs!$F$85:$I$85,Inputs!$F$86:$I$86)+LOOKUP(ROUNDUP(SUM($J7:BC7)*BC7/Qtrs_Yr,0),Inputs!$G$73:$J$73,Inputs!$G$74:$J$74))/Qtrs_Yr)-IF(OR(BB$7=0,SUM($J7:BB7)*BB7&gt;Inputs!$F$77*Qtrs_Yr),0,Inputs!$F$71/Inputs!$F$77/Qtrs_Yr)</f>
        <v>7.433702984285695E-2</v>
      </c>
      <c r="BC11" s="28">
        <f>(((IF(ROUNDUP(SUM($J$7:BC$7)*BC$7/Qtrs_Yr,0)=0,0,LOOKUP(ROUNDUP(SUM($J$7:BC$7)*BC$7/Qtrs_Yr,0),Inputs!$F$35:$I$35,Inputs!$F$36:$I$36))/Thousand/Qtrs_Yr)*IF(ROUNDUP(SUM($J$7:BC$7)*BC$7/Qtrs_Yr,0)=0,0,LOOKUP(ROUNDUP(SUM($J$7:BC$7)*BC$7/Qtrs_Yr,0),Inputs!$F$41:$I$41,Inputs!$F$42:$I$42))/Grams_Oz*Inputs!$F$45)*LOOKUP(YEAR(BC$5),Inputs!$F$49:$I$49,Inputs!$F$50:$I$50)/Thousand/LOOKUP(YEAR(BC$5),Inputs!$F$89:$I$89,Inputs!$F$90:$I$90)*(BC5-BB5-Inputs!$F$97)/(BC5-BB5)+((IF(ROUNDUP(SUM($I$7:BB$7)*BB$7/Qtrs_Yr,0)=0,0,LOOKUP(ROUNDUP(SUM($I$7:BB$7)*BB$7/Qtrs_Yr,0),Inputs!$F$35:$I$35,Inputs!$F$36:$I$36))/Thousand/Qtrs_Yr)*IF(ROUNDUP(SUM($I$7:BB$7)*BB$7/Qtrs_Yr,0)=0,0,LOOKUP(ROUNDUP(SUM($I$7:BB$7)*BB$7/Qtrs_Yr,0),Inputs!$F$41:$I$41,Inputs!$F$42:$I$42))/Grams_Oz*Inputs!$F$45)*LOOKUP(YEAR(BB$5),Inputs!$F$49:$I$49,Inputs!$F$50:$I$50)/Thousand/LOOKUP(YEAR(BB$5),Inputs!$F$89:$I$89,Inputs!$F$90:$I$90)*Inputs!$F$97/(BB5-BA5))-(((Inputs!$F$64*(IF(ROUNDUP(SUM($J$7:BC$7)*BC$7/Qtrs_Yr,0)=0,0,LOOKUP(ROUNDUP(SUM($J$7:BC$7)*BC$7/Qtrs_Yr,0),Inputs!$F$35:$I$35,Inputs!$F$36:$I$36))/Thousand/Qtrs_Yr+IF(ROUNDUP(SUM($J$7:BC$7)*BC$7/Qtrs_Yr,0)=0,0,LOOKUP(ROUNDUP(SUM($J$7:BC$7)*BC$7/Qtrs_Yr,0),Inputs!$F$35:$I$35,Inputs!$F$38:$I$38)*LOOKUP(ROUNDUP(SUM($J$7:BC$7)*BC$7/Qtrs_Yr,0),Inputs!$F$35:$I$35,Inputs!$F$36:$I$36))/Thousand/Qtrs_Yr)+Inputs!$F$65*(IF(ROUNDUP(SUM($J$7:BC$7)*BC$7/Qtrs_Yr,0)=0,0,LOOKUP(ROUNDUP(SUM($J$7:BC$7)*BC$7/Qtrs_Yr,0),Inputs!$F$35:$I$35,Inputs!$F$36:$I$36))/Thousand/Qtrs_Yr)+Inputs!$F$66*(IF(ROUNDUP(SUM($J$7:BC$7)*BC$7/Qtrs_Yr,0)=0,0,LOOKUP(ROUNDUP(SUM($J$7:BC$7)*BC$7/Qtrs_Yr,0),Inputs!$F$35:$I$35,Inputs!$F$38:$I$38)*LOOKUP(ROUNDUP(SUM($J$7:BC$7)*BC$7/Qtrs_Yr,0),Inputs!$F$35:$I$35,Inputs!$F$36:$I$36))/Thousand/Qtrs_Yr))/Thousand+SUM(Inputs!$F$54:$F$61)*BC$7/Qtrs_Yr)*(1+LOOKUP(YEAR(BC$5),Inputs!$F$93:$I$93,Inputs!$F$94:$I$94)/Qtrs_Yr)^(COUNT($J$7:BC7))*(BC5-BB5-Inputs!$F$98)/(BC5-BB5)+((Inputs!$F$64*(IF(ROUNDUP(SUM($I$7:BB$7)*BB$7/Qtrs_Yr,0)=0,0,LOOKUP(ROUNDUP(SUM($I$7:BB$7)*BB$7/Qtrs_Yr,0),Inputs!$F$35:$I$35,Inputs!$F$36:$I$36))/Thousand/Qtrs_Yr+IF(ROUNDUP(SUM($I$7:BB$7)*BB$7/Qtrs_Yr,0)=0,0,LOOKUP(ROUNDUP(SUM($I$7:BB$7)*BB$7/Qtrs_Yr,0),Inputs!$F$35:$I$35,Inputs!$F$38:$I$38)*LOOKUP(ROUNDUP(SUM($I$7:BB$7)*BB$7/Qtrs_Yr,0),Inputs!$F$35:$I$35,Inputs!$F$36:$I$36))/Thousand/Qtrs_Yr)+Inputs!$F$65*(IF(ROUNDUP(SUM($I$7:BB$7)*BB$7/Qtrs_Yr,0)=0,0,LOOKUP(ROUNDUP(SUM($I$7:BB$7)*BB$7/Qtrs_Yr,0),Inputs!$F$35:$I$35,Inputs!$F$36:$I$36))/Thousand/Qtrs_Yr)+Inputs!$F$66*(IF(ROUNDUP(SUM($I$7:BB$7)*BB$7/Qtrs_Yr,0)=0,0,LOOKUP(ROUNDUP(SUM($I$7:BB$7)*BB$7/Qtrs_Yr,0),Inputs!$F$35:$I$35,Inputs!$F$38:$I$38)*LOOKUP(ROUNDUP(SUM($I$7:BB$7)*BB$7/Qtrs_Yr,0),Inputs!$F$35:$I$35,Inputs!$F$36:$I$36))/Thousand/Qtrs_Yr))/Thousand+SUM(Inputs!$F$54:$F$61)*BB$7/Qtrs_Yr)*(1+LOOKUP(YEAR(BC$5),Inputs!$F$93:$I$93,Inputs!$F$94:$I$94)/Qtrs_Yr)^(COUNT($I$7:BB7))*Inputs!$F$98/(BB5-BA5))-(((IF(ROUNDUP(SUM($J$7:BC$7)*BC$7/Qtrs_Yr,0)=0,0,LOOKUP(ROUNDUP(SUM($J$7:BC$7)*BC$7/Qtrs_Yr,0),Inputs!$F$35:$I$35,Inputs!$F$36:$I$36))/Thousand/Qtrs_Yr)*IF(ROUNDUP(SUM($J$7:BC$7)*BC$7/Qtrs_Yr,0)=0,0,LOOKUP(ROUNDUP(SUM($J$7:BC$7)*BC$7/Qtrs_Yr,0),Inputs!$F$41:$I$41,Inputs!$F$42:$I$42))/Grams_Oz*Inputs!$F$45)*LOOKUP(YEAR(BC$5),Inputs!$F$49:$I$49,Inputs!$F$50:$I$50)/Thousand/LOOKUP(YEAR(BC$5),Inputs!$F$89:$I$89,Inputs!$F$90:$I$90)-((Inputs!$F$64*(IF(ROUNDUP(SUM($J$7:BC$7)*BC$7/Qtrs_Yr,0)=0,0,LOOKUP(ROUNDUP(SUM($J$7:BC$7)*BC$7/Qtrs_Yr,0),Inputs!$F$35:$I$35,Inputs!$F$36:$I$36))/Thousand/Qtrs_Yr+IF(ROUNDUP(SUM($J$7:BC$7)*BC$7/Qtrs_Yr,0)=0,0,LOOKUP(ROUNDUP(SUM($J$7:BC$7)*BC$7/Qtrs_Yr,0),Inputs!$F$35:$I$35,Inputs!$F$38:$I$38)*LOOKUP(ROUNDUP(SUM($J$7:BC$7)*BC$7/Qtrs_Yr,0),Inputs!$F$35:$I$35,Inputs!$F$36:$I$36))/Thousand/Qtrs_Yr)+Inputs!$F$65*(IF(ROUNDUP(SUM($J$7:BC$7)*BC$7/Qtrs_Yr,0)=0,0,LOOKUP(ROUNDUP(SUM($J$7:BC$7)*BC$7/Qtrs_Yr,0),Inputs!$F$35:$I$35,Inputs!$F$36:$I$36))/Thousand/Qtrs_Yr)+Inputs!$F$66*(IF(ROUNDUP(SUM($J$7:BC$7)*BC$7/Qtrs_Yr,0)=0,0,LOOKUP(ROUNDUP(SUM($J$7:BC$7)*BC$7/Qtrs_Yr,0),Inputs!$F$35:$I$35,Inputs!$F$38:$I$38)*LOOKUP(ROUNDUP(SUM($J$7:BC$7)*BC$7/Qtrs_Yr,0),Inputs!$F$35:$I$35,Inputs!$F$36:$I$36))/Thousand/Qtrs_Yr))/Thousand+SUM(Inputs!$F$54:$F$61)*BC$7/Qtrs_Yr)*(1+LOOKUP(YEAR(BC$5),Inputs!$F$93:$I$93,Inputs!$F$94:$I$94)/Qtrs_Yr)^(COUNT($J$7:BC7))-Inputs!$E$29*(1+Inputs!$E$31)*BC$7/Inputs!$E$16/Qtrs_Yr-IF(OR(BC$7=0,SUM($J7:BC7)*BC7&gt;Inputs!$F$77*Qtrs_Yr),0,(Inputs!$F$71-SUM($J7:BC7,-1)*BC7*Inputs!$F$71/Inputs!$F$77/Qtrs_Yr)*(LOOKUP(YEAR(BD$5),Inputs!$F$85:$I$85,Inputs!$F$86:$I$86)+LOOKUP(ROUNDUP(SUM($J7:BD7)*BD7/Qtrs_Yr,0),Inputs!$G$73:$J$73,Inputs!$G$74:$J$74))/Qtrs_Yr))*Inputs!$F$101-IF(OR(BC$7=0,SUM($J7:BC7)*BC7&gt;Inputs!$F$77*Qtrs_Yr),0,(Inputs!$F$71-SUM($J7:BC7,-1)*BC7*Inputs!$F$71/Inputs!$F$77/Qtrs_Yr)*(LOOKUP(YEAR(BD$5),Inputs!$F$85:$I$85,Inputs!$F$86:$I$86)+LOOKUP(ROUNDUP(SUM($J7:BD7)*BD7/Qtrs_Yr,0),Inputs!$G$73:$J$73,Inputs!$G$74:$J$74))/Qtrs_Yr)-IF(OR(BC$7=0,SUM($J7:BC7)*BC7&gt;Inputs!$F$77*Qtrs_Yr),0,Inputs!$F$71/Inputs!$F$77/Qtrs_Yr)</f>
        <v>0</v>
      </c>
      <c r="BD11" s="28">
        <f>(((IF(ROUNDUP(SUM($J$7:BD$7)*BD$7/Qtrs_Yr,0)=0,0,LOOKUP(ROUNDUP(SUM($J$7:BD$7)*BD$7/Qtrs_Yr,0),Inputs!$F$35:$I$35,Inputs!$F$36:$I$36))/Thousand/Qtrs_Yr)*IF(ROUNDUP(SUM($J$7:BD$7)*BD$7/Qtrs_Yr,0)=0,0,LOOKUP(ROUNDUP(SUM($J$7:BD$7)*BD$7/Qtrs_Yr,0),Inputs!$F$41:$I$41,Inputs!$F$42:$I$42))/Grams_Oz*Inputs!$F$45)*LOOKUP(YEAR(BD$5),Inputs!$F$49:$I$49,Inputs!$F$50:$I$50)/Thousand/LOOKUP(YEAR(BD$5),Inputs!$F$89:$I$89,Inputs!$F$90:$I$90)*(BD5-BC5-Inputs!$F$97)/(BD5-BC5)+((IF(ROUNDUP(SUM($I$7:BC$7)*BC$7/Qtrs_Yr,0)=0,0,LOOKUP(ROUNDUP(SUM($I$7:BC$7)*BC$7/Qtrs_Yr,0),Inputs!$F$35:$I$35,Inputs!$F$36:$I$36))/Thousand/Qtrs_Yr)*IF(ROUNDUP(SUM($I$7:BC$7)*BC$7/Qtrs_Yr,0)=0,0,LOOKUP(ROUNDUP(SUM($I$7:BC$7)*BC$7/Qtrs_Yr,0),Inputs!$F$41:$I$41,Inputs!$F$42:$I$42))/Grams_Oz*Inputs!$F$45)*LOOKUP(YEAR(BC$5),Inputs!$F$49:$I$49,Inputs!$F$50:$I$50)/Thousand/LOOKUP(YEAR(BC$5),Inputs!$F$89:$I$89,Inputs!$F$90:$I$90)*Inputs!$F$97/(BC5-BB5))-(((Inputs!$F$64*(IF(ROUNDUP(SUM($J$7:BD$7)*BD$7/Qtrs_Yr,0)=0,0,LOOKUP(ROUNDUP(SUM($J$7:BD$7)*BD$7/Qtrs_Yr,0),Inputs!$F$35:$I$35,Inputs!$F$36:$I$36))/Thousand/Qtrs_Yr+IF(ROUNDUP(SUM($J$7:BD$7)*BD$7/Qtrs_Yr,0)=0,0,LOOKUP(ROUNDUP(SUM($J$7:BD$7)*BD$7/Qtrs_Yr,0),Inputs!$F$35:$I$35,Inputs!$F$38:$I$38)*LOOKUP(ROUNDUP(SUM($J$7:BD$7)*BD$7/Qtrs_Yr,0),Inputs!$F$35:$I$35,Inputs!$F$36:$I$36))/Thousand/Qtrs_Yr)+Inputs!$F$65*(IF(ROUNDUP(SUM($J$7:BD$7)*BD$7/Qtrs_Yr,0)=0,0,LOOKUP(ROUNDUP(SUM($J$7:BD$7)*BD$7/Qtrs_Yr,0),Inputs!$F$35:$I$35,Inputs!$F$36:$I$36))/Thousand/Qtrs_Yr)+Inputs!$F$66*(IF(ROUNDUP(SUM($J$7:BD$7)*BD$7/Qtrs_Yr,0)=0,0,LOOKUP(ROUNDUP(SUM($J$7:BD$7)*BD$7/Qtrs_Yr,0),Inputs!$F$35:$I$35,Inputs!$F$38:$I$38)*LOOKUP(ROUNDUP(SUM($J$7:BD$7)*BD$7/Qtrs_Yr,0),Inputs!$F$35:$I$35,Inputs!$F$36:$I$36))/Thousand/Qtrs_Yr))/Thousand+SUM(Inputs!$F$54:$F$61)*BD$7/Qtrs_Yr)*(1+LOOKUP(YEAR(BD$5),Inputs!$F$93:$I$93,Inputs!$F$94:$I$94)/Qtrs_Yr)^(COUNT($J$7:BD7))*(BD5-BC5-Inputs!$F$98)/(BD5-BC5)+((Inputs!$F$64*(IF(ROUNDUP(SUM($I$7:BC$7)*BC$7/Qtrs_Yr,0)=0,0,LOOKUP(ROUNDUP(SUM($I$7:BC$7)*BC$7/Qtrs_Yr,0),Inputs!$F$35:$I$35,Inputs!$F$36:$I$36))/Thousand/Qtrs_Yr+IF(ROUNDUP(SUM($I$7:BC$7)*BC$7/Qtrs_Yr,0)=0,0,LOOKUP(ROUNDUP(SUM($I$7:BC$7)*BC$7/Qtrs_Yr,0),Inputs!$F$35:$I$35,Inputs!$F$38:$I$38)*LOOKUP(ROUNDUP(SUM($I$7:BC$7)*BC$7/Qtrs_Yr,0),Inputs!$F$35:$I$35,Inputs!$F$36:$I$36))/Thousand/Qtrs_Yr)+Inputs!$F$65*(IF(ROUNDUP(SUM($I$7:BC$7)*BC$7/Qtrs_Yr,0)=0,0,LOOKUP(ROUNDUP(SUM($I$7:BC$7)*BC$7/Qtrs_Yr,0),Inputs!$F$35:$I$35,Inputs!$F$36:$I$36))/Thousand/Qtrs_Yr)+Inputs!$F$66*(IF(ROUNDUP(SUM($I$7:BC$7)*BC$7/Qtrs_Yr,0)=0,0,LOOKUP(ROUNDUP(SUM($I$7:BC$7)*BC$7/Qtrs_Yr,0),Inputs!$F$35:$I$35,Inputs!$F$38:$I$38)*LOOKUP(ROUNDUP(SUM($I$7:BC$7)*BC$7/Qtrs_Yr,0),Inputs!$F$35:$I$35,Inputs!$F$36:$I$36))/Thousand/Qtrs_Yr))/Thousand+SUM(Inputs!$F$54:$F$61)*BC$7/Qtrs_Yr)*(1+LOOKUP(YEAR(BD$5),Inputs!$F$93:$I$93,Inputs!$F$94:$I$94)/Qtrs_Yr)^(COUNT($I$7:BC7))*Inputs!$F$98/(BC5-BB5))-(((IF(ROUNDUP(SUM($J$7:BD$7)*BD$7/Qtrs_Yr,0)=0,0,LOOKUP(ROUNDUP(SUM($J$7:BD$7)*BD$7/Qtrs_Yr,0),Inputs!$F$35:$I$35,Inputs!$F$36:$I$36))/Thousand/Qtrs_Yr)*IF(ROUNDUP(SUM($J$7:BD$7)*BD$7/Qtrs_Yr,0)=0,0,LOOKUP(ROUNDUP(SUM($J$7:BD$7)*BD$7/Qtrs_Yr,0),Inputs!$F$41:$I$41,Inputs!$F$42:$I$42))/Grams_Oz*Inputs!$F$45)*LOOKUP(YEAR(BD$5),Inputs!$F$49:$I$49,Inputs!$F$50:$I$50)/Thousand/LOOKUP(YEAR(BD$5),Inputs!$F$89:$I$89,Inputs!$F$90:$I$90)-((Inputs!$F$64*(IF(ROUNDUP(SUM($J$7:BD$7)*BD$7/Qtrs_Yr,0)=0,0,LOOKUP(ROUNDUP(SUM($J$7:BD$7)*BD$7/Qtrs_Yr,0),Inputs!$F$35:$I$35,Inputs!$F$36:$I$36))/Thousand/Qtrs_Yr+IF(ROUNDUP(SUM($J$7:BD$7)*BD$7/Qtrs_Yr,0)=0,0,LOOKUP(ROUNDUP(SUM($J$7:BD$7)*BD$7/Qtrs_Yr,0),Inputs!$F$35:$I$35,Inputs!$F$38:$I$38)*LOOKUP(ROUNDUP(SUM($J$7:BD$7)*BD$7/Qtrs_Yr,0),Inputs!$F$35:$I$35,Inputs!$F$36:$I$36))/Thousand/Qtrs_Yr)+Inputs!$F$65*(IF(ROUNDUP(SUM($J$7:BD$7)*BD$7/Qtrs_Yr,0)=0,0,LOOKUP(ROUNDUP(SUM($J$7:BD$7)*BD$7/Qtrs_Yr,0),Inputs!$F$35:$I$35,Inputs!$F$36:$I$36))/Thousand/Qtrs_Yr)+Inputs!$F$66*(IF(ROUNDUP(SUM($J$7:BD$7)*BD$7/Qtrs_Yr,0)=0,0,LOOKUP(ROUNDUP(SUM($J$7:BD$7)*BD$7/Qtrs_Yr,0),Inputs!$F$35:$I$35,Inputs!$F$38:$I$38)*LOOKUP(ROUNDUP(SUM($J$7:BD$7)*BD$7/Qtrs_Yr,0),Inputs!$F$35:$I$35,Inputs!$F$36:$I$36))/Thousand/Qtrs_Yr))/Thousand+SUM(Inputs!$F$54:$F$61)*BD$7/Qtrs_Yr)*(1+LOOKUP(YEAR(BD$5),Inputs!$F$93:$I$93,Inputs!$F$94:$I$94)/Qtrs_Yr)^(COUNT($J$7:BD7))-Inputs!$E$29*(1+Inputs!$E$31)*BD$7/Inputs!$E$16/Qtrs_Yr-IF(OR(BD$7=0,SUM($J7:BD7)*BD7&gt;Inputs!$F$77*Qtrs_Yr),0,(Inputs!$F$71-SUM($J7:BD7,-1)*BD7*Inputs!$F$71/Inputs!$F$77/Qtrs_Yr)*(LOOKUP(YEAR(BE$5),Inputs!$F$85:$I$85,Inputs!$F$86:$I$86)+LOOKUP(ROUNDUP(SUM($J7:BE7)*BE7/Qtrs_Yr,0),Inputs!$G$73:$J$73,Inputs!$G$74:$J$74))/Qtrs_Yr))*Inputs!$F$101-IF(OR(BD$7=0,SUM($J7:BD7)*BD7&gt;Inputs!$F$77*Qtrs_Yr),0,(Inputs!$F$71-SUM($J7:BD7,-1)*BD7*Inputs!$F$71/Inputs!$F$77/Qtrs_Yr)*(LOOKUP(YEAR(BE$5),Inputs!$F$85:$I$85,Inputs!$F$86:$I$86)+LOOKUP(ROUNDUP(SUM($J7:BE7)*BE7/Qtrs_Yr,0),Inputs!$G$73:$J$73,Inputs!$G$74:$J$74))/Qtrs_Yr)-IF(OR(BD$7=0,SUM($J7:BD7)*BD7&gt;Inputs!$F$77*Qtrs_Yr),0,Inputs!$F$71/Inputs!$F$77/Qtrs_Yr)</f>
        <v>0</v>
      </c>
      <c r="BE11" s="28">
        <f>(((IF(ROUNDUP(SUM($J$7:BE$7)*BE$7/Qtrs_Yr,0)=0,0,LOOKUP(ROUNDUP(SUM($J$7:BE$7)*BE$7/Qtrs_Yr,0),Inputs!$F$35:$I$35,Inputs!$F$36:$I$36))/Thousand/Qtrs_Yr)*IF(ROUNDUP(SUM($J$7:BE$7)*BE$7/Qtrs_Yr,0)=0,0,LOOKUP(ROUNDUP(SUM($J$7:BE$7)*BE$7/Qtrs_Yr,0),Inputs!$F$41:$I$41,Inputs!$F$42:$I$42))/Grams_Oz*Inputs!$F$45)*LOOKUP(YEAR(BE$5),Inputs!$F$49:$I$49,Inputs!$F$50:$I$50)/Thousand/LOOKUP(YEAR(BE$5),Inputs!$F$89:$I$89,Inputs!$F$90:$I$90)*(BE5-BD5-Inputs!$F$97)/(BE5-BD5)+((IF(ROUNDUP(SUM($I$7:BD$7)*BD$7/Qtrs_Yr,0)=0,0,LOOKUP(ROUNDUP(SUM($I$7:BD$7)*BD$7/Qtrs_Yr,0),Inputs!$F$35:$I$35,Inputs!$F$36:$I$36))/Thousand/Qtrs_Yr)*IF(ROUNDUP(SUM($I$7:BD$7)*BD$7/Qtrs_Yr,0)=0,0,LOOKUP(ROUNDUP(SUM($I$7:BD$7)*BD$7/Qtrs_Yr,0),Inputs!$F$41:$I$41,Inputs!$F$42:$I$42))/Grams_Oz*Inputs!$F$45)*LOOKUP(YEAR(BD$5),Inputs!$F$49:$I$49,Inputs!$F$50:$I$50)/Thousand/LOOKUP(YEAR(BD$5),Inputs!$F$89:$I$89,Inputs!$F$90:$I$90)*Inputs!$F$97/(BD5-BC5))-(((Inputs!$F$64*(IF(ROUNDUP(SUM($J$7:BE$7)*BE$7/Qtrs_Yr,0)=0,0,LOOKUP(ROUNDUP(SUM($J$7:BE$7)*BE$7/Qtrs_Yr,0),Inputs!$F$35:$I$35,Inputs!$F$36:$I$36))/Thousand/Qtrs_Yr+IF(ROUNDUP(SUM($J$7:BE$7)*BE$7/Qtrs_Yr,0)=0,0,LOOKUP(ROUNDUP(SUM($J$7:BE$7)*BE$7/Qtrs_Yr,0),Inputs!$F$35:$I$35,Inputs!$F$38:$I$38)*LOOKUP(ROUNDUP(SUM($J$7:BE$7)*BE$7/Qtrs_Yr,0),Inputs!$F$35:$I$35,Inputs!$F$36:$I$36))/Thousand/Qtrs_Yr)+Inputs!$F$65*(IF(ROUNDUP(SUM($J$7:BE$7)*BE$7/Qtrs_Yr,0)=0,0,LOOKUP(ROUNDUP(SUM($J$7:BE$7)*BE$7/Qtrs_Yr,0),Inputs!$F$35:$I$35,Inputs!$F$36:$I$36))/Thousand/Qtrs_Yr)+Inputs!$F$66*(IF(ROUNDUP(SUM($J$7:BE$7)*BE$7/Qtrs_Yr,0)=0,0,LOOKUP(ROUNDUP(SUM($J$7:BE$7)*BE$7/Qtrs_Yr,0),Inputs!$F$35:$I$35,Inputs!$F$38:$I$38)*LOOKUP(ROUNDUP(SUM($J$7:BE$7)*BE$7/Qtrs_Yr,0),Inputs!$F$35:$I$35,Inputs!$F$36:$I$36))/Thousand/Qtrs_Yr))/Thousand+SUM(Inputs!$F$54:$F$61)*BE$7/Qtrs_Yr)*(1+LOOKUP(YEAR(BE$5),Inputs!$F$93:$I$93,Inputs!$F$94:$I$94)/Qtrs_Yr)^(COUNT($J$7:BE7))*(BE5-BD5-Inputs!$F$98)/(BE5-BD5)+((Inputs!$F$64*(IF(ROUNDUP(SUM($I$7:BD$7)*BD$7/Qtrs_Yr,0)=0,0,LOOKUP(ROUNDUP(SUM($I$7:BD$7)*BD$7/Qtrs_Yr,0),Inputs!$F$35:$I$35,Inputs!$F$36:$I$36))/Thousand/Qtrs_Yr+IF(ROUNDUP(SUM($I$7:BD$7)*BD$7/Qtrs_Yr,0)=0,0,LOOKUP(ROUNDUP(SUM($I$7:BD$7)*BD$7/Qtrs_Yr,0),Inputs!$F$35:$I$35,Inputs!$F$38:$I$38)*LOOKUP(ROUNDUP(SUM($I$7:BD$7)*BD$7/Qtrs_Yr,0),Inputs!$F$35:$I$35,Inputs!$F$36:$I$36))/Thousand/Qtrs_Yr)+Inputs!$F$65*(IF(ROUNDUP(SUM($I$7:BD$7)*BD$7/Qtrs_Yr,0)=0,0,LOOKUP(ROUNDUP(SUM($I$7:BD$7)*BD$7/Qtrs_Yr,0),Inputs!$F$35:$I$35,Inputs!$F$36:$I$36))/Thousand/Qtrs_Yr)+Inputs!$F$66*(IF(ROUNDUP(SUM($I$7:BD$7)*BD$7/Qtrs_Yr,0)=0,0,LOOKUP(ROUNDUP(SUM($I$7:BD$7)*BD$7/Qtrs_Yr,0),Inputs!$F$35:$I$35,Inputs!$F$38:$I$38)*LOOKUP(ROUNDUP(SUM($I$7:BD$7)*BD$7/Qtrs_Yr,0),Inputs!$F$35:$I$35,Inputs!$F$36:$I$36))/Thousand/Qtrs_Yr))/Thousand+SUM(Inputs!$F$54:$F$61)*BD$7/Qtrs_Yr)*(1+LOOKUP(YEAR(BE$5),Inputs!$F$93:$I$93,Inputs!$F$94:$I$94)/Qtrs_Yr)^(COUNT($I$7:BD7))*Inputs!$F$98/(BD5-BC5))-(((IF(ROUNDUP(SUM($J$7:BE$7)*BE$7/Qtrs_Yr,0)=0,0,LOOKUP(ROUNDUP(SUM($J$7:BE$7)*BE$7/Qtrs_Yr,0),Inputs!$F$35:$I$35,Inputs!$F$36:$I$36))/Thousand/Qtrs_Yr)*IF(ROUNDUP(SUM($J$7:BE$7)*BE$7/Qtrs_Yr,0)=0,0,LOOKUP(ROUNDUP(SUM($J$7:BE$7)*BE$7/Qtrs_Yr,0),Inputs!$F$41:$I$41,Inputs!$F$42:$I$42))/Grams_Oz*Inputs!$F$45)*LOOKUP(YEAR(BE$5),Inputs!$F$49:$I$49,Inputs!$F$50:$I$50)/Thousand/LOOKUP(YEAR(BE$5),Inputs!$F$89:$I$89,Inputs!$F$90:$I$90)-((Inputs!$F$64*(IF(ROUNDUP(SUM($J$7:BE$7)*BE$7/Qtrs_Yr,0)=0,0,LOOKUP(ROUNDUP(SUM($J$7:BE$7)*BE$7/Qtrs_Yr,0),Inputs!$F$35:$I$35,Inputs!$F$36:$I$36))/Thousand/Qtrs_Yr+IF(ROUNDUP(SUM($J$7:BE$7)*BE$7/Qtrs_Yr,0)=0,0,LOOKUP(ROUNDUP(SUM($J$7:BE$7)*BE$7/Qtrs_Yr,0),Inputs!$F$35:$I$35,Inputs!$F$38:$I$38)*LOOKUP(ROUNDUP(SUM($J$7:BE$7)*BE$7/Qtrs_Yr,0),Inputs!$F$35:$I$35,Inputs!$F$36:$I$36))/Thousand/Qtrs_Yr)+Inputs!$F$65*(IF(ROUNDUP(SUM($J$7:BE$7)*BE$7/Qtrs_Yr,0)=0,0,LOOKUP(ROUNDUP(SUM($J$7:BE$7)*BE$7/Qtrs_Yr,0),Inputs!$F$35:$I$35,Inputs!$F$36:$I$36))/Thousand/Qtrs_Yr)+Inputs!$F$66*(IF(ROUNDUP(SUM($J$7:BE$7)*BE$7/Qtrs_Yr,0)=0,0,LOOKUP(ROUNDUP(SUM($J$7:BE$7)*BE$7/Qtrs_Yr,0),Inputs!$F$35:$I$35,Inputs!$F$38:$I$38)*LOOKUP(ROUNDUP(SUM($J$7:BE$7)*BE$7/Qtrs_Yr,0),Inputs!$F$35:$I$35,Inputs!$F$36:$I$36))/Thousand/Qtrs_Yr))/Thousand+SUM(Inputs!$F$54:$F$61)*BE$7/Qtrs_Yr)*(1+LOOKUP(YEAR(BE$5),Inputs!$F$93:$I$93,Inputs!$F$94:$I$94)/Qtrs_Yr)^(COUNT($J$7:BE7))-Inputs!$E$29*(1+Inputs!$E$31)*BE$7/Inputs!$E$16/Qtrs_Yr-IF(OR(BE$7=0,SUM($J7:BE7)*BE7&gt;Inputs!$F$77*Qtrs_Yr),0,(Inputs!$F$71-SUM($J7:BE7,-1)*BE7*Inputs!$F$71/Inputs!$F$77/Qtrs_Yr)*(LOOKUP(YEAR(BF$5),Inputs!$F$85:$I$85,Inputs!$F$86:$I$86)+LOOKUP(ROUNDUP(SUM($J7:BF7)*BF7/Qtrs_Yr,0),Inputs!$G$73:$J$73,Inputs!$G$74:$J$74))/Qtrs_Yr))*Inputs!$F$101-IF(OR(BE$7=0,SUM($J7:BE7)*BE7&gt;Inputs!$F$77*Qtrs_Yr),0,(Inputs!$F$71-SUM($J7:BE7,-1)*BE7*Inputs!$F$71/Inputs!$F$77/Qtrs_Yr)*(LOOKUP(YEAR(BF$5),Inputs!$F$85:$I$85,Inputs!$F$86:$I$86)+LOOKUP(ROUNDUP(SUM($J7:BF7)*BF7/Qtrs_Yr,0),Inputs!$G$73:$J$73,Inputs!$G$74:$J$74))/Qtrs_Yr)-IF(OR(BE$7=0,SUM($J7:BE7)*BE7&gt;Inputs!$F$77*Qtrs_Yr),0,Inputs!$F$71/Inputs!$F$77/Qtrs_Yr)</f>
        <v>0</v>
      </c>
      <c r="BF11" s="28">
        <f>(((IF(ROUNDUP(SUM($J$7:BF$7)*BF$7/Qtrs_Yr,0)=0,0,LOOKUP(ROUNDUP(SUM($J$7:BF$7)*BF$7/Qtrs_Yr,0),Inputs!$F$35:$I$35,Inputs!$F$36:$I$36))/Thousand/Qtrs_Yr)*IF(ROUNDUP(SUM($J$7:BF$7)*BF$7/Qtrs_Yr,0)=0,0,LOOKUP(ROUNDUP(SUM($J$7:BF$7)*BF$7/Qtrs_Yr,0),Inputs!$F$41:$I$41,Inputs!$F$42:$I$42))/Grams_Oz*Inputs!$F$45)*LOOKUP(YEAR(BF$5),Inputs!$F$49:$I$49,Inputs!$F$50:$I$50)/Thousand/LOOKUP(YEAR(BF$5),Inputs!$F$89:$I$89,Inputs!$F$90:$I$90)*(BF5-BE5-Inputs!$F$97)/(BF5-BE5)+((IF(ROUNDUP(SUM($I$7:BE$7)*BE$7/Qtrs_Yr,0)=0,0,LOOKUP(ROUNDUP(SUM($I$7:BE$7)*BE$7/Qtrs_Yr,0),Inputs!$F$35:$I$35,Inputs!$F$36:$I$36))/Thousand/Qtrs_Yr)*IF(ROUNDUP(SUM($I$7:BE$7)*BE$7/Qtrs_Yr,0)=0,0,LOOKUP(ROUNDUP(SUM($I$7:BE$7)*BE$7/Qtrs_Yr,0),Inputs!$F$41:$I$41,Inputs!$F$42:$I$42))/Grams_Oz*Inputs!$F$45)*LOOKUP(YEAR(BE$5),Inputs!$F$49:$I$49,Inputs!$F$50:$I$50)/Thousand/LOOKUP(YEAR(BE$5),Inputs!$F$89:$I$89,Inputs!$F$90:$I$90)*Inputs!$F$97/(BE5-BD5))-(((Inputs!$F$64*(IF(ROUNDUP(SUM($J$7:BF$7)*BF$7/Qtrs_Yr,0)=0,0,LOOKUP(ROUNDUP(SUM($J$7:BF$7)*BF$7/Qtrs_Yr,0),Inputs!$F$35:$I$35,Inputs!$F$36:$I$36))/Thousand/Qtrs_Yr+IF(ROUNDUP(SUM($J$7:BF$7)*BF$7/Qtrs_Yr,0)=0,0,LOOKUP(ROUNDUP(SUM($J$7:BF$7)*BF$7/Qtrs_Yr,0),Inputs!$F$35:$I$35,Inputs!$F$38:$I$38)*LOOKUP(ROUNDUP(SUM($J$7:BF$7)*BF$7/Qtrs_Yr,0),Inputs!$F$35:$I$35,Inputs!$F$36:$I$36))/Thousand/Qtrs_Yr)+Inputs!$F$65*(IF(ROUNDUP(SUM($J$7:BF$7)*BF$7/Qtrs_Yr,0)=0,0,LOOKUP(ROUNDUP(SUM($J$7:BF$7)*BF$7/Qtrs_Yr,0),Inputs!$F$35:$I$35,Inputs!$F$36:$I$36))/Thousand/Qtrs_Yr)+Inputs!$F$66*(IF(ROUNDUP(SUM($J$7:BF$7)*BF$7/Qtrs_Yr,0)=0,0,LOOKUP(ROUNDUP(SUM($J$7:BF$7)*BF$7/Qtrs_Yr,0),Inputs!$F$35:$I$35,Inputs!$F$38:$I$38)*LOOKUP(ROUNDUP(SUM($J$7:BF$7)*BF$7/Qtrs_Yr,0),Inputs!$F$35:$I$35,Inputs!$F$36:$I$36))/Thousand/Qtrs_Yr))/Thousand+SUM(Inputs!$F$54:$F$61)*BF$7/Qtrs_Yr)*(1+LOOKUP(YEAR(BF$5),Inputs!$F$93:$I$93,Inputs!$F$94:$I$94)/Qtrs_Yr)^(COUNT($J$7:BF7))*(BF5-BE5-Inputs!$F$98)/(BF5-BE5)+((Inputs!$F$64*(IF(ROUNDUP(SUM($I$7:BE$7)*BE$7/Qtrs_Yr,0)=0,0,LOOKUP(ROUNDUP(SUM($I$7:BE$7)*BE$7/Qtrs_Yr,0),Inputs!$F$35:$I$35,Inputs!$F$36:$I$36))/Thousand/Qtrs_Yr+IF(ROUNDUP(SUM($I$7:BE$7)*BE$7/Qtrs_Yr,0)=0,0,LOOKUP(ROUNDUP(SUM($I$7:BE$7)*BE$7/Qtrs_Yr,0),Inputs!$F$35:$I$35,Inputs!$F$38:$I$38)*LOOKUP(ROUNDUP(SUM($I$7:BE$7)*BE$7/Qtrs_Yr,0),Inputs!$F$35:$I$35,Inputs!$F$36:$I$36))/Thousand/Qtrs_Yr)+Inputs!$F$65*(IF(ROUNDUP(SUM($I$7:BE$7)*BE$7/Qtrs_Yr,0)=0,0,LOOKUP(ROUNDUP(SUM($I$7:BE$7)*BE$7/Qtrs_Yr,0),Inputs!$F$35:$I$35,Inputs!$F$36:$I$36))/Thousand/Qtrs_Yr)+Inputs!$F$66*(IF(ROUNDUP(SUM($I$7:BE$7)*BE$7/Qtrs_Yr,0)=0,0,LOOKUP(ROUNDUP(SUM($I$7:BE$7)*BE$7/Qtrs_Yr,0),Inputs!$F$35:$I$35,Inputs!$F$38:$I$38)*LOOKUP(ROUNDUP(SUM($I$7:BE$7)*BE$7/Qtrs_Yr,0),Inputs!$F$35:$I$35,Inputs!$F$36:$I$36))/Thousand/Qtrs_Yr))/Thousand+SUM(Inputs!$F$54:$F$61)*BE$7/Qtrs_Yr)*(1+LOOKUP(YEAR(BF$5),Inputs!$F$93:$I$93,Inputs!$F$94:$I$94)/Qtrs_Yr)^(COUNT($I$7:BE7))*Inputs!$F$98/(BE5-BD5))-(((IF(ROUNDUP(SUM($J$7:BF$7)*BF$7/Qtrs_Yr,0)=0,0,LOOKUP(ROUNDUP(SUM($J$7:BF$7)*BF$7/Qtrs_Yr,0),Inputs!$F$35:$I$35,Inputs!$F$36:$I$36))/Thousand/Qtrs_Yr)*IF(ROUNDUP(SUM($J$7:BF$7)*BF$7/Qtrs_Yr,0)=0,0,LOOKUP(ROUNDUP(SUM($J$7:BF$7)*BF$7/Qtrs_Yr,0),Inputs!$F$41:$I$41,Inputs!$F$42:$I$42))/Grams_Oz*Inputs!$F$45)*LOOKUP(YEAR(BF$5),Inputs!$F$49:$I$49,Inputs!$F$50:$I$50)/Thousand/LOOKUP(YEAR(BF$5),Inputs!$F$89:$I$89,Inputs!$F$90:$I$90)-((Inputs!$F$64*(IF(ROUNDUP(SUM($J$7:BF$7)*BF$7/Qtrs_Yr,0)=0,0,LOOKUP(ROUNDUP(SUM($J$7:BF$7)*BF$7/Qtrs_Yr,0),Inputs!$F$35:$I$35,Inputs!$F$36:$I$36))/Thousand/Qtrs_Yr+IF(ROUNDUP(SUM($J$7:BF$7)*BF$7/Qtrs_Yr,0)=0,0,LOOKUP(ROUNDUP(SUM($J$7:BF$7)*BF$7/Qtrs_Yr,0),Inputs!$F$35:$I$35,Inputs!$F$38:$I$38)*LOOKUP(ROUNDUP(SUM($J$7:BF$7)*BF$7/Qtrs_Yr,0),Inputs!$F$35:$I$35,Inputs!$F$36:$I$36))/Thousand/Qtrs_Yr)+Inputs!$F$65*(IF(ROUNDUP(SUM($J$7:BF$7)*BF$7/Qtrs_Yr,0)=0,0,LOOKUP(ROUNDUP(SUM($J$7:BF$7)*BF$7/Qtrs_Yr,0),Inputs!$F$35:$I$35,Inputs!$F$36:$I$36))/Thousand/Qtrs_Yr)+Inputs!$F$66*(IF(ROUNDUP(SUM($J$7:BF$7)*BF$7/Qtrs_Yr,0)=0,0,LOOKUP(ROUNDUP(SUM($J$7:BF$7)*BF$7/Qtrs_Yr,0),Inputs!$F$35:$I$35,Inputs!$F$38:$I$38)*LOOKUP(ROUNDUP(SUM($J$7:BF$7)*BF$7/Qtrs_Yr,0),Inputs!$F$35:$I$35,Inputs!$F$36:$I$36))/Thousand/Qtrs_Yr))/Thousand+SUM(Inputs!$F$54:$F$61)*BF$7/Qtrs_Yr)*(1+LOOKUP(YEAR(BF$5),Inputs!$F$93:$I$93,Inputs!$F$94:$I$94)/Qtrs_Yr)^(COUNT($J$7:BF7))-Inputs!$E$29*(1+Inputs!$E$31)*BF$7/Inputs!$E$16/Qtrs_Yr-IF(OR(BF$7=0,SUM($J7:BF7)*BF7&gt;Inputs!$F$77*Qtrs_Yr),0,(Inputs!$F$71-SUM($J7:BF7,-1)*BF7*Inputs!$F$71/Inputs!$F$77/Qtrs_Yr)*(LOOKUP(YEAR(BG$5),Inputs!$F$85:$I$85,Inputs!$F$86:$I$86)+LOOKUP(ROUNDUP(SUM($J7:BG7)*BG7/Qtrs_Yr,0),Inputs!$G$73:$J$73,Inputs!$G$74:$J$74))/Qtrs_Yr))*Inputs!$F$101-IF(OR(BF$7=0,SUM($J7:BF7)*BF7&gt;Inputs!$F$77*Qtrs_Yr),0,(Inputs!$F$71-SUM($J7:BF7,-1)*BF7*Inputs!$F$71/Inputs!$F$77/Qtrs_Yr)*(LOOKUP(YEAR(BG$5),Inputs!$F$85:$I$85,Inputs!$F$86:$I$86)+LOOKUP(ROUNDUP(SUM($J7:BG7)*BG7/Qtrs_Yr,0),Inputs!$G$73:$J$73,Inputs!$G$74:$J$74))/Qtrs_Yr)-IF(OR(BF$7=0,SUM($J7:BF7)*BF7&gt;Inputs!$F$77*Qtrs_Yr),0,Inputs!$F$71/Inputs!$F$77/Qtrs_Yr)</f>
        <v>0</v>
      </c>
      <c r="BG11" s="28">
        <f>(((IF(ROUNDUP(SUM($J$7:BG$7)*BG$7/Qtrs_Yr,0)=0,0,LOOKUP(ROUNDUP(SUM($J$7:BG$7)*BG$7/Qtrs_Yr,0),Inputs!$F$35:$I$35,Inputs!$F$36:$I$36))/Thousand/Qtrs_Yr)*IF(ROUNDUP(SUM($J$7:BG$7)*BG$7/Qtrs_Yr,0)=0,0,LOOKUP(ROUNDUP(SUM($J$7:BG$7)*BG$7/Qtrs_Yr,0),Inputs!$F$41:$I$41,Inputs!$F$42:$I$42))/Grams_Oz*Inputs!$F$45)*LOOKUP(YEAR(BG$5),Inputs!$F$49:$I$49,Inputs!$F$50:$I$50)/Thousand/LOOKUP(YEAR(BG$5),Inputs!$F$89:$I$89,Inputs!$F$90:$I$90)*(BG5-BF5-Inputs!$F$97)/(BG5-BF5)+((IF(ROUNDUP(SUM($I$7:BF$7)*BF$7/Qtrs_Yr,0)=0,0,LOOKUP(ROUNDUP(SUM($I$7:BF$7)*BF$7/Qtrs_Yr,0),Inputs!$F$35:$I$35,Inputs!$F$36:$I$36))/Thousand/Qtrs_Yr)*IF(ROUNDUP(SUM($I$7:BF$7)*BF$7/Qtrs_Yr,0)=0,0,LOOKUP(ROUNDUP(SUM($I$7:BF$7)*BF$7/Qtrs_Yr,0),Inputs!$F$41:$I$41,Inputs!$F$42:$I$42))/Grams_Oz*Inputs!$F$45)*LOOKUP(YEAR(BF$5),Inputs!$F$49:$I$49,Inputs!$F$50:$I$50)/Thousand/LOOKUP(YEAR(BF$5),Inputs!$F$89:$I$89,Inputs!$F$90:$I$90)*Inputs!$F$97/(BF5-BE5))-(((Inputs!$F$64*(IF(ROUNDUP(SUM($J$7:BG$7)*BG$7/Qtrs_Yr,0)=0,0,LOOKUP(ROUNDUP(SUM($J$7:BG$7)*BG$7/Qtrs_Yr,0),Inputs!$F$35:$I$35,Inputs!$F$36:$I$36))/Thousand/Qtrs_Yr+IF(ROUNDUP(SUM($J$7:BG$7)*BG$7/Qtrs_Yr,0)=0,0,LOOKUP(ROUNDUP(SUM($J$7:BG$7)*BG$7/Qtrs_Yr,0),Inputs!$F$35:$I$35,Inputs!$F$38:$I$38)*LOOKUP(ROUNDUP(SUM($J$7:BG$7)*BG$7/Qtrs_Yr,0),Inputs!$F$35:$I$35,Inputs!$F$36:$I$36))/Thousand/Qtrs_Yr)+Inputs!$F$65*(IF(ROUNDUP(SUM($J$7:BG$7)*BG$7/Qtrs_Yr,0)=0,0,LOOKUP(ROUNDUP(SUM($J$7:BG$7)*BG$7/Qtrs_Yr,0),Inputs!$F$35:$I$35,Inputs!$F$36:$I$36))/Thousand/Qtrs_Yr)+Inputs!$F$66*(IF(ROUNDUP(SUM($J$7:BG$7)*BG$7/Qtrs_Yr,0)=0,0,LOOKUP(ROUNDUP(SUM($J$7:BG$7)*BG$7/Qtrs_Yr,0),Inputs!$F$35:$I$35,Inputs!$F$38:$I$38)*LOOKUP(ROUNDUP(SUM($J$7:BG$7)*BG$7/Qtrs_Yr,0),Inputs!$F$35:$I$35,Inputs!$F$36:$I$36))/Thousand/Qtrs_Yr))/Thousand+SUM(Inputs!$F$54:$F$61)*BG$7/Qtrs_Yr)*(1+LOOKUP(YEAR(BG$5),Inputs!$F$93:$I$93,Inputs!$F$94:$I$94)/Qtrs_Yr)^(COUNT($J$7:BG7))*(BG5-BF5-Inputs!$F$98)/(BG5-BF5)+((Inputs!$F$64*(IF(ROUNDUP(SUM($I$7:BF$7)*BF$7/Qtrs_Yr,0)=0,0,LOOKUP(ROUNDUP(SUM($I$7:BF$7)*BF$7/Qtrs_Yr,0),Inputs!$F$35:$I$35,Inputs!$F$36:$I$36))/Thousand/Qtrs_Yr+IF(ROUNDUP(SUM($I$7:BF$7)*BF$7/Qtrs_Yr,0)=0,0,LOOKUP(ROUNDUP(SUM($I$7:BF$7)*BF$7/Qtrs_Yr,0),Inputs!$F$35:$I$35,Inputs!$F$38:$I$38)*LOOKUP(ROUNDUP(SUM($I$7:BF$7)*BF$7/Qtrs_Yr,0),Inputs!$F$35:$I$35,Inputs!$F$36:$I$36))/Thousand/Qtrs_Yr)+Inputs!$F$65*(IF(ROUNDUP(SUM($I$7:BF$7)*BF$7/Qtrs_Yr,0)=0,0,LOOKUP(ROUNDUP(SUM($I$7:BF$7)*BF$7/Qtrs_Yr,0),Inputs!$F$35:$I$35,Inputs!$F$36:$I$36))/Thousand/Qtrs_Yr)+Inputs!$F$66*(IF(ROUNDUP(SUM($I$7:BF$7)*BF$7/Qtrs_Yr,0)=0,0,LOOKUP(ROUNDUP(SUM($I$7:BF$7)*BF$7/Qtrs_Yr,0),Inputs!$F$35:$I$35,Inputs!$F$38:$I$38)*LOOKUP(ROUNDUP(SUM($I$7:BF$7)*BF$7/Qtrs_Yr,0),Inputs!$F$35:$I$35,Inputs!$F$36:$I$36))/Thousand/Qtrs_Yr))/Thousand+SUM(Inputs!$F$54:$F$61)*BF$7/Qtrs_Yr)*(1+LOOKUP(YEAR(BG$5),Inputs!$F$93:$I$93,Inputs!$F$94:$I$94)/Qtrs_Yr)^(COUNT($I$7:BF7))*Inputs!$F$98/(BF5-BE5))-(((IF(ROUNDUP(SUM($J$7:BG$7)*BG$7/Qtrs_Yr,0)=0,0,LOOKUP(ROUNDUP(SUM($J$7:BG$7)*BG$7/Qtrs_Yr,0),Inputs!$F$35:$I$35,Inputs!$F$36:$I$36))/Thousand/Qtrs_Yr)*IF(ROUNDUP(SUM($J$7:BG$7)*BG$7/Qtrs_Yr,0)=0,0,LOOKUP(ROUNDUP(SUM($J$7:BG$7)*BG$7/Qtrs_Yr,0),Inputs!$F$41:$I$41,Inputs!$F$42:$I$42))/Grams_Oz*Inputs!$F$45)*LOOKUP(YEAR(BG$5),Inputs!$F$49:$I$49,Inputs!$F$50:$I$50)/Thousand/LOOKUP(YEAR(BG$5),Inputs!$F$89:$I$89,Inputs!$F$90:$I$90)-((Inputs!$F$64*(IF(ROUNDUP(SUM($J$7:BG$7)*BG$7/Qtrs_Yr,0)=0,0,LOOKUP(ROUNDUP(SUM($J$7:BG$7)*BG$7/Qtrs_Yr,0),Inputs!$F$35:$I$35,Inputs!$F$36:$I$36))/Thousand/Qtrs_Yr+IF(ROUNDUP(SUM($J$7:BG$7)*BG$7/Qtrs_Yr,0)=0,0,LOOKUP(ROUNDUP(SUM($J$7:BG$7)*BG$7/Qtrs_Yr,0),Inputs!$F$35:$I$35,Inputs!$F$38:$I$38)*LOOKUP(ROUNDUP(SUM($J$7:BG$7)*BG$7/Qtrs_Yr,0),Inputs!$F$35:$I$35,Inputs!$F$36:$I$36))/Thousand/Qtrs_Yr)+Inputs!$F$65*(IF(ROUNDUP(SUM($J$7:BG$7)*BG$7/Qtrs_Yr,0)=0,0,LOOKUP(ROUNDUP(SUM($J$7:BG$7)*BG$7/Qtrs_Yr,0),Inputs!$F$35:$I$35,Inputs!$F$36:$I$36))/Thousand/Qtrs_Yr)+Inputs!$F$66*(IF(ROUNDUP(SUM($J$7:BG$7)*BG$7/Qtrs_Yr,0)=0,0,LOOKUP(ROUNDUP(SUM($J$7:BG$7)*BG$7/Qtrs_Yr,0),Inputs!$F$35:$I$35,Inputs!$F$38:$I$38)*LOOKUP(ROUNDUP(SUM($J$7:BG$7)*BG$7/Qtrs_Yr,0),Inputs!$F$35:$I$35,Inputs!$F$36:$I$36))/Thousand/Qtrs_Yr))/Thousand+SUM(Inputs!$F$54:$F$61)*BG$7/Qtrs_Yr)*(1+LOOKUP(YEAR(BG$5),Inputs!$F$93:$I$93,Inputs!$F$94:$I$94)/Qtrs_Yr)^(COUNT($J$7:BG7))-Inputs!$E$29*(1+Inputs!$E$31)*BG$7/Inputs!$E$16/Qtrs_Yr-IF(OR(BG$7=0,SUM($J7:BG7)*BG7&gt;Inputs!$F$77*Qtrs_Yr),0,(Inputs!$F$71-SUM($J7:BG7,-1)*BG7*Inputs!$F$71/Inputs!$F$77/Qtrs_Yr)*(LOOKUP(YEAR(BH$5),Inputs!$F$85:$I$85,Inputs!$F$86:$I$86)+LOOKUP(ROUNDUP(SUM($J7:BH7)*BH7/Qtrs_Yr,0),Inputs!$G$73:$J$73,Inputs!$G$74:$J$74))/Qtrs_Yr))*Inputs!$F$101-IF(OR(BG$7=0,SUM($J7:BG7)*BG7&gt;Inputs!$F$77*Qtrs_Yr),0,(Inputs!$F$71-SUM($J7:BG7,-1)*BG7*Inputs!$F$71/Inputs!$F$77/Qtrs_Yr)*(LOOKUP(YEAR(BH$5),Inputs!$F$85:$I$85,Inputs!$F$86:$I$86)+LOOKUP(ROUNDUP(SUM($J7:BH7)*BH7/Qtrs_Yr,0),Inputs!$G$73:$J$73,Inputs!$G$74:$J$74))/Qtrs_Yr)-IF(OR(BG$7=0,SUM($J7:BG7)*BG7&gt;Inputs!$F$77*Qtrs_Yr),0,Inputs!$F$71/Inputs!$F$77/Qtrs_Yr)</f>
        <v>0</v>
      </c>
      <c r="BH11" s="28">
        <f>(((IF(ROUNDUP(SUM($J$7:BH$7)*BH$7/Qtrs_Yr,0)=0,0,LOOKUP(ROUNDUP(SUM($J$7:BH$7)*BH$7/Qtrs_Yr,0),Inputs!$F$35:$I$35,Inputs!$F$36:$I$36))/Thousand/Qtrs_Yr)*IF(ROUNDUP(SUM($J$7:BH$7)*BH$7/Qtrs_Yr,0)=0,0,LOOKUP(ROUNDUP(SUM($J$7:BH$7)*BH$7/Qtrs_Yr,0),Inputs!$F$41:$I$41,Inputs!$F$42:$I$42))/Grams_Oz*Inputs!$F$45)*LOOKUP(YEAR(BH$5),Inputs!$F$49:$I$49,Inputs!$F$50:$I$50)/Thousand/LOOKUP(YEAR(BH$5),Inputs!$F$89:$I$89,Inputs!$F$90:$I$90)*(BH5-BG5-Inputs!$F$97)/(BH5-BG5)+((IF(ROUNDUP(SUM($I$7:BG$7)*BG$7/Qtrs_Yr,0)=0,0,LOOKUP(ROUNDUP(SUM($I$7:BG$7)*BG$7/Qtrs_Yr,0),Inputs!$F$35:$I$35,Inputs!$F$36:$I$36))/Thousand/Qtrs_Yr)*IF(ROUNDUP(SUM($I$7:BG$7)*BG$7/Qtrs_Yr,0)=0,0,LOOKUP(ROUNDUP(SUM($I$7:BG$7)*BG$7/Qtrs_Yr,0),Inputs!$F$41:$I$41,Inputs!$F$42:$I$42))/Grams_Oz*Inputs!$F$45)*LOOKUP(YEAR(BG$5),Inputs!$F$49:$I$49,Inputs!$F$50:$I$50)/Thousand/LOOKUP(YEAR(BG$5),Inputs!$F$89:$I$89,Inputs!$F$90:$I$90)*Inputs!$F$97/(BG5-BF5))-(((Inputs!$F$64*(IF(ROUNDUP(SUM($J$7:BH$7)*BH$7/Qtrs_Yr,0)=0,0,LOOKUP(ROUNDUP(SUM($J$7:BH$7)*BH$7/Qtrs_Yr,0),Inputs!$F$35:$I$35,Inputs!$F$36:$I$36))/Thousand/Qtrs_Yr+IF(ROUNDUP(SUM($J$7:BH$7)*BH$7/Qtrs_Yr,0)=0,0,LOOKUP(ROUNDUP(SUM($J$7:BH$7)*BH$7/Qtrs_Yr,0),Inputs!$F$35:$I$35,Inputs!$F$38:$I$38)*LOOKUP(ROUNDUP(SUM($J$7:BH$7)*BH$7/Qtrs_Yr,0),Inputs!$F$35:$I$35,Inputs!$F$36:$I$36))/Thousand/Qtrs_Yr)+Inputs!$F$65*(IF(ROUNDUP(SUM($J$7:BH$7)*BH$7/Qtrs_Yr,0)=0,0,LOOKUP(ROUNDUP(SUM($J$7:BH$7)*BH$7/Qtrs_Yr,0),Inputs!$F$35:$I$35,Inputs!$F$36:$I$36))/Thousand/Qtrs_Yr)+Inputs!$F$66*(IF(ROUNDUP(SUM($J$7:BH$7)*BH$7/Qtrs_Yr,0)=0,0,LOOKUP(ROUNDUP(SUM($J$7:BH$7)*BH$7/Qtrs_Yr,0),Inputs!$F$35:$I$35,Inputs!$F$38:$I$38)*LOOKUP(ROUNDUP(SUM($J$7:BH$7)*BH$7/Qtrs_Yr,0),Inputs!$F$35:$I$35,Inputs!$F$36:$I$36))/Thousand/Qtrs_Yr))/Thousand+SUM(Inputs!$F$54:$F$61)*BH$7/Qtrs_Yr)*(1+LOOKUP(YEAR(BH$5),Inputs!$F$93:$I$93,Inputs!$F$94:$I$94)/Qtrs_Yr)^(COUNT($J$7:BH7))*(BH5-BG5-Inputs!$F$98)/(BH5-BG5)+((Inputs!$F$64*(IF(ROUNDUP(SUM($I$7:BG$7)*BG$7/Qtrs_Yr,0)=0,0,LOOKUP(ROUNDUP(SUM($I$7:BG$7)*BG$7/Qtrs_Yr,0),Inputs!$F$35:$I$35,Inputs!$F$36:$I$36))/Thousand/Qtrs_Yr+IF(ROUNDUP(SUM($I$7:BG$7)*BG$7/Qtrs_Yr,0)=0,0,LOOKUP(ROUNDUP(SUM($I$7:BG$7)*BG$7/Qtrs_Yr,0),Inputs!$F$35:$I$35,Inputs!$F$38:$I$38)*LOOKUP(ROUNDUP(SUM($I$7:BG$7)*BG$7/Qtrs_Yr,0),Inputs!$F$35:$I$35,Inputs!$F$36:$I$36))/Thousand/Qtrs_Yr)+Inputs!$F$65*(IF(ROUNDUP(SUM($I$7:BG$7)*BG$7/Qtrs_Yr,0)=0,0,LOOKUP(ROUNDUP(SUM($I$7:BG$7)*BG$7/Qtrs_Yr,0),Inputs!$F$35:$I$35,Inputs!$F$36:$I$36))/Thousand/Qtrs_Yr)+Inputs!$F$66*(IF(ROUNDUP(SUM($I$7:BG$7)*BG$7/Qtrs_Yr,0)=0,0,LOOKUP(ROUNDUP(SUM($I$7:BG$7)*BG$7/Qtrs_Yr,0),Inputs!$F$35:$I$35,Inputs!$F$38:$I$38)*LOOKUP(ROUNDUP(SUM($I$7:BG$7)*BG$7/Qtrs_Yr,0),Inputs!$F$35:$I$35,Inputs!$F$36:$I$36))/Thousand/Qtrs_Yr))/Thousand+SUM(Inputs!$F$54:$F$61)*BG$7/Qtrs_Yr)*(1+LOOKUP(YEAR(BH$5),Inputs!$F$93:$I$93,Inputs!$F$94:$I$94)/Qtrs_Yr)^(COUNT($I$7:BG7))*Inputs!$F$98/(BG5-BF5))-(((IF(ROUNDUP(SUM($J$7:BH$7)*BH$7/Qtrs_Yr,0)=0,0,LOOKUP(ROUNDUP(SUM($J$7:BH$7)*BH$7/Qtrs_Yr,0),Inputs!$F$35:$I$35,Inputs!$F$36:$I$36))/Thousand/Qtrs_Yr)*IF(ROUNDUP(SUM($J$7:BH$7)*BH$7/Qtrs_Yr,0)=0,0,LOOKUP(ROUNDUP(SUM($J$7:BH$7)*BH$7/Qtrs_Yr,0),Inputs!$F$41:$I$41,Inputs!$F$42:$I$42))/Grams_Oz*Inputs!$F$45)*LOOKUP(YEAR(BH$5),Inputs!$F$49:$I$49,Inputs!$F$50:$I$50)/Thousand/LOOKUP(YEAR(BH$5),Inputs!$F$89:$I$89,Inputs!$F$90:$I$90)-((Inputs!$F$64*(IF(ROUNDUP(SUM($J$7:BH$7)*BH$7/Qtrs_Yr,0)=0,0,LOOKUP(ROUNDUP(SUM($J$7:BH$7)*BH$7/Qtrs_Yr,0),Inputs!$F$35:$I$35,Inputs!$F$36:$I$36))/Thousand/Qtrs_Yr+IF(ROUNDUP(SUM($J$7:BH$7)*BH$7/Qtrs_Yr,0)=0,0,LOOKUP(ROUNDUP(SUM($J$7:BH$7)*BH$7/Qtrs_Yr,0),Inputs!$F$35:$I$35,Inputs!$F$38:$I$38)*LOOKUP(ROUNDUP(SUM($J$7:BH$7)*BH$7/Qtrs_Yr,0),Inputs!$F$35:$I$35,Inputs!$F$36:$I$36))/Thousand/Qtrs_Yr)+Inputs!$F$65*(IF(ROUNDUP(SUM($J$7:BH$7)*BH$7/Qtrs_Yr,0)=0,0,LOOKUP(ROUNDUP(SUM($J$7:BH$7)*BH$7/Qtrs_Yr,0),Inputs!$F$35:$I$35,Inputs!$F$36:$I$36))/Thousand/Qtrs_Yr)+Inputs!$F$66*(IF(ROUNDUP(SUM($J$7:BH$7)*BH$7/Qtrs_Yr,0)=0,0,LOOKUP(ROUNDUP(SUM($J$7:BH$7)*BH$7/Qtrs_Yr,0),Inputs!$F$35:$I$35,Inputs!$F$38:$I$38)*LOOKUP(ROUNDUP(SUM($J$7:BH$7)*BH$7/Qtrs_Yr,0),Inputs!$F$35:$I$35,Inputs!$F$36:$I$36))/Thousand/Qtrs_Yr))/Thousand+SUM(Inputs!$F$54:$F$61)*BH$7/Qtrs_Yr)*(1+LOOKUP(YEAR(BH$5),Inputs!$F$93:$I$93,Inputs!$F$94:$I$94)/Qtrs_Yr)^(COUNT($J$7:BH7))-Inputs!$E$29*(1+Inputs!$E$31)*BH$7/Inputs!$E$16/Qtrs_Yr-IF(OR(BH$7=0,SUM($J7:BH7)*BH7&gt;Inputs!$F$77*Qtrs_Yr),0,(Inputs!$F$71-SUM($J7:BH7,-1)*BH7*Inputs!$F$71/Inputs!$F$77/Qtrs_Yr)*(LOOKUP(YEAR(BI$5),Inputs!$F$85:$I$85,Inputs!$F$86:$I$86)+LOOKUP(ROUNDUP(SUM($J7:BI7)*BI7/Qtrs_Yr,0),Inputs!$G$73:$J$73,Inputs!$G$74:$J$74))/Qtrs_Yr))*Inputs!$F$101-IF(OR(BH$7=0,SUM($J7:BH7)*BH7&gt;Inputs!$F$77*Qtrs_Yr),0,(Inputs!$F$71-SUM($J7:BH7,-1)*BH7*Inputs!$F$71/Inputs!$F$77/Qtrs_Yr)*(LOOKUP(YEAR(BI$5),Inputs!$F$85:$I$85,Inputs!$F$86:$I$86)+LOOKUP(ROUNDUP(SUM($J7:BI7)*BI7/Qtrs_Yr,0),Inputs!$G$73:$J$73,Inputs!$G$74:$J$74))/Qtrs_Yr)-IF(OR(BH$7=0,SUM($J7:BH7)*BH7&gt;Inputs!$F$77*Qtrs_Yr),0,Inputs!$F$71/Inputs!$F$77/Qtrs_Yr)</f>
        <v>0</v>
      </c>
      <c r="BI11" s="28">
        <f>(((IF(ROUNDUP(SUM($J$7:BI$7)*BI$7/Qtrs_Yr,0)=0,0,LOOKUP(ROUNDUP(SUM($J$7:BI$7)*BI$7/Qtrs_Yr,0),Inputs!$F$35:$I$35,Inputs!$F$36:$I$36))/Thousand/Qtrs_Yr)*IF(ROUNDUP(SUM($J$7:BI$7)*BI$7/Qtrs_Yr,0)=0,0,LOOKUP(ROUNDUP(SUM($J$7:BI$7)*BI$7/Qtrs_Yr,0),Inputs!$F$41:$I$41,Inputs!$F$42:$I$42))/Grams_Oz*Inputs!$F$45)*LOOKUP(YEAR(BI$5),Inputs!$F$49:$I$49,Inputs!$F$50:$I$50)/Thousand/LOOKUP(YEAR(BI$5),Inputs!$F$89:$I$89,Inputs!$F$90:$I$90)*(BI5-BH5-Inputs!$F$97)/(BI5-BH5)+((IF(ROUNDUP(SUM($I$7:BH$7)*BH$7/Qtrs_Yr,0)=0,0,LOOKUP(ROUNDUP(SUM($I$7:BH$7)*BH$7/Qtrs_Yr,0),Inputs!$F$35:$I$35,Inputs!$F$36:$I$36))/Thousand/Qtrs_Yr)*IF(ROUNDUP(SUM($I$7:BH$7)*BH$7/Qtrs_Yr,0)=0,0,LOOKUP(ROUNDUP(SUM($I$7:BH$7)*BH$7/Qtrs_Yr,0),Inputs!$F$41:$I$41,Inputs!$F$42:$I$42))/Grams_Oz*Inputs!$F$45)*LOOKUP(YEAR(BH$5),Inputs!$F$49:$I$49,Inputs!$F$50:$I$50)/Thousand/LOOKUP(YEAR(BH$5),Inputs!$F$89:$I$89,Inputs!$F$90:$I$90)*Inputs!$F$97/(BH5-BG5))-(((Inputs!$F$64*(IF(ROUNDUP(SUM($J$7:BI$7)*BI$7/Qtrs_Yr,0)=0,0,LOOKUP(ROUNDUP(SUM($J$7:BI$7)*BI$7/Qtrs_Yr,0),Inputs!$F$35:$I$35,Inputs!$F$36:$I$36))/Thousand/Qtrs_Yr+IF(ROUNDUP(SUM($J$7:BI$7)*BI$7/Qtrs_Yr,0)=0,0,LOOKUP(ROUNDUP(SUM($J$7:BI$7)*BI$7/Qtrs_Yr,0),Inputs!$F$35:$I$35,Inputs!$F$38:$I$38)*LOOKUP(ROUNDUP(SUM($J$7:BI$7)*BI$7/Qtrs_Yr,0),Inputs!$F$35:$I$35,Inputs!$F$36:$I$36))/Thousand/Qtrs_Yr)+Inputs!$F$65*(IF(ROUNDUP(SUM($J$7:BI$7)*BI$7/Qtrs_Yr,0)=0,0,LOOKUP(ROUNDUP(SUM($J$7:BI$7)*BI$7/Qtrs_Yr,0),Inputs!$F$35:$I$35,Inputs!$F$36:$I$36))/Thousand/Qtrs_Yr)+Inputs!$F$66*(IF(ROUNDUP(SUM($J$7:BI$7)*BI$7/Qtrs_Yr,0)=0,0,LOOKUP(ROUNDUP(SUM($J$7:BI$7)*BI$7/Qtrs_Yr,0),Inputs!$F$35:$I$35,Inputs!$F$38:$I$38)*LOOKUP(ROUNDUP(SUM($J$7:BI$7)*BI$7/Qtrs_Yr,0),Inputs!$F$35:$I$35,Inputs!$F$36:$I$36))/Thousand/Qtrs_Yr))/Thousand+SUM(Inputs!$F$54:$F$61)*BI$7/Qtrs_Yr)*(1+LOOKUP(YEAR(BI$5),Inputs!$F$93:$I$93,Inputs!$F$94:$I$94)/Qtrs_Yr)^(COUNT($J$7:BI7))*(BI5-BH5-Inputs!$F$98)/(BI5-BH5)+((Inputs!$F$64*(IF(ROUNDUP(SUM($I$7:BH$7)*BH$7/Qtrs_Yr,0)=0,0,LOOKUP(ROUNDUP(SUM($I$7:BH$7)*BH$7/Qtrs_Yr,0),Inputs!$F$35:$I$35,Inputs!$F$36:$I$36))/Thousand/Qtrs_Yr+IF(ROUNDUP(SUM($I$7:BH$7)*BH$7/Qtrs_Yr,0)=0,0,LOOKUP(ROUNDUP(SUM($I$7:BH$7)*BH$7/Qtrs_Yr,0),Inputs!$F$35:$I$35,Inputs!$F$38:$I$38)*LOOKUP(ROUNDUP(SUM($I$7:BH$7)*BH$7/Qtrs_Yr,0),Inputs!$F$35:$I$35,Inputs!$F$36:$I$36))/Thousand/Qtrs_Yr)+Inputs!$F$65*(IF(ROUNDUP(SUM($I$7:BH$7)*BH$7/Qtrs_Yr,0)=0,0,LOOKUP(ROUNDUP(SUM($I$7:BH$7)*BH$7/Qtrs_Yr,0),Inputs!$F$35:$I$35,Inputs!$F$36:$I$36))/Thousand/Qtrs_Yr)+Inputs!$F$66*(IF(ROUNDUP(SUM($I$7:BH$7)*BH$7/Qtrs_Yr,0)=0,0,LOOKUP(ROUNDUP(SUM($I$7:BH$7)*BH$7/Qtrs_Yr,0),Inputs!$F$35:$I$35,Inputs!$F$38:$I$38)*LOOKUP(ROUNDUP(SUM($I$7:BH$7)*BH$7/Qtrs_Yr,0),Inputs!$F$35:$I$35,Inputs!$F$36:$I$36))/Thousand/Qtrs_Yr))/Thousand+SUM(Inputs!$F$54:$F$61)*BH$7/Qtrs_Yr)*(1+LOOKUP(YEAR(BI$5),Inputs!$F$93:$I$93,Inputs!$F$94:$I$94)/Qtrs_Yr)^(COUNT($I$7:BH7))*Inputs!$F$98/(BH5-BG5))-(((IF(ROUNDUP(SUM($J$7:BI$7)*BI$7/Qtrs_Yr,0)=0,0,LOOKUP(ROUNDUP(SUM($J$7:BI$7)*BI$7/Qtrs_Yr,0),Inputs!$F$35:$I$35,Inputs!$F$36:$I$36))/Thousand/Qtrs_Yr)*IF(ROUNDUP(SUM($J$7:BI$7)*BI$7/Qtrs_Yr,0)=0,0,LOOKUP(ROUNDUP(SUM($J$7:BI$7)*BI$7/Qtrs_Yr,0),Inputs!$F$41:$I$41,Inputs!$F$42:$I$42))/Grams_Oz*Inputs!$F$45)*LOOKUP(YEAR(BI$5),Inputs!$F$49:$I$49,Inputs!$F$50:$I$50)/Thousand/LOOKUP(YEAR(BI$5),Inputs!$F$89:$I$89,Inputs!$F$90:$I$90)-((Inputs!$F$64*(IF(ROUNDUP(SUM($J$7:BI$7)*BI$7/Qtrs_Yr,0)=0,0,LOOKUP(ROUNDUP(SUM($J$7:BI$7)*BI$7/Qtrs_Yr,0),Inputs!$F$35:$I$35,Inputs!$F$36:$I$36))/Thousand/Qtrs_Yr+IF(ROUNDUP(SUM($J$7:BI$7)*BI$7/Qtrs_Yr,0)=0,0,LOOKUP(ROUNDUP(SUM($J$7:BI$7)*BI$7/Qtrs_Yr,0),Inputs!$F$35:$I$35,Inputs!$F$38:$I$38)*LOOKUP(ROUNDUP(SUM($J$7:BI$7)*BI$7/Qtrs_Yr,0),Inputs!$F$35:$I$35,Inputs!$F$36:$I$36))/Thousand/Qtrs_Yr)+Inputs!$F$65*(IF(ROUNDUP(SUM($J$7:BI$7)*BI$7/Qtrs_Yr,0)=0,0,LOOKUP(ROUNDUP(SUM($J$7:BI$7)*BI$7/Qtrs_Yr,0),Inputs!$F$35:$I$35,Inputs!$F$36:$I$36))/Thousand/Qtrs_Yr)+Inputs!$F$66*(IF(ROUNDUP(SUM($J$7:BI$7)*BI$7/Qtrs_Yr,0)=0,0,LOOKUP(ROUNDUP(SUM($J$7:BI$7)*BI$7/Qtrs_Yr,0),Inputs!$F$35:$I$35,Inputs!$F$38:$I$38)*LOOKUP(ROUNDUP(SUM($J$7:BI$7)*BI$7/Qtrs_Yr,0),Inputs!$F$35:$I$35,Inputs!$F$36:$I$36))/Thousand/Qtrs_Yr))/Thousand+SUM(Inputs!$F$54:$F$61)*BI$7/Qtrs_Yr)*(1+LOOKUP(YEAR(BI$5),Inputs!$F$93:$I$93,Inputs!$F$94:$I$94)/Qtrs_Yr)^(COUNT($J$7:BI7))-Inputs!$E$29*(1+Inputs!$E$31)*BI$7/Inputs!$E$16/Qtrs_Yr-IF(OR(BI$7=0,SUM($J7:BI7)*BI7&gt;Inputs!$F$77*Qtrs_Yr),0,(Inputs!$F$71-SUM($J7:BI7,-1)*BI7*Inputs!$F$71/Inputs!$F$77/Qtrs_Yr)*(LOOKUP(YEAR(BJ$5),Inputs!$F$85:$I$85,Inputs!$F$86:$I$86)+LOOKUP(ROUNDUP(SUM($J7:BJ7)*BJ7/Qtrs_Yr,0),Inputs!$G$73:$J$73,Inputs!$G$74:$J$74))/Qtrs_Yr))*Inputs!$F$101-IF(OR(BI$7=0,SUM($J7:BI7)*BI7&gt;Inputs!$F$77*Qtrs_Yr),0,(Inputs!$F$71-SUM($J7:BI7,-1)*BI7*Inputs!$F$71/Inputs!$F$77/Qtrs_Yr)*(LOOKUP(YEAR(BJ$5),Inputs!$F$85:$I$85,Inputs!$F$86:$I$86)+LOOKUP(ROUNDUP(SUM($J7:BJ7)*BJ7/Qtrs_Yr,0),Inputs!$G$73:$J$73,Inputs!$G$74:$J$74))/Qtrs_Yr)-IF(OR(BI$7=0,SUM($J7:BI7)*BI7&gt;Inputs!$F$77*Qtrs_Yr),0,Inputs!$F$71/Inputs!$F$77/Qtrs_Yr)</f>
        <v>0</v>
      </c>
    </row>
    <row r="13" spans="1:61" ht="15" x14ac:dyDescent="0.25">
      <c r="C13" s="4" t="s">
        <v>165</v>
      </c>
      <c r="D13" s="8"/>
      <c r="E13" s="36" t="s">
        <v>161</v>
      </c>
      <c r="J13" s="76"/>
    </row>
    <row r="14" spans="1:61" x14ac:dyDescent="0.2">
      <c r="C14" t="s">
        <v>160</v>
      </c>
      <c r="D14" s="8" t="s">
        <v>117</v>
      </c>
      <c r="E14" s="79">
        <f t="array" ref="E14">MIN(IF(J14:BI14&lt;&gt;0,J14:BI14))</f>
        <v>1.1864093740940775</v>
      </c>
      <c r="J14" s="75">
        <f>IF((IF(OR(J$7=0,SUM($J7:J7)*J7&gt;Inputs!$F$77*Qtrs_Yr),0,(Inputs!$F$71-SUM($J7:J7,-1)*J7*Inputs!$F$71/Inputs!$F$77/Qtrs_Yr)*(LOOKUP(YEAR(K$5),Inputs!$F$85:$I$85,Inputs!$F$86:$I$86)+LOOKUP(ROUNDUP(SUM($J7:K7)*K7/Qtrs_Yr,0),Inputs!$G$73:$J$73,Inputs!$G$74:$J$74))/Qtrs_Yr)+IF(OR(J$7=0,SUM($J7:J7)*J7&gt;Inputs!$F$77*Qtrs_Yr),0,Inputs!$F$71/Inputs!$F$77/Qtrs_Yr))=0,0,((((IF(ROUNDUP(SUM($J$7:J$7)*J$7/Qtrs_Yr,0)=0,0,LOOKUP(ROUNDUP(SUM($J$7:J$7)*J$7/Qtrs_Yr,0),Inputs!$F$35:$I$35,Inputs!$F$36:$I$36))/Thousand/Qtrs_Yr)*IF(ROUNDUP(SUM($J$7:J$7)*J$7/Qtrs_Yr,0)=0,0,LOOKUP(ROUNDUP(SUM($J$7:J$7)*J$7/Qtrs_Yr,0),Inputs!$F$41:$I$41,Inputs!$F$42:$I$42))/Grams_Oz*Inputs!$F$45)*LOOKUP(YEAR(J$5),Inputs!$F$49:$I$49,Inputs!$F$50:$I$50)/Thousand/LOOKUP(YEAR(J$5),Inputs!$F$89:$I$89,Inputs!$F$90:$I$90)*(J5-I5-Inputs!$F$97)/(J5-I5)+((IF(ROUNDUP(SUM($I$7:I$7)*I$7/Qtrs_Yr,0)=0,0,LOOKUP(ROUNDUP(SUM($I$7:I$7)*I$7/Qtrs_Yr,0),Inputs!$F$35:$I$35,Inputs!$F$36:$I$36))/Thousand/Qtrs_Yr)*IF(ROUNDUP(SUM($I$7:I$7)*I$7/Qtrs_Yr,0)=0,0,LOOKUP(ROUNDUP(SUM($I$7:I$7)*I$7/Qtrs_Yr,0),Inputs!$F$41:$I$41,Inputs!$F$42:$I$42))/Grams_Oz*Inputs!$F$45)*LOOKUP(YEAR(I$5),Inputs!$F$49:$I$49,Inputs!$F$50:$I$50)/Thousand
/LOOKUP(YEAR(I$5),Inputs!$F$89:$I$89,Inputs!$F$90:$I$90)*Inputs!$F$97/(I5-H5))-(((Inputs!$F$64*(IF(ROUNDUP(SUM($J$7:J$7)*J$7/Qtrs_Yr,0)=0,0,LOOKUP(ROUNDUP(SUM($J$7:J$7)*J$7/Qtrs_Yr,0),Inputs!$F$35:$I$35,Inputs!$F$36:$I$36))/Thousand/Qtrs_Yr+IF(ROUNDUP(SUM($J$7:J$7)*J$7/Qtrs_Yr,0)=0,0,LOOKUP(ROUNDUP(SUM($J$7:J$7)*J$7/Qtrs_Yr,0),Inputs!$F$35:$I$35,Inputs!$F$38:$I$38)*LOOKUP(ROUNDUP(SUM($J$7:J$7)*J$7/Qtrs_Yr,0),Inputs!$F$35:$I$35,Inputs!$F$36:$I$36))/Thousand/Qtrs_Yr)+Inputs!$F$65*(IF(ROUNDUP(SUM($J$7:J$7)*J$7/Qtrs_Yr,0)=0,0,LOOKUP(ROUNDUP(SUM($J$7:J$7)*J$7/Qtrs_Yr,0),Inputs!$F$35:$I$35,Inputs!$F$36:$I$36))/Thousand/Qtrs_Yr)+Inputs!$F$66*(IF(ROUNDUP(SUM($J$7:J$7)*J$7/Qtrs_Yr,0)=0,0,LOOKUP(ROUNDUP(SUM($J$7:J$7)*J$7/Qtrs_Yr,0),Inputs!$F$35:$I$35,Inputs!$F$38:$I$38)*LOOKUP(ROUNDUP(SUM($J$7:J$7)*J$7/Qtrs_Yr,0),Inputs!$F$35:$I$35,Inputs!$F$36:$I$36))/Thousand/Qtrs_Yr))/Thousand+SUM(Inputs!$F$54:$F$61)*J$7/Qtrs_Yr)*(1+LOOKUP(YEAR(J$5),Inputs!$F$93:$I$93,Inputs!$F$94:$I$94)/Qtrs_Yr)^(COUNT($J$7:J7))*(J5-I5-Inputs!$F$98)/(J5-I5)+((Inputs!$F$64*(IF(ROUNDUP(SUM($I$7:I$7)*I$7/Qtrs_Yr,0)=0,0,LOOKUP(ROUNDUP(SUM($I$7:I$7)*I$7/Qtrs_Yr,0),Inputs!$F$35:$I$35,Inputs!$F$36:$I$36))/Thousand/Qtrs_Yr+IF(ROUNDUP(SUM($I$7:I$7)*I$7/Qtrs_Yr,0)=0,0,LOOKUP(ROUNDUP(SUM($I$7:I$7)*I$7/Qtrs_Yr,0),Inputs!$F$35:$I$35,Inputs!$F$38:$I$38)*LOOKUP(ROUNDUP(SUM($I$7:I$7)*I$7/Qtrs_Yr,0),Inputs!$F$35:$I$35,Inputs!$F$36:$I$36))/Thousand/Qtrs_Yr)+Inputs!$F$65*(IF(ROUNDUP(SUM($I$7:I$7)*I$7/Qtrs_Yr,0)=0,0,LOOKUP(ROUNDUP(SUM($I$7:I$7)*I$7/Qtrs_Yr,0),Inputs!$F$35:$I$35,Inputs!$F$36:$I$36))/Thousand/Qtrs_Yr)+Inputs!$F$66*(IF(ROUNDUP(SUM($I$7:I$7)*I$7/Qtrs_Yr,0)=0,0,LOOKUP(ROUNDUP(SUM($I$7:I$7)*I$7/Qtrs_Yr,0),Inputs!$F$35:$I$35,Inputs!$F$38:$I$38)*LOOKUP(ROUNDUP(SUM($I$7:I$7)*I$7/Qtrs_Yr,0),Inputs!$F$35:$I$35,Inputs!$F$36:$I$36))/Thousand/Qtrs_Yr))/Thousand+SUM(Inputs!$F$54:$F$61)*I$7/Qtrs_Yr)*(1+LOOKUP(YEAR(J$5),Inputs!$F$93:$I$93,Inputs!$F$94:$I$94)/Qtrs_Yr)^(COUNT($I$7:I7))*Inputs!$F$98/(I5-H5))-(((IF(ROUNDUP(SUM($J$7:J$7)*J$7/Qtrs_Yr,0)=0,0,LOOKUP(ROUNDUP(SUM($J$7:J$7)*J$7/Qtrs_Yr,0),Inputs!$F$35:$I$35,Inputs!$F$36:$I$36))/Thousand/Qtrs_Yr)*IF(ROUNDUP(SUM($J$7:J$7)*J$7/Qtrs_Yr,0)=0,0,LOOKUP(ROUNDUP(SUM($J$7:J$7)*J$7/Qtrs_Yr,0),Inputs!$F$41:$I$41,Inputs!$F$42:$I$42))/Grams_Oz*Inputs!$F$45)*LOOKUP(YEAR(J$5),Inputs!$F$49:$I$49,Inputs!$F$50:$I$50)/Thousand
/LOOKUP(YEAR(J$5),Inputs!$F$89:$I$89,Inputs!$F$90:$I$90)-((Inputs!$F$64*(IF(ROUNDUP(SUM($J$7:J$7)*J$7/Qtrs_Yr,0)=0,0,LOOKUP(ROUNDUP(SUM($J$7:J$7)*J$7/Qtrs_Yr,0),Inputs!$F$35:$I$35,Inputs!$F$36:$I$36))/Thousand/Qtrs_Yr+IF(ROUNDUP(SUM($J$7:J$7)*J$7/Qtrs_Yr,0)=0,0,LOOKUP(ROUNDUP(SUM($J$7:J$7)*J$7/Qtrs_Yr,0),Inputs!$F$35:$I$35,Inputs!$F$38:$I$38)*LOOKUP(ROUNDUP(SUM($J$7:J$7)*J$7/Qtrs_Yr,0),Inputs!$F$35:$I$35,Inputs!$F$36:$I$36))/Thousand/Qtrs_Yr)+Inputs!$F$65*(IF(ROUNDUP(SUM($J$7:J$7)*J$7/Qtrs_Yr,0)=0,0,LOOKUP(ROUNDUP(SUM($J$7:J$7)*J$7/Qtrs_Yr,0),Inputs!$F$35:$I$35,Inputs!$F$36:$I$36))/Thousand/Qtrs_Yr)+Inputs!$F$66*(IF(ROUNDUP(SUM($J$7:J$7)*J$7/Qtrs_Yr,0)=0,0,LOOKUP(ROUNDUP(SUM($J$7:J$7)*J$7/Qtrs_Yr,0),Inputs!$F$35:$I$35,Inputs!$F$38:$I$38)*LOOKUP(ROUNDUP(SUM($J$7:J$7)*J$7/Qtrs_Yr,0),Inputs!$F$35:$I$35,Inputs!$F$36:$I$36))/Thousand/Qtrs_Yr))/Thousand+SUM(Inputs!$F$54:$F$61)*J$7/Qtrs_Yr)*(1+LOOKUP(YEAR(J$5),Inputs!$F$93:$I$93,Inputs!$F$94:$I$94)/Qtrs_Yr)^(COUNT($J$7:J7))-Inputs!$E$29*(1+Inputs!$E$31)*J$7/Inputs!$E$16/Qtrs_Yr-IF(OR(J$7=0,SUM($J7:J7)*J7&gt;Inputs!$F$77*Qtrs_Yr),0,(Inputs!$F$71-SUM($J7:J7,-1)*J7*Inputs!$F$71/Inputs!$F$77/Qtrs_Yr)*(LOOKUP(YEAR(K$5),Inputs!$F$85:$I$85,Inputs!$F$86:$I$86)+LOOKUP(ROUNDUP(SUM($J7:K7)*K7/Qtrs_Yr,0),Inputs!$G$73:$J$73,Inputs!$G$74:$J$74))/Qtrs_Yr))*Inputs!$F$101)/(IF(OR(J$7=0,SUM($J7:J7)*J7&gt;Inputs!$F$77*Qtrs_Yr),0,(Inputs!$F$71-SUM($J7:J7,-1)*J7*Inputs!$F$71/Inputs!$F$77/Qtrs_Yr)*(LOOKUP(YEAR(K$5),Inputs!$F$85:$I$85,Inputs!$F$86:$I$86)+LOOKUP(ROUNDUP(SUM($J7:K7)*K7/Qtrs_Yr,0),Inputs!$G$73:$J$73,Inputs!$G$74:$J$74))/Qtrs_Yr)+IF(OR(J$7=0,SUM($J7:J7)*J7&gt;Inputs!$F$77*Qtrs_Yr),0,Inputs!$F$71/Inputs!$F$77/Qtrs_Yr)))</f>
        <v>0</v>
      </c>
      <c r="K14" s="75">
        <f>IF((IF(OR(K$7=0,SUM($J7:K7)*K7&gt;Inputs!$F$77*Qtrs_Yr),0,(Inputs!$F$71-SUM($J7:K7,-1)*K7*Inputs!$F$71/Inputs!$F$77/Qtrs_Yr)*(LOOKUP(YEAR(L$5),Inputs!$F$85:$I$85,Inputs!$F$86:$I$86)+LOOKUP(ROUNDUP(SUM($J7:L7)*L7/Qtrs_Yr,0),Inputs!$G$73:$J$73,Inputs!$G$74:$J$74))/Qtrs_Yr)+IF(OR(K$7=0,SUM($J7:K7)*K7&gt;Inputs!$F$77*Qtrs_Yr),0,Inputs!$F$71/Inputs!$F$77/Qtrs_Yr))=0,0,((((IF(ROUNDUP(SUM($J$7:K$7)*K$7/Qtrs_Yr,0)=0,0,LOOKUP(ROUNDUP(SUM($J$7:K$7)*K$7/Qtrs_Yr,0),Inputs!$F$35:$I$35,Inputs!$F$36:$I$36))/Thousand/Qtrs_Yr)*IF(ROUNDUP(SUM($J$7:K$7)*K$7/Qtrs_Yr,0)=0,0,LOOKUP(ROUNDUP(SUM($J$7:K$7)*K$7/Qtrs_Yr,0),Inputs!$F$41:$I$41,Inputs!$F$42:$I$42))/Grams_Oz*Inputs!$F$45)*LOOKUP(YEAR(K$5),Inputs!$F$49:$I$49,Inputs!$F$50:$I$50)/Thousand/LOOKUP(YEAR(K$5),Inputs!$F$89:$I$89,Inputs!$F$90:$I$90)*(K5-J5-Inputs!$F$97)/(K5-J5)+((IF(ROUNDUP(SUM($I$7:J$7)*J$7/Qtrs_Yr,0)=0,0,LOOKUP(ROUNDUP(SUM($I$7:J$7)*J$7/Qtrs_Yr,0),Inputs!$F$35:$I$35,Inputs!$F$36:$I$36))/Thousand/Qtrs_Yr)*IF(ROUNDUP(SUM($I$7:J$7)*J$7/Qtrs_Yr,0)=0,0,LOOKUP(ROUNDUP(SUM($I$7:J$7)*J$7/Qtrs_Yr,0),Inputs!$F$41:$I$41,Inputs!$F$42:$I$42))/Grams_Oz*Inputs!$F$45)*LOOKUP(YEAR(J$5),Inputs!$F$49:$I$49,Inputs!$F$50:$I$50)/Thousand
/LOOKUP(YEAR(J$5),Inputs!$F$89:$I$89,Inputs!$F$90:$I$90)*Inputs!$F$97/(J5-I5))-(((Inputs!$F$64*(IF(ROUNDUP(SUM($J$7:K$7)*K$7/Qtrs_Yr,0)=0,0,LOOKUP(ROUNDUP(SUM($J$7:K$7)*K$7/Qtrs_Yr,0),Inputs!$F$35:$I$35,Inputs!$F$36:$I$36))/Thousand/Qtrs_Yr+IF(ROUNDUP(SUM($J$7:K$7)*K$7/Qtrs_Yr,0)=0,0,LOOKUP(ROUNDUP(SUM($J$7:K$7)*K$7/Qtrs_Yr,0),Inputs!$F$35:$I$35,Inputs!$F$38:$I$38)*LOOKUP(ROUNDUP(SUM($J$7:K$7)*K$7/Qtrs_Yr,0),Inputs!$F$35:$I$35,Inputs!$F$36:$I$36))/Thousand/Qtrs_Yr)+Inputs!$F$65*(IF(ROUNDUP(SUM($J$7:K$7)*K$7/Qtrs_Yr,0)=0,0,LOOKUP(ROUNDUP(SUM($J$7:K$7)*K$7/Qtrs_Yr,0),Inputs!$F$35:$I$35,Inputs!$F$36:$I$36))/Thousand/Qtrs_Yr)+Inputs!$F$66*(IF(ROUNDUP(SUM($J$7:K$7)*K$7/Qtrs_Yr,0)=0,0,LOOKUP(ROUNDUP(SUM($J$7:K$7)*K$7/Qtrs_Yr,0),Inputs!$F$35:$I$35,Inputs!$F$38:$I$38)*LOOKUP(ROUNDUP(SUM($J$7:K$7)*K$7/Qtrs_Yr,0),Inputs!$F$35:$I$35,Inputs!$F$36:$I$36))/Thousand/Qtrs_Yr))/Thousand+SUM(Inputs!$F$54:$F$61)*K$7/Qtrs_Yr)*(1+LOOKUP(YEAR(K$5),Inputs!$F$93:$I$93,Inputs!$F$94:$I$94)/Qtrs_Yr)^(COUNT($J$7:K7))*(K5-J5-Inputs!$F$98)/(K5-J5)+((Inputs!$F$64*(IF(ROUNDUP(SUM($I$7:J$7)*J$7/Qtrs_Yr,0)=0,0,LOOKUP(ROUNDUP(SUM($I$7:J$7)*J$7/Qtrs_Yr,0),Inputs!$F$35:$I$35,Inputs!$F$36:$I$36))/Thousand/Qtrs_Yr+IF(ROUNDUP(SUM($I$7:J$7)*J$7/Qtrs_Yr,0)=0,0,LOOKUP(ROUNDUP(SUM($I$7:J$7)*J$7/Qtrs_Yr,0),Inputs!$F$35:$I$35,Inputs!$F$38:$I$38)*LOOKUP(ROUNDUP(SUM($I$7:J$7)*J$7/Qtrs_Yr,0),Inputs!$F$35:$I$35,Inputs!$F$36:$I$36))/Thousand/Qtrs_Yr)+Inputs!$F$65*(IF(ROUNDUP(SUM($I$7:J$7)*J$7/Qtrs_Yr,0)=0,0,LOOKUP(ROUNDUP(SUM($I$7:J$7)*J$7/Qtrs_Yr,0),Inputs!$F$35:$I$35,Inputs!$F$36:$I$36))/Thousand/Qtrs_Yr)+Inputs!$F$66*(IF(ROUNDUP(SUM($I$7:J$7)*J$7/Qtrs_Yr,0)=0,0,LOOKUP(ROUNDUP(SUM($I$7:J$7)*J$7/Qtrs_Yr,0),Inputs!$F$35:$I$35,Inputs!$F$38:$I$38)*LOOKUP(ROUNDUP(SUM($I$7:J$7)*J$7/Qtrs_Yr,0),Inputs!$F$35:$I$35,Inputs!$F$36:$I$36))/Thousand/Qtrs_Yr))/Thousand+SUM(Inputs!$F$54:$F$61)*J$7/Qtrs_Yr)*(1+LOOKUP(YEAR(K$5),Inputs!$F$93:$I$93,Inputs!$F$94:$I$94)/Qtrs_Yr)^(COUNT($I$7:J7))*Inputs!$F$98/(J5-I5))-(((IF(ROUNDUP(SUM($J$7:K$7)*K$7/Qtrs_Yr,0)=0,0,LOOKUP(ROUNDUP(SUM($J$7:K$7)*K$7/Qtrs_Yr,0),Inputs!$F$35:$I$35,Inputs!$F$36:$I$36))/Thousand/Qtrs_Yr)*IF(ROUNDUP(SUM($J$7:K$7)*K$7/Qtrs_Yr,0)=0,0,LOOKUP(ROUNDUP(SUM($J$7:K$7)*K$7/Qtrs_Yr,0),Inputs!$F$41:$I$41,Inputs!$F$42:$I$42))/Grams_Oz*Inputs!$F$45)*LOOKUP(YEAR(K$5),Inputs!$F$49:$I$49,Inputs!$F$50:$I$50)/Thousand
/LOOKUP(YEAR(K$5),Inputs!$F$89:$I$89,Inputs!$F$90:$I$90)-((Inputs!$F$64*(IF(ROUNDUP(SUM($J$7:K$7)*K$7/Qtrs_Yr,0)=0,0,LOOKUP(ROUNDUP(SUM($J$7:K$7)*K$7/Qtrs_Yr,0),Inputs!$F$35:$I$35,Inputs!$F$36:$I$36))/Thousand/Qtrs_Yr+IF(ROUNDUP(SUM($J$7:K$7)*K$7/Qtrs_Yr,0)=0,0,LOOKUP(ROUNDUP(SUM($J$7:K$7)*K$7/Qtrs_Yr,0),Inputs!$F$35:$I$35,Inputs!$F$38:$I$38)*LOOKUP(ROUNDUP(SUM($J$7:K$7)*K$7/Qtrs_Yr,0),Inputs!$F$35:$I$35,Inputs!$F$36:$I$36))/Thousand/Qtrs_Yr)+Inputs!$F$65*(IF(ROUNDUP(SUM($J$7:K$7)*K$7/Qtrs_Yr,0)=0,0,LOOKUP(ROUNDUP(SUM($J$7:K$7)*K$7/Qtrs_Yr,0),Inputs!$F$35:$I$35,Inputs!$F$36:$I$36))/Thousand/Qtrs_Yr)+Inputs!$F$66*(IF(ROUNDUP(SUM($J$7:K$7)*K$7/Qtrs_Yr,0)=0,0,LOOKUP(ROUNDUP(SUM($J$7:K$7)*K$7/Qtrs_Yr,0),Inputs!$F$35:$I$35,Inputs!$F$38:$I$38)*LOOKUP(ROUNDUP(SUM($J$7:K$7)*K$7/Qtrs_Yr,0),Inputs!$F$35:$I$35,Inputs!$F$36:$I$36))/Thousand/Qtrs_Yr))/Thousand+SUM(Inputs!$F$54:$F$61)*K$7/Qtrs_Yr)*(1+LOOKUP(YEAR(K$5),Inputs!$F$93:$I$93,Inputs!$F$94:$I$94)/Qtrs_Yr)^(COUNT($J$7:K7))-Inputs!$E$29*(1+Inputs!$E$31)*K$7/Inputs!$E$16/Qtrs_Yr-IF(OR(K$7=0,SUM($J7:K7)*K7&gt;Inputs!$F$77*Qtrs_Yr),0,(Inputs!$F$71-SUM($J7:K7,-1)*K7*Inputs!$F$71/Inputs!$F$77/Qtrs_Yr)*(LOOKUP(YEAR(L$5),Inputs!$F$85:$I$85,Inputs!$F$86:$I$86)+LOOKUP(ROUNDUP(SUM($J7:L7)*L7/Qtrs_Yr,0),Inputs!$G$73:$J$73,Inputs!$G$74:$J$74))/Qtrs_Yr))*Inputs!$F$101)/(IF(OR(K$7=0,SUM($J7:K7)*K7&gt;Inputs!$F$77*Qtrs_Yr),0,(Inputs!$F$71-SUM($J7:K7,-1)*K7*Inputs!$F$71/Inputs!$F$77/Qtrs_Yr)*(LOOKUP(YEAR(L$5),Inputs!$F$85:$I$85,Inputs!$F$86:$I$86)+LOOKUP(ROUNDUP(SUM($J7:L7)*L7/Qtrs_Yr,0),Inputs!$G$73:$J$73,Inputs!$G$74:$J$74))/Qtrs_Yr)+IF(OR(K$7=0,SUM($J7:K7)*K7&gt;Inputs!$F$77*Qtrs_Yr),0,Inputs!$F$71/Inputs!$F$77/Qtrs_Yr)))</f>
        <v>0</v>
      </c>
      <c r="L14" s="75">
        <f>IF((IF(OR(L$7=0,SUM($J7:L7)*L7&gt;Inputs!$F$77*Qtrs_Yr),0,(Inputs!$F$71-SUM($J7:L7,-1)*L7*Inputs!$F$71/Inputs!$F$77/Qtrs_Yr)*(LOOKUP(YEAR(M$5),Inputs!$F$85:$I$85,Inputs!$F$86:$I$86)+LOOKUP(ROUNDUP(SUM($J7:M7)*M7/Qtrs_Yr,0),Inputs!$G$73:$J$73,Inputs!$G$74:$J$74))/Qtrs_Yr)+IF(OR(L$7=0,SUM($J7:L7)*L7&gt;Inputs!$F$77*Qtrs_Yr),0,Inputs!$F$71/Inputs!$F$77/Qtrs_Yr))=0,0,((((IF(ROUNDUP(SUM($J$7:L$7)*L$7/Qtrs_Yr,0)=0,0,LOOKUP(ROUNDUP(SUM($J$7:L$7)*L$7/Qtrs_Yr,0),Inputs!$F$35:$I$35,Inputs!$F$36:$I$36))/Thousand/Qtrs_Yr)*IF(ROUNDUP(SUM($J$7:L$7)*L$7/Qtrs_Yr,0)=0,0,LOOKUP(ROUNDUP(SUM($J$7:L$7)*L$7/Qtrs_Yr,0),Inputs!$F$41:$I$41,Inputs!$F$42:$I$42))/Grams_Oz*Inputs!$F$45)*LOOKUP(YEAR(L$5),Inputs!$F$49:$I$49,Inputs!$F$50:$I$50)/Thousand/LOOKUP(YEAR(L$5),Inputs!$F$89:$I$89,Inputs!$F$90:$I$90)*(L5-K5-Inputs!$F$97)/(L5-K5)+((IF(ROUNDUP(SUM($I$7:K$7)*K$7/Qtrs_Yr,0)=0,0,LOOKUP(ROUNDUP(SUM($I$7:K$7)*K$7/Qtrs_Yr,0),Inputs!$F$35:$I$35,Inputs!$F$36:$I$36))/Thousand/Qtrs_Yr)*IF(ROUNDUP(SUM($I$7:K$7)*K$7/Qtrs_Yr,0)=0,0,LOOKUP(ROUNDUP(SUM($I$7:K$7)*K$7/Qtrs_Yr,0),Inputs!$F$41:$I$41,Inputs!$F$42:$I$42))/Grams_Oz*Inputs!$F$45)*LOOKUP(YEAR(K$5),Inputs!$F$49:$I$49,Inputs!$F$50:$I$50)/Thousand
/LOOKUP(YEAR(K$5),Inputs!$F$89:$I$89,Inputs!$F$90:$I$90)*Inputs!$F$97/(K5-J5))-(((Inputs!$F$64*(IF(ROUNDUP(SUM($J$7:L$7)*L$7/Qtrs_Yr,0)=0,0,LOOKUP(ROUNDUP(SUM($J$7:L$7)*L$7/Qtrs_Yr,0),Inputs!$F$35:$I$35,Inputs!$F$36:$I$36))/Thousand/Qtrs_Yr+IF(ROUNDUP(SUM($J$7:L$7)*L$7/Qtrs_Yr,0)=0,0,LOOKUP(ROUNDUP(SUM($J$7:L$7)*L$7/Qtrs_Yr,0),Inputs!$F$35:$I$35,Inputs!$F$38:$I$38)*LOOKUP(ROUNDUP(SUM($J$7:L$7)*L$7/Qtrs_Yr,0),Inputs!$F$35:$I$35,Inputs!$F$36:$I$36))/Thousand/Qtrs_Yr)+Inputs!$F$65*(IF(ROUNDUP(SUM($J$7:L$7)*L$7/Qtrs_Yr,0)=0,0,LOOKUP(ROUNDUP(SUM($J$7:L$7)*L$7/Qtrs_Yr,0),Inputs!$F$35:$I$35,Inputs!$F$36:$I$36))/Thousand/Qtrs_Yr)+Inputs!$F$66*(IF(ROUNDUP(SUM($J$7:L$7)*L$7/Qtrs_Yr,0)=0,0,LOOKUP(ROUNDUP(SUM($J$7:L$7)*L$7/Qtrs_Yr,0),Inputs!$F$35:$I$35,Inputs!$F$38:$I$38)*LOOKUP(ROUNDUP(SUM($J$7:L$7)*L$7/Qtrs_Yr,0),Inputs!$F$35:$I$35,Inputs!$F$36:$I$36))/Thousand/Qtrs_Yr))/Thousand+SUM(Inputs!$F$54:$F$61)*L$7/Qtrs_Yr)*(1+LOOKUP(YEAR(L$5),Inputs!$F$93:$I$93,Inputs!$F$94:$I$94)/Qtrs_Yr)^(COUNT($J$7:L7))*(L5-K5-Inputs!$F$98)/(L5-K5)+((Inputs!$F$64*(IF(ROUNDUP(SUM($I$7:K$7)*K$7/Qtrs_Yr,0)=0,0,LOOKUP(ROUNDUP(SUM($I$7:K$7)*K$7/Qtrs_Yr,0),Inputs!$F$35:$I$35,Inputs!$F$36:$I$36))/Thousand/Qtrs_Yr+IF(ROUNDUP(SUM($I$7:K$7)*K$7/Qtrs_Yr,0)=0,0,LOOKUP(ROUNDUP(SUM($I$7:K$7)*K$7/Qtrs_Yr,0),Inputs!$F$35:$I$35,Inputs!$F$38:$I$38)*LOOKUP(ROUNDUP(SUM($I$7:K$7)*K$7/Qtrs_Yr,0),Inputs!$F$35:$I$35,Inputs!$F$36:$I$36))/Thousand/Qtrs_Yr)+Inputs!$F$65*(IF(ROUNDUP(SUM($I$7:K$7)*K$7/Qtrs_Yr,0)=0,0,LOOKUP(ROUNDUP(SUM($I$7:K$7)*K$7/Qtrs_Yr,0),Inputs!$F$35:$I$35,Inputs!$F$36:$I$36))/Thousand/Qtrs_Yr)+Inputs!$F$66*(IF(ROUNDUP(SUM($I$7:K$7)*K$7/Qtrs_Yr,0)=0,0,LOOKUP(ROUNDUP(SUM($I$7:K$7)*K$7/Qtrs_Yr,0),Inputs!$F$35:$I$35,Inputs!$F$38:$I$38)*LOOKUP(ROUNDUP(SUM($I$7:K$7)*K$7/Qtrs_Yr,0),Inputs!$F$35:$I$35,Inputs!$F$36:$I$36))/Thousand/Qtrs_Yr))/Thousand+SUM(Inputs!$F$54:$F$61)*K$7/Qtrs_Yr)*(1+LOOKUP(YEAR(L$5),Inputs!$F$93:$I$93,Inputs!$F$94:$I$94)/Qtrs_Yr)^(COUNT($I$7:K7))*Inputs!$F$98/(K5-J5))-(((IF(ROUNDUP(SUM($J$7:L$7)*L$7/Qtrs_Yr,0)=0,0,LOOKUP(ROUNDUP(SUM($J$7:L$7)*L$7/Qtrs_Yr,0),Inputs!$F$35:$I$35,Inputs!$F$36:$I$36))/Thousand/Qtrs_Yr)*IF(ROUNDUP(SUM($J$7:L$7)*L$7/Qtrs_Yr,0)=0,0,LOOKUP(ROUNDUP(SUM($J$7:L$7)*L$7/Qtrs_Yr,0),Inputs!$F$41:$I$41,Inputs!$F$42:$I$42))/Grams_Oz*Inputs!$F$45)*LOOKUP(YEAR(L$5),Inputs!$F$49:$I$49,Inputs!$F$50:$I$50)/Thousand
/LOOKUP(YEAR(L$5),Inputs!$F$89:$I$89,Inputs!$F$90:$I$90)-((Inputs!$F$64*(IF(ROUNDUP(SUM($J$7:L$7)*L$7/Qtrs_Yr,0)=0,0,LOOKUP(ROUNDUP(SUM($J$7:L$7)*L$7/Qtrs_Yr,0),Inputs!$F$35:$I$35,Inputs!$F$36:$I$36))/Thousand/Qtrs_Yr+IF(ROUNDUP(SUM($J$7:L$7)*L$7/Qtrs_Yr,0)=0,0,LOOKUP(ROUNDUP(SUM($J$7:L$7)*L$7/Qtrs_Yr,0),Inputs!$F$35:$I$35,Inputs!$F$38:$I$38)*LOOKUP(ROUNDUP(SUM($J$7:L$7)*L$7/Qtrs_Yr,0),Inputs!$F$35:$I$35,Inputs!$F$36:$I$36))/Thousand/Qtrs_Yr)+Inputs!$F$65*(IF(ROUNDUP(SUM($J$7:L$7)*L$7/Qtrs_Yr,0)=0,0,LOOKUP(ROUNDUP(SUM($J$7:L$7)*L$7/Qtrs_Yr,0),Inputs!$F$35:$I$35,Inputs!$F$36:$I$36))/Thousand/Qtrs_Yr)+Inputs!$F$66*(IF(ROUNDUP(SUM($J$7:L$7)*L$7/Qtrs_Yr,0)=0,0,LOOKUP(ROUNDUP(SUM($J$7:L$7)*L$7/Qtrs_Yr,0),Inputs!$F$35:$I$35,Inputs!$F$38:$I$38)*LOOKUP(ROUNDUP(SUM($J$7:L$7)*L$7/Qtrs_Yr,0),Inputs!$F$35:$I$35,Inputs!$F$36:$I$36))/Thousand/Qtrs_Yr))/Thousand+SUM(Inputs!$F$54:$F$61)*L$7/Qtrs_Yr)*(1+LOOKUP(YEAR(L$5),Inputs!$F$93:$I$93,Inputs!$F$94:$I$94)/Qtrs_Yr)^(COUNT($J$7:L7))-Inputs!$E$29*(1+Inputs!$E$31)*L$7/Inputs!$E$16/Qtrs_Yr-IF(OR(L$7=0,SUM($J7:L7)*L7&gt;Inputs!$F$77*Qtrs_Yr),0,(Inputs!$F$71-SUM($J7:L7,-1)*L7*Inputs!$F$71/Inputs!$F$77/Qtrs_Yr)*(LOOKUP(YEAR(M$5),Inputs!$F$85:$I$85,Inputs!$F$86:$I$86)+LOOKUP(ROUNDUP(SUM($J7:M7)*M7/Qtrs_Yr,0),Inputs!$G$73:$J$73,Inputs!$G$74:$J$74))/Qtrs_Yr))*Inputs!$F$101)/(IF(OR(L$7=0,SUM($J7:L7)*L7&gt;Inputs!$F$77*Qtrs_Yr),0,(Inputs!$F$71-SUM($J7:L7,-1)*L7*Inputs!$F$71/Inputs!$F$77/Qtrs_Yr)*(LOOKUP(YEAR(M$5),Inputs!$F$85:$I$85,Inputs!$F$86:$I$86)+LOOKUP(ROUNDUP(SUM($J7:M7)*M7/Qtrs_Yr,0),Inputs!$G$73:$J$73,Inputs!$G$74:$J$74))/Qtrs_Yr)+IF(OR(L$7=0,SUM($J7:L7)*L7&gt;Inputs!$F$77*Qtrs_Yr),0,Inputs!$F$71/Inputs!$F$77/Qtrs_Yr)))</f>
        <v>0</v>
      </c>
      <c r="M14" s="75">
        <f>IF((IF(OR(M$7=0,SUM($J7:M7)*M7&gt;Inputs!$F$77*Qtrs_Yr),0,(Inputs!$F$71-SUM($J7:M7,-1)*M7*Inputs!$F$71/Inputs!$F$77/Qtrs_Yr)*(LOOKUP(YEAR(N$5),Inputs!$F$85:$I$85,Inputs!$F$86:$I$86)+LOOKUP(ROUNDUP(SUM($J7:N7)*N7/Qtrs_Yr,0),Inputs!$G$73:$J$73,Inputs!$G$74:$J$74))/Qtrs_Yr)+IF(OR(M$7=0,SUM($J7:M7)*M7&gt;Inputs!$F$77*Qtrs_Yr),0,Inputs!$F$71/Inputs!$F$77/Qtrs_Yr))=0,0,((((IF(ROUNDUP(SUM($J$7:M$7)*M$7/Qtrs_Yr,0)=0,0,LOOKUP(ROUNDUP(SUM($J$7:M$7)*M$7/Qtrs_Yr,0),Inputs!$F$35:$I$35,Inputs!$F$36:$I$36))/Thousand/Qtrs_Yr)*IF(ROUNDUP(SUM($J$7:M$7)*M$7/Qtrs_Yr,0)=0,0,LOOKUP(ROUNDUP(SUM($J$7:M$7)*M$7/Qtrs_Yr,0),Inputs!$F$41:$I$41,Inputs!$F$42:$I$42))/Grams_Oz*Inputs!$F$45)*LOOKUP(YEAR(M$5),Inputs!$F$49:$I$49,Inputs!$F$50:$I$50)/Thousand/LOOKUP(YEAR(M$5),Inputs!$F$89:$I$89,Inputs!$F$90:$I$90)*(M5-L5-Inputs!$F$97)/(M5-L5)+((IF(ROUNDUP(SUM($I$7:L$7)*L$7/Qtrs_Yr,0)=0,0,LOOKUP(ROUNDUP(SUM($I$7:L$7)*L$7/Qtrs_Yr,0),Inputs!$F$35:$I$35,Inputs!$F$36:$I$36))/Thousand/Qtrs_Yr)*IF(ROUNDUP(SUM($I$7:L$7)*L$7/Qtrs_Yr,0)=0,0,LOOKUP(ROUNDUP(SUM($I$7:L$7)*L$7/Qtrs_Yr,0),Inputs!$F$41:$I$41,Inputs!$F$42:$I$42))/Grams_Oz*Inputs!$F$45)*LOOKUP(YEAR(L$5),Inputs!$F$49:$I$49,Inputs!$F$50:$I$50)/Thousand
/LOOKUP(YEAR(L$5),Inputs!$F$89:$I$89,Inputs!$F$90:$I$90)*Inputs!$F$97/(L5-K5))-(((Inputs!$F$64*(IF(ROUNDUP(SUM($J$7:M$7)*M$7/Qtrs_Yr,0)=0,0,LOOKUP(ROUNDUP(SUM($J$7:M$7)*M$7/Qtrs_Yr,0),Inputs!$F$35:$I$35,Inputs!$F$36:$I$36))/Thousand/Qtrs_Yr+IF(ROUNDUP(SUM($J$7:M$7)*M$7/Qtrs_Yr,0)=0,0,LOOKUP(ROUNDUP(SUM($J$7:M$7)*M$7/Qtrs_Yr,0),Inputs!$F$35:$I$35,Inputs!$F$38:$I$38)*LOOKUP(ROUNDUP(SUM($J$7:M$7)*M$7/Qtrs_Yr,0),Inputs!$F$35:$I$35,Inputs!$F$36:$I$36))/Thousand/Qtrs_Yr)+Inputs!$F$65*(IF(ROUNDUP(SUM($J$7:M$7)*M$7/Qtrs_Yr,0)=0,0,LOOKUP(ROUNDUP(SUM($J$7:M$7)*M$7/Qtrs_Yr,0),Inputs!$F$35:$I$35,Inputs!$F$36:$I$36))/Thousand/Qtrs_Yr)+Inputs!$F$66*(IF(ROUNDUP(SUM($J$7:M$7)*M$7/Qtrs_Yr,0)=0,0,LOOKUP(ROUNDUP(SUM($J$7:M$7)*M$7/Qtrs_Yr,0),Inputs!$F$35:$I$35,Inputs!$F$38:$I$38)*LOOKUP(ROUNDUP(SUM($J$7:M$7)*M$7/Qtrs_Yr,0),Inputs!$F$35:$I$35,Inputs!$F$36:$I$36))/Thousand/Qtrs_Yr))/Thousand+SUM(Inputs!$F$54:$F$61)*M$7/Qtrs_Yr)*(1+LOOKUP(YEAR(M$5),Inputs!$F$93:$I$93,Inputs!$F$94:$I$94)/Qtrs_Yr)^(COUNT($J$7:M7))*(M5-L5-Inputs!$F$98)/(M5-L5)+((Inputs!$F$64*(IF(ROUNDUP(SUM($I$7:L$7)*L$7/Qtrs_Yr,0)=0,0,LOOKUP(ROUNDUP(SUM($I$7:L$7)*L$7/Qtrs_Yr,0),Inputs!$F$35:$I$35,Inputs!$F$36:$I$36))/Thousand/Qtrs_Yr+IF(ROUNDUP(SUM($I$7:L$7)*L$7/Qtrs_Yr,0)=0,0,LOOKUP(ROUNDUP(SUM($I$7:L$7)*L$7/Qtrs_Yr,0),Inputs!$F$35:$I$35,Inputs!$F$38:$I$38)*LOOKUP(ROUNDUP(SUM($I$7:L$7)*L$7/Qtrs_Yr,0),Inputs!$F$35:$I$35,Inputs!$F$36:$I$36))/Thousand/Qtrs_Yr)+Inputs!$F$65*(IF(ROUNDUP(SUM($I$7:L$7)*L$7/Qtrs_Yr,0)=0,0,LOOKUP(ROUNDUP(SUM($I$7:L$7)*L$7/Qtrs_Yr,0),Inputs!$F$35:$I$35,Inputs!$F$36:$I$36))/Thousand/Qtrs_Yr)+Inputs!$F$66*(IF(ROUNDUP(SUM($I$7:L$7)*L$7/Qtrs_Yr,0)=0,0,LOOKUP(ROUNDUP(SUM($I$7:L$7)*L$7/Qtrs_Yr,0),Inputs!$F$35:$I$35,Inputs!$F$38:$I$38)*LOOKUP(ROUNDUP(SUM($I$7:L$7)*L$7/Qtrs_Yr,0),Inputs!$F$35:$I$35,Inputs!$F$36:$I$36))/Thousand/Qtrs_Yr))/Thousand+SUM(Inputs!$F$54:$F$61)*L$7/Qtrs_Yr)*(1+LOOKUP(YEAR(M$5),Inputs!$F$93:$I$93,Inputs!$F$94:$I$94)/Qtrs_Yr)^(COUNT($I$7:L7))*Inputs!$F$98/(L5-K5))-(((IF(ROUNDUP(SUM($J$7:M$7)*M$7/Qtrs_Yr,0)=0,0,LOOKUP(ROUNDUP(SUM($J$7:M$7)*M$7/Qtrs_Yr,0),Inputs!$F$35:$I$35,Inputs!$F$36:$I$36))/Thousand/Qtrs_Yr)*IF(ROUNDUP(SUM($J$7:M$7)*M$7/Qtrs_Yr,0)=0,0,LOOKUP(ROUNDUP(SUM($J$7:M$7)*M$7/Qtrs_Yr,0),Inputs!$F$41:$I$41,Inputs!$F$42:$I$42))/Grams_Oz*Inputs!$F$45)*LOOKUP(YEAR(M$5),Inputs!$F$49:$I$49,Inputs!$F$50:$I$50)/Thousand
/LOOKUP(YEAR(M$5),Inputs!$F$89:$I$89,Inputs!$F$90:$I$90)-((Inputs!$F$64*(IF(ROUNDUP(SUM($J$7:M$7)*M$7/Qtrs_Yr,0)=0,0,LOOKUP(ROUNDUP(SUM($J$7:M$7)*M$7/Qtrs_Yr,0),Inputs!$F$35:$I$35,Inputs!$F$36:$I$36))/Thousand/Qtrs_Yr+IF(ROUNDUP(SUM($J$7:M$7)*M$7/Qtrs_Yr,0)=0,0,LOOKUP(ROUNDUP(SUM($J$7:M$7)*M$7/Qtrs_Yr,0),Inputs!$F$35:$I$35,Inputs!$F$38:$I$38)*LOOKUP(ROUNDUP(SUM($J$7:M$7)*M$7/Qtrs_Yr,0),Inputs!$F$35:$I$35,Inputs!$F$36:$I$36))/Thousand/Qtrs_Yr)+Inputs!$F$65*(IF(ROUNDUP(SUM($J$7:M$7)*M$7/Qtrs_Yr,0)=0,0,LOOKUP(ROUNDUP(SUM($J$7:M$7)*M$7/Qtrs_Yr,0),Inputs!$F$35:$I$35,Inputs!$F$36:$I$36))/Thousand/Qtrs_Yr)+Inputs!$F$66*(IF(ROUNDUP(SUM($J$7:M$7)*M$7/Qtrs_Yr,0)=0,0,LOOKUP(ROUNDUP(SUM($J$7:M$7)*M$7/Qtrs_Yr,0),Inputs!$F$35:$I$35,Inputs!$F$38:$I$38)*LOOKUP(ROUNDUP(SUM($J$7:M$7)*M$7/Qtrs_Yr,0),Inputs!$F$35:$I$35,Inputs!$F$36:$I$36))/Thousand/Qtrs_Yr))/Thousand+SUM(Inputs!$F$54:$F$61)*M$7/Qtrs_Yr)*(1+LOOKUP(YEAR(M$5),Inputs!$F$93:$I$93,Inputs!$F$94:$I$94)/Qtrs_Yr)^(COUNT($J$7:M7))-Inputs!$E$29*(1+Inputs!$E$31)*M$7/Inputs!$E$16/Qtrs_Yr-IF(OR(M$7=0,SUM($J7:M7)*M7&gt;Inputs!$F$77*Qtrs_Yr),0,(Inputs!$F$71-SUM($J7:M7,-1)*M7*Inputs!$F$71/Inputs!$F$77/Qtrs_Yr)*(LOOKUP(YEAR(N$5),Inputs!$F$85:$I$85,Inputs!$F$86:$I$86)+LOOKUP(ROUNDUP(SUM($J7:N7)*N7/Qtrs_Yr,0),Inputs!$G$73:$J$73,Inputs!$G$74:$J$74))/Qtrs_Yr))*Inputs!$F$101)/(IF(OR(M$7=0,SUM($J7:M7)*M7&gt;Inputs!$F$77*Qtrs_Yr),0,(Inputs!$F$71-SUM($J7:M7,-1)*M7*Inputs!$F$71/Inputs!$F$77/Qtrs_Yr)*(LOOKUP(YEAR(N$5),Inputs!$F$85:$I$85,Inputs!$F$86:$I$86)+LOOKUP(ROUNDUP(SUM($J7:N7)*N7/Qtrs_Yr,0),Inputs!$G$73:$J$73,Inputs!$G$74:$J$74))/Qtrs_Yr)+IF(OR(M$7=0,SUM($J7:M7)*M7&gt;Inputs!$F$77*Qtrs_Yr),0,Inputs!$F$71/Inputs!$F$77/Qtrs_Yr)))</f>
        <v>0</v>
      </c>
      <c r="N14" s="75">
        <f>IF((IF(OR(N$7=0,SUM($J7:N7)*N7&gt;Inputs!$F$77*Qtrs_Yr),0,(Inputs!$F$71-SUM($J7:N7,-1)*N7*Inputs!$F$71/Inputs!$F$77/Qtrs_Yr)*(LOOKUP(YEAR(O$5),Inputs!$F$85:$I$85,Inputs!$F$86:$I$86)+LOOKUP(ROUNDUP(SUM($J7:O7)*O7/Qtrs_Yr,0),Inputs!$G$73:$J$73,Inputs!$G$74:$J$74))/Qtrs_Yr)+IF(OR(N$7=0,SUM($J7:N7)*N7&gt;Inputs!$F$77*Qtrs_Yr),0,Inputs!$F$71/Inputs!$F$77/Qtrs_Yr))=0,0,((((IF(ROUNDUP(SUM($J$7:N$7)*N$7/Qtrs_Yr,0)=0,0,LOOKUP(ROUNDUP(SUM($J$7:N$7)*N$7/Qtrs_Yr,0),Inputs!$F$35:$I$35,Inputs!$F$36:$I$36))/Thousand/Qtrs_Yr)*IF(ROUNDUP(SUM($J$7:N$7)*N$7/Qtrs_Yr,0)=0,0,LOOKUP(ROUNDUP(SUM($J$7:N$7)*N$7/Qtrs_Yr,0),Inputs!$F$41:$I$41,Inputs!$F$42:$I$42))/Grams_Oz*Inputs!$F$45)*LOOKUP(YEAR(N$5),Inputs!$F$49:$I$49,Inputs!$F$50:$I$50)/Thousand/LOOKUP(YEAR(N$5),Inputs!$F$89:$I$89,Inputs!$F$90:$I$90)*(N5-M5-Inputs!$F$97)/(N5-M5)+((IF(ROUNDUP(SUM($I$7:M$7)*M$7/Qtrs_Yr,0)=0,0,LOOKUP(ROUNDUP(SUM($I$7:M$7)*M$7/Qtrs_Yr,0),Inputs!$F$35:$I$35,Inputs!$F$36:$I$36))/Thousand/Qtrs_Yr)*IF(ROUNDUP(SUM($I$7:M$7)*M$7/Qtrs_Yr,0)=0,0,LOOKUP(ROUNDUP(SUM($I$7:M$7)*M$7/Qtrs_Yr,0),Inputs!$F$41:$I$41,Inputs!$F$42:$I$42))/Grams_Oz*Inputs!$F$45)*LOOKUP(YEAR(M$5),Inputs!$F$49:$I$49,Inputs!$F$50:$I$50)/Thousand
/LOOKUP(YEAR(M$5),Inputs!$F$89:$I$89,Inputs!$F$90:$I$90)*Inputs!$F$97/(M5-L5))-(((Inputs!$F$64*(IF(ROUNDUP(SUM($J$7:N$7)*N$7/Qtrs_Yr,0)=0,0,LOOKUP(ROUNDUP(SUM($J$7:N$7)*N$7/Qtrs_Yr,0),Inputs!$F$35:$I$35,Inputs!$F$36:$I$36))/Thousand/Qtrs_Yr+IF(ROUNDUP(SUM($J$7:N$7)*N$7/Qtrs_Yr,0)=0,0,LOOKUP(ROUNDUP(SUM($J$7:N$7)*N$7/Qtrs_Yr,0),Inputs!$F$35:$I$35,Inputs!$F$38:$I$38)*LOOKUP(ROUNDUP(SUM($J$7:N$7)*N$7/Qtrs_Yr,0),Inputs!$F$35:$I$35,Inputs!$F$36:$I$36))/Thousand/Qtrs_Yr)+Inputs!$F$65*(IF(ROUNDUP(SUM($J$7:N$7)*N$7/Qtrs_Yr,0)=0,0,LOOKUP(ROUNDUP(SUM($J$7:N$7)*N$7/Qtrs_Yr,0),Inputs!$F$35:$I$35,Inputs!$F$36:$I$36))/Thousand/Qtrs_Yr)+Inputs!$F$66*(IF(ROUNDUP(SUM($J$7:N$7)*N$7/Qtrs_Yr,0)=0,0,LOOKUP(ROUNDUP(SUM($J$7:N$7)*N$7/Qtrs_Yr,0),Inputs!$F$35:$I$35,Inputs!$F$38:$I$38)*LOOKUP(ROUNDUP(SUM($J$7:N$7)*N$7/Qtrs_Yr,0),Inputs!$F$35:$I$35,Inputs!$F$36:$I$36))/Thousand/Qtrs_Yr))/Thousand+SUM(Inputs!$F$54:$F$61)*N$7/Qtrs_Yr)*(1+LOOKUP(YEAR(N$5),Inputs!$F$93:$I$93,Inputs!$F$94:$I$94)/Qtrs_Yr)^(COUNT($J$7:N7))*(N5-M5-Inputs!$F$98)/(N5-M5)+((Inputs!$F$64*(IF(ROUNDUP(SUM($I$7:M$7)*M$7/Qtrs_Yr,0)=0,0,LOOKUP(ROUNDUP(SUM($I$7:M$7)*M$7/Qtrs_Yr,0),Inputs!$F$35:$I$35,Inputs!$F$36:$I$36))/Thousand/Qtrs_Yr+IF(ROUNDUP(SUM($I$7:M$7)*M$7/Qtrs_Yr,0)=0,0,LOOKUP(ROUNDUP(SUM($I$7:M$7)*M$7/Qtrs_Yr,0),Inputs!$F$35:$I$35,Inputs!$F$38:$I$38)*LOOKUP(ROUNDUP(SUM($I$7:M$7)*M$7/Qtrs_Yr,0),Inputs!$F$35:$I$35,Inputs!$F$36:$I$36))/Thousand/Qtrs_Yr)+Inputs!$F$65*(IF(ROUNDUP(SUM($I$7:M$7)*M$7/Qtrs_Yr,0)=0,0,LOOKUP(ROUNDUP(SUM($I$7:M$7)*M$7/Qtrs_Yr,0),Inputs!$F$35:$I$35,Inputs!$F$36:$I$36))/Thousand/Qtrs_Yr)+Inputs!$F$66*(IF(ROUNDUP(SUM($I$7:M$7)*M$7/Qtrs_Yr,0)=0,0,LOOKUP(ROUNDUP(SUM($I$7:M$7)*M$7/Qtrs_Yr,0),Inputs!$F$35:$I$35,Inputs!$F$38:$I$38)*LOOKUP(ROUNDUP(SUM($I$7:M$7)*M$7/Qtrs_Yr,0),Inputs!$F$35:$I$35,Inputs!$F$36:$I$36))/Thousand/Qtrs_Yr))/Thousand+SUM(Inputs!$F$54:$F$61)*M$7/Qtrs_Yr)*(1+LOOKUP(YEAR(N$5),Inputs!$F$93:$I$93,Inputs!$F$94:$I$94)/Qtrs_Yr)^(COUNT($I$7:M7))*Inputs!$F$98/(M5-L5))-(((IF(ROUNDUP(SUM($J$7:N$7)*N$7/Qtrs_Yr,0)=0,0,LOOKUP(ROUNDUP(SUM($J$7:N$7)*N$7/Qtrs_Yr,0),Inputs!$F$35:$I$35,Inputs!$F$36:$I$36))/Thousand/Qtrs_Yr)*IF(ROUNDUP(SUM($J$7:N$7)*N$7/Qtrs_Yr,0)=0,0,LOOKUP(ROUNDUP(SUM($J$7:N$7)*N$7/Qtrs_Yr,0),Inputs!$F$41:$I$41,Inputs!$F$42:$I$42))/Grams_Oz*Inputs!$F$45)*LOOKUP(YEAR(N$5),Inputs!$F$49:$I$49,Inputs!$F$50:$I$50)/Thousand
/LOOKUP(YEAR(N$5),Inputs!$F$89:$I$89,Inputs!$F$90:$I$90)-((Inputs!$F$64*(IF(ROUNDUP(SUM($J$7:N$7)*N$7/Qtrs_Yr,0)=0,0,LOOKUP(ROUNDUP(SUM($J$7:N$7)*N$7/Qtrs_Yr,0),Inputs!$F$35:$I$35,Inputs!$F$36:$I$36))/Thousand/Qtrs_Yr+IF(ROUNDUP(SUM($J$7:N$7)*N$7/Qtrs_Yr,0)=0,0,LOOKUP(ROUNDUP(SUM($J$7:N$7)*N$7/Qtrs_Yr,0),Inputs!$F$35:$I$35,Inputs!$F$38:$I$38)*LOOKUP(ROUNDUP(SUM($J$7:N$7)*N$7/Qtrs_Yr,0),Inputs!$F$35:$I$35,Inputs!$F$36:$I$36))/Thousand/Qtrs_Yr)+Inputs!$F$65*(IF(ROUNDUP(SUM($J$7:N$7)*N$7/Qtrs_Yr,0)=0,0,LOOKUP(ROUNDUP(SUM($J$7:N$7)*N$7/Qtrs_Yr,0),Inputs!$F$35:$I$35,Inputs!$F$36:$I$36))/Thousand/Qtrs_Yr)+Inputs!$F$66*(IF(ROUNDUP(SUM($J$7:N$7)*N$7/Qtrs_Yr,0)=0,0,LOOKUP(ROUNDUP(SUM($J$7:N$7)*N$7/Qtrs_Yr,0),Inputs!$F$35:$I$35,Inputs!$F$38:$I$38)*LOOKUP(ROUNDUP(SUM($J$7:N$7)*N$7/Qtrs_Yr,0),Inputs!$F$35:$I$35,Inputs!$F$36:$I$36))/Thousand/Qtrs_Yr))/Thousand+SUM(Inputs!$F$54:$F$61)*N$7/Qtrs_Yr)*(1+LOOKUP(YEAR(N$5),Inputs!$F$93:$I$93,Inputs!$F$94:$I$94)/Qtrs_Yr)^(COUNT($J$7:N7))-Inputs!$E$29*(1+Inputs!$E$31)*N$7/Inputs!$E$16/Qtrs_Yr-IF(OR(N$7=0,SUM($J7:N7)*N7&gt;Inputs!$F$77*Qtrs_Yr),0,(Inputs!$F$71-SUM($J7:N7,-1)*N7*Inputs!$F$71/Inputs!$F$77/Qtrs_Yr)*(LOOKUP(YEAR(O$5),Inputs!$F$85:$I$85,Inputs!$F$86:$I$86)+LOOKUP(ROUNDUP(SUM($J7:O7)*O7/Qtrs_Yr,0),Inputs!$G$73:$J$73,Inputs!$G$74:$J$74))/Qtrs_Yr))*Inputs!$F$101)/(IF(OR(N$7=0,SUM($J7:N7)*N7&gt;Inputs!$F$77*Qtrs_Yr),0,(Inputs!$F$71-SUM($J7:N7,-1)*N7*Inputs!$F$71/Inputs!$F$77/Qtrs_Yr)*(LOOKUP(YEAR(O$5),Inputs!$F$85:$I$85,Inputs!$F$86:$I$86)+LOOKUP(ROUNDUP(SUM($J7:O7)*O7/Qtrs_Yr,0),Inputs!$G$73:$J$73,Inputs!$G$74:$J$74))/Qtrs_Yr)+IF(OR(N$7=0,SUM($J7:N7)*N7&gt;Inputs!$F$77*Qtrs_Yr),0,Inputs!$F$71/Inputs!$F$77/Qtrs_Yr)))</f>
        <v>1.1864093740940775</v>
      </c>
      <c r="O14" s="75">
        <f>IF((IF(OR(O$7=0,SUM($J7:O7)*O7&gt;Inputs!$F$77*Qtrs_Yr),0,(Inputs!$F$71-SUM($J7:O7,-1)*O7*Inputs!$F$71/Inputs!$F$77/Qtrs_Yr)*(LOOKUP(YEAR(P$5),Inputs!$F$85:$I$85,Inputs!$F$86:$I$86)+LOOKUP(ROUNDUP(SUM($J7:P7)*P7/Qtrs_Yr,0),Inputs!$G$73:$J$73,Inputs!$G$74:$J$74))/Qtrs_Yr)+IF(OR(O$7=0,SUM($J7:O7)*O7&gt;Inputs!$F$77*Qtrs_Yr),0,Inputs!$F$71/Inputs!$F$77/Qtrs_Yr))=0,0,((((IF(ROUNDUP(SUM($J$7:O$7)*O$7/Qtrs_Yr,0)=0,0,LOOKUP(ROUNDUP(SUM($J$7:O$7)*O$7/Qtrs_Yr,0),Inputs!$F$35:$I$35,Inputs!$F$36:$I$36))/Thousand/Qtrs_Yr)*IF(ROUNDUP(SUM($J$7:O$7)*O$7/Qtrs_Yr,0)=0,0,LOOKUP(ROUNDUP(SUM($J$7:O$7)*O$7/Qtrs_Yr,0),Inputs!$F$41:$I$41,Inputs!$F$42:$I$42))/Grams_Oz*Inputs!$F$45)*LOOKUP(YEAR(O$5),Inputs!$F$49:$I$49,Inputs!$F$50:$I$50)/Thousand/LOOKUP(YEAR(O$5),Inputs!$F$89:$I$89,Inputs!$F$90:$I$90)*(O5-N5-Inputs!$F$97)/(O5-N5)+((IF(ROUNDUP(SUM($I$7:N$7)*N$7/Qtrs_Yr,0)=0,0,LOOKUP(ROUNDUP(SUM($I$7:N$7)*N$7/Qtrs_Yr,0),Inputs!$F$35:$I$35,Inputs!$F$36:$I$36))/Thousand/Qtrs_Yr)*IF(ROUNDUP(SUM($I$7:N$7)*N$7/Qtrs_Yr,0)=0,0,LOOKUP(ROUNDUP(SUM($I$7:N$7)*N$7/Qtrs_Yr,0),Inputs!$F$41:$I$41,Inputs!$F$42:$I$42))/Grams_Oz*Inputs!$F$45)*LOOKUP(YEAR(N$5),Inputs!$F$49:$I$49,Inputs!$F$50:$I$50)/Thousand
/LOOKUP(YEAR(N$5),Inputs!$F$89:$I$89,Inputs!$F$90:$I$90)*Inputs!$F$97/(N5-M5))-(((Inputs!$F$64*(IF(ROUNDUP(SUM($J$7:O$7)*O$7/Qtrs_Yr,0)=0,0,LOOKUP(ROUNDUP(SUM($J$7:O$7)*O$7/Qtrs_Yr,0),Inputs!$F$35:$I$35,Inputs!$F$36:$I$36))/Thousand/Qtrs_Yr+IF(ROUNDUP(SUM($J$7:O$7)*O$7/Qtrs_Yr,0)=0,0,LOOKUP(ROUNDUP(SUM($J$7:O$7)*O$7/Qtrs_Yr,0),Inputs!$F$35:$I$35,Inputs!$F$38:$I$38)*LOOKUP(ROUNDUP(SUM($J$7:O$7)*O$7/Qtrs_Yr,0),Inputs!$F$35:$I$35,Inputs!$F$36:$I$36))/Thousand/Qtrs_Yr)+Inputs!$F$65*(IF(ROUNDUP(SUM($J$7:O$7)*O$7/Qtrs_Yr,0)=0,0,LOOKUP(ROUNDUP(SUM($J$7:O$7)*O$7/Qtrs_Yr,0),Inputs!$F$35:$I$35,Inputs!$F$36:$I$36))/Thousand/Qtrs_Yr)+Inputs!$F$66*(IF(ROUNDUP(SUM($J$7:O$7)*O$7/Qtrs_Yr,0)=0,0,LOOKUP(ROUNDUP(SUM($J$7:O$7)*O$7/Qtrs_Yr,0),Inputs!$F$35:$I$35,Inputs!$F$38:$I$38)*LOOKUP(ROUNDUP(SUM($J$7:O$7)*O$7/Qtrs_Yr,0),Inputs!$F$35:$I$35,Inputs!$F$36:$I$36))/Thousand/Qtrs_Yr))/Thousand+SUM(Inputs!$F$54:$F$61)*O$7/Qtrs_Yr)*(1+LOOKUP(YEAR(O$5),Inputs!$F$93:$I$93,Inputs!$F$94:$I$94)/Qtrs_Yr)^(COUNT($J$7:O7))*(O5-N5-Inputs!$F$98)/(O5-N5)+((Inputs!$F$64*(IF(ROUNDUP(SUM($I$7:N$7)*N$7/Qtrs_Yr,0)=0,0,LOOKUP(ROUNDUP(SUM($I$7:N$7)*N$7/Qtrs_Yr,0),Inputs!$F$35:$I$35,Inputs!$F$36:$I$36))/Thousand/Qtrs_Yr+IF(ROUNDUP(SUM($I$7:N$7)*N$7/Qtrs_Yr,0)=0,0,LOOKUP(ROUNDUP(SUM($I$7:N$7)*N$7/Qtrs_Yr,0),Inputs!$F$35:$I$35,Inputs!$F$38:$I$38)*LOOKUP(ROUNDUP(SUM($I$7:N$7)*N$7/Qtrs_Yr,0),Inputs!$F$35:$I$35,Inputs!$F$36:$I$36))/Thousand/Qtrs_Yr)+Inputs!$F$65*(IF(ROUNDUP(SUM($I$7:N$7)*N$7/Qtrs_Yr,0)=0,0,LOOKUP(ROUNDUP(SUM($I$7:N$7)*N$7/Qtrs_Yr,0),Inputs!$F$35:$I$35,Inputs!$F$36:$I$36))/Thousand/Qtrs_Yr)+Inputs!$F$66*(IF(ROUNDUP(SUM($I$7:N$7)*N$7/Qtrs_Yr,0)=0,0,LOOKUP(ROUNDUP(SUM($I$7:N$7)*N$7/Qtrs_Yr,0),Inputs!$F$35:$I$35,Inputs!$F$38:$I$38)*LOOKUP(ROUNDUP(SUM($I$7:N$7)*N$7/Qtrs_Yr,0),Inputs!$F$35:$I$35,Inputs!$F$36:$I$36))/Thousand/Qtrs_Yr))/Thousand+SUM(Inputs!$F$54:$F$61)*N$7/Qtrs_Yr)*(1+LOOKUP(YEAR(O$5),Inputs!$F$93:$I$93,Inputs!$F$94:$I$94)/Qtrs_Yr)^(COUNT($I$7:N7))*Inputs!$F$98/(N5-M5))-(((IF(ROUNDUP(SUM($J$7:O$7)*O$7/Qtrs_Yr,0)=0,0,LOOKUP(ROUNDUP(SUM($J$7:O$7)*O$7/Qtrs_Yr,0),Inputs!$F$35:$I$35,Inputs!$F$36:$I$36))/Thousand/Qtrs_Yr)*IF(ROUNDUP(SUM($J$7:O$7)*O$7/Qtrs_Yr,0)=0,0,LOOKUP(ROUNDUP(SUM($J$7:O$7)*O$7/Qtrs_Yr,0),Inputs!$F$41:$I$41,Inputs!$F$42:$I$42))/Grams_Oz*Inputs!$F$45)*LOOKUP(YEAR(O$5),Inputs!$F$49:$I$49,Inputs!$F$50:$I$50)/Thousand
/LOOKUP(YEAR(O$5),Inputs!$F$89:$I$89,Inputs!$F$90:$I$90)-((Inputs!$F$64*(IF(ROUNDUP(SUM($J$7:O$7)*O$7/Qtrs_Yr,0)=0,0,LOOKUP(ROUNDUP(SUM($J$7:O$7)*O$7/Qtrs_Yr,0),Inputs!$F$35:$I$35,Inputs!$F$36:$I$36))/Thousand/Qtrs_Yr+IF(ROUNDUP(SUM($J$7:O$7)*O$7/Qtrs_Yr,0)=0,0,LOOKUP(ROUNDUP(SUM($J$7:O$7)*O$7/Qtrs_Yr,0),Inputs!$F$35:$I$35,Inputs!$F$38:$I$38)*LOOKUP(ROUNDUP(SUM($J$7:O$7)*O$7/Qtrs_Yr,0),Inputs!$F$35:$I$35,Inputs!$F$36:$I$36))/Thousand/Qtrs_Yr)+Inputs!$F$65*(IF(ROUNDUP(SUM($J$7:O$7)*O$7/Qtrs_Yr,0)=0,0,LOOKUP(ROUNDUP(SUM($J$7:O$7)*O$7/Qtrs_Yr,0),Inputs!$F$35:$I$35,Inputs!$F$36:$I$36))/Thousand/Qtrs_Yr)+Inputs!$F$66*(IF(ROUNDUP(SUM($J$7:O$7)*O$7/Qtrs_Yr,0)=0,0,LOOKUP(ROUNDUP(SUM($J$7:O$7)*O$7/Qtrs_Yr,0),Inputs!$F$35:$I$35,Inputs!$F$38:$I$38)*LOOKUP(ROUNDUP(SUM($J$7:O$7)*O$7/Qtrs_Yr,0),Inputs!$F$35:$I$35,Inputs!$F$36:$I$36))/Thousand/Qtrs_Yr))/Thousand+SUM(Inputs!$F$54:$F$61)*O$7/Qtrs_Yr)*(1+LOOKUP(YEAR(O$5),Inputs!$F$93:$I$93,Inputs!$F$94:$I$94)/Qtrs_Yr)^(COUNT($J$7:O7))-Inputs!$E$29*(1+Inputs!$E$31)*O$7/Inputs!$E$16/Qtrs_Yr-IF(OR(O$7=0,SUM($J7:O7)*O7&gt;Inputs!$F$77*Qtrs_Yr),0,(Inputs!$F$71-SUM($J7:O7,-1)*O7*Inputs!$F$71/Inputs!$F$77/Qtrs_Yr)*(LOOKUP(YEAR(P$5),Inputs!$F$85:$I$85,Inputs!$F$86:$I$86)+LOOKUP(ROUNDUP(SUM($J7:P7)*P7/Qtrs_Yr,0),Inputs!$G$73:$J$73,Inputs!$G$74:$J$74))/Qtrs_Yr))*Inputs!$F$101)/(IF(OR(O$7=0,SUM($J7:O7)*O7&gt;Inputs!$F$77*Qtrs_Yr),0,(Inputs!$F$71-SUM($J7:O7,-1)*O7*Inputs!$F$71/Inputs!$F$77/Qtrs_Yr)*(LOOKUP(YEAR(P$5),Inputs!$F$85:$I$85,Inputs!$F$86:$I$86)+LOOKUP(ROUNDUP(SUM($J7:P7)*P7/Qtrs_Yr,0),Inputs!$G$73:$J$73,Inputs!$G$74:$J$74))/Qtrs_Yr)+IF(OR(O$7=0,SUM($J7:O7)*O7&gt;Inputs!$F$77*Qtrs_Yr),0,Inputs!$F$71/Inputs!$F$77/Qtrs_Yr)))</f>
        <v>1.639242080201367</v>
      </c>
      <c r="P14" s="75">
        <f>IF((IF(OR(P$7=0,SUM($J7:P7)*P7&gt;Inputs!$F$77*Qtrs_Yr),0,(Inputs!$F$71-SUM($J7:P7,-1)*P7*Inputs!$F$71/Inputs!$F$77/Qtrs_Yr)*(LOOKUP(YEAR(Q$5),Inputs!$F$85:$I$85,Inputs!$F$86:$I$86)+LOOKUP(ROUNDUP(SUM($J7:Q7)*Q7/Qtrs_Yr,0),Inputs!$G$73:$J$73,Inputs!$G$74:$J$74))/Qtrs_Yr)+IF(OR(P$7=0,SUM($J7:P7)*P7&gt;Inputs!$F$77*Qtrs_Yr),0,Inputs!$F$71/Inputs!$F$77/Qtrs_Yr))=0,0,((((IF(ROUNDUP(SUM($J$7:P$7)*P$7/Qtrs_Yr,0)=0,0,LOOKUP(ROUNDUP(SUM($J$7:P$7)*P$7/Qtrs_Yr,0),Inputs!$F$35:$I$35,Inputs!$F$36:$I$36))/Thousand/Qtrs_Yr)*IF(ROUNDUP(SUM($J$7:P$7)*P$7/Qtrs_Yr,0)=0,0,LOOKUP(ROUNDUP(SUM($J$7:P$7)*P$7/Qtrs_Yr,0),Inputs!$F$41:$I$41,Inputs!$F$42:$I$42))/Grams_Oz*Inputs!$F$45)*LOOKUP(YEAR(P$5),Inputs!$F$49:$I$49,Inputs!$F$50:$I$50)/Thousand/LOOKUP(YEAR(P$5),Inputs!$F$89:$I$89,Inputs!$F$90:$I$90)*(P5-O5-Inputs!$F$97)/(P5-O5)+((IF(ROUNDUP(SUM($I$7:O$7)*O$7/Qtrs_Yr,0)=0,0,LOOKUP(ROUNDUP(SUM($I$7:O$7)*O$7/Qtrs_Yr,0),Inputs!$F$35:$I$35,Inputs!$F$36:$I$36))/Thousand/Qtrs_Yr)*IF(ROUNDUP(SUM($I$7:O$7)*O$7/Qtrs_Yr,0)=0,0,LOOKUP(ROUNDUP(SUM($I$7:O$7)*O$7/Qtrs_Yr,0),Inputs!$F$41:$I$41,Inputs!$F$42:$I$42))/Grams_Oz*Inputs!$F$45)*LOOKUP(YEAR(O$5),Inputs!$F$49:$I$49,Inputs!$F$50:$I$50)/Thousand
/LOOKUP(YEAR(O$5),Inputs!$F$89:$I$89,Inputs!$F$90:$I$90)*Inputs!$F$97/(O5-N5))-(((Inputs!$F$64*(IF(ROUNDUP(SUM($J$7:P$7)*P$7/Qtrs_Yr,0)=0,0,LOOKUP(ROUNDUP(SUM($J$7:P$7)*P$7/Qtrs_Yr,0),Inputs!$F$35:$I$35,Inputs!$F$36:$I$36))/Thousand/Qtrs_Yr+IF(ROUNDUP(SUM($J$7:P$7)*P$7/Qtrs_Yr,0)=0,0,LOOKUP(ROUNDUP(SUM($J$7:P$7)*P$7/Qtrs_Yr,0),Inputs!$F$35:$I$35,Inputs!$F$38:$I$38)*LOOKUP(ROUNDUP(SUM($J$7:P$7)*P$7/Qtrs_Yr,0),Inputs!$F$35:$I$35,Inputs!$F$36:$I$36))/Thousand/Qtrs_Yr)+Inputs!$F$65*(IF(ROUNDUP(SUM($J$7:P$7)*P$7/Qtrs_Yr,0)=0,0,LOOKUP(ROUNDUP(SUM($J$7:P$7)*P$7/Qtrs_Yr,0),Inputs!$F$35:$I$35,Inputs!$F$36:$I$36))/Thousand/Qtrs_Yr)+Inputs!$F$66*(IF(ROUNDUP(SUM($J$7:P$7)*P$7/Qtrs_Yr,0)=0,0,LOOKUP(ROUNDUP(SUM($J$7:P$7)*P$7/Qtrs_Yr,0),Inputs!$F$35:$I$35,Inputs!$F$38:$I$38)*LOOKUP(ROUNDUP(SUM($J$7:P$7)*P$7/Qtrs_Yr,0),Inputs!$F$35:$I$35,Inputs!$F$36:$I$36))/Thousand/Qtrs_Yr))/Thousand+SUM(Inputs!$F$54:$F$61)*P$7/Qtrs_Yr)*(1+LOOKUP(YEAR(P$5),Inputs!$F$93:$I$93,Inputs!$F$94:$I$94)/Qtrs_Yr)^(COUNT($J$7:P7))*(P5-O5-Inputs!$F$98)/(P5-O5)+((Inputs!$F$64*(IF(ROUNDUP(SUM($I$7:O$7)*O$7/Qtrs_Yr,0)=0,0,LOOKUP(ROUNDUP(SUM($I$7:O$7)*O$7/Qtrs_Yr,0),Inputs!$F$35:$I$35,Inputs!$F$36:$I$36))/Thousand/Qtrs_Yr+IF(ROUNDUP(SUM($I$7:O$7)*O$7/Qtrs_Yr,0)=0,0,LOOKUP(ROUNDUP(SUM($I$7:O$7)*O$7/Qtrs_Yr,0),Inputs!$F$35:$I$35,Inputs!$F$38:$I$38)*LOOKUP(ROUNDUP(SUM($I$7:O$7)*O$7/Qtrs_Yr,0),Inputs!$F$35:$I$35,Inputs!$F$36:$I$36))/Thousand/Qtrs_Yr)+Inputs!$F$65*(IF(ROUNDUP(SUM($I$7:O$7)*O$7/Qtrs_Yr,0)=0,0,LOOKUP(ROUNDUP(SUM($I$7:O$7)*O$7/Qtrs_Yr,0),Inputs!$F$35:$I$35,Inputs!$F$36:$I$36))/Thousand/Qtrs_Yr)+Inputs!$F$66*(IF(ROUNDUP(SUM($I$7:O$7)*O$7/Qtrs_Yr,0)=0,0,LOOKUP(ROUNDUP(SUM($I$7:O$7)*O$7/Qtrs_Yr,0),Inputs!$F$35:$I$35,Inputs!$F$38:$I$38)*LOOKUP(ROUNDUP(SUM($I$7:O$7)*O$7/Qtrs_Yr,0),Inputs!$F$35:$I$35,Inputs!$F$36:$I$36))/Thousand/Qtrs_Yr))/Thousand+SUM(Inputs!$F$54:$F$61)*O$7/Qtrs_Yr)*(1+LOOKUP(YEAR(P$5),Inputs!$F$93:$I$93,Inputs!$F$94:$I$94)/Qtrs_Yr)^(COUNT($I$7:O7))*Inputs!$F$98/(O5-N5))-(((IF(ROUNDUP(SUM($J$7:P$7)*P$7/Qtrs_Yr,0)=0,0,LOOKUP(ROUNDUP(SUM($J$7:P$7)*P$7/Qtrs_Yr,0),Inputs!$F$35:$I$35,Inputs!$F$36:$I$36))/Thousand/Qtrs_Yr)*IF(ROUNDUP(SUM($J$7:P$7)*P$7/Qtrs_Yr,0)=0,0,LOOKUP(ROUNDUP(SUM($J$7:P$7)*P$7/Qtrs_Yr,0),Inputs!$F$41:$I$41,Inputs!$F$42:$I$42))/Grams_Oz*Inputs!$F$45)*LOOKUP(YEAR(P$5),Inputs!$F$49:$I$49,Inputs!$F$50:$I$50)/Thousand
/LOOKUP(YEAR(P$5),Inputs!$F$89:$I$89,Inputs!$F$90:$I$90)-((Inputs!$F$64*(IF(ROUNDUP(SUM($J$7:P$7)*P$7/Qtrs_Yr,0)=0,0,LOOKUP(ROUNDUP(SUM($J$7:P$7)*P$7/Qtrs_Yr,0),Inputs!$F$35:$I$35,Inputs!$F$36:$I$36))/Thousand/Qtrs_Yr+IF(ROUNDUP(SUM($J$7:P$7)*P$7/Qtrs_Yr,0)=0,0,LOOKUP(ROUNDUP(SUM($J$7:P$7)*P$7/Qtrs_Yr,0),Inputs!$F$35:$I$35,Inputs!$F$38:$I$38)*LOOKUP(ROUNDUP(SUM($J$7:P$7)*P$7/Qtrs_Yr,0),Inputs!$F$35:$I$35,Inputs!$F$36:$I$36))/Thousand/Qtrs_Yr)+Inputs!$F$65*(IF(ROUNDUP(SUM($J$7:P$7)*P$7/Qtrs_Yr,0)=0,0,LOOKUP(ROUNDUP(SUM($J$7:P$7)*P$7/Qtrs_Yr,0),Inputs!$F$35:$I$35,Inputs!$F$36:$I$36))/Thousand/Qtrs_Yr)+Inputs!$F$66*(IF(ROUNDUP(SUM($J$7:P$7)*P$7/Qtrs_Yr,0)=0,0,LOOKUP(ROUNDUP(SUM($J$7:P$7)*P$7/Qtrs_Yr,0),Inputs!$F$35:$I$35,Inputs!$F$38:$I$38)*LOOKUP(ROUNDUP(SUM($J$7:P$7)*P$7/Qtrs_Yr,0),Inputs!$F$35:$I$35,Inputs!$F$36:$I$36))/Thousand/Qtrs_Yr))/Thousand+SUM(Inputs!$F$54:$F$61)*P$7/Qtrs_Yr)*(1+LOOKUP(YEAR(P$5),Inputs!$F$93:$I$93,Inputs!$F$94:$I$94)/Qtrs_Yr)^(COUNT($J$7:P7))-Inputs!$E$29*(1+Inputs!$E$31)*P$7/Inputs!$E$16/Qtrs_Yr-IF(OR(P$7=0,SUM($J7:P7)*P7&gt;Inputs!$F$77*Qtrs_Yr),0,(Inputs!$F$71-SUM($J7:P7,-1)*P7*Inputs!$F$71/Inputs!$F$77/Qtrs_Yr)*(LOOKUP(YEAR(Q$5),Inputs!$F$85:$I$85,Inputs!$F$86:$I$86)+LOOKUP(ROUNDUP(SUM($J7:Q7)*Q7/Qtrs_Yr,0),Inputs!$G$73:$J$73,Inputs!$G$74:$J$74))/Qtrs_Yr))*Inputs!$F$101)/(IF(OR(P$7=0,SUM($J7:P7)*P7&gt;Inputs!$F$77*Qtrs_Yr),0,(Inputs!$F$71-SUM($J7:P7,-1)*P7*Inputs!$F$71/Inputs!$F$77/Qtrs_Yr)*(LOOKUP(YEAR(Q$5),Inputs!$F$85:$I$85,Inputs!$F$86:$I$86)+LOOKUP(ROUNDUP(SUM($J7:Q7)*Q7/Qtrs_Yr,0),Inputs!$G$73:$J$73,Inputs!$G$74:$J$74))/Qtrs_Yr)+IF(OR(P$7=0,SUM($J7:P7)*P7&gt;Inputs!$F$77*Qtrs_Yr),0,Inputs!$F$71/Inputs!$F$77/Qtrs_Yr)))</f>
        <v>1.6462599547015111</v>
      </c>
      <c r="Q14" s="75">
        <f>IF((IF(OR(Q$7=0,SUM($J7:Q7)*Q7&gt;Inputs!$F$77*Qtrs_Yr),0,(Inputs!$F$71-SUM($J7:Q7,-1)*Q7*Inputs!$F$71/Inputs!$F$77/Qtrs_Yr)*(LOOKUP(YEAR(R$5),Inputs!$F$85:$I$85,Inputs!$F$86:$I$86)+LOOKUP(ROUNDUP(SUM($J7:R7)*R7/Qtrs_Yr,0),Inputs!$G$73:$J$73,Inputs!$G$74:$J$74))/Qtrs_Yr)+IF(OR(Q$7=0,SUM($J7:Q7)*Q7&gt;Inputs!$F$77*Qtrs_Yr),0,Inputs!$F$71/Inputs!$F$77/Qtrs_Yr))=0,0,((((IF(ROUNDUP(SUM($J$7:Q$7)*Q$7/Qtrs_Yr,0)=0,0,LOOKUP(ROUNDUP(SUM($J$7:Q$7)*Q$7/Qtrs_Yr,0),Inputs!$F$35:$I$35,Inputs!$F$36:$I$36))/Thousand/Qtrs_Yr)*IF(ROUNDUP(SUM($J$7:Q$7)*Q$7/Qtrs_Yr,0)=0,0,LOOKUP(ROUNDUP(SUM($J$7:Q$7)*Q$7/Qtrs_Yr,0),Inputs!$F$41:$I$41,Inputs!$F$42:$I$42))/Grams_Oz*Inputs!$F$45)*LOOKUP(YEAR(Q$5),Inputs!$F$49:$I$49,Inputs!$F$50:$I$50)/Thousand/LOOKUP(YEAR(Q$5),Inputs!$F$89:$I$89,Inputs!$F$90:$I$90)*(Q5-P5-Inputs!$F$97)/(Q5-P5)+((IF(ROUNDUP(SUM($I$7:P$7)*P$7/Qtrs_Yr,0)=0,0,LOOKUP(ROUNDUP(SUM($I$7:P$7)*P$7/Qtrs_Yr,0),Inputs!$F$35:$I$35,Inputs!$F$36:$I$36))/Thousand/Qtrs_Yr)*IF(ROUNDUP(SUM($I$7:P$7)*P$7/Qtrs_Yr,0)=0,0,LOOKUP(ROUNDUP(SUM($I$7:P$7)*P$7/Qtrs_Yr,0),Inputs!$F$41:$I$41,Inputs!$F$42:$I$42))/Grams_Oz*Inputs!$F$45)*LOOKUP(YEAR(P$5),Inputs!$F$49:$I$49,Inputs!$F$50:$I$50)/Thousand
/LOOKUP(YEAR(P$5),Inputs!$F$89:$I$89,Inputs!$F$90:$I$90)*Inputs!$F$97/(P5-O5))-(((Inputs!$F$64*(IF(ROUNDUP(SUM($J$7:Q$7)*Q$7/Qtrs_Yr,0)=0,0,LOOKUP(ROUNDUP(SUM($J$7:Q$7)*Q$7/Qtrs_Yr,0),Inputs!$F$35:$I$35,Inputs!$F$36:$I$36))/Thousand/Qtrs_Yr+IF(ROUNDUP(SUM($J$7:Q$7)*Q$7/Qtrs_Yr,0)=0,0,LOOKUP(ROUNDUP(SUM($J$7:Q$7)*Q$7/Qtrs_Yr,0),Inputs!$F$35:$I$35,Inputs!$F$38:$I$38)*LOOKUP(ROUNDUP(SUM($J$7:Q$7)*Q$7/Qtrs_Yr,0),Inputs!$F$35:$I$35,Inputs!$F$36:$I$36))/Thousand/Qtrs_Yr)+Inputs!$F$65*(IF(ROUNDUP(SUM($J$7:Q$7)*Q$7/Qtrs_Yr,0)=0,0,LOOKUP(ROUNDUP(SUM($J$7:Q$7)*Q$7/Qtrs_Yr,0),Inputs!$F$35:$I$35,Inputs!$F$36:$I$36))/Thousand/Qtrs_Yr)+Inputs!$F$66*(IF(ROUNDUP(SUM($J$7:Q$7)*Q$7/Qtrs_Yr,0)=0,0,LOOKUP(ROUNDUP(SUM($J$7:Q$7)*Q$7/Qtrs_Yr,0),Inputs!$F$35:$I$35,Inputs!$F$38:$I$38)*LOOKUP(ROUNDUP(SUM($J$7:Q$7)*Q$7/Qtrs_Yr,0),Inputs!$F$35:$I$35,Inputs!$F$36:$I$36))/Thousand/Qtrs_Yr))/Thousand+SUM(Inputs!$F$54:$F$61)*Q$7/Qtrs_Yr)*(1+LOOKUP(YEAR(Q$5),Inputs!$F$93:$I$93,Inputs!$F$94:$I$94)/Qtrs_Yr)^(COUNT($J$7:Q7))*(Q5-P5-Inputs!$F$98)/(Q5-P5)+((Inputs!$F$64*(IF(ROUNDUP(SUM($I$7:P$7)*P$7/Qtrs_Yr,0)=0,0,LOOKUP(ROUNDUP(SUM($I$7:P$7)*P$7/Qtrs_Yr,0),Inputs!$F$35:$I$35,Inputs!$F$36:$I$36))/Thousand/Qtrs_Yr+IF(ROUNDUP(SUM($I$7:P$7)*P$7/Qtrs_Yr,0)=0,0,LOOKUP(ROUNDUP(SUM($I$7:P$7)*P$7/Qtrs_Yr,0),Inputs!$F$35:$I$35,Inputs!$F$38:$I$38)*LOOKUP(ROUNDUP(SUM($I$7:P$7)*P$7/Qtrs_Yr,0),Inputs!$F$35:$I$35,Inputs!$F$36:$I$36))/Thousand/Qtrs_Yr)+Inputs!$F$65*(IF(ROUNDUP(SUM($I$7:P$7)*P$7/Qtrs_Yr,0)=0,0,LOOKUP(ROUNDUP(SUM($I$7:P$7)*P$7/Qtrs_Yr,0),Inputs!$F$35:$I$35,Inputs!$F$36:$I$36))/Thousand/Qtrs_Yr)+Inputs!$F$66*(IF(ROUNDUP(SUM($I$7:P$7)*P$7/Qtrs_Yr,0)=0,0,LOOKUP(ROUNDUP(SUM($I$7:P$7)*P$7/Qtrs_Yr,0),Inputs!$F$35:$I$35,Inputs!$F$38:$I$38)*LOOKUP(ROUNDUP(SUM($I$7:P$7)*P$7/Qtrs_Yr,0),Inputs!$F$35:$I$35,Inputs!$F$36:$I$36))/Thousand/Qtrs_Yr))/Thousand+SUM(Inputs!$F$54:$F$61)*P$7/Qtrs_Yr)*(1+LOOKUP(YEAR(Q$5),Inputs!$F$93:$I$93,Inputs!$F$94:$I$94)/Qtrs_Yr)^(COUNT($I$7:P7))*Inputs!$F$98/(P5-O5))-(((IF(ROUNDUP(SUM($J$7:Q$7)*Q$7/Qtrs_Yr,0)=0,0,LOOKUP(ROUNDUP(SUM($J$7:Q$7)*Q$7/Qtrs_Yr,0),Inputs!$F$35:$I$35,Inputs!$F$36:$I$36))/Thousand/Qtrs_Yr)*IF(ROUNDUP(SUM($J$7:Q$7)*Q$7/Qtrs_Yr,0)=0,0,LOOKUP(ROUNDUP(SUM($J$7:Q$7)*Q$7/Qtrs_Yr,0),Inputs!$F$41:$I$41,Inputs!$F$42:$I$42))/Grams_Oz*Inputs!$F$45)*LOOKUP(YEAR(Q$5),Inputs!$F$49:$I$49,Inputs!$F$50:$I$50)/Thousand
/LOOKUP(YEAR(Q$5),Inputs!$F$89:$I$89,Inputs!$F$90:$I$90)-((Inputs!$F$64*(IF(ROUNDUP(SUM($J$7:Q$7)*Q$7/Qtrs_Yr,0)=0,0,LOOKUP(ROUNDUP(SUM($J$7:Q$7)*Q$7/Qtrs_Yr,0),Inputs!$F$35:$I$35,Inputs!$F$36:$I$36))/Thousand/Qtrs_Yr+IF(ROUNDUP(SUM($J$7:Q$7)*Q$7/Qtrs_Yr,0)=0,0,LOOKUP(ROUNDUP(SUM($J$7:Q$7)*Q$7/Qtrs_Yr,0),Inputs!$F$35:$I$35,Inputs!$F$38:$I$38)*LOOKUP(ROUNDUP(SUM($J$7:Q$7)*Q$7/Qtrs_Yr,0),Inputs!$F$35:$I$35,Inputs!$F$36:$I$36))/Thousand/Qtrs_Yr)+Inputs!$F$65*(IF(ROUNDUP(SUM($J$7:Q$7)*Q$7/Qtrs_Yr,0)=0,0,LOOKUP(ROUNDUP(SUM($J$7:Q$7)*Q$7/Qtrs_Yr,0),Inputs!$F$35:$I$35,Inputs!$F$36:$I$36))/Thousand/Qtrs_Yr)+Inputs!$F$66*(IF(ROUNDUP(SUM($J$7:Q$7)*Q$7/Qtrs_Yr,0)=0,0,LOOKUP(ROUNDUP(SUM($J$7:Q$7)*Q$7/Qtrs_Yr,0),Inputs!$F$35:$I$35,Inputs!$F$38:$I$38)*LOOKUP(ROUNDUP(SUM($J$7:Q$7)*Q$7/Qtrs_Yr,0),Inputs!$F$35:$I$35,Inputs!$F$36:$I$36))/Thousand/Qtrs_Yr))/Thousand+SUM(Inputs!$F$54:$F$61)*Q$7/Qtrs_Yr)*(1+LOOKUP(YEAR(Q$5),Inputs!$F$93:$I$93,Inputs!$F$94:$I$94)/Qtrs_Yr)^(COUNT($J$7:Q7))-Inputs!$E$29*(1+Inputs!$E$31)*Q$7/Inputs!$E$16/Qtrs_Yr-IF(OR(Q$7=0,SUM($J7:Q7)*Q7&gt;Inputs!$F$77*Qtrs_Yr),0,(Inputs!$F$71-SUM($J7:Q7,-1)*Q7*Inputs!$F$71/Inputs!$F$77/Qtrs_Yr)*(LOOKUP(YEAR(R$5),Inputs!$F$85:$I$85,Inputs!$F$86:$I$86)+LOOKUP(ROUNDUP(SUM($J7:R7)*R7/Qtrs_Yr,0),Inputs!$G$73:$J$73,Inputs!$G$74:$J$74))/Qtrs_Yr))*Inputs!$F$101)/(IF(OR(Q$7=0,SUM($J7:Q7)*Q7&gt;Inputs!$F$77*Qtrs_Yr),0,(Inputs!$F$71-SUM($J7:Q7,-1)*Q7*Inputs!$F$71/Inputs!$F$77/Qtrs_Yr)*(LOOKUP(YEAR(R$5),Inputs!$F$85:$I$85,Inputs!$F$86:$I$86)+LOOKUP(ROUNDUP(SUM($J7:R7)*R7/Qtrs_Yr,0),Inputs!$G$73:$J$73,Inputs!$G$74:$J$74))/Qtrs_Yr)+IF(OR(Q$7=0,SUM($J7:Q7)*Q7&gt;Inputs!$F$77*Qtrs_Yr),0,Inputs!$F$71/Inputs!$F$77/Qtrs_Yr)))</f>
        <v>1.6432993177094737</v>
      </c>
      <c r="R14" s="75">
        <f>IF((IF(OR(R$7=0,SUM($J7:R7)*R7&gt;Inputs!$F$77*Qtrs_Yr),0,(Inputs!$F$71-SUM($J7:R7,-1)*R7*Inputs!$F$71/Inputs!$F$77/Qtrs_Yr)*(LOOKUP(YEAR(S$5),Inputs!$F$85:$I$85,Inputs!$F$86:$I$86)+LOOKUP(ROUNDUP(SUM($J7:S7)*S7/Qtrs_Yr,0),Inputs!$G$73:$J$73,Inputs!$G$74:$J$74))/Qtrs_Yr)+IF(OR(R$7=0,SUM($J7:R7)*R7&gt;Inputs!$F$77*Qtrs_Yr),0,Inputs!$F$71/Inputs!$F$77/Qtrs_Yr))=0,0,((((IF(ROUNDUP(SUM($J$7:R$7)*R$7/Qtrs_Yr,0)=0,0,LOOKUP(ROUNDUP(SUM($J$7:R$7)*R$7/Qtrs_Yr,0),Inputs!$F$35:$I$35,Inputs!$F$36:$I$36))/Thousand/Qtrs_Yr)*IF(ROUNDUP(SUM($J$7:R$7)*R$7/Qtrs_Yr,0)=0,0,LOOKUP(ROUNDUP(SUM($J$7:R$7)*R$7/Qtrs_Yr,0),Inputs!$F$41:$I$41,Inputs!$F$42:$I$42))/Grams_Oz*Inputs!$F$45)*LOOKUP(YEAR(R$5),Inputs!$F$49:$I$49,Inputs!$F$50:$I$50)/Thousand/LOOKUP(YEAR(R$5),Inputs!$F$89:$I$89,Inputs!$F$90:$I$90)*(R5-Q5-Inputs!$F$97)/(R5-Q5)+((IF(ROUNDUP(SUM($I$7:Q$7)*Q$7/Qtrs_Yr,0)=0,0,LOOKUP(ROUNDUP(SUM($I$7:Q$7)*Q$7/Qtrs_Yr,0),Inputs!$F$35:$I$35,Inputs!$F$36:$I$36))/Thousand/Qtrs_Yr)*IF(ROUNDUP(SUM($I$7:Q$7)*Q$7/Qtrs_Yr,0)=0,0,LOOKUP(ROUNDUP(SUM($I$7:Q$7)*Q$7/Qtrs_Yr,0),Inputs!$F$41:$I$41,Inputs!$F$42:$I$42))/Grams_Oz*Inputs!$F$45)*LOOKUP(YEAR(Q$5),Inputs!$F$49:$I$49,Inputs!$F$50:$I$50)/Thousand
/LOOKUP(YEAR(Q$5),Inputs!$F$89:$I$89,Inputs!$F$90:$I$90)*Inputs!$F$97/(Q5-P5))-(((Inputs!$F$64*(IF(ROUNDUP(SUM($J$7:R$7)*R$7/Qtrs_Yr,0)=0,0,LOOKUP(ROUNDUP(SUM($J$7:R$7)*R$7/Qtrs_Yr,0),Inputs!$F$35:$I$35,Inputs!$F$36:$I$36))/Thousand/Qtrs_Yr+IF(ROUNDUP(SUM($J$7:R$7)*R$7/Qtrs_Yr,0)=0,0,LOOKUP(ROUNDUP(SUM($J$7:R$7)*R$7/Qtrs_Yr,0),Inputs!$F$35:$I$35,Inputs!$F$38:$I$38)*LOOKUP(ROUNDUP(SUM($J$7:R$7)*R$7/Qtrs_Yr,0),Inputs!$F$35:$I$35,Inputs!$F$36:$I$36))/Thousand/Qtrs_Yr)+Inputs!$F$65*(IF(ROUNDUP(SUM($J$7:R$7)*R$7/Qtrs_Yr,0)=0,0,LOOKUP(ROUNDUP(SUM($J$7:R$7)*R$7/Qtrs_Yr,0),Inputs!$F$35:$I$35,Inputs!$F$36:$I$36))/Thousand/Qtrs_Yr)+Inputs!$F$66*(IF(ROUNDUP(SUM($J$7:R$7)*R$7/Qtrs_Yr,0)=0,0,LOOKUP(ROUNDUP(SUM($J$7:R$7)*R$7/Qtrs_Yr,0),Inputs!$F$35:$I$35,Inputs!$F$38:$I$38)*LOOKUP(ROUNDUP(SUM($J$7:R$7)*R$7/Qtrs_Yr,0),Inputs!$F$35:$I$35,Inputs!$F$36:$I$36))/Thousand/Qtrs_Yr))/Thousand+SUM(Inputs!$F$54:$F$61)*R$7/Qtrs_Yr)*(1+LOOKUP(YEAR(R$5),Inputs!$F$93:$I$93,Inputs!$F$94:$I$94)/Qtrs_Yr)^(COUNT($J$7:R7))*(R5-Q5-Inputs!$F$98)/(R5-Q5)+((Inputs!$F$64*(IF(ROUNDUP(SUM($I$7:Q$7)*Q$7/Qtrs_Yr,0)=0,0,LOOKUP(ROUNDUP(SUM($I$7:Q$7)*Q$7/Qtrs_Yr,0),Inputs!$F$35:$I$35,Inputs!$F$36:$I$36))/Thousand/Qtrs_Yr+IF(ROUNDUP(SUM($I$7:Q$7)*Q$7/Qtrs_Yr,0)=0,0,LOOKUP(ROUNDUP(SUM($I$7:Q$7)*Q$7/Qtrs_Yr,0),Inputs!$F$35:$I$35,Inputs!$F$38:$I$38)*LOOKUP(ROUNDUP(SUM($I$7:Q$7)*Q$7/Qtrs_Yr,0),Inputs!$F$35:$I$35,Inputs!$F$36:$I$36))/Thousand/Qtrs_Yr)+Inputs!$F$65*(IF(ROUNDUP(SUM($I$7:Q$7)*Q$7/Qtrs_Yr,0)=0,0,LOOKUP(ROUNDUP(SUM($I$7:Q$7)*Q$7/Qtrs_Yr,0),Inputs!$F$35:$I$35,Inputs!$F$36:$I$36))/Thousand/Qtrs_Yr)+Inputs!$F$66*(IF(ROUNDUP(SUM($I$7:Q$7)*Q$7/Qtrs_Yr,0)=0,0,LOOKUP(ROUNDUP(SUM($I$7:Q$7)*Q$7/Qtrs_Yr,0),Inputs!$F$35:$I$35,Inputs!$F$38:$I$38)*LOOKUP(ROUNDUP(SUM($I$7:Q$7)*Q$7/Qtrs_Yr,0),Inputs!$F$35:$I$35,Inputs!$F$36:$I$36))/Thousand/Qtrs_Yr))/Thousand+SUM(Inputs!$F$54:$F$61)*Q$7/Qtrs_Yr)*(1+LOOKUP(YEAR(R$5),Inputs!$F$93:$I$93,Inputs!$F$94:$I$94)/Qtrs_Yr)^(COUNT($I$7:Q7))*Inputs!$F$98/(Q5-P5))-(((IF(ROUNDUP(SUM($J$7:R$7)*R$7/Qtrs_Yr,0)=0,0,LOOKUP(ROUNDUP(SUM($J$7:R$7)*R$7/Qtrs_Yr,0),Inputs!$F$35:$I$35,Inputs!$F$36:$I$36))/Thousand/Qtrs_Yr)*IF(ROUNDUP(SUM($J$7:R$7)*R$7/Qtrs_Yr,0)=0,0,LOOKUP(ROUNDUP(SUM($J$7:R$7)*R$7/Qtrs_Yr,0),Inputs!$F$41:$I$41,Inputs!$F$42:$I$42))/Grams_Oz*Inputs!$F$45)*LOOKUP(YEAR(R$5),Inputs!$F$49:$I$49,Inputs!$F$50:$I$50)/Thousand
/LOOKUP(YEAR(R$5),Inputs!$F$89:$I$89,Inputs!$F$90:$I$90)-((Inputs!$F$64*(IF(ROUNDUP(SUM($J$7:R$7)*R$7/Qtrs_Yr,0)=0,0,LOOKUP(ROUNDUP(SUM($J$7:R$7)*R$7/Qtrs_Yr,0),Inputs!$F$35:$I$35,Inputs!$F$36:$I$36))/Thousand/Qtrs_Yr+IF(ROUNDUP(SUM($J$7:R$7)*R$7/Qtrs_Yr,0)=0,0,LOOKUP(ROUNDUP(SUM($J$7:R$7)*R$7/Qtrs_Yr,0),Inputs!$F$35:$I$35,Inputs!$F$38:$I$38)*LOOKUP(ROUNDUP(SUM($J$7:R$7)*R$7/Qtrs_Yr,0),Inputs!$F$35:$I$35,Inputs!$F$36:$I$36))/Thousand/Qtrs_Yr)+Inputs!$F$65*(IF(ROUNDUP(SUM($J$7:R$7)*R$7/Qtrs_Yr,0)=0,0,LOOKUP(ROUNDUP(SUM($J$7:R$7)*R$7/Qtrs_Yr,0),Inputs!$F$35:$I$35,Inputs!$F$36:$I$36))/Thousand/Qtrs_Yr)+Inputs!$F$66*(IF(ROUNDUP(SUM($J$7:R$7)*R$7/Qtrs_Yr,0)=0,0,LOOKUP(ROUNDUP(SUM($J$7:R$7)*R$7/Qtrs_Yr,0),Inputs!$F$35:$I$35,Inputs!$F$38:$I$38)*LOOKUP(ROUNDUP(SUM($J$7:R$7)*R$7/Qtrs_Yr,0),Inputs!$F$35:$I$35,Inputs!$F$36:$I$36))/Thousand/Qtrs_Yr))/Thousand+SUM(Inputs!$F$54:$F$61)*R$7/Qtrs_Yr)*(1+LOOKUP(YEAR(R$5),Inputs!$F$93:$I$93,Inputs!$F$94:$I$94)/Qtrs_Yr)^(COUNT($J$7:R7))-Inputs!$E$29*(1+Inputs!$E$31)*R$7/Inputs!$E$16/Qtrs_Yr-IF(OR(R$7=0,SUM($J7:R7)*R7&gt;Inputs!$F$77*Qtrs_Yr),0,(Inputs!$F$71-SUM($J7:R7,-1)*R7*Inputs!$F$71/Inputs!$F$77/Qtrs_Yr)*(LOOKUP(YEAR(S$5),Inputs!$F$85:$I$85,Inputs!$F$86:$I$86)+LOOKUP(ROUNDUP(SUM($J7:S7)*S7/Qtrs_Yr,0),Inputs!$G$73:$J$73,Inputs!$G$74:$J$74))/Qtrs_Yr))*Inputs!$F$101)/(IF(OR(R$7=0,SUM($J7:R7)*R7&gt;Inputs!$F$77*Qtrs_Yr),0,(Inputs!$F$71-SUM($J7:R7,-1)*R7*Inputs!$F$71/Inputs!$F$77/Qtrs_Yr)*(LOOKUP(YEAR(S$5),Inputs!$F$85:$I$85,Inputs!$F$86:$I$86)+LOOKUP(ROUNDUP(SUM($J7:S7)*S7/Qtrs_Yr,0),Inputs!$G$73:$J$73,Inputs!$G$74:$J$74))/Qtrs_Yr)+IF(OR(R$7=0,SUM($J7:R7)*R7&gt;Inputs!$F$77*Qtrs_Yr),0,Inputs!$F$71/Inputs!$F$77/Qtrs_Yr)))</f>
        <v>2.0762272856248303</v>
      </c>
      <c r="S14" s="75">
        <f>IF((IF(OR(S$7=0,SUM($J7:S7)*S7&gt;Inputs!$F$77*Qtrs_Yr),0,(Inputs!$F$71-SUM($J7:S7,-1)*S7*Inputs!$F$71/Inputs!$F$77/Qtrs_Yr)*(LOOKUP(YEAR(T$5),Inputs!$F$85:$I$85,Inputs!$F$86:$I$86)+LOOKUP(ROUNDUP(SUM($J7:T7)*T7/Qtrs_Yr,0),Inputs!$G$73:$J$73,Inputs!$G$74:$J$74))/Qtrs_Yr)+IF(OR(S$7=0,SUM($J7:S7)*S7&gt;Inputs!$F$77*Qtrs_Yr),0,Inputs!$F$71/Inputs!$F$77/Qtrs_Yr))=0,0,((((IF(ROUNDUP(SUM($J$7:S$7)*S$7/Qtrs_Yr,0)=0,0,LOOKUP(ROUNDUP(SUM($J$7:S$7)*S$7/Qtrs_Yr,0),Inputs!$F$35:$I$35,Inputs!$F$36:$I$36))/Thousand/Qtrs_Yr)*IF(ROUNDUP(SUM($J$7:S$7)*S$7/Qtrs_Yr,0)=0,0,LOOKUP(ROUNDUP(SUM($J$7:S$7)*S$7/Qtrs_Yr,0),Inputs!$F$41:$I$41,Inputs!$F$42:$I$42))/Grams_Oz*Inputs!$F$45)*LOOKUP(YEAR(S$5),Inputs!$F$49:$I$49,Inputs!$F$50:$I$50)/Thousand/LOOKUP(YEAR(S$5),Inputs!$F$89:$I$89,Inputs!$F$90:$I$90)*(S5-R5-Inputs!$F$97)/(S5-R5)+((IF(ROUNDUP(SUM($I$7:R$7)*R$7/Qtrs_Yr,0)=0,0,LOOKUP(ROUNDUP(SUM($I$7:R$7)*R$7/Qtrs_Yr,0),Inputs!$F$35:$I$35,Inputs!$F$36:$I$36))/Thousand/Qtrs_Yr)*IF(ROUNDUP(SUM($I$7:R$7)*R$7/Qtrs_Yr,0)=0,0,LOOKUP(ROUNDUP(SUM($I$7:R$7)*R$7/Qtrs_Yr,0),Inputs!$F$41:$I$41,Inputs!$F$42:$I$42))/Grams_Oz*Inputs!$F$45)*LOOKUP(YEAR(R$5),Inputs!$F$49:$I$49,Inputs!$F$50:$I$50)/Thousand
/LOOKUP(YEAR(R$5),Inputs!$F$89:$I$89,Inputs!$F$90:$I$90)*Inputs!$F$97/(R5-Q5))-(((Inputs!$F$64*(IF(ROUNDUP(SUM($J$7:S$7)*S$7/Qtrs_Yr,0)=0,0,LOOKUP(ROUNDUP(SUM($J$7:S$7)*S$7/Qtrs_Yr,0),Inputs!$F$35:$I$35,Inputs!$F$36:$I$36))/Thousand/Qtrs_Yr+IF(ROUNDUP(SUM($J$7:S$7)*S$7/Qtrs_Yr,0)=0,0,LOOKUP(ROUNDUP(SUM($J$7:S$7)*S$7/Qtrs_Yr,0),Inputs!$F$35:$I$35,Inputs!$F$38:$I$38)*LOOKUP(ROUNDUP(SUM($J$7:S$7)*S$7/Qtrs_Yr,0),Inputs!$F$35:$I$35,Inputs!$F$36:$I$36))/Thousand/Qtrs_Yr)+Inputs!$F$65*(IF(ROUNDUP(SUM($J$7:S$7)*S$7/Qtrs_Yr,0)=0,0,LOOKUP(ROUNDUP(SUM($J$7:S$7)*S$7/Qtrs_Yr,0),Inputs!$F$35:$I$35,Inputs!$F$36:$I$36))/Thousand/Qtrs_Yr)+Inputs!$F$66*(IF(ROUNDUP(SUM($J$7:S$7)*S$7/Qtrs_Yr,0)=0,0,LOOKUP(ROUNDUP(SUM($J$7:S$7)*S$7/Qtrs_Yr,0),Inputs!$F$35:$I$35,Inputs!$F$38:$I$38)*LOOKUP(ROUNDUP(SUM($J$7:S$7)*S$7/Qtrs_Yr,0),Inputs!$F$35:$I$35,Inputs!$F$36:$I$36))/Thousand/Qtrs_Yr))/Thousand+SUM(Inputs!$F$54:$F$61)*S$7/Qtrs_Yr)*(1+LOOKUP(YEAR(S$5),Inputs!$F$93:$I$93,Inputs!$F$94:$I$94)/Qtrs_Yr)^(COUNT($J$7:S7))*(S5-R5-Inputs!$F$98)/(S5-R5)+((Inputs!$F$64*(IF(ROUNDUP(SUM($I$7:R$7)*R$7/Qtrs_Yr,0)=0,0,LOOKUP(ROUNDUP(SUM($I$7:R$7)*R$7/Qtrs_Yr,0),Inputs!$F$35:$I$35,Inputs!$F$36:$I$36))/Thousand/Qtrs_Yr+IF(ROUNDUP(SUM($I$7:R$7)*R$7/Qtrs_Yr,0)=0,0,LOOKUP(ROUNDUP(SUM($I$7:R$7)*R$7/Qtrs_Yr,0),Inputs!$F$35:$I$35,Inputs!$F$38:$I$38)*LOOKUP(ROUNDUP(SUM($I$7:R$7)*R$7/Qtrs_Yr,0),Inputs!$F$35:$I$35,Inputs!$F$36:$I$36))/Thousand/Qtrs_Yr)+Inputs!$F$65*(IF(ROUNDUP(SUM($I$7:R$7)*R$7/Qtrs_Yr,0)=0,0,LOOKUP(ROUNDUP(SUM($I$7:R$7)*R$7/Qtrs_Yr,0),Inputs!$F$35:$I$35,Inputs!$F$36:$I$36))/Thousand/Qtrs_Yr)+Inputs!$F$66*(IF(ROUNDUP(SUM($I$7:R$7)*R$7/Qtrs_Yr,0)=0,0,LOOKUP(ROUNDUP(SUM($I$7:R$7)*R$7/Qtrs_Yr,0),Inputs!$F$35:$I$35,Inputs!$F$38:$I$38)*LOOKUP(ROUNDUP(SUM($I$7:R$7)*R$7/Qtrs_Yr,0),Inputs!$F$35:$I$35,Inputs!$F$36:$I$36))/Thousand/Qtrs_Yr))/Thousand+SUM(Inputs!$F$54:$F$61)*R$7/Qtrs_Yr)*(1+LOOKUP(YEAR(S$5),Inputs!$F$93:$I$93,Inputs!$F$94:$I$94)/Qtrs_Yr)^(COUNT($I$7:R7))*Inputs!$F$98/(R5-Q5))-(((IF(ROUNDUP(SUM($J$7:S$7)*S$7/Qtrs_Yr,0)=0,0,LOOKUP(ROUNDUP(SUM($J$7:S$7)*S$7/Qtrs_Yr,0),Inputs!$F$35:$I$35,Inputs!$F$36:$I$36))/Thousand/Qtrs_Yr)*IF(ROUNDUP(SUM($J$7:S$7)*S$7/Qtrs_Yr,0)=0,0,LOOKUP(ROUNDUP(SUM($J$7:S$7)*S$7/Qtrs_Yr,0),Inputs!$F$41:$I$41,Inputs!$F$42:$I$42))/Grams_Oz*Inputs!$F$45)*LOOKUP(YEAR(S$5),Inputs!$F$49:$I$49,Inputs!$F$50:$I$50)/Thousand
/LOOKUP(YEAR(S$5),Inputs!$F$89:$I$89,Inputs!$F$90:$I$90)-((Inputs!$F$64*(IF(ROUNDUP(SUM($J$7:S$7)*S$7/Qtrs_Yr,0)=0,0,LOOKUP(ROUNDUP(SUM($J$7:S$7)*S$7/Qtrs_Yr,0),Inputs!$F$35:$I$35,Inputs!$F$36:$I$36))/Thousand/Qtrs_Yr+IF(ROUNDUP(SUM($J$7:S$7)*S$7/Qtrs_Yr,0)=0,0,LOOKUP(ROUNDUP(SUM($J$7:S$7)*S$7/Qtrs_Yr,0),Inputs!$F$35:$I$35,Inputs!$F$38:$I$38)*LOOKUP(ROUNDUP(SUM($J$7:S$7)*S$7/Qtrs_Yr,0),Inputs!$F$35:$I$35,Inputs!$F$36:$I$36))/Thousand/Qtrs_Yr)+Inputs!$F$65*(IF(ROUNDUP(SUM($J$7:S$7)*S$7/Qtrs_Yr,0)=0,0,LOOKUP(ROUNDUP(SUM($J$7:S$7)*S$7/Qtrs_Yr,0),Inputs!$F$35:$I$35,Inputs!$F$36:$I$36))/Thousand/Qtrs_Yr)+Inputs!$F$66*(IF(ROUNDUP(SUM($J$7:S$7)*S$7/Qtrs_Yr,0)=0,0,LOOKUP(ROUNDUP(SUM($J$7:S$7)*S$7/Qtrs_Yr,0),Inputs!$F$35:$I$35,Inputs!$F$38:$I$38)*LOOKUP(ROUNDUP(SUM($J$7:S$7)*S$7/Qtrs_Yr,0),Inputs!$F$35:$I$35,Inputs!$F$36:$I$36))/Thousand/Qtrs_Yr))/Thousand+SUM(Inputs!$F$54:$F$61)*S$7/Qtrs_Yr)*(1+LOOKUP(YEAR(S$5),Inputs!$F$93:$I$93,Inputs!$F$94:$I$94)/Qtrs_Yr)^(COUNT($J$7:S7))-Inputs!$E$29*(1+Inputs!$E$31)*S$7/Inputs!$E$16/Qtrs_Yr-IF(OR(S$7=0,SUM($J7:S7)*S7&gt;Inputs!$F$77*Qtrs_Yr),0,(Inputs!$F$71-SUM($J7:S7,-1)*S7*Inputs!$F$71/Inputs!$F$77/Qtrs_Yr)*(LOOKUP(YEAR(T$5),Inputs!$F$85:$I$85,Inputs!$F$86:$I$86)+LOOKUP(ROUNDUP(SUM($J7:T7)*T7/Qtrs_Yr,0),Inputs!$G$73:$J$73,Inputs!$G$74:$J$74))/Qtrs_Yr))*Inputs!$F$101)/(IF(OR(S$7=0,SUM($J7:S7)*S7&gt;Inputs!$F$77*Qtrs_Yr),0,(Inputs!$F$71-SUM($J7:S7,-1)*S7*Inputs!$F$71/Inputs!$F$77/Qtrs_Yr)*(LOOKUP(YEAR(T$5),Inputs!$F$85:$I$85,Inputs!$F$86:$I$86)+LOOKUP(ROUNDUP(SUM($J7:T7)*T7/Qtrs_Yr,0),Inputs!$G$73:$J$73,Inputs!$G$74:$J$74))/Qtrs_Yr)+IF(OR(S$7=0,SUM($J7:S7)*S7&gt;Inputs!$F$77*Qtrs_Yr),0,Inputs!$F$71/Inputs!$F$77/Qtrs_Yr)))</f>
        <v>2.0517009333121163</v>
      </c>
      <c r="T14" s="75">
        <f>IF((IF(OR(T$7=0,SUM($J7:T7)*T7&gt;Inputs!$F$77*Qtrs_Yr),0,(Inputs!$F$71-SUM($J7:T7,-1)*T7*Inputs!$F$71/Inputs!$F$77/Qtrs_Yr)*(LOOKUP(YEAR(U$5),Inputs!$F$85:$I$85,Inputs!$F$86:$I$86)+LOOKUP(ROUNDUP(SUM($J7:U7)*U7/Qtrs_Yr,0),Inputs!$G$73:$J$73,Inputs!$G$74:$J$74))/Qtrs_Yr)+IF(OR(T$7=0,SUM($J7:T7)*T7&gt;Inputs!$F$77*Qtrs_Yr),0,Inputs!$F$71/Inputs!$F$77/Qtrs_Yr))=0,0,((((IF(ROUNDUP(SUM($J$7:T$7)*T$7/Qtrs_Yr,0)=0,0,LOOKUP(ROUNDUP(SUM($J$7:T$7)*T$7/Qtrs_Yr,0),Inputs!$F$35:$I$35,Inputs!$F$36:$I$36))/Thousand/Qtrs_Yr)*IF(ROUNDUP(SUM($J$7:T$7)*T$7/Qtrs_Yr,0)=0,0,LOOKUP(ROUNDUP(SUM($J$7:T$7)*T$7/Qtrs_Yr,0),Inputs!$F$41:$I$41,Inputs!$F$42:$I$42))/Grams_Oz*Inputs!$F$45)*LOOKUP(YEAR(T$5),Inputs!$F$49:$I$49,Inputs!$F$50:$I$50)/Thousand/LOOKUP(YEAR(T$5),Inputs!$F$89:$I$89,Inputs!$F$90:$I$90)*(T5-S5-Inputs!$F$97)/(T5-S5)+((IF(ROUNDUP(SUM($I$7:S$7)*S$7/Qtrs_Yr,0)=0,0,LOOKUP(ROUNDUP(SUM($I$7:S$7)*S$7/Qtrs_Yr,0),Inputs!$F$35:$I$35,Inputs!$F$36:$I$36))/Thousand/Qtrs_Yr)*IF(ROUNDUP(SUM($I$7:S$7)*S$7/Qtrs_Yr,0)=0,0,LOOKUP(ROUNDUP(SUM($I$7:S$7)*S$7/Qtrs_Yr,0),Inputs!$F$41:$I$41,Inputs!$F$42:$I$42))/Grams_Oz*Inputs!$F$45)*LOOKUP(YEAR(S$5),Inputs!$F$49:$I$49,Inputs!$F$50:$I$50)/Thousand
/LOOKUP(YEAR(S$5),Inputs!$F$89:$I$89,Inputs!$F$90:$I$90)*Inputs!$F$97/(S5-R5))-(((Inputs!$F$64*(IF(ROUNDUP(SUM($J$7:T$7)*T$7/Qtrs_Yr,0)=0,0,LOOKUP(ROUNDUP(SUM($J$7:T$7)*T$7/Qtrs_Yr,0),Inputs!$F$35:$I$35,Inputs!$F$36:$I$36))/Thousand/Qtrs_Yr+IF(ROUNDUP(SUM($J$7:T$7)*T$7/Qtrs_Yr,0)=0,0,LOOKUP(ROUNDUP(SUM($J$7:T$7)*T$7/Qtrs_Yr,0),Inputs!$F$35:$I$35,Inputs!$F$38:$I$38)*LOOKUP(ROUNDUP(SUM($J$7:T$7)*T$7/Qtrs_Yr,0),Inputs!$F$35:$I$35,Inputs!$F$36:$I$36))/Thousand/Qtrs_Yr)+Inputs!$F$65*(IF(ROUNDUP(SUM($J$7:T$7)*T$7/Qtrs_Yr,0)=0,0,LOOKUP(ROUNDUP(SUM($J$7:T$7)*T$7/Qtrs_Yr,0),Inputs!$F$35:$I$35,Inputs!$F$36:$I$36))/Thousand/Qtrs_Yr)+Inputs!$F$66*(IF(ROUNDUP(SUM($J$7:T$7)*T$7/Qtrs_Yr,0)=0,0,LOOKUP(ROUNDUP(SUM($J$7:T$7)*T$7/Qtrs_Yr,0),Inputs!$F$35:$I$35,Inputs!$F$38:$I$38)*LOOKUP(ROUNDUP(SUM($J$7:T$7)*T$7/Qtrs_Yr,0),Inputs!$F$35:$I$35,Inputs!$F$36:$I$36))/Thousand/Qtrs_Yr))/Thousand+SUM(Inputs!$F$54:$F$61)*T$7/Qtrs_Yr)*(1+LOOKUP(YEAR(T$5),Inputs!$F$93:$I$93,Inputs!$F$94:$I$94)/Qtrs_Yr)^(COUNT($J$7:T7))*(T5-S5-Inputs!$F$98)/(T5-S5)+((Inputs!$F$64*(IF(ROUNDUP(SUM($I$7:S$7)*S$7/Qtrs_Yr,0)=0,0,LOOKUP(ROUNDUP(SUM($I$7:S$7)*S$7/Qtrs_Yr,0),Inputs!$F$35:$I$35,Inputs!$F$36:$I$36))/Thousand/Qtrs_Yr+IF(ROUNDUP(SUM($I$7:S$7)*S$7/Qtrs_Yr,0)=0,0,LOOKUP(ROUNDUP(SUM($I$7:S$7)*S$7/Qtrs_Yr,0),Inputs!$F$35:$I$35,Inputs!$F$38:$I$38)*LOOKUP(ROUNDUP(SUM($I$7:S$7)*S$7/Qtrs_Yr,0),Inputs!$F$35:$I$35,Inputs!$F$36:$I$36))/Thousand/Qtrs_Yr)+Inputs!$F$65*(IF(ROUNDUP(SUM($I$7:S$7)*S$7/Qtrs_Yr,0)=0,0,LOOKUP(ROUNDUP(SUM($I$7:S$7)*S$7/Qtrs_Yr,0),Inputs!$F$35:$I$35,Inputs!$F$36:$I$36))/Thousand/Qtrs_Yr)+Inputs!$F$66*(IF(ROUNDUP(SUM($I$7:S$7)*S$7/Qtrs_Yr,0)=0,0,LOOKUP(ROUNDUP(SUM($I$7:S$7)*S$7/Qtrs_Yr,0),Inputs!$F$35:$I$35,Inputs!$F$38:$I$38)*LOOKUP(ROUNDUP(SUM($I$7:S$7)*S$7/Qtrs_Yr,0),Inputs!$F$35:$I$35,Inputs!$F$36:$I$36))/Thousand/Qtrs_Yr))/Thousand+SUM(Inputs!$F$54:$F$61)*S$7/Qtrs_Yr)*(1+LOOKUP(YEAR(T$5),Inputs!$F$93:$I$93,Inputs!$F$94:$I$94)/Qtrs_Yr)^(COUNT($I$7:S7))*Inputs!$F$98/(S5-R5))-(((IF(ROUNDUP(SUM($J$7:T$7)*T$7/Qtrs_Yr,0)=0,0,LOOKUP(ROUNDUP(SUM($J$7:T$7)*T$7/Qtrs_Yr,0),Inputs!$F$35:$I$35,Inputs!$F$36:$I$36))/Thousand/Qtrs_Yr)*IF(ROUNDUP(SUM($J$7:T$7)*T$7/Qtrs_Yr,0)=0,0,LOOKUP(ROUNDUP(SUM($J$7:T$7)*T$7/Qtrs_Yr,0),Inputs!$F$41:$I$41,Inputs!$F$42:$I$42))/Grams_Oz*Inputs!$F$45)*LOOKUP(YEAR(T$5),Inputs!$F$49:$I$49,Inputs!$F$50:$I$50)/Thousand
/LOOKUP(YEAR(T$5),Inputs!$F$89:$I$89,Inputs!$F$90:$I$90)-((Inputs!$F$64*(IF(ROUNDUP(SUM($J$7:T$7)*T$7/Qtrs_Yr,0)=0,0,LOOKUP(ROUNDUP(SUM($J$7:T$7)*T$7/Qtrs_Yr,0),Inputs!$F$35:$I$35,Inputs!$F$36:$I$36))/Thousand/Qtrs_Yr+IF(ROUNDUP(SUM($J$7:T$7)*T$7/Qtrs_Yr,0)=0,0,LOOKUP(ROUNDUP(SUM($J$7:T$7)*T$7/Qtrs_Yr,0),Inputs!$F$35:$I$35,Inputs!$F$38:$I$38)*LOOKUP(ROUNDUP(SUM($J$7:T$7)*T$7/Qtrs_Yr,0),Inputs!$F$35:$I$35,Inputs!$F$36:$I$36))/Thousand/Qtrs_Yr)+Inputs!$F$65*(IF(ROUNDUP(SUM($J$7:T$7)*T$7/Qtrs_Yr,0)=0,0,LOOKUP(ROUNDUP(SUM($J$7:T$7)*T$7/Qtrs_Yr,0),Inputs!$F$35:$I$35,Inputs!$F$36:$I$36))/Thousand/Qtrs_Yr)+Inputs!$F$66*(IF(ROUNDUP(SUM($J$7:T$7)*T$7/Qtrs_Yr,0)=0,0,LOOKUP(ROUNDUP(SUM($J$7:T$7)*T$7/Qtrs_Yr,0),Inputs!$F$35:$I$35,Inputs!$F$38:$I$38)*LOOKUP(ROUNDUP(SUM($J$7:T$7)*T$7/Qtrs_Yr,0),Inputs!$F$35:$I$35,Inputs!$F$36:$I$36))/Thousand/Qtrs_Yr))/Thousand+SUM(Inputs!$F$54:$F$61)*T$7/Qtrs_Yr)*(1+LOOKUP(YEAR(T$5),Inputs!$F$93:$I$93,Inputs!$F$94:$I$94)/Qtrs_Yr)^(COUNT($J$7:T7))-Inputs!$E$29*(1+Inputs!$E$31)*T$7/Inputs!$E$16/Qtrs_Yr-IF(OR(T$7=0,SUM($J7:T7)*T7&gt;Inputs!$F$77*Qtrs_Yr),0,(Inputs!$F$71-SUM($J7:T7,-1)*T7*Inputs!$F$71/Inputs!$F$77/Qtrs_Yr)*(LOOKUP(YEAR(U$5),Inputs!$F$85:$I$85,Inputs!$F$86:$I$86)+LOOKUP(ROUNDUP(SUM($J7:U7)*U7/Qtrs_Yr,0),Inputs!$G$73:$J$73,Inputs!$G$74:$J$74))/Qtrs_Yr))*Inputs!$F$101)/(IF(OR(T$7=0,SUM($J7:T7)*T7&gt;Inputs!$F$77*Qtrs_Yr),0,(Inputs!$F$71-SUM($J7:T7,-1)*T7*Inputs!$F$71/Inputs!$F$77/Qtrs_Yr)*(LOOKUP(YEAR(U$5),Inputs!$F$85:$I$85,Inputs!$F$86:$I$86)+LOOKUP(ROUNDUP(SUM($J7:U7)*U7/Qtrs_Yr,0),Inputs!$G$73:$J$73,Inputs!$G$74:$J$74))/Qtrs_Yr)+IF(OR(T$7=0,SUM($J7:T7)*T7&gt;Inputs!$F$77*Qtrs_Yr),0,Inputs!$F$71/Inputs!$F$77/Qtrs_Yr)))</f>
        <v>2.056100597465643</v>
      </c>
      <c r="U14" s="75">
        <f>IF((IF(OR(U$7=0,SUM($J7:U7)*U7&gt;Inputs!$F$77*Qtrs_Yr),0,(Inputs!$F$71-SUM($J7:U7,-1)*U7*Inputs!$F$71/Inputs!$F$77/Qtrs_Yr)*(LOOKUP(YEAR(V$5),Inputs!$F$85:$I$85,Inputs!$F$86:$I$86)+LOOKUP(ROUNDUP(SUM($J7:V7)*V7/Qtrs_Yr,0),Inputs!$G$73:$J$73,Inputs!$G$74:$J$74))/Qtrs_Yr)+IF(OR(U$7=0,SUM($J7:U7)*U7&gt;Inputs!$F$77*Qtrs_Yr),0,Inputs!$F$71/Inputs!$F$77/Qtrs_Yr))=0,0,((((IF(ROUNDUP(SUM($J$7:U$7)*U$7/Qtrs_Yr,0)=0,0,LOOKUP(ROUNDUP(SUM($J$7:U$7)*U$7/Qtrs_Yr,0),Inputs!$F$35:$I$35,Inputs!$F$36:$I$36))/Thousand/Qtrs_Yr)*IF(ROUNDUP(SUM($J$7:U$7)*U$7/Qtrs_Yr,0)=0,0,LOOKUP(ROUNDUP(SUM($J$7:U$7)*U$7/Qtrs_Yr,0),Inputs!$F$41:$I$41,Inputs!$F$42:$I$42))/Grams_Oz*Inputs!$F$45)*LOOKUP(YEAR(U$5),Inputs!$F$49:$I$49,Inputs!$F$50:$I$50)/Thousand/LOOKUP(YEAR(U$5),Inputs!$F$89:$I$89,Inputs!$F$90:$I$90)*(U5-T5-Inputs!$F$97)/(U5-T5)+((IF(ROUNDUP(SUM($I$7:T$7)*T$7/Qtrs_Yr,0)=0,0,LOOKUP(ROUNDUP(SUM($I$7:T$7)*T$7/Qtrs_Yr,0),Inputs!$F$35:$I$35,Inputs!$F$36:$I$36))/Thousand/Qtrs_Yr)*IF(ROUNDUP(SUM($I$7:T$7)*T$7/Qtrs_Yr,0)=0,0,LOOKUP(ROUNDUP(SUM($I$7:T$7)*T$7/Qtrs_Yr,0),Inputs!$F$41:$I$41,Inputs!$F$42:$I$42))/Grams_Oz*Inputs!$F$45)*LOOKUP(YEAR(T$5),Inputs!$F$49:$I$49,Inputs!$F$50:$I$50)/Thousand
/LOOKUP(YEAR(T$5),Inputs!$F$89:$I$89,Inputs!$F$90:$I$90)*Inputs!$F$97/(T5-S5))-(((Inputs!$F$64*(IF(ROUNDUP(SUM($J$7:U$7)*U$7/Qtrs_Yr,0)=0,0,LOOKUP(ROUNDUP(SUM($J$7:U$7)*U$7/Qtrs_Yr,0),Inputs!$F$35:$I$35,Inputs!$F$36:$I$36))/Thousand/Qtrs_Yr+IF(ROUNDUP(SUM($J$7:U$7)*U$7/Qtrs_Yr,0)=0,0,LOOKUP(ROUNDUP(SUM($J$7:U$7)*U$7/Qtrs_Yr,0),Inputs!$F$35:$I$35,Inputs!$F$38:$I$38)*LOOKUP(ROUNDUP(SUM($J$7:U$7)*U$7/Qtrs_Yr,0),Inputs!$F$35:$I$35,Inputs!$F$36:$I$36))/Thousand/Qtrs_Yr)+Inputs!$F$65*(IF(ROUNDUP(SUM($J$7:U$7)*U$7/Qtrs_Yr,0)=0,0,LOOKUP(ROUNDUP(SUM($J$7:U$7)*U$7/Qtrs_Yr,0),Inputs!$F$35:$I$35,Inputs!$F$36:$I$36))/Thousand/Qtrs_Yr)+Inputs!$F$66*(IF(ROUNDUP(SUM($J$7:U$7)*U$7/Qtrs_Yr,0)=0,0,LOOKUP(ROUNDUP(SUM($J$7:U$7)*U$7/Qtrs_Yr,0),Inputs!$F$35:$I$35,Inputs!$F$38:$I$38)*LOOKUP(ROUNDUP(SUM($J$7:U$7)*U$7/Qtrs_Yr,0),Inputs!$F$35:$I$35,Inputs!$F$36:$I$36))/Thousand/Qtrs_Yr))/Thousand+SUM(Inputs!$F$54:$F$61)*U$7/Qtrs_Yr)*(1+LOOKUP(YEAR(U$5),Inputs!$F$93:$I$93,Inputs!$F$94:$I$94)/Qtrs_Yr)^(COUNT($J$7:U7))*(U5-T5-Inputs!$F$98)/(U5-T5)+((Inputs!$F$64*(IF(ROUNDUP(SUM($I$7:T$7)*T$7/Qtrs_Yr,0)=0,0,LOOKUP(ROUNDUP(SUM($I$7:T$7)*T$7/Qtrs_Yr,0),Inputs!$F$35:$I$35,Inputs!$F$36:$I$36))/Thousand/Qtrs_Yr+IF(ROUNDUP(SUM($I$7:T$7)*T$7/Qtrs_Yr,0)=0,0,LOOKUP(ROUNDUP(SUM($I$7:T$7)*T$7/Qtrs_Yr,0),Inputs!$F$35:$I$35,Inputs!$F$38:$I$38)*LOOKUP(ROUNDUP(SUM($I$7:T$7)*T$7/Qtrs_Yr,0),Inputs!$F$35:$I$35,Inputs!$F$36:$I$36))/Thousand/Qtrs_Yr)+Inputs!$F$65*(IF(ROUNDUP(SUM($I$7:T$7)*T$7/Qtrs_Yr,0)=0,0,LOOKUP(ROUNDUP(SUM($I$7:T$7)*T$7/Qtrs_Yr,0),Inputs!$F$35:$I$35,Inputs!$F$36:$I$36))/Thousand/Qtrs_Yr)+Inputs!$F$66*(IF(ROUNDUP(SUM($I$7:T$7)*T$7/Qtrs_Yr,0)=0,0,LOOKUP(ROUNDUP(SUM($I$7:T$7)*T$7/Qtrs_Yr,0),Inputs!$F$35:$I$35,Inputs!$F$38:$I$38)*LOOKUP(ROUNDUP(SUM($I$7:T$7)*T$7/Qtrs_Yr,0),Inputs!$F$35:$I$35,Inputs!$F$36:$I$36))/Thousand/Qtrs_Yr))/Thousand+SUM(Inputs!$F$54:$F$61)*T$7/Qtrs_Yr)*(1+LOOKUP(YEAR(U$5),Inputs!$F$93:$I$93,Inputs!$F$94:$I$94)/Qtrs_Yr)^(COUNT($I$7:T7))*Inputs!$F$98/(T5-S5))-(((IF(ROUNDUP(SUM($J$7:U$7)*U$7/Qtrs_Yr,0)=0,0,LOOKUP(ROUNDUP(SUM($J$7:U$7)*U$7/Qtrs_Yr,0),Inputs!$F$35:$I$35,Inputs!$F$36:$I$36))/Thousand/Qtrs_Yr)*IF(ROUNDUP(SUM($J$7:U$7)*U$7/Qtrs_Yr,0)=0,0,LOOKUP(ROUNDUP(SUM($J$7:U$7)*U$7/Qtrs_Yr,0),Inputs!$F$41:$I$41,Inputs!$F$42:$I$42))/Grams_Oz*Inputs!$F$45)*LOOKUP(YEAR(U$5),Inputs!$F$49:$I$49,Inputs!$F$50:$I$50)/Thousand
/LOOKUP(YEAR(U$5),Inputs!$F$89:$I$89,Inputs!$F$90:$I$90)-((Inputs!$F$64*(IF(ROUNDUP(SUM($J$7:U$7)*U$7/Qtrs_Yr,0)=0,0,LOOKUP(ROUNDUP(SUM($J$7:U$7)*U$7/Qtrs_Yr,0),Inputs!$F$35:$I$35,Inputs!$F$36:$I$36))/Thousand/Qtrs_Yr+IF(ROUNDUP(SUM($J$7:U$7)*U$7/Qtrs_Yr,0)=0,0,LOOKUP(ROUNDUP(SUM($J$7:U$7)*U$7/Qtrs_Yr,0),Inputs!$F$35:$I$35,Inputs!$F$38:$I$38)*LOOKUP(ROUNDUP(SUM($J$7:U$7)*U$7/Qtrs_Yr,0),Inputs!$F$35:$I$35,Inputs!$F$36:$I$36))/Thousand/Qtrs_Yr)+Inputs!$F$65*(IF(ROUNDUP(SUM($J$7:U$7)*U$7/Qtrs_Yr,0)=0,0,LOOKUP(ROUNDUP(SUM($J$7:U$7)*U$7/Qtrs_Yr,0),Inputs!$F$35:$I$35,Inputs!$F$36:$I$36))/Thousand/Qtrs_Yr)+Inputs!$F$66*(IF(ROUNDUP(SUM($J$7:U$7)*U$7/Qtrs_Yr,0)=0,0,LOOKUP(ROUNDUP(SUM($J$7:U$7)*U$7/Qtrs_Yr,0),Inputs!$F$35:$I$35,Inputs!$F$38:$I$38)*LOOKUP(ROUNDUP(SUM($J$7:U$7)*U$7/Qtrs_Yr,0),Inputs!$F$35:$I$35,Inputs!$F$36:$I$36))/Thousand/Qtrs_Yr))/Thousand+SUM(Inputs!$F$54:$F$61)*U$7/Qtrs_Yr)*(1+LOOKUP(YEAR(U$5),Inputs!$F$93:$I$93,Inputs!$F$94:$I$94)/Qtrs_Yr)^(COUNT($J$7:U7))-Inputs!$E$29*(1+Inputs!$E$31)*U$7/Inputs!$E$16/Qtrs_Yr-IF(OR(U$7=0,SUM($J7:U7)*U7&gt;Inputs!$F$77*Qtrs_Yr),0,(Inputs!$F$71-SUM($J7:U7,-1)*U7*Inputs!$F$71/Inputs!$F$77/Qtrs_Yr)*(LOOKUP(YEAR(V$5),Inputs!$F$85:$I$85,Inputs!$F$86:$I$86)+LOOKUP(ROUNDUP(SUM($J7:V7)*V7/Qtrs_Yr,0),Inputs!$G$73:$J$73,Inputs!$G$74:$J$74))/Qtrs_Yr))*Inputs!$F$101)/(IF(OR(U$7=0,SUM($J7:U7)*U7&gt;Inputs!$F$77*Qtrs_Yr),0,(Inputs!$F$71-SUM($J7:U7,-1)*U7*Inputs!$F$71/Inputs!$F$77/Qtrs_Yr)*(LOOKUP(YEAR(V$5),Inputs!$F$85:$I$85,Inputs!$F$86:$I$86)+LOOKUP(ROUNDUP(SUM($J7:V7)*V7/Qtrs_Yr,0),Inputs!$G$73:$J$73,Inputs!$G$74:$J$74))/Qtrs_Yr)+IF(OR(U$7=0,SUM($J7:U7)*U7&gt;Inputs!$F$77*Qtrs_Yr),0,Inputs!$F$71/Inputs!$F$77/Qtrs_Yr)))</f>
        <v>2.0566053476186821</v>
      </c>
      <c r="V14" s="75">
        <f>IF((IF(OR(V$7=0,SUM($J7:V7)*V7&gt;Inputs!$F$77*Qtrs_Yr),0,(Inputs!$F$71-SUM($J7:V7,-1)*V7*Inputs!$F$71/Inputs!$F$77/Qtrs_Yr)*(LOOKUP(YEAR(W$5),Inputs!$F$85:$I$85,Inputs!$F$86:$I$86)+LOOKUP(ROUNDUP(SUM($J7:W7)*W7/Qtrs_Yr,0),Inputs!$G$73:$J$73,Inputs!$G$74:$J$74))/Qtrs_Yr)+IF(OR(V$7=0,SUM($J7:V7)*V7&gt;Inputs!$F$77*Qtrs_Yr),0,Inputs!$F$71/Inputs!$F$77/Qtrs_Yr))=0,0,((((IF(ROUNDUP(SUM($J$7:V$7)*V$7/Qtrs_Yr,0)=0,0,LOOKUP(ROUNDUP(SUM($J$7:V$7)*V$7/Qtrs_Yr,0),Inputs!$F$35:$I$35,Inputs!$F$36:$I$36))/Thousand/Qtrs_Yr)*IF(ROUNDUP(SUM($J$7:V$7)*V$7/Qtrs_Yr,0)=0,0,LOOKUP(ROUNDUP(SUM($J$7:V$7)*V$7/Qtrs_Yr,0),Inputs!$F$41:$I$41,Inputs!$F$42:$I$42))/Grams_Oz*Inputs!$F$45)*LOOKUP(YEAR(V$5),Inputs!$F$49:$I$49,Inputs!$F$50:$I$50)/Thousand/LOOKUP(YEAR(V$5),Inputs!$F$89:$I$89,Inputs!$F$90:$I$90)*(V5-U5-Inputs!$F$97)/(V5-U5)+((IF(ROUNDUP(SUM($I$7:U$7)*U$7/Qtrs_Yr,0)=0,0,LOOKUP(ROUNDUP(SUM($I$7:U$7)*U$7/Qtrs_Yr,0),Inputs!$F$35:$I$35,Inputs!$F$36:$I$36))/Thousand/Qtrs_Yr)*IF(ROUNDUP(SUM($I$7:U$7)*U$7/Qtrs_Yr,0)=0,0,LOOKUP(ROUNDUP(SUM($I$7:U$7)*U$7/Qtrs_Yr,0),Inputs!$F$41:$I$41,Inputs!$F$42:$I$42))/Grams_Oz*Inputs!$F$45)*LOOKUP(YEAR(U$5),Inputs!$F$49:$I$49,Inputs!$F$50:$I$50)/Thousand
/LOOKUP(YEAR(U$5),Inputs!$F$89:$I$89,Inputs!$F$90:$I$90)*Inputs!$F$97/(U5-T5))-(((Inputs!$F$64*(IF(ROUNDUP(SUM($J$7:V$7)*V$7/Qtrs_Yr,0)=0,0,LOOKUP(ROUNDUP(SUM($J$7:V$7)*V$7/Qtrs_Yr,0),Inputs!$F$35:$I$35,Inputs!$F$36:$I$36))/Thousand/Qtrs_Yr+IF(ROUNDUP(SUM($J$7:V$7)*V$7/Qtrs_Yr,0)=0,0,LOOKUP(ROUNDUP(SUM($J$7:V$7)*V$7/Qtrs_Yr,0),Inputs!$F$35:$I$35,Inputs!$F$38:$I$38)*LOOKUP(ROUNDUP(SUM($J$7:V$7)*V$7/Qtrs_Yr,0),Inputs!$F$35:$I$35,Inputs!$F$36:$I$36))/Thousand/Qtrs_Yr)+Inputs!$F$65*(IF(ROUNDUP(SUM($J$7:V$7)*V$7/Qtrs_Yr,0)=0,0,LOOKUP(ROUNDUP(SUM($J$7:V$7)*V$7/Qtrs_Yr,0),Inputs!$F$35:$I$35,Inputs!$F$36:$I$36))/Thousand/Qtrs_Yr)+Inputs!$F$66*(IF(ROUNDUP(SUM($J$7:V$7)*V$7/Qtrs_Yr,0)=0,0,LOOKUP(ROUNDUP(SUM($J$7:V$7)*V$7/Qtrs_Yr,0),Inputs!$F$35:$I$35,Inputs!$F$38:$I$38)*LOOKUP(ROUNDUP(SUM($J$7:V$7)*V$7/Qtrs_Yr,0),Inputs!$F$35:$I$35,Inputs!$F$36:$I$36))/Thousand/Qtrs_Yr))/Thousand+SUM(Inputs!$F$54:$F$61)*V$7/Qtrs_Yr)*(1+LOOKUP(YEAR(V$5),Inputs!$F$93:$I$93,Inputs!$F$94:$I$94)/Qtrs_Yr)^(COUNT($J$7:V7))*(V5-U5-Inputs!$F$98)/(V5-U5)+((Inputs!$F$64*(IF(ROUNDUP(SUM($I$7:U$7)*U$7/Qtrs_Yr,0)=0,0,LOOKUP(ROUNDUP(SUM($I$7:U$7)*U$7/Qtrs_Yr,0),Inputs!$F$35:$I$35,Inputs!$F$36:$I$36))/Thousand/Qtrs_Yr+IF(ROUNDUP(SUM($I$7:U$7)*U$7/Qtrs_Yr,0)=0,0,LOOKUP(ROUNDUP(SUM($I$7:U$7)*U$7/Qtrs_Yr,0),Inputs!$F$35:$I$35,Inputs!$F$38:$I$38)*LOOKUP(ROUNDUP(SUM($I$7:U$7)*U$7/Qtrs_Yr,0),Inputs!$F$35:$I$35,Inputs!$F$36:$I$36))/Thousand/Qtrs_Yr)+Inputs!$F$65*(IF(ROUNDUP(SUM($I$7:U$7)*U$7/Qtrs_Yr,0)=0,0,LOOKUP(ROUNDUP(SUM($I$7:U$7)*U$7/Qtrs_Yr,0),Inputs!$F$35:$I$35,Inputs!$F$36:$I$36))/Thousand/Qtrs_Yr)+Inputs!$F$66*(IF(ROUNDUP(SUM($I$7:U$7)*U$7/Qtrs_Yr,0)=0,0,LOOKUP(ROUNDUP(SUM($I$7:U$7)*U$7/Qtrs_Yr,0),Inputs!$F$35:$I$35,Inputs!$F$38:$I$38)*LOOKUP(ROUNDUP(SUM($I$7:U$7)*U$7/Qtrs_Yr,0),Inputs!$F$35:$I$35,Inputs!$F$36:$I$36))/Thousand/Qtrs_Yr))/Thousand+SUM(Inputs!$F$54:$F$61)*U$7/Qtrs_Yr)*(1+LOOKUP(YEAR(V$5),Inputs!$F$93:$I$93,Inputs!$F$94:$I$94)/Qtrs_Yr)^(COUNT($I$7:U7))*Inputs!$F$98/(U5-T5))-(((IF(ROUNDUP(SUM($J$7:V$7)*V$7/Qtrs_Yr,0)=0,0,LOOKUP(ROUNDUP(SUM($J$7:V$7)*V$7/Qtrs_Yr,0),Inputs!$F$35:$I$35,Inputs!$F$36:$I$36))/Thousand/Qtrs_Yr)*IF(ROUNDUP(SUM($J$7:V$7)*V$7/Qtrs_Yr,0)=0,0,LOOKUP(ROUNDUP(SUM($J$7:V$7)*V$7/Qtrs_Yr,0),Inputs!$F$41:$I$41,Inputs!$F$42:$I$42))/Grams_Oz*Inputs!$F$45)*LOOKUP(YEAR(V$5),Inputs!$F$49:$I$49,Inputs!$F$50:$I$50)/Thousand
/LOOKUP(YEAR(V$5),Inputs!$F$89:$I$89,Inputs!$F$90:$I$90)-((Inputs!$F$64*(IF(ROUNDUP(SUM($J$7:V$7)*V$7/Qtrs_Yr,0)=0,0,LOOKUP(ROUNDUP(SUM($J$7:V$7)*V$7/Qtrs_Yr,0),Inputs!$F$35:$I$35,Inputs!$F$36:$I$36))/Thousand/Qtrs_Yr+IF(ROUNDUP(SUM($J$7:V$7)*V$7/Qtrs_Yr,0)=0,0,LOOKUP(ROUNDUP(SUM($J$7:V$7)*V$7/Qtrs_Yr,0),Inputs!$F$35:$I$35,Inputs!$F$38:$I$38)*LOOKUP(ROUNDUP(SUM($J$7:V$7)*V$7/Qtrs_Yr,0),Inputs!$F$35:$I$35,Inputs!$F$36:$I$36))/Thousand/Qtrs_Yr)+Inputs!$F$65*(IF(ROUNDUP(SUM($J$7:V$7)*V$7/Qtrs_Yr,0)=0,0,LOOKUP(ROUNDUP(SUM($J$7:V$7)*V$7/Qtrs_Yr,0),Inputs!$F$35:$I$35,Inputs!$F$36:$I$36))/Thousand/Qtrs_Yr)+Inputs!$F$66*(IF(ROUNDUP(SUM($J$7:V$7)*V$7/Qtrs_Yr,0)=0,0,LOOKUP(ROUNDUP(SUM($J$7:V$7)*V$7/Qtrs_Yr,0),Inputs!$F$35:$I$35,Inputs!$F$38:$I$38)*LOOKUP(ROUNDUP(SUM($J$7:V$7)*V$7/Qtrs_Yr,0),Inputs!$F$35:$I$35,Inputs!$F$36:$I$36))/Thousand/Qtrs_Yr))/Thousand+SUM(Inputs!$F$54:$F$61)*V$7/Qtrs_Yr)*(1+LOOKUP(YEAR(V$5),Inputs!$F$93:$I$93,Inputs!$F$94:$I$94)/Qtrs_Yr)^(COUNT($J$7:V7))-Inputs!$E$29*(1+Inputs!$E$31)*V$7/Inputs!$E$16/Qtrs_Yr-IF(OR(V$7=0,SUM($J7:V7)*V7&gt;Inputs!$F$77*Qtrs_Yr),0,(Inputs!$F$71-SUM($J7:V7,-1)*V7*Inputs!$F$71/Inputs!$F$77/Qtrs_Yr)*(LOOKUP(YEAR(W$5),Inputs!$F$85:$I$85,Inputs!$F$86:$I$86)+LOOKUP(ROUNDUP(SUM($J7:W7)*W7/Qtrs_Yr,0),Inputs!$G$73:$J$73,Inputs!$G$74:$J$74))/Qtrs_Yr))*Inputs!$F$101)/(IF(OR(V$7=0,SUM($J7:V7)*V7&gt;Inputs!$F$77*Qtrs_Yr),0,(Inputs!$F$71-SUM($J7:V7,-1)*V7*Inputs!$F$71/Inputs!$F$77/Qtrs_Yr)*(LOOKUP(YEAR(W$5),Inputs!$F$85:$I$85,Inputs!$F$86:$I$86)+LOOKUP(ROUNDUP(SUM($J7:W7)*W7/Qtrs_Yr,0),Inputs!$G$73:$J$73,Inputs!$G$74:$J$74))/Qtrs_Yr)+IF(OR(V$7=0,SUM($J7:V7)*V7&gt;Inputs!$F$77*Qtrs_Yr),0,Inputs!$F$71/Inputs!$F$77/Qtrs_Yr)))</f>
        <v>2.0109815385051335</v>
      </c>
      <c r="W14" s="75">
        <f>IF((IF(OR(W$7=0,SUM($J7:W7)*W7&gt;Inputs!$F$77*Qtrs_Yr),0,(Inputs!$F$71-SUM($J7:W7,-1)*W7*Inputs!$F$71/Inputs!$F$77/Qtrs_Yr)*(LOOKUP(YEAR(X$5),Inputs!$F$85:$I$85,Inputs!$F$86:$I$86)+LOOKUP(ROUNDUP(SUM($J7:X7)*X7/Qtrs_Yr,0),Inputs!$G$73:$J$73,Inputs!$G$74:$J$74))/Qtrs_Yr)+IF(OR(W$7=0,SUM($J7:W7)*W7&gt;Inputs!$F$77*Qtrs_Yr),0,Inputs!$F$71/Inputs!$F$77/Qtrs_Yr))=0,0,((((IF(ROUNDUP(SUM($J$7:W$7)*W$7/Qtrs_Yr,0)=0,0,LOOKUP(ROUNDUP(SUM($J$7:W$7)*W$7/Qtrs_Yr,0),Inputs!$F$35:$I$35,Inputs!$F$36:$I$36))/Thousand/Qtrs_Yr)*IF(ROUNDUP(SUM($J$7:W$7)*W$7/Qtrs_Yr,0)=0,0,LOOKUP(ROUNDUP(SUM($J$7:W$7)*W$7/Qtrs_Yr,0),Inputs!$F$41:$I$41,Inputs!$F$42:$I$42))/Grams_Oz*Inputs!$F$45)*LOOKUP(YEAR(W$5),Inputs!$F$49:$I$49,Inputs!$F$50:$I$50)/Thousand/LOOKUP(YEAR(W$5),Inputs!$F$89:$I$89,Inputs!$F$90:$I$90)*(W5-V5-Inputs!$F$97)/(W5-V5)+((IF(ROUNDUP(SUM($I$7:V$7)*V$7/Qtrs_Yr,0)=0,0,LOOKUP(ROUNDUP(SUM($I$7:V$7)*V$7/Qtrs_Yr,0),Inputs!$F$35:$I$35,Inputs!$F$36:$I$36))/Thousand/Qtrs_Yr)*IF(ROUNDUP(SUM($I$7:V$7)*V$7/Qtrs_Yr,0)=0,0,LOOKUP(ROUNDUP(SUM($I$7:V$7)*V$7/Qtrs_Yr,0),Inputs!$F$41:$I$41,Inputs!$F$42:$I$42))/Grams_Oz*Inputs!$F$45)*LOOKUP(YEAR(V$5),Inputs!$F$49:$I$49,Inputs!$F$50:$I$50)/Thousand
/LOOKUP(YEAR(V$5),Inputs!$F$89:$I$89,Inputs!$F$90:$I$90)*Inputs!$F$97/(V5-U5))-(((Inputs!$F$64*(IF(ROUNDUP(SUM($J$7:W$7)*W$7/Qtrs_Yr,0)=0,0,LOOKUP(ROUNDUP(SUM($J$7:W$7)*W$7/Qtrs_Yr,0),Inputs!$F$35:$I$35,Inputs!$F$36:$I$36))/Thousand/Qtrs_Yr+IF(ROUNDUP(SUM($J$7:W$7)*W$7/Qtrs_Yr,0)=0,0,LOOKUP(ROUNDUP(SUM($J$7:W$7)*W$7/Qtrs_Yr,0),Inputs!$F$35:$I$35,Inputs!$F$38:$I$38)*LOOKUP(ROUNDUP(SUM($J$7:W$7)*W$7/Qtrs_Yr,0),Inputs!$F$35:$I$35,Inputs!$F$36:$I$36))/Thousand/Qtrs_Yr)+Inputs!$F$65*(IF(ROUNDUP(SUM($J$7:W$7)*W$7/Qtrs_Yr,0)=0,0,LOOKUP(ROUNDUP(SUM($J$7:W$7)*W$7/Qtrs_Yr,0),Inputs!$F$35:$I$35,Inputs!$F$36:$I$36))/Thousand/Qtrs_Yr)+Inputs!$F$66*(IF(ROUNDUP(SUM($J$7:W$7)*W$7/Qtrs_Yr,0)=0,0,LOOKUP(ROUNDUP(SUM($J$7:W$7)*W$7/Qtrs_Yr,0),Inputs!$F$35:$I$35,Inputs!$F$38:$I$38)*LOOKUP(ROUNDUP(SUM($J$7:W$7)*W$7/Qtrs_Yr,0),Inputs!$F$35:$I$35,Inputs!$F$36:$I$36))/Thousand/Qtrs_Yr))/Thousand+SUM(Inputs!$F$54:$F$61)*W$7/Qtrs_Yr)*(1+LOOKUP(YEAR(W$5),Inputs!$F$93:$I$93,Inputs!$F$94:$I$94)/Qtrs_Yr)^(COUNT($J$7:W7))*(W5-V5-Inputs!$F$98)/(W5-V5)+((Inputs!$F$64*(IF(ROUNDUP(SUM($I$7:V$7)*V$7/Qtrs_Yr,0)=0,0,LOOKUP(ROUNDUP(SUM($I$7:V$7)*V$7/Qtrs_Yr,0),Inputs!$F$35:$I$35,Inputs!$F$36:$I$36))/Thousand/Qtrs_Yr+IF(ROUNDUP(SUM($I$7:V$7)*V$7/Qtrs_Yr,0)=0,0,LOOKUP(ROUNDUP(SUM($I$7:V$7)*V$7/Qtrs_Yr,0),Inputs!$F$35:$I$35,Inputs!$F$38:$I$38)*LOOKUP(ROUNDUP(SUM($I$7:V$7)*V$7/Qtrs_Yr,0),Inputs!$F$35:$I$35,Inputs!$F$36:$I$36))/Thousand/Qtrs_Yr)+Inputs!$F$65*(IF(ROUNDUP(SUM($I$7:V$7)*V$7/Qtrs_Yr,0)=0,0,LOOKUP(ROUNDUP(SUM($I$7:V$7)*V$7/Qtrs_Yr,0),Inputs!$F$35:$I$35,Inputs!$F$36:$I$36))/Thousand/Qtrs_Yr)+Inputs!$F$66*(IF(ROUNDUP(SUM($I$7:V$7)*V$7/Qtrs_Yr,0)=0,0,LOOKUP(ROUNDUP(SUM($I$7:V$7)*V$7/Qtrs_Yr,0),Inputs!$F$35:$I$35,Inputs!$F$38:$I$38)*LOOKUP(ROUNDUP(SUM($I$7:V$7)*V$7/Qtrs_Yr,0),Inputs!$F$35:$I$35,Inputs!$F$36:$I$36))/Thousand/Qtrs_Yr))/Thousand+SUM(Inputs!$F$54:$F$61)*V$7/Qtrs_Yr)*(1+LOOKUP(YEAR(W$5),Inputs!$F$93:$I$93,Inputs!$F$94:$I$94)/Qtrs_Yr)^(COUNT($I$7:V7))*Inputs!$F$98/(V5-U5))-(((IF(ROUNDUP(SUM($J$7:W$7)*W$7/Qtrs_Yr,0)=0,0,LOOKUP(ROUNDUP(SUM($J$7:W$7)*W$7/Qtrs_Yr,0),Inputs!$F$35:$I$35,Inputs!$F$36:$I$36))/Thousand/Qtrs_Yr)*IF(ROUNDUP(SUM($J$7:W$7)*W$7/Qtrs_Yr,0)=0,0,LOOKUP(ROUNDUP(SUM($J$7:W$7)*W$7/Qtrs_Yr,0),Inputs!$F$41:$I$41,Inputs!$F$42:$I$42))/Grams_Oz*Inputs!$F$45)*LOOKUP(YEAR(W$5),Inputs!$F$49:$I$49,Inputs!$F$50:$I$50)/Thousand
/LOOKUP(YEAR(W$5),Inputs!$F$89:$I$89,Inputs!$F$90:$I$90)-((Inputs!$F$64*(IF(ROUNDUP(SUM($J$7:W$7)*W$7/Qtrs_Yr,0)=0,0,LOOKUP(ROUNDUP(SUM($J$7:W$7)*W$7/Qtrs_Yr,0),Inputs!$F$35:$I$35,Inputs!$F$36:$I$36))/Thousand/Qtrs_Yr+IF(ROUNDUP(SUM($J$7:W$7)*W$7/Qtrs_Yr,0)=0,0,LOOKUP(ROUNDUP(SUM($J$7:W$7)*W$7/Qtrs_Yr,0),Inputs!$F$35:$I$35,Inputs!$F$38:$I$38)*LOOKUP(ROUNDUP(SUM($J$7:W$7)*W$7/Qtrs_Yr,0),Inputs!$F$35:$I$35,Inputs!$F$36:$I$36))/Thousand/Qtrs_Yr)+Inputs!$F$65*(IF(ROUNDUP(SUM($J$7:W$7)*W$7/Qtrs_Yr,0)=0,0,LOOKUP(ROUNDUP(SUM($J$7:W$7)*W$7/Qtrs_Yr,0),Inputs!$F$35:$I$35,Inputs!$F$36:$I$36))/Thousand/Qtrs_Yr)+Inputs!$F$66*(IF(ROUNDUP(SUM($J$7:W$7)*W$7/Qtrs_Yr,0)=0,0,LOOKUP(ROUNDUP(SUM($J$7:W$7)*W$7/Qtrs_Yr,0),Inputs!$F$35:$I$35,Inputs!$F$38:$I$38)*LOOKUP(ROUNDUP(SUM($J$7:W$7)*W$7/Qtrs_Yr,0),Inputs!$F$35:$I$35,Inputs!$F$36:$I$36))/Thousand/Qtrs_Yr))/Thousand+SUM(Inputs!$F$54:$F$61)*W$7/Qtrs_Yr)*(1+LOOKUP(YEAR(W$5),Inputs!$F$93:$I$93,Inputs!$F$94:$I$94)/Qtrs_Yr)^(COUNT($J$7:W7))-Inputs!$E$29*(1+Inputs!$E$31)*W$7/Inputs!$E$16/Qtrs_Yr-IF(OR(W$7=0,SUM($J7:W7)*W7&gt;Inputs!$F$77*Qtrs_Yr),0,(Inputs!$F$71-SUM($J7:W7,-1)*W7*Inputs!$F$71/Inputs!$F$77/Qtrs_Yr)*(LOOKUP(YEAR(X$5),Inputs!$F$85:$I$85,Inputs!$F$86:$I$86)+LOOKUP(ROUNDUP(SUM($J7:X7)*X7/Qtrs_Yr,0),Inputs!$G$73:$J$73,Inputs!$G$74:$J$74))/Qtrs_Yr))*Inputs!$F$101)/(IF(OR(W$7=0,SUM($J7:W7)*W7&gt;Inputs!$F$77*Qtrs_Yr),0,(Inputs!$F$71-SUM($J7:W7,-1)*W7*Inputs!$F$71/Inputs!$F$77/Qtrs_Yr)*(LOOKUP(YEAR(X$5),Inputs!$F$85:$I$85,Inputs!$F$86:$I$86)+LOOKUP(ROUNDUP(SUM($J7:X7)*X7/Qtrs_Yr,0),Inputs!$G$73:$J$73,Inputs!$G$74:$J$74))/Qtrs_Yr)+IF(OR(W$7=0,SUM($J7:W7)*W7&gt;Inputs!$F$77*Qtrs_Yr),0,Inputs!$F$71/Inputs!$F$77/Qtrs_Yr)))</f>
        <v>2.1679716531737201</v>
      </c>
      <c r="X14" s="75">
        <f>IF((IF(OR(X$7=0,SUM($J7:X7)*X7&gt;Inputs!$F$77*Qtrs_Yr),0,(Inputs!$F$71-SUM($J7:X7,-1)*X7*Inputs!$F$71/Inputs!$F$77/Qtrs_Yr)*(LOOKUP(YEAR(Y$5),Inputs!$F$85:$I$85,Inputs!$F$86:$I$86)+LOOKUP(ROUNDUP(SUM($J7:Y7)*Y7/Qtrs_Yr,0),Inputs!$G$73:$J$73,Inputs!$G$74:$J$74))/Qtrs_Yr)+IF(OR(X$7=0,SUM($J7:X7)*X7&gt;Inputs!$F$77*Qtrs_Yr),0,Inputs!$F$71/Inputs!$F$77/Qtrs_Yr))=0,0,((((IF(ROUNDUP(SUM($J$7:X$7)*X$7/Qtrs_Yr,0)=0,0,LOOKUP(ROUNDUP(SUM($J$7:X$7)*X$7/Qtrs_Yr,0),Inputs!$F$35:$I$35,Inputs!$F$36:$I$36))/Thousand/Qtrs_Yr)*IF(ROUNDUP(SUM($J$7:X$7)*X$7/Qtrs_Yr,0)=0,0,LOOKUP(ROUNDUP(SUM($J$7:X$7)*X$7/Qtrs_Yr,0),Inputs!$F$41:$I$41,Inputs!$F$42:$I$42))/Grams_Oz*Inputs!$F$45)*LOOKUP(YEAR(X$5),Inputs!$F$49:$I$49,Inputs!$F$50:$I$50)/Thousand/LOOKUP(YEAR(X$5),Inputs!$F$89:$I$89,Inputs!$F$90:$I$90)*(X5-W5-Inputs!$F$97)/(X5-W5)+((IF(ROUNDUP(SUM($I$7:W$7)*W$7/Qtrs_Yr,0)=0,0,LOOKUP(ROUNDUP(SUM($I$7:W$7)*W$7/Qtrs_Yr,0),Inputs!$F$35:$I$35,Inputs!$F$36:$I$36))/Thousand/Qtrs_Yr)*IF(ROUNDUP(SUM($I$7:W$7)*W$7/Qtrs_Yr,0)=0,0,LOOKUP(ROUNDUP(SUM($I$7:W$7)*W$7/Qtrs_Yr,0),Inputs!$F$41:$I$41,Inputs!$F$42:$I$42))/Grams_Oz*Inputs!$F$45)*LOOKUP(YEAR(W$5),Inputs!$F$49:$I$49,Inputs!$F$50:$I$50)/Thousand
/LOOKUP(YEAR(W$5),Inputs!$F$89:$I$89,Inputs!$F$90:$I$90)*Inputs!$F$97/(W5-V5))-(((Inputs!$F$64*(IF(ROUNDUP(SUM($J$7:X$7)*X$7/Qtrs_Yr,0)=0,0,LOOKUP(ROUNDUP(SUM($J$7:X$7)*X$7/Qtrs_Yr,0),Inputs!$F$35:$I$35,Inputs!$F$36:$I$36))/Thousand/Qtrs_Yr+IF(ROUNDUP(SUM($J$7:X$7)*X$7/Qtrs_Yr,0)=0,0,LOOKUP(ROUNDUP(SUM($J$7:X$7)*X$7/Qtrs_Yr,0),Inputs!$F$35:$I$35,Inputs!$F$38:$I$38)*LOOKUP(ROUNDUP(SUM($J$7:X$7)*X$7/Qtrs_Yr,0),Inputs!$F$35:$I$35,Inputs!$F$36:$I$36))/Thousand/Qtrs_Yr)+Inputs!$F$65*(IF(ROUNDUP(SUM($J$7:X$7)*X$7/Qtrs_Yr,0)=0,0,LOOKUP(ROUNDUP(SUM($J$7:X$7)*X$7/Qtrs_Yr,0),Inputs!$F$35:$I$35,Inputs!$F$36:$I$36))/Thousand/Qtrs_Yr)+Inputs!$F$66*(IF(ROUNDUP(SUM($J$7:X$7)*X$7/Qtrs_Yr,0)=0,0,LOOKUP(ROUNDUP(SUM($J$7:X$7)*X$7/Qtrs_Yr,0),Inputs!$F$35:$I$35,Inputs!$F$38:$I$38)*LOOKUP(ROUNDUP(SUM($J$7:X$7)*X$7/Qtrs_Yr,0),Inputs!$F$35:$I$35,Inputs!$F$36:$I$36))/Thousand/Qtrs_Yr))/Thousand+SUM(Inputs!$F$54:$F$61)*X$7/Qtrs_Yr)*(1+LOOKUP(YEAR(X$5),Inputs!$F$93:$I$93,Inputs!$F$94:$I$94)/Qtrs_Yr)^(COUNT($J$7:X7))*(X5-W5-Inputs!$F$98)/(X5-W5)+((Inputs!$F$64*(IF(ROUNDUP(SUM($I$7:W$7)*W$7/Qtrs_Yr,0)=0,0,LOOKUP(ROUNDUP(SUM($I$7:W$7)*W$7/Qtrs_Yr,0),Inputs!$F$35:$I$35,Inputs!$F$36:$I$36))/Thousand/Qtrs_Yr+IF(ROUNDUP(SUM($I$7:W$7)*W$7/Qtrs_Yr,0)=0,0,LOOKUP(ROUNDUP(SUM($I$7:W$7)*W$7/Qtrs_Yr,0),Inputs!$F$35:$I$35,Inputs!$F$38:$I$38)*LOOKUP(ROUNDUP(SUM($I$7:W$7)*W$7/Qtrs_Yr,0),Inputs!$F$35:$I$35,Inputs!$F$36:$I$36))/Thousand/Qtrs_Yr)+Inputs!$F$65*(IF(ROUNDUP(SUM($I$7:W$7)*W$7/Qtrs_Yr,0)=0,0,LOOKUP(ROUNDUP(SUM($I$7:W$7)*W$7/Qtrs_Yr,0),Inputs!$F$35:$I$35,Inputs!$F$36:$I$36))/Thousand/Qtrs_Yr)+Inputs!$F$66*(IF(ROUNDUP(SUM($I$7:W$7)*W$7/Qtrs_Yr,0)=0,0,LOOKUP(ROUNDUP(SUM($I$7:W$7)*W$7/Qtrs_Yr,0),Inputs!$F$35:$I$35,Inputs!$F$38:$I$38)*LOOKUP(ROUNDUP(SUM($I$7:W$7)*W$7/Qtrs_Yr,0),Inputs!$F$35:$I$35,Inputs!$F$36:$I$36))/Thousand/Qtrs_Yr))/Thousand+SUM(Inputs!$F$54:$F$61)*W$7/Qtrs_Yr)*(1+LOOKUP(YEAR(X$5),Inputs!$F$93:$I$93,Inputs!$F$94:$I$94)/Qtrs_Yr)^(COUNT($I$7:W7))*Inputs!$F$98/(W5-V5))-(((IF(ROUNDUP(SUM($J$7:X$7)*X$7/Qtrs_Yr,0)=0,0,LOOKUP(ROUNDUP(SUM($J$7:X$7)*X$7/Qtrs_Yr,0),Inputs!$F$35:$I$35,Inputs!$F$36:$I$36))/Thousand/Qtrs_Yr)*IF(ROUNDUP(SUM($J$7:X$7)*X$7/Qtrs_Yr,0)=0,0,LOOKUP(ROUNDUP(SUM($J$7:X$7)*X$7/Qtrs_Yr,0),Inputs!$F$41:$I$41,Inputs!$F$42:$I$42))/Grams_Oz*Inputs!$F$45)*LOOKUP(YEAR(X$5),Inputs!$F$49:$I$49,Inputs!$F$50:$I$50)/Thousand
/LOOKUP(YEAR(X$5),Inputs!$F$89:$I$89,Inputs!$F$90:$I$90)-((Inputs!$F$64*(IF(ROUNDUP(SUM($J$7:X$7)*X$7/Qtrs_Yr,0)=0,0,LOOKUP(ROUNDUP(SUM($J$7:X$7)*X$7/Qtrs_Yr,0),Inputs!$F$35:$I$35,Inputs!$F$36:$I$36))/Thousand/Qtrs_Yr+IF(ROUNDUP(SUM($J$7:X$7)*X$7/Qtrs_Yr,0)=0,0,LOOKUP(ROUNDUP(SUM($J$7:X$7)*X$7/Qtrs_Yr,0),Inputs!$F$35:$I$35,Inputs!$F$38:$I$38)*LOOKUP(ROUNDUP(SUM($J$7:X$7)*X$7/Qtrs_Yr,0),Inputs!$F$35:$I$35,Inputs!$F$36:$I$36))/Thousand/Qtrs_Yr)+Inputs!$F$65*(IF(ROUNDUP(SUM($J$7:X$7)*X$7/Qtrs_Yr,0)=0,0,LOOKUP(ROUNDUP(SUM($J$7:X$7)*X$7/Qtrs_Yr,0),Inputs!$F$35:$I$35,Inputs!$F$36:$I$36))/Thousand/Qtrs_Yr)+Inputs!$F$66*(IF(ROUNDUP(SUM($J$7:X$7)*X$7/Qtrs_Yr,0)=0,0,LOOKUP(ROUNDUP(SUM($J$7:X$7)*X$7/Qtrs_Yr,0),Inputs!$F$35:$I$35,Inputs!$F$38:$I$38)*LOOKUP(ROUNDUP(SUM($J$7:X$7)*X$7/Qtrs_Yr,0),Inputs!$F$35:$I$35,Inputs!$F$36:$I$36))/Thousand/Qtrs_Yr))/Thousand+SUM(Inputs!$F$54:$F$61)*X$7/Qtrs_Yr)*(1+LOOKUP(YEAR(X$5),Inputs!$F$93:$I$93,Inputs!$F$94:$I$94)/Qtrs_Yr)^(COUNT($J$7:X7))-Inputs!$E$29*(1+Inputs!$E$31)*X$7/Inputs!$E$16/Qtrs_Yr-IF(OR(X$7=0,SUM($J7:X7)*X7&gt;Inputs!$F$77*Qtrs_Yr),0,(Inputs!$F$71-SUM($J7:X7,-1)*X7*Inputs!$F$71/Inputs!$F$77/Qtrs_Yr)*(LOOKUP(YEAR(Y$5),Inputs!$F$85:$I$85,Inputs!$F$86:$I$86)+LOOKUP(ROUNDUP(SUM($J7:Y7)*Y7/Qtrs_Yr,0),Inputs!$G$73:$J$73,Inputs!$G$74:$J$74))/Qtrs_Yr))*Inputs!$F$101)/(IF(OR(X$7=0,SUM($J7:X7)*X7&gt;Inputs!$F$77*Qtrs_Yr),0,(Inputs!$F$71-SUM($J7:X7,-1)*X7*Inputs!$F$71/Inputs!$F$77/Qtrs_Yr)*(LOOKUP(YEAR(Y$5),Inputs!$F$85:$I$85,Inputs!$F$86:$I$86)+LOOKUP(ROUNDUP(SUM($J7:Y7)*Y7/Qtrs_Yr,0),Inputs!$G$73:$J$73,Inputs!$G$74:$J$74))/Qtrs_Yr)+IF(OR(X$7=0,SUM($J7:X7)*X7&gt;Inputs!$F$77*Qtrs_Yr),0,Inputs!$F$71/Inputs!$F$77/Qtrs_Yr)))</f>
        <v>2.1765763941505476</v>
      </c>
      <c r="Y14" s="75">
        <f>IF((IF(OR(Y$7=0,SUM($J7:Y7)*Y7&gt;Inputs!$F$77*Qtrs_Yr),0,(Inputs!$F$71-SUM($J7:Y7,-1)*Y7*Inputs!$F$71/Inputs!$F$77/Qtrs_Yr)*(LOOKUP(YEAR(Z$5),Inputs!$F$85:$I$85,Inputs!$F$86:$I$86)+LOOKUP(ROUNDUP(SUM($J7:Z7)*Z7/Qtrs_Yr,0),Inputs!$G$73:$J$73,Inputs!$G$74:$J$74))/Qtrs_Yr)+IF(OR(Y$7=0,SUM($J7:Y7)*Y7&gt;Inputs!$F$77*Qtrs_Yr),0,Inputs!$F$71/Inputs!$F$77/Qtrs_Yr))=0,0,((((IF(ROUNDUP(SUM($J$7:Y$7)*Y$7/Qtrs_Yr,0)=0,0,LOOKUP(ROUNDUP(SUM($J$7:Y$7)*Y$7/Qtrs_Yr,0),Inputs!$F$35:$I$35,Inputs!$F$36:$I$36))/Thousand/Qtrs_Yr)*IF(ROUNDUP(SUM($J$7:Y$7)*Y$7/Qtrs_Yr,0)=0,0,LOOKUP(ROUNDUP(SUM($J$7:Y$7)*Y$7/Qtrs_Yr,0),Inputs!$F$41:$I$41,Inputs!$F$42:$I$42))/Grams_Oz*Inputs!$F$45)*LOOKUP(YEAR(Y$5),Inputs!$F$49:$I$49,Inputs!$F$50:$I$50)/Thousand/LOOKUP(YEAR(Y$5),Inputs!$F$89:$I$89,Inputs!$F$90:$I$90)*(Y5-X5-Inputs!$F$97)/(Y5-X5)+((IF(ROUNDUP(SUM($I$7:X$7)*X$7/Qtrs_Yr,0)=0,0,LOOKUP(ROUNDUP(SUM($I$7:X$7)*X$7/Qtrs_Yr,0),Inputs!$F$35:$I$35,Inputs!$F$36:$I$36))/Thousand/Qtrs_Yr)*IF(ROUNDUP(SUM($I$7:X$7)*X$7/Qtrs_Yr,0)=0,0,LOOKUP(ROUNDUP(SUM($I$7:X$7)*X$7/Qtrs_Yr,0),Inputs!$F$41:$I$41,Inputs!$F$42:$I$42))/Grams_Oz*Inputs!$F$45)*LOOKUP(YEAR(X$5),Inputs!$F$49:$I$49,Inputs!$F$50:$I$50)/Thousand
/LOOKUP(YEAR(X$5),Inputs!$F$89:$I$89,Inputs!$F$90:$I$90)*Inputs!$F$97/(X5-W5))-(((Inputs!$F$64*(IF(ROUNDUP(SUM($J$7:Y$7)*Y$7/Qtrs_Yr,0)=0,0,LOOKUP(ROUNDUP(SUM($J$7:Y$7)*Y$7/Qtrs_Yr,0),Inputs!$F$35:$I$35,Inputs!$F$36:$I$36))/Thousand/Qtrs_Yr+IF(ROUNDUP(SUM($J$7:Y$7)*Y$7/Qtrs_Yr,0)=0,0,LOOKUP(ROUNDUP(SUM($J$7:Y$7)*Y$7/Qtrs_Yr,0),Inputs!$F$35:$I$35,Inputs!$F$38:$I$38)*LOOKUP(ROUNDUP(SUM($J$7:Y$7)*Y$7/Qtrs_Yr,0),Inputs!$F$35:$I$35,Inputs!$F$36:$I$36))/Thousand/Qtrs_Yr)+Inputs!$F$65*(IF(ROUNDUP(SUM($J$7:Y$7)*Y$7/Qtrs_Yr,0)=0,0,LOOKUP(ROUNDUP(SUM($J$7:Y$7)*Y$7/Qtrs_Yr,0),Inputs!$F$35:$I$35,Inputs!$F$36:$I$36))/Thousand/Qtrs_Yr)+Inputs!$F$66*(IF(ROUNDUP(SUM($J$7:Y$7)*Y$7/Qtrs_Yr,0)=0,0,LOOKUP(ROUNDUP(SUM($J$7:Y$7)*Y$7/Qtrs_Yr,0),Inputs!$F$35:$I$35,Inputs!$F$38:$I$38)*LOOKUP(ROUNDUP(SUM($J$7:Y$7)*Y$7/Qtrs_Yr,0),Inputs!$F$35:$I$35,Inputs!$F$36:$I$36))/Thousand/Qtrs_Yr))/Thousand+SUM(Inputs!$F$54:$F$61)*Y$7/Qtrs_Yr)*(1+LOOKUP(YEAR(Y$5),Inputs!$F$93:$I$93,Inputs!$F$94:$I$94)/Qtrs_Yr)^(COUNT($J$7:Y7))*(Y5-X5-Inputs!$F$98)/(Y5-X5)+((Inputs!$F$64*(IF(ROUNDUP(SUM($I$7:X$7)*X$7/Qtrs_Yr,0)=0,0,LOOKUP(ROUNDUP(SUM($I$7:X$7)*X$7/Qtrs_Yr,0),Inputs!$F$35:$I$35,Inputs!$F$36:$I$36))/Thousand/Qtrs_Yr+IF(ROUNDUP(SUM($I$7:X$7)*X$7/Qtrs_Yr,0)=0,0,LOOKUP(ROUNDUP(SUM($I$7:X$7)*X$7/Qtrs_Yr,0),Inputs!$F$35:$I$35,Inputs!$F$38:$I$38)*LOOKUP(ROUNDUP(SUM($I$7:X$7)*X$7/Qtrs_Yr,0),Inputs!$F$35:$I$35,Inputs!$F$36:$I$36))/Thousand/Qtrs_Yr)+Inputs!$F$65*(IF(ROUNDUP(SUM($I$7:X$7)*X$7/Qtrs_Yr,0)=0,0,LOOKUP(ROUNDUP(SUM($I$7:X$7)*X$7/Qtrs_Yr,0),Inputs!$F$35:$I$35,Inputs!$F$36:$I$36))/Thousand/Qtrs_Yr)+Inputs!$F$66*(IF(ROUNDUP(SUM($I$7:X$7)*X$7/Qtrs_Yr,0)=0,0,LOOKUP(ROUNDUP(SUM($I$7:X$7)*X$7/Qtrs_Yr,0),Inputs!$F$35:$I$35,Inputs!$F$38:$I$38)*LOOKUP(ROUNDUP(SUM($I$7:X$7)*X$7/Qtrs_Yr,0),Inputs!$F$35:$I$35,Inputs!$F$36:$I$36))/Thousand/Qtrs_Yr))/Thousand+SUM(Inputs!$F$54:$F$61)*X$7/Qtrs_Yr)*(1+LOOKUP(YEAR(Y$5),Inputs!$F$93:$I$93,Inputs!$F$94:$I$94)/Qtrs_Yr)^(COUNT($I$7:X7))*Inputs!$F$98/(X5-W5))-(((IF(ROUNDUP(SUM($J$7:Y$7)*Y$7/Qtrs_Yr,0)=0,0,LOOKUP(ROUNDUP(SUM($J$7:Y$7)*Y$7/Qtrs_Yr,0),Inputs!$F$35:$I$35,Inputs!$F$36:$I$36))/Thousand/Qtrs_Yr)*IF(ROUNDUP(SUM($J$7:Y$7)*Y$7/Qtrs_Yr,0)=0,0,LOOKUP(ROUNDUP(SUM($J$7:Y$7)*Y$7/Qtrs_Yr,0),Inputs!$F$41:$I$41,Inputs!$F$42:$I$42))/Grams_Oz*Inputs!$F$45)*LOOKUP(YEAR(Y$5),Inputs!$F$49:$I$49,Inputs!$F$50:$I$50)/Thousand
/LOOKUP(YEAR(Y$5),Inputs!$F$89:$I$89,Inputs!$F$90:$I$90)-((Inputs!$F$64*(IF(ROUNDUP(SUM($J$7:Y$7)*Y$7/Qtrs_Yr,0)=0,0,LOOKUP(ROUNDUP(SUM($J$7:Y$7)*Y$7/Qtrs_Yr,0),Inputs!$F$35:$I$35,Inputs!$F$36:$I$36))/Thousand/Qtrs_Yr+IF(ROUNDUP(SUM($J$7:Y$7)*Y$7/Qtrs_Yr,0)=0,0,LOOKUP(ROUNDUP(SUM($J$7:Y$7)*Y$7/Qtrs_Yr,0),Inputs!$F$35:$I$35,Inputs!$F$38:$I$38)*LOOKUP(ROUNDUP(SUM($J$7:Y$7)*Y$7/Qtrs_Yr,0),Inputs!$F$35:$I$35,Inputs!$F$36:$I$36))/Thousand/Qtrs_Yr)+Inputs!$F$65*(IF(ROUNDUP(SUM($J$7:Y$7)*Y$7/Qtrs_Yr,0)=0,0,LOOKUP(ROUNDUP(SUM($J$7:Y$7)*Y$7/Qtrs_Yr,0),Inputs!$F$35:$I$35,Inputs!$F$36:$I$36))/Thousand/Qtrs_Yr)+Inputs!$F$66*(IF(ROUNDUP(SUM($J$7:Y$7)*Y$7/Qtrs_Yr,0)=0,0,LOOKUP(ROUNDUP(SUM($J$7:Y$7)*Y$7/Qtrs_Yr,0),Inputs!$F$35:$I$35,Inputs!$F$38:$I$38)*LOOKUP(ROUNDUP(SUM($J$7:Y$7)*Y$7/Qtrs_Yr,0),Inputs!$F$35:$I$35,Inputs!$F$36:$I$36))/Thousand/Qtrs_Yr))/Thousand+SUM(Inputs!$F$54:$F$61)*Y$7/Qtrs_Yr)*(1+LOOKUP(YEAR(Y$5),Inputs!$F$93:$I$93,Inputs!$F$94:$I$94)/Qtrs_Yr)^(COUNT($J$7:Y7))-Inputs!$E$29*(1+Inputs!$E$31)*Y$7/Inputs!$E$16/Qtrs_Yr-IF(OR(Y$7=0,SUM($J7:Y7)*Y7&gt;Inputs!$F$77*Qtrs_Yr),0,(Inputs!$F$71-SUM($J7:Y7,-1)*Y7*Inputs!$F$71/Inputs!$F$77/Qtrs_Yr)*(LOOKUP(YEAR(Z$5),Inputs!$F$85:$I$85,Inputs!$F$86:$I$86)+LOOKUP(ROUNDUP(SUM($J7:Z7)*Z7/Qtrs_Yr,0),Inputs!$G$73:$J$73,Inputs!$G$74:$J$74))/Qtrs_Yr))*Inputs!$F$101)/(IF(OR(Y$7=0,SUM($J7:Y7)*Y7&gt;Inputs!$F$77*Qtrs_Yr),0,(Inputs!$F$71-SUM($J7:Y7,-1)*Y7*Inputs!$F$71/Inputs!$F$77/Qtrs_Yr)*(LOOKUP(YEAR(Z$5),Inputs!$F$85:$I$85,Inputs!$F$86:$I$86)+LOOKUP(ROUNDUP(SUM($J7:Z7)*Z7/Qtrs_Yr,0),Inputs!$G$73:$J$73,Inputs!$G$74:$J$74))/Qtrs_Yr)+IF(OR(Y$7=0,SUM($J7:Y7)*Y7&gt;Inputs!$F$77*Qtrs_Yr),0,Inputs!$F$71/Inputs!$F$77/Qtrs_Yr)))</f>
        <v>2.1800926331656525</v>
      </c>
      <c r="Z14" s="75">
        <f>IF((IF(OR(Z$7=0,SUM($J7:Z7)*Z7&gt;Inputs!$F$77*Qtrs_Yr),0,(Inputs!$F$71-SUM($J7:Z7,-1)*Z7*Inputs!$F$71/Inputs!$F$77/Qtrs_Yr)*(LOOKUP(YEAR(AA$5),Inputs!$F$85:$I$85,Inputs!$F$86:$I$86)+LOOKUP(ROUNDUP(SUM($J7:AA7)*AA7/Qtrs_Yr,0),Inputs!$G$73:$J$73,Inputs!$G$74:$J$74))/Qtrs_Yr)+IF(OR(Z$7=0,SUM($J7:Z7)*Z7&gt;Inputs!$F$77*Qtrs_Yr),0,Inputs!$F$71/Inputs!$F$77/Qtrs_Yr))=0,0,((((IF(ROUNDUP(SUM($J$7:Z$7)*Z$7/Qtrs_Yr,0)=0,0,LOOKUP(ROUNDUP(SUM($J$7:Z$7)*Z$7/Qtrs_Yr,0),Inputs!$F$35:$I$35,Inputs!$F$36:$I$36))/Thousand/Qtrs_Yr)*IF(ROUNDUP(SUM($J$7:Z$7)*Z$7/Qtrs_Yr,0)=0,0,LOOKUP(ROUNDUP(SUM($J$7:Z$7)*Z$7/Qtrs_Yr,0),Inputs!$F$41:$I$41,Inputs!$F$42:$I$42))/Grams_Oz*Inputs!$F$45)*LOOKUP(YEAR(Z$5),Inputs!$F$49:$I$49,Inputs!$F$50:$I$50)/Thousand/LOOKUP(YEAR(Z$5),Inputs!$F$89:$I$89,Inputs!$F$90:$I$90)*(Z5-Y5-Inputs!$F$97)/(Z5-Y5)+((IF(ROUNDUP(SUM($I$7:Y$7)*Y$7/Qtrs_Yr,0)=0,0,LOOKUP(ROUNDUP(SUM($I$7:Y$7)*Y$7/Qtrs_Yr,0),Inputs!$F$35:$I$35,Inputs!$F$36:$I$36))/Thousand/Qtrs_Yr)*IF(ROUNDUP(SUM($I$7:Y$7)*Y$7/Qtrs_Yr,0)=0,0,LOOKUP(ROUNDUP(SUM($I$7:Y$7)*Y$7/Qtrs_Yr,0),Inputs!$F$41:$I$41,Inputs!$F$42:$I$42))/Grams_Oz*Inputs!$F$45)*LOOKUP(YEAR(Y$5),Inputs!$F$49:$I$49,Inputs!$F$50:$I$50)/Thousand
/LOOKUP(YEAR(Y$5),Inputs!$F$89:$I$89,Inputs!$F$90:$I$90)*Inputs!$F$97/(Y5-X5))-(((Inputs!$F$64*(IF(ROUNDUP(SUM($J$7:Z$7)*Z$7/Qtrs_Yr,0)=0,0,LOOKUP(ROUNDUP(SUM($J$7:Z$7)*Z$7/Qtrs_Yr,0),Inputs!$F$35:$I$35,Inputs!$F$36:$I$36))/Thousand/Qtrs_Yr+IF(ROUNDUP(SUM($J$7:Z$7)*Z$7/Qtrs_Yr,0)=0,0,LOOKUP(ROUNDUP(SUM($J$7:Z$7)*Z$7/Qtrs_Yr,0),Inputs!$F$35:$I$35,Inputs!$F$38:$I$38)*LOOKUP(ROUNDUP(SUM($J$7:Z$7)*Z$7/Qtrs_Yr,0),Inputs!$F$35:$I$35,Inputs!$F$36:$I$36))/Thousand/Qtrs_Yr)+Inputs!$F$65*(IF(ROUNDUP(SUM($J$7:Z$7)*Z$7/Qtrs_Yr,0)=0,0,LOOKUP(ROUNDUP(SUM($J$7:Z$7)*Z$7/Qtrs_Yr,0),Inputs!$F$35:$I$35,Inputs!$F$36:$I$36))/Thousand/Qtrs_Yr)+Inputs!$F$66*(IF(ROUNDUP(SUM($J$7:Z$7)*Z$7/Qtrs_Yr,0)=0,0,LOOKUP(ROUNDUP(SUM($J$7:Z$7)*Z$7/Qtrs_Yr,0),Inputs!$F$35:$I$35,Inputs!$F$38:$I$38)*LOOKUP(ROUNDUP(SUM($J$7:Z$7)*Z$7/Qtrs_Yr,0),Inputs!$F$35:$I$35,Inputs!$F$36:$I$36))/Thousand/Qtrs_Yr))/Thousand+SUM(Inputs!$F$54:$F$61)*Z$7/Qtrs_Yr)*(1+LOOKUP(YEAR(Z$5),Inputs!$F$93:$I$93,Inputs!$F$94:$I$94)/Qtrs_Yr)^(COUNT($J$7:Z7))*(Z5-Y5-Inputs!$F$98)/(Z5-Y5)+((Inputs!$F$64*(IF(ROUNDUP(SUM($I$7:Y$7)*Y$7/Qtrs_Yr,0)=0,0,LOOKUP(ROUNDUP(SUM($I$7:Y$7)*Y$7/Qtrs_Yr,0),Inputs!$F$35:$I$35,Inputs!$F$36:$I$36))/Thousand/Qtrs_Yr+IF(ROUNDUP(SUM($I$7:Y$7)*Y$7/Qtrs_Yr,0)=0,0,LOOKUP(ROUNDUP(SUM($I$7:Y$7)*Y$7/Qtrs_Yr,0),Inputs!$F$35:$I$35,Inputs!$F$38:$I$38)*LOOKUP(ROUNDUP(SUM($I$7:Y$7)*Y$7/Qtrs_Yr,0),Inputs!$F$35:$I$35,Inputs!$F$36:$I$36))/Thousand/Qtrs_Yr)+Inputs!$F$65*(IF(ROUNDUP(SUM($I$7:Y$7)*Y$7/Qtrs_Yr,0)=0,0,LOOKUP(ROUNDUP(SUM($I$7:Y$7)*Y$7/Qtrs_Yr,0),Inputs!$F$35:$I$35,Inputs!$F$36:$I$36))/Thousand/Qtrs_Yr)+Inputs!$F$66*(IF(ROUNDUP(SUM($I$7:Y$7)*Y$7/Qtrs_Yr,0)=0,0,LOOKUP(ROUNDUP(SUM($I$7:Y$7)*Y$7/Qtrs_Yr,0),Inputs!$F$35:$I$35,Inputs!$F$38:$I$38)*LOOKUP(ROUNDUP(SUM($I$7:Y$7)*Y$7/Qtrs_Yr,0),Inputs!$F$35:$I$35,Inputs!$F$36:$I$36))/Thousand/Qtrs_Yr))/Thousand+SUM(Inputs!$F$54:$F$61)*Y$7/Qtrs_Yr)*(1+LOOKUP(YEAR(Z$5),Inputs!$F$93:$I$93,Inputs!$F$94:$I$94)/Qtrs_Yr)^(COUNT($I$7:Y7))*Inputs!$F$98/(Y5-X5))-(((IF(ROUNDUP(SUM($J$7:Z$7)*Z$7/Qtrs_Yr,0)=0,0,LOOKUP(ROUNDUP(SUM($J$7:Z$7)*Z$7/Qtrs_Yr,0),Inputs!$F$35:$I$35,Inputs!$F$36:$I$36))/Thousand/Qtrs_Yr)*IF(ROUNDUP(SUM($J$7:Z$7)*Z$7/Qtrs_Yr,0)=0,0,LOOKUP(ROUNDUP(SUM($J$7:Z$7)*Z$7/Qtrs_Yr,0),Inputs!$F$41:$I$41,Inputs!$F$42:$I$42))/Grams_Oz*Inputs!$F$45)*LOOKUP(YEAR(Z$5),Inputs!$F$49:$I$49,Inputs!$F$50:$I$50)/Thousand
/LOOKUP(YEAR(Z$5),Inputs!$F$89:$I$89,Inputs!$F$90:$I$90)-((Inputs!$F$64*(IF(ROUNDUP(SUM($J$7:Z$7)*Z$7/Qtrs_Yr,0)=0,0,LOOKUP(ROUNDUP(SUM($J$7:Z$7)*Z$7/Qtrs_Yr,0),Inputs!$F$35:$I$35,Inputs!$F$36:$I$36))/Thousand/Qtrs_Yr+IF(ROUNDUP(SUM($J$7:Z$7)*Z$7/Qtrs_Yr,0)=0,0,LOOKUP(ROUNDUP(SUM($J$7:Z$7)*Z$7/Qtrs_Yr,0),Inputs!$F$35:$I$35,Inputs!$F$38:$I$38)*LOOKUP(ROUNDUP(SUM($J$7:Z$7)*Z$7/Qtrs_Yr,0),Inputs!$F$35:$I$35,Inputs!$F$36:$I$36))/Thousand/Qtrs_Yr)+Inputs!$F$65*(IF(ROUNDUP(SUM($J$7:Z$7)*Z$7/Qtrs_Yr,0)=0,0,LOOKUP(ROUNDUP(SUM($J$7:Z$7)*Z$7/Qtrs_Yr,0),Inputs!$F$35:$I$35,Inputs!$F$36:$I$36))/Thousand/Qtrs_Yr)+Inputs!$F$66*(IF(ROUNDUP(SUM($J$7:Z$7)*Z$7/Qtrs_Yr,0)=0,0,LOOKUP(ROUNDUP(SUM($J$7:Z$7)*Z$7/Qtrs_Yr,0),Inputs!$F$35:$I$35,Inputs!$F$38:$I$38)*LOOKUP(ROUNDUP(SUM($J$7:Z$7)*Z$7/Qtrs_Yr,0),Inputs!$F$35:$I$35,Inputs!$F$36:$I$36))/Thousand/Qtrs_Yr))/Thousand+SUM(Inputs!$F$54:$F$61)*Z$7/Qtrs_Yr)*(1+LOOKUP(YEAR(Z$5),Inputs!$F$93:$I$93,Inputs!$F$94:$I$94)/Qtrs_Yr)^(COUNT($J$7:Z7))-Inputs!$E$29*(1+Inputs!$E$31)*Z$7/Inputs!$E$16/Qtrs_Yr-IF(OR(Z$7=0,SUM($J7:Z7)*Z7&gt;Inputs!$F$77*Qtrs_Yr),0,(Inputs!$F$71-SUM($J7:Z7,-1)*Z7*Inputs!$F$71/Inputs!$F$77/Qtrs_Yr)*(LOOKUP(YEAR(AA$5),Inputs!$F$85:$I$85,Inputs!$F$86:$I$86)+LOOKUP(ROUNDUP(SUM($J7:AA7)*AA7/Qtrs_Yr,0),Inputs!$G$73:$J$73,Inputs!$G$74:$J$74))/Qtrs_Yr))*Inputs!$F$101)/(IF(OR(Z$7=0,SUM($J7:Z7)*Z7&gt;Inputs!$F$77*Qtrs_Yr),0,(Inputs!$F$71-SUM($J7:Z7,-1)*Z7*Inputs!$F$71/Inputs!$F$77/Qtrs_Yr)*(LOOKUP(YEAR(AA$5),Inputs!$F$85:$I$85,Inputs!$F$86:$I$86)+LOOKUP(ROUNDUP(SUM($J7:AA7)*AA7/Qtrs_Yr,0),Inputs!$G$73:$J$73,Inputs!$G$74:$J$74))/Qtrs_Yr)+IF(OR(Z$7=0,SUM($J7:Z7)*Z7&gt;Inputs!$F$77*Qtrs_Yr),0,Inputs!$F$71/Inputs!$F$77/Qtrs_Yr)))</f>
        <v>1.9162969120154445</v>
      </c>
      <c r="AA14" s="75">
        <f>IF((IF(OR(AA$7=0,SUM($J7:AA7)*AA7&gt;Inputs!$F$77*Qtrs_Yr),0,(Inputs!$F$71-SUM($J7:AA7,-1)*AA7*Inputs!$F$71/Inputs!$F$77/Qtrs_Yr)*(LOOKUP(YEAR(AB$5),Inputs!$F$85:$I$85,Inputs!$F$86:$I$86)+LOOKUP(ROUNDUP(SUM($J7:AB7)*AB7/Qtrs_Yr,0),Inputs!$G$73:$J$73,Inputs!$G$74:$J$74))/Qtrs_Yr)+IF(OR(AA$7=0,SUM($J7:AA7)*AA7&gt;Inputs!$F$77*Qtrs_Yr),0,Inputs!$F$71/Inputs!$F$77/Qtrs_Yr))=0,0,((((IF(ROUNDUP(SUM($J$7:AA$7)*AA$7/Qtrs_Yr,0)=0,0,LOOKUP(ROUNDUP(SUM($J$7:AA$7)*AA$7/Qtrs_Yr,0),Inputs!$F$35:$I$35,Inputs!$F$36:$I$36))/Thousand/Qtrs_Yr)*IF(ROUNDUP(SUM($J$7:AA$7)*AA$7/Qtrs_Yr,0)=0,0,LOOKUP(ROUNDUP(SUM($J$7:AA$7)*AA$7/Qtrs_Yr,0),Inputs!$F$41:$I$41,Inputs!$F$42:$I$42))/Grams_Oz*Inputs!$F$45)*LOOKUP(YEAR(AA$5),Inputs!$F$49:$I$49,Inputs!$F$50:$I$50)/Thousand/LOOKUP(YEAR(AA$5),Inputs!$F$89:$I$89,Inputs!$F$90:$I$90)*(AA5-Z5-Inputs!$F$97)/(AA5-Z5)+((IF(ROUNDUP(SUM($I$7:Z$7)*Z$7/Qtrs_Yr,0)=0,0,LOOKUP(ROUNDUP(SUM($I$7:Z$7)*Z$7/Qtrs_Yr,0),Inputs!$F$35:$I$35,Inputs!$F$36:$I$36))/Thousand/Qtrs_Yr)*IF(ROUNDUP(SUM($I$7:Z$7)*Z$7/Qtrs_Yr,0)=0,0,LOOKUP(ROUNDUP(SUM($I$7:Z$7)*Z$7/Qtrs_Yr,0),Inputs!$F$41:$I$41,Inputs!$F$42:$I$42))/Grams_Oz*Inputs!$F$45)*LOOKUP(YEAR(Z$5),Inputs!$F$49:$I$49,Inputs!$F$50:$I$50)/Thousand
/LOOKUP(YEAR(Z$5),Inputs!$F$89:$I$89,Inputs!$F$90:$I$90)*Inputs!$F$97/(Z5-Y5))-(((Inputs!$F$64*(IF(ROUNDUP(SUM($J$7:AA$7)*AA$7/Qtrs_Yr,0)=0,0,LOOKUP(ROUNDUP(SUM($J$7:AA$7)*AA$7/Qtrs_Yr,0),Inputs!$F$35:$I$35,Inputs!$F$36:$I$36))/Thousand/Qtrs_Yr+IF(ROUNDUP(SUM($J$7:AA$7)*AA$7/Qtrs_Yr,0)=0,0,LOOKUP(ROUNDUP(SUM($J$7:AA$7)*AA$7/Qtrs_Yr,0),Inputs!$F$35:$I$35,Inputs!$F$38:$I$38)*LOOKUP(ROUNDUP(SUM($J$7:AA$7)*AA$7/Qtrs_Yr,0),Inputs!$F$35:$I$35,Inputs!$F$36:$I$36))/Thousand/Qtrs_Yr)+Inputs!$F$65*(IF(ROUNDUP(SUM($J$7:AA$7)*AA$7/Qtrs_Yr,0)=0,0,LOOKUP(ROUNDUP(SUM($J$7:AA$7)*AA$7/Qtrs_Yr,0),Inputs!$F$35:$I$35,Inputs!$F$36:$I$36))/Thousand/Qtrs_Yr)+Inputs!$F$66*(IF(ROUNDUP(SUM($J$7:AA$7)*AA$7/Qtrs_Yr,0)=0,0,LOOKUP(ROUNDUP(SUM($J$7:AA$7)*AA$7/Qtrs_Yr,0),Inputs!$F$35:$I$35,Inputs!$F$38:$I$38)*LOOKUP(ROUNDUP(SUM($J$7:AA$7)*AA$7/Qtrs_Yr,0),Inputs!$F$35:$I$35,Inputs!$F$36:$I$36))/Thousand/Qtrs_Yr))/Thousand+SUM(Inputs!$F$54:$F$61)*AA$7/Qtrs_Yr)*(1+LOOKUP(YEAR(AA$5),Inputs!$F$93:$I$93,Inputs!$F$94:$I$94)/Qtrs_Yr)^(COUNT($J$7:AA7))*(AA5-Z5-Inputs!$F$98)/(AA5-Z5)+((Inputs!$F$64*(IF(ROUNDUP(SUM($I$7:Z$7)*Z$7/Qtrs_Yr,0)=0,0,LOOKUP(ROUNDUP(SUM($I$7:Z$7)*Z$7/Qtrs_Yr,0),Inputs!$F$35:$I$35,Inputs!$F$36:$I$36))/Thousand/Qtrs_Yr+IF(ROUNDUP(SUM($I$7:Z$7)*Z$7/Qtrs_Yr,0)=0,0,LOOKUP(ROUNDUP(SUM($I$7:Z$7)*Z$7/Qtrs_Yr,0),Inputs!$F$35:$I$35,Inputs!$F$38:$I$38)*LOOKUP(ROUNDUP(SUM($I$7:Z$7)*Z$7/Qtrs_Yr,0),Inputs!$F$35:$I$35,Inputs!$F$36:$I$36))/Thousand/Qtrs_Yr)+Inputs!$F$65*(IF(ROUNDUP(SUM($I$7:Z$7)*Z$7/Qtrs_Yr,0)=0,0,LOOKUP(ROUNDUP(SUM($I$7:Z$7)*Z$7/Qtrs_Yr,0),Inputs!$F$35:$I$35,Inputs!$F$36:$I$36))/Thousand/Qtrs_Yr)+Inputs!$F$66*(IF(ROUNDUP(SUM($I$7:Z$7)*Z$7/Qtrs_Yr,0)=0,0,LOOKUP(ROUNDUP(SUM($I$7:Z$7)*Z$7/Qtrs_Yr,0),Inputs!$F$35:$I$35,Inputs!$F$38:$I$38)*LOOKUP(ROUNDUP(SUM($I$7:Z$7)*Z$7/Qtrs_Yr,0),Inputs!$F$35:$I$35,Inputs!$F$36:$I$36))/Thousand/Qtrs_Yr))/Thousand+SUM(Inputs!$F$54:$F$61)*Z$7/Qtrs_Yr)*(1+LOOKUP(YEAR(AA$5),Inputs!$F$93:$I$93,Inputs!$F$94:$I$94)/Qtrs_Yr)^(COUNT($I$7:Z7))*Inputs!$F$98/(Z5-Y5))-(((IF(ROUNDUP(SUM($J$7:AA$7)*AA$7/Qtrs_Yr,0)=0,0,LOOKUP(ROUNDUP(SUM($J$7:AA$7)*AA$7/Qtrs_Yr,0),Inputs!$F$35:$I$35,Inputs!$F$36:$I$36))/Thousand/Qtrs_Yr)*IF(ROUNDUP(SUM($J$7:AA$7)*AA$7/Qtrs_Yr,0)=0,0,LOOKUP(ROUNDUP(SUM($J$7:AA$7)*AA$7/Qtrs_Yr,0),Inputs!$F$41:$I$41,Inputs!$F$42:$I$42))/Grams_Oz*Inputs!$F$45)*LOOKUP(YEAR(AA$5),Inputs!$F$49:$I$49,Inputs!$F$50:$I$50)/Thousand
/LOOKUP(YEAR(AA$5),Inputs!$F$89:$I$89,Inputs!$F$90:$I$90)-((Inputs!$F$64*(IF(ROUNDUP(SUM($J$7:AA$7)*AA$7/Qtrs_Yr,0)=0,0,LOOKUP(ROUNDUP(SUM($J$7:AA$7)*AA$7/Qtrs_Yr,0),Inputs!$F$35:$I$35,Inputs!$F$36:$I$36))/Thousand/Qtrs_Yr+IF(ROUNDUP(SUM($J$7:AA$7)*AA$7/Qtrs_Yr,0)=0,0,LOOKUP(ROUNDUP(SUM($J$7:AA$7)*AA$7/Qtrs_Yr,0),Inputs!$F$35:$I$35,Inputs!$F$38:$I$38)*LOOKUP(ROUNDUP(SUM($J$7:AA$7)*AA$7/Qtrs_Yr,0),Inputs!$F$35:$I$35,Inputs!$F$36:$I$36))/Thousand/Qtrs_Yr)+Inputs!$F$65*(IF(ROUNDUP(SUM($J$7:AA$7)*AA$7/Qtrs_Yr,0)=0,0,LOOKUP(ROUNDUP(SUM($J$7:AA$7)*AA$7/Qtrs_Yr,0),Inputs!$F$35:$I$35,Inputs!$F$36:$I$36))/Thousand/Qtrs_Yr)+Inputs!$F$66*(IF(ROUNDUP(SUM($J$7:AA$7)*AA$7/Qtrs_Yr,0)=0,0,LOOKUP(ROUNDUP(SUM($J$7:AA$7)*AA$7/Qtrs_Yr,0),Inputs!$F$35:$I$35,Inputs!$F$38:$I$38)*LOOKUP(ROUNDUP(SUM($J$7:AA$7)*AA$7/Qtrs_Yr,0),Inputs!$F$35:$I$35,Inputs!$F$36:$I$36))/Thousand/Qtrs_Yr))/Thousand+SUM(Inputs!$F$54:$F$61)*AA$7/Qtrs_Yr)*(1+LOOKUP(YEAR(AA$5),Inputs!$F$93:$I$93,Inputs!$F$94:$I$94)/Qtrs_Yr)^(COUNT($J$7:AA7))-Inputs!$E$29*(1+Inputs!$E$31)*AA$7/Inputs!$E$16/Qtrs_Yr-IF(OR(AA$7=0,SUM($J7:AA7)*AA7&gt;Inputs!$F$77*Qtrs_Yr),0,(Inputs!$F$71-SUM($J7:AA7,-1)*AA7*Inputs!$F$71/Inputs!$F$77/Qtrs_Yr)*(LOOKUP(YEAR(AB$5),Inputs!$F$85:$I$85,Inputs!$F$86:$I$86)+LOOKUP(ROUNDUP(SUM($J7:AB7)*AB7/Qtrs_Yr,0),Inputs!$G$73:$J$73,Inputs!$G$74:$J$74))/Qtrs_Yr))*Inputs!$F$101)/(IF(OR(AA$7=0,SUM($J7:AA7)*AA7&gt;Inputs!$F$77*Qtrs_Yr),0,(Inputs!$F$71-SUM($J7:AA7,-1)*AA7*Inputs!$F$71/Inputs!$F$77/Qtrs_Yr)*(LOOKUP(YEAR(AB$5),Inputs!$F$85:$I$85,Inputs!$F$86:$I$86)+LOOKUP(ROUNDUP(SUM($J7:AB7)*AB7/Qtrs_Yr,0),Inputs!$G$73:$J$73,Inputs!$G$74:$J$74))/Qtrs_Yr)+IF(OR(AA$7=0,SUM($J7:AA7)*AA7&gt;Inputs!$F$77*Qtrs_Yr),0,Inputs!$F$71/Inputs!$F$77/Qtrs_Yr)))</f>
        <v>1.6867276282870387</v>
      </c>
      <c r="AB14" s="75">
        <f>IF((IF(OR(AB$7=0,SUM($J7:AB7)*AB7&gt;Inputs!$F$77*Qtrs_Yr),0,(Inputs!$F$71-SUM($J7:AB7,-1)*AB7*Inputs!$F$71/Inputs!$F$77/Qtrs_Yr)*(LOOKUP(YEAR(AC$5),Inputs!$F$85:$I$85,Inputs!$F$86:$I$86)+LOOKUP(ROUNDUP(SUM($J7:AC7)*AC7/Qtrs_Yr,0),Inputs!$G$73:$J$73,Inputs!$G$74:$J$74))/Qtrs_Yr)+IF(OR(AB$7=0,SUM($J7:AB7)*AB7&gt;Inputs!$F$77*Qtrs_Yr),0,Inputs!$F$71/Inputs!$F$77/Qtrs_Yr))=0,0,((((IF(ROUNDUP(SUM($J$7:AB$7)*AB$7/Qtrs_Yr,0)=0,0,LOOKUP(ROUNDUP(SUM($J$7:AB$7)*AB$7/Qtrs_Yr,0),Inputs!$F$35:$I$35,Inputs!$F$36:$I$36))/Thousand/Qtrs_Yr)*IF(ROUNDUP(SUM($J$7:AB$7)*AB$7/Qtrs_Yr,0)=0,0,LOOKUP(ROUNDUP(SUM($J$7:AB$7)*AB$7/Qtrs_Yr,0),Inputs!$F$41:$I$41,Inputs!$F$42:$I$42))/Grams_Oz*Inputs!$F$45)*LOOKUP(YEAR(AB$5),Inputs!$F$49:$I$49,Inputs!$F$50:$I$50)/Thousand/LOOKUP(YEAR(AB$5),Inputs!$F$89:$I$89,Inputs!$F$90:$I$90)*(AB5-AA5-Inputs!$F$97)/(AB5-AA5)+((IF(ROUNDUP(SUM($I$7:AA$7)*AA$7/Qtrs_Yr,0)=0,0,LOOKUP(ROUNDUP(SUM($I$7:AA$7)*AA$7/Qtrs_Yr,0),Inputs!$F$35:$I$35,Inputs!$F$36:$I$36))/Thousand/Qtrs_Yr)*IF(ROUNDUP(SUM($I$7:AA$7)*AA$7/Qtrs_Yr,0)=0,0,LOOKUP(ROUNDUP(SUM($I$7:AA$7)*AA$7/Qtrs_Yr,0),Inputs!$F$41:$I$41,Inputs!$F$42:$I$42))/Grams_Oz*Inputs!$F$45)*LOOKUP(YEAR(AA$5),Inputs!$F$49:$I$49,Inputs!$F$50:$I$50)/Thousand
/LOOKUP(YEAR(AA$5),Inputs!$F$89:$I$89,Inputs!$F$90:$I$90)*Inputs!$F$97/(AA5-Z5))-(((Inputs!$F$64*(IF(ROUNDUP(SUM($J$7:AB$7)*AB$7/Qtrs_Yr,0)=0,0,LOOKUP(ROUNDUP(SUM($J$7:AB$7)*AB$7/Qtrs_Yr,0),Inputs!$F$35:$I$35,Inputs!$F$36:$I$36))/Thousand/Qtrs_Yr+IF(ROUNDUP(SUM($J$7:AB$7)*AB$7/Qtrs_Yr,0)=0,0,LOOKUP(ROUNDUP(SUM($J$7:AB$7)*AB$7/Qtrs_Yr,0),Inputs!$F$35:$I$35,Inputs!$F$38:$I$38)*LOOKUP(ROUNDUP(SUM($J$7:AB$7)*AB$7/Qtrs_Yr,0),Inputs!$F$35:$I$35,Inputs!$F$36:$I$36))/Thousand/Qtrs_Yr)+Inputs!$F$65*(IF(ROUNDUP(SUM($J$7:AB$7)*AB$7/Qtrs_Yr,0)=0,0,LOOKUP(ROUNDUP(SUM($J$7:AB$7)*AB$7/Qtrs_Yr,0),Inputs!$F$35:$I$35,Inputs!$F$36:$I$36))/Thousand/Qtrs_Yr)+Inputs!$F$66*(IF(ROUNDUP(SUM($J$7:AB$7)*AB$7/Qtrs_Yr,0)=0,0,LOOKUP(ROUNDUP(SUM($J$7:AB$7)*AB$7/Qtrs_Yr,0),Inputs!$F$35:$I$35,Inputs!$F$38:$I$38)*LOOKUP(ROUNDUP(SUM($J$7:AB$7)*AB$7/Qtrs_Yr,0),Inputs!$F$35:$I$35,Inputs!$F$36:$I$36))/Thousand/Qtrs_Yr))/Thousand+SUM(Inputs!$F$54:$F$61)*AB$7/Qtrs_Yr)*(1+LOOKUP(YEAR(AB$5),Inputs!$F$93:$I$93,Inputs!$F$94:$I$94)/Qtrs_Yr)^(COUNT($J$7:AB7))*(AB5-AA5-Inputs!$F$98)/(AB5-AA5)+((Inputs!$F$64*(IF(ROUNDUP(SUM($I$7:AA$7)*AA$7/Qtrs_Yr,0)=0,0,LOOKUP(ROUNDUP(SUM($I$7:AA$7)*AA$7/Qtrs_Yr,0),Inputs!$F$35:$I$35,Inputs!$F$36:$I$36))/Thousand/Qtrs_Yr+IF(ROUNDUP(SUM($I$7:AA$7)*AA$7/Qtrs_Yr,0)=0,0,LOOKUP(ROUNDUP(SUM($I$7:AA$7)*AA$7/Qtrs_Yr,0),Inputs!$F$35:$I$35,Inputs!$F$38:$I$38)*LOOKUP(ROUNDUP(SUM($I$7:AA$7)*AA$7/Qtrs_Yr,0),Inputs!$F$35:$I$35,Inputs!$F$36:$I$36))/Thousand/Qtrs_Yr)+Inputs!$F$65*(IF(ROUNDUP(SUM($I$7:AA$7)*AA$7/Qtrs_Yr,0)=0,0,LOOKUP(ROUNDUP(SUM($I$7:AA$7)*AA$7/Qtrs_Yr,0),Inputs!$F$35:$I$35,Inputs!$F$36:$I$36))/Thousand/Qtrs_Yr)+Inputs!$F$66*(IF(ROUNDUP(SUM($I$7:AA$7)*AA$7/Qtrs_Yr,0)=0,0,LOOKUP(ROUNDUP(SUM($I$7:AA$7)*AA$7/Qtrs_Yr,0),Inputs!$F$35:$I$35,Inputs!$F$38:$I$38)*LOOKUP(ROUNDUP(SUM($I$7:AA$7)*AA$7/Qtrs_Yr,0),Inputs!$F$35:$I$35,Inputs!$F$36:$I$36))/Thousand/Qtrs_Yr))/Thousand+SUM(Inputs!$F$54:$F$61)*AA$7/Qtrs_Yr)*(1+LOOKUP(YEAR(AB$5),Inputs!$F$93:$I$93,Inputs!$F$94:$I$94)/Qtrs_Yr)^(COUNT($I$7:AA7))*Inputs!$F$98/(AA5-Z5))-(((IF(ROUNDUP(SUM($J$7:AB$7)*AB$7/Qtrs_Yr,0)=0,0,LOOKUP(ROUNDUP(SUM($J$7:AB$7)*AB$7/Qtrs_Yr,0),Inputs!$F$35:$I$35,Inputs!$F$36:$I$36))/Thousand/Qtrs_Yr)*IF(ROUNDUP(SUM($J$7:AB$7)*AB$7/Qtrs_Yr,0)=0,0,LOOKUP(ROUNDUP(SUM($J$7:AB$7)*AB$7/Qtrs_Yr,0),Inputs!$F$41:$I$41,Inputs!$F$42:$I$42))/Grams_Oz*Inputs!$F$45)*LOOKUP(YEAR(AB$5),Inputs!$F$49:$I$49,Inputs!$F$50:$I$50)/Thousand
/LOOKUP(YEAR(AB$5),Inputs!$F$89:$I$89,Inputs!$F$90:$I$90)-((Inputs!$F$64*(IF(ROUNDUP(SUM($J$7:AB$7)*AB$7/Qtrs_Yr,0)=0,0,LOOKUP(ROUNDUP(SUM($J$7:AB$7)*AB$7/Qtrs_Yr,0),Inputs!$F$35:$I$35,Inputs!$F$36:$I$36))/Thousand/Qtrs_Yr+IF(ROUNDUP(SUM($J$7:AB$7)*AB$7/Qtrs_Yr,0)=0,0,LOOKUP(ROUNDUP(SUM($J$7:AB$7)*AB$7/Qtrs_Yr,0),Inputs!$F$35:$I$35,Inputs!$F$38:$I$38)*LOOKUP(ROUNDUP(SUM($J$7:AB$7)*AB$7/Qtrs_Yr,0),Inputs!$F$35:$I$35,Inputs!$F$36:$I$36))/Thousand/Qtrs_Yr)+Inputs!$F$65*(IF(ROUNDUP(SUM($J$7:AB$7)*AB$7/Qtrs_Yr,0)=0,0,LOOKUP(ROUNDUP(SUM($J$7:AB$7)*AB$7/Qtrs_Yr,0),Inputs!$F$35:$I$35,Inputs!$F$36:$I$36))/Thousand/Qtrs_Yr)+Inputs!$F$66*(IF(ROUNDUP(SUM($J$7:AB$7)*AB$7/Qtrs_Yr,0)=0,0,LOOKUP(ROUNDUP(SUM($J$7:AB$7)*AB$7/Qtrs_Yr,0),Inputs!$F$35:$I$35,Inputs!$F$38:$I$38)*LOOKUP(ROUNDUP(SUM($J$7:AB$7)*AB$7/Qtrs_Yr,0),Inputs!$F$35:$I$35,Inputs!$F$36:$I$36))/Thousand/Qtrs_Yr))/Thousand+SUM(Inputs!$F$54:$F$61)*AB$7/Qtrs_Yr)*(1+LOOKUP(YEAR(AB$5),Inputs!$F$93:$I$93,Inputs!$F$94:$I$94)/Qtrs_Yr)^(COUNT($J$7:AB7))-Inputs!$E$29*(1+Inputs!$E$31)*AB$7/Inputs!$E$16/Qtrs_Yr-IF(OR(AB$7=0,SUM($J7:AB7)*AB7&gt;Inputs!$F$77*Qtrs_Yr),0,(Inputs!$F$71-SUM($J7:AB7,-1)*AB7*Inputs!$F$71/Inputs!$F$77/Qtrs_Yr)*(LOOKUP(YEAR(AC$5),Inputs!$F$85:$I$85,Inputs!$F$86:$I$86)+LOOKUP(ROUNDUP(SUM($J7:AC7)*AC7/Qtrs_Yr,0),Inputs!$G$73:$J$73,Inputs!$G$74:$J$74))/Qtrs_Yr))*Inputs!$F$101)/(IF(OR(AB$7=0,SUM($J7:AB7)*AB7&gt;Inputs!$F$77*Qtrs_Yr),0,(Inputs!$F$71-SUM($J7:AB7,-1)*AB7*Inputs!$F$71/Inputs!$F$77/Qtrs_Yr)*(LOOKUP(YEAR(AC$5),Inputs!$F$85:$I$85,Inputs!$F$86:$I$86)+LOOKUP(ROUNDUP(SUM($J7:AC7)*AC7/Qtrs_Yr,0),Inputs!$G$73:$J$73,Inputs!$G$74:$J$74))/Qtrs_Yr)+IF(OR(AB$7=0,SUM($J7:AB7)*AB7&gt;Inputs!$F$77*Qtrs_Yr),0,Inputs!$F$71/Inputs!$F$77/Qtrs_Yr)))</f>
        <v>1.6925889229298687</v>
      </c>
      <c r="AC14" s="75">
        <f>IF((IF(OR(AC$7=0,SUM($J7:AC7)*AC7&gt;Inputs!$F$77*Qtrs_Yr),0,(Inputs!$F$71-SUM($J7:AC7,-1)*AC7*Inputs!$F$71/Inputs!$F$77/Qtrs_Yr)*(LOOKUP(YEAR(AD$5),Inputs!$F$85:$I$85,Inputs!$F$86:$I$86)+LOOKUP(ROUNDUP(SUM($J7:AD7)*AD7/Qtrs_Yr,0),Inputs!$G$73:$J$73,Inputs!$G$74:$J$74))/Qtrs_Yr)+IF(OR(AC$7=0,SUM($J7:AC7)*AC7&gt;Inputs!$F$77*Qtrs_Yr),0,Inputs!$F$71/Inputs!$F$77/Qtrs_Yr))=0,0,((((IF(ROUNDUP(SUM($J$7:AC$7)*AC$7/Qtrs_Yr,0)=0,0,LOOKUP(ROUNDUP(SUM($J$7:AC$7)*AC$7/Qtrs_Yr,0),Inputs!$F$35:$I$35,Inputs!$F$36:$I$36))/Thousand/Qtrs_Yr)*IF(ROUNDUP(SUM($J$7:AC$7)*AC$7/Qtrs_Yr,0)=0,0,LOOKUP(ROUNDUP(SUM($J$7:AC$7)*AC$7/Qtrs_Yr,0),Inputs!$F$41:$I$41,Inputs!$F$42:$I$42))/Grams_Oz*Inputs!$F$45)*LOOKUP(YEAR(AC$5),Inputs!$F$49:$I$49,Inputs!$F$50:$I$50)/Thousand/LOOKUP(YEAR(AC$5),Inputs!$F$89:$I$89,Inputs!$F$90:$I$90)*(AC5-AB5-Inputs!$F$97)/(AC5-AB5)+((IF(ROUNDUP(SUM($I$7:AB$7)*AB$7/Qtrs_Yr,0)=0,0,LOOKUP(ROUNDUP(SUM($I$7:AB$7)*AB$7/Qtrs_Yr,0),Inputs!$F$35:$I$35,Inputs!$F$36:$I$36))/Thousand/Qtrs_Yr)*IF(ROUNDUP(SUM($I$7:AB$7)*AB$7/Qtrs_Yr,0)=0,0,LOOKUP(ROUNDUP(SUM($I$7:AB$7)*AB$7/Qtrs_Yr,0),Inputs!$F$41:$I$41,Inputs!$F$42:$I$42))/Grams_Oz*Inputs!$F$45)*LOOKUP(YEAR(AB$5),Inputs!$F$49:$I$49,Inputs!$F$50:$I$50)/Thousand
/LOOKUP(YEAR(AB$5),Inputs!$F$89:$I$89,Inputs!$F$90:$I$90)*Inputs!$F$97/(AB5-AA5))-(((Inputs!$F$64*(IF(ROUNDUP(SUM($J$7:AC$7)*AC$7/Qtrs_Yr,0)=0,0,LOOKUP(ROUNDUP(SUM($J$7:AC$7)*AC$7/Qtrs_Yr,0),Inputs!$F$35:$I$35,Inputs!$F$36:$I$36))/Thousand/Qtrs_Yr+IF(ROUNDUP(SUM($J$7:AC$7)*AC$7/Qtrs_Yr,0)=0,0,LOOKUP(ROUNDUP(SUM($J$7:AC$7)*AC$7/Qtrs_Yr,0),Inputs!$F$35:$I$35,Inputs!$F$38:$I$38)*LOOKUP(ROUNDUP(SUM($J$7:AC$7)*AC$7/Qtrs_Yr,0),Inputs!$F$35:$I$35,Inputs!$F$36:$I$36))/Thousand/Qtrs_Yr)+Inputs!$F$65*(IF(ROUNDUP(SUM($J$7:AC$7)*AC$7/Qtrs_Yr,0)=0,0,LOOKUP(ROUNDUP(SUM($J$7:AC$7)*AC$7/Qtrs_Yr,0),Inputs!$F$35:$I$35,Inputs!$F$36:$I$36))/Thousand/Qtrs_Yr)+Inputs!$F$66*(IF(ROUNDUP(SUM($J$7:AC$7)*AC$7/Qtrs_Yr,0)=0,0,LOOKUP(ROUNDUP(SUM($J$7:AC$7)*AC$7/Qtrs_Yr,0),Inputs!$F$35:$I$35,Inputs!$F$38:$I$38)*LOOKUP(ROUNDUP(SUM($J$7:AC$7)*AC$7/Qtrs_Yr,0),Inputs!$F$35:$I$35,Inputs!$F$36:$I$36))/Thousand/Qtrs_Yr))/Thousand+SUM(Inputs!$F$54:$F$61)*AC$7/Qtrs_Yr)*(1+LOOKUP(YEAR(AC$5),Inputs!$F$93:$I$93,Inputs!$F$94:$I$94)/Qtrs_Yr)^(COUNT($J$7:AC7))*(AC5-AB5-Inputs!$F$98)/(AC5-AB5)+((Inputs!$F$64*(IF(ROUNDUP(SUM($I$7:AB$7)*AB$7/Qtrs_Yr,0)=0,0,LOOKUP(ROUNDUP(SUM($I$7:AB$7)*AB$7/Qtrs_Yr,0),Inputs!$F$35:$I$35,Inputs!$F$36:$I$36))/Thousand/Qtrs_Yr+IF(ROUNDUP(SUM($I$7:AB$7)*AB$7/Qtrs_Yr,0)=0,0,LOOKUP(ROUNDUP(SUM($I$7:AB$7)*AB$7/Qtrs_Yr,0),Inputs!$F$35:$I$35,Inputs!$F$38:$I$38)*LOOKUP(ROUNDUP(SUM($I$7:AB$7)*AB$7/Qtrs_Yr,0),Inputs!$F$35:$I$35,Inputs!$F$36:$I$36))/Thousand/Qtrs_Yr)+Inputs!$F$65*(IF(ROUNDUP(SUM($I$7:AB$7)*AB$7/Qtrs_Yr,0)=0,0,LOOKUP(ROUNDUP(SUM($I$7:AB$7)*AB$7/Qtrs_Yr,0),Inputs!$F$35:$I$35,Inputs!$F$36:$I$36))/Thousand/Qtrs_Yr)+Inputs!$F$66*(IF(ROUNDUP(SUM($I$7:AB$7)*AB$7/Qtrs_Yr,0)=0,0,LOOKUP(ROUNDUP(SUM($I$7:AB$7)*AB$7/Qtrs_Yr,0),Inputs!$F$35:$I$35,Inputs!$F$38:$I$38)*LOOKUP(ROUNDUP(SUM($I$7:AB$7)*AB$7/Qtrs_Yr,0),Inputs!$F$35:$I$35,Inputs!$F$36:$I$36))/Thousand/Qtrs_Yr))/Thousand+SUM(Inputs!$F$54:$F$61)*AB$7/Qtrs_Yr)*(1+LOOKUP(YEAR(AC$5),Inputs!$F$93:$I$93,Inputs!$F$94:$I$94)/Qtrs_Yr)^(COUNT($I$7:AB7))*Inputs!$F$98/(AB5-AA5))-(((IF(ROUNDUP(SUM($J$7:AC$7)*AC$7/Qtrs_Yr,0)=0,0,LOOKUP(ROUNDUP(SUM($J$7:AC$7)*AC$7/Qtrs_Yr,0),Inputs!$F$35:$I$35,Inputs!$F$36:$I$36))/Thousand/Qtrs_Yr)*IF(ROUNDUP(SUM($J$7:AC$7)*AC$7/Qtrs_Yr,0)=0,0,LOOKUP(ROUNDUP(SUM($J$7:AC$7)*AC$7/Qtrs_Yr,0),Inputs!$F$41:$I$41,Inputs!$F$42:$I$42))/Grams_Oz*Inputs!$F$45)*LOOKUP(YEAR(AC$5),Inputs!$F$49:$I$49,Inputs!$F$50:$I$50)/Thousand
/LOOKUP(YEAR(AC$5),Inputs!$F$89:$I$89,Inputs!$F$90:$I$90)-((Inputs!$F$64*(IF(ROUNDUP(SUM($J$7:AC$7)*AC$7/Qtrs_Yr,0)=0,0,LOOKUP(ROUNDUP(SUM($J$7:AC$7)*AC$7/Qtrs_Yr,0),Inputs!$F$35:$I$35,Inputs!$F$36:$I$36))/Thousand/Qtrs_Yr+IF(ROUNDUP(SUM($J$7:AC$7)*AC$7/Qtrs_Yr,0)=0,0,LOOKUP(ROUNDUP(SUM($J$7:AC$7)*AC$7/Qtrs_Yr,0),Inputs!$F$35:$I$35,Inputs!$F$38:$I$38)*LOOKUP(ROUNDUP(SUM($J$7:AC$7)*AC$7/Qtrs_Yr,0),Inputs!$F$35:$I$35,Inputs!$F$36:$I$36))/Thousand/Qtrs_Yr)+Inputs!$F$65*(IF(ROUNDUP(SUM($J$7:AC$7)*AC$7/Qtrs_Yr,0)=0,0,LOOKUP(ROUNDUP(SUM($J$7:AC$7)*AC$7/Qtrs_Yr,0),Inputs!$F$35:$I$35,Inputs!$F$36:$I$36))/Thousand/Qtrs_Yr)+Inputs!$F$66*(IF(ROUNDUP(SUM($J$7:AC$7)*AC$7/Qtrs_Yr,0)=0,0,LOOKUP(ROUNDUP(SUM($J$7:AC$7)*AC$7/Qtrs_Yr,0),Inputs!$F$35:$I$35,Inputs!$F$38:$I$38)*LOOKUP(ROUNDUP(SUM($J$7:AC$7)*AC$7/Qtrs_Yr,0),Inputs!$F$35:$I$35,Inputs!$F$36:$I$36))/Thousand/Qtrs_Yr))/Thousand+SUM(Inputs!$F$54:$F$61)*AC$7/Qtrs_Yr)*(1+LOOKUP(YEAR(AC$5),Inputs!$F$93:$I$93,Inputs!$F$94:$I$94)/Qtrs_Yr)^(COUNT($J$7:AC7))-Inputs!$E$29*(1+Inputs!$E$31)*AC$7/Inputs!$E$16/Qtrs_Yr-IF(OR(AC$7=0,SUM($J7:AC7)*AC7&gt;Inputs!$F$77*Qtrs_Yr),0,(Inputs!$F$71-SUM($J7:AC7,-1)*AC7*Inputs!$F$71/Inputs!$F$77/Qtrs_Yr)*(LOOKUP(YEAR(AD$5),Inputs!$F$85:$I$85,Inputs!$F$86:$I$86)+LOOKUP(ROUNDUP(SUM($J7:AD7)*AD7/Qtrs_Yr,0),Inputs!$G$73:$J$73,Inputs!$G$74:$J$74))/Qtrs_Yr))*Inputs!$F$101)/(IF(OR(AC$7=0,SUM($J7:AC7)*AC7&gt;Inputs!$F$77*Qtrs_Yr),0,(Inputs!$F$71-SUM($J7:AC7,-1)*AC7*Inputs!$F$71/Inputs!$F$77/Qtrs_Yr)*(LOOKUP(YEAR(AD$5),Inputs!$F$85:$I$85,Inputs!$F$86:$I$86)+LOOKUP(ROUNDUP(SUM($J7:AD7)*AD7/Qtrs_Yr,0),Inputs!$G$73:$J$73,Inputs!$G$74:$J$74))/Qtrs_Yr)+IF(OR(AC$7=0,SUM($J7:AC7)*AC7&gt;Inputs!$F$77*Qtrs_Yr),0,Inputs!$F$71/Inputs!$F$77/Qtrs_Yr)))</f>
        <v>1.6931380954111728</v>
      </c>
      <c r="AD14" s="75">
        <f>IF((IF(OR(AD$7=0,SUM($J7:AD7)*AD7&gt;Inputs!$F$77*Qtrs_Yr),0,(Inputs!$F$71-SUM($J7:AD7,-1)*AD7*Inputs!$F$71/Inputs!$F$77/Qtrs_Yr)*(LOOKUP(YEAR(AE$5),Inputs!$F$85:$I$85,Inputs!$F$86:$I$86)+LOOKUP(ROUNDUP(SUM($J7:AE7)*AE7/Qtrs_Yr,0),Inputs!$G$73:$J$73,Inputs!$G$74:$J$74))/Qtrs_Yr)+IF(OR(AD$7=0,SUM($J7:AD7)*AD7&gt;Inputs!$F$77*Qtrs_Yr),0,Inputs!$F$71/Inputs!$F$77/Qtrs_Yr))=0,0,((((IF(ROUNDUP(SUM($J$7:AD$7)*AD$7/Qtrs_Yr,0)=0,0,LOOKUP(ROUNDUP(SUM($J$7:AD$7)*AD$7/Qtrs_Yr,0),Inputs!$F$35:$I$35,Inputs!$F$36:$I$36))/Thousand/Qtrs_Yr)*IF(ROUNDUP(SUM($J$7:AD$7)*AD$7/Qtrs_Yr,0)=0,0,LOOKUP(ROUNDUP(SUM($J$7:AD$7)*AD$7/Qtrs_Yr,0),Inputs!$F$41:$I$41,Inputs!$F$42:$I$42))/Grams_Oz*Inputs!$F$45)*LOOKUP(YEAR(AD$5),Inputs!$F$49:$I$49,Inputs!$F$50:$I$50)/Thousand/LOOKUP(YEAR(AD$5),Inputs!$F$89:$I$89,Inputs!$F$90:$I$90)*(AD5-AC5-Inputs!$F$97)/(AD5-AC5)+((IF(ROUNDUP(SUM($I$7:AC$7)*AC$7/Qtrs_Yr,0)=0,0,LOOKUP(ROUNDUP(SUM($I$7:AC$7)*AC$7/Qtrs_Yr,0),Inputs!$F$35:$I$35,Inputs!$F$36:$I$36))/Thousand/Qtrs_Yr)*IF(ROUNDUP(SUM($I$7:AC$7)*AC$7/Qtrs_Yr,0)=0,0,LOOKUP(ROUNDUP(SUM($I$7:AC$7)*AC$7/Qtrs_Yr,0),Inputs!$F$41:$I$41,Inputs!$F$42:$I$42))/Grams_Oz*Inputs!$F$45)*LOOKUP(YEAR(AC$5),Inputs!$F$49:$I$49,Inputs!$F$50:$I$50)/Thousand
/LOOKUP(YEAR(AC$5),Inputs!$F$89:$I$89,Inputs!$F$90:$I$90)*Inputs!$F$97/(AC5-AB5))-(((Inputs!$F$64*(IF(ROUNDUP(SUM($J$7:AD$7)*AD$7/Qtrs_Yr,0)=0,0,LOOKUP(ROUNDUP(SUM($J$7:AD$7)*AD$7/Qtrs_Yr,0),Inputs!$F$35:$I$35,Inputs!$F$36:$I$36))/Thousand/Qtrs_Yr+IF(ROUNDUP(SUM($J$7:AD$7)*AD$7/Qtrs_Yr,0)=0,0,LOOKUP(ROUNDUP(SUM($J$7:AD$7)*AD$7/Qtrs_Yr,0),Inputs!$F$35:$I$35,Inputs!$F$38:$I$38)*LOOKUP(ROUNDUP(SUM($J$7:AD$7)*AD$7/Qtrs_Yr,0),Inputs!$F$35:$I$35,Inputs!$F$36:$I$36))/Thousand/Qtrs_Yr)+Inputs!$F$65*(IF(ROUNDUP(SUM($J$7:AD$7)*AD$7/Qtrs_Yr,0)=0,0,LOOKUP(ROUNDUP(SUM($J$7:AD$7)*AD$7/Qtrs_Yr,0),Inputs!$F$35:$I$35,Inputs!$F$36:$I$36))/Thousand/Qtrs_Yr)+Inputs!$F$66*(IF(ROUNDUP(SUM($J$7:AD$7)*AD$7/Qtrs_Yr,0)=0,0,LOOKUP(ROUNDUP(SUM($J$7:AD$7)*AD$7/Qtrs_Yr,0),Inputs!$F$35:$I$35,Inputs!$F$38:$I$38)*LOOKUP(ROUNDUP(SUM($J$7:AD$7)*AD$7/Qtrs_Yr,0),Inputs!$F$35:$I$35,Inputs!$F$36:$I$36))/Thousand/Qtrs_Yr))/Thousand+SUM(Inputs!$F$54:$F$61)*AD$7/Qtrs_Yr)*(1+LOOKUP(YEAR(AD$5),Inputs!$F$93:$I$93,Inputs!$F$94:$I$94)/Qtrs_Yr)^(COUNT($J$7:AD7))*(AD5-AC5-Inputs!$F$98)/(AD5-AC5)+((Inputs!$F$64*(IF(ROUNDUP(SUM($I$7:AC$7)*AC$7/Qtrs_Yr,0)=0,0,LOOKUP(ROUNDUP(SUM($I$7:AC$7)*AC$7/Qtrs_Yr,0),Inputs!$F$35:$I$35,Inputs!$F$36:$I$36))/Thousand/Qtrs_Yr+IF(ROUNDUP(SUM($I$7:AC$7)*AC$7/Qtrs_Yr,0)=0,0,LOOKUP(ROUNDUP(SUM($I$7:AC$7)*AC$7/Qtrs_Yr,0),Inputs!$F$35:$I$35,Inputs!$F$38:$I$38)*LOOKUP(ROUNDUP(SUM($I$7:AC$7)*AC$7/Qtrs_Yr,0),Inputs!$F$35:$I$35,Inputs!$F$36:$I$36))/Thousand/Qtrs_Yr)+Inputs!$F$65*(IF(ROUNDUP(SUM($I$7:AC$7)*AC$7/Qtrs_Yr,0)=0,0,LOOKUP(ROUNDUP(SUM($I$7:AC$7)*AC$7/Qtrs_Yr,0),Inputs!$F$35:$I$35,Inputs!$F$36:$I$36))/Thousand/Qtrs_Yr)+Inputs!$F$66*(IF(ROUNDUP(SUM($I$7:AC$7)*AC$7/Qtrs_Yr,0)=0,0,LOOKUP(ROUNDUP(SUM($I$7:AC$7)*AC$7/Qtrs_Yr,0),Inputs!$F$35:$I$35,Inputs!$F$38:$I$38)*LOOKUP(ROUNDUP(SUM($I$7:AC$7)*AC$7/Qtrs_Yr,0),Inputs!$F$35:$I$35,Inputs!$F$36:$I$36))/Thousand/Qtrs_Yr))/Thousand+SUM(Inputs!$F$54:$F$61)*AC$7/Qtrs_Yr)*(1+LOOKUP(YEAR(AD$5),Inputs!$F$93:$I$93,Inputs!$F$94:$I$94)/Qtrs_Yr)^(COUNT($I$7:AC7))*Inputs!$F$98/(AC5-AB5))-(((IF(ROUNDUP(SUM($J$7:AD$7)*AD$7/Qtrs_Yr,0)=0,0,LOOKUP(ROUNDUP(SUM($J$7:AD$7)*AD$7/Qtrs_Yr,0),Inputs!$F$35:$I$35,Inputs!$F$36:$I$36))/Thousand/Qtrs_Yr)*IF(ROUNDUP(SUM($J$7:AD$7)*AD$7/Qtrs_Yr,0)=0,0,LOOKUP(ROUNDUP(SUM($J$7:AD$7)*AD$7/Qtrs_Yr,0),Inputs!$F$41:$I$41,Inputs!$F$42:$I$42))/Grams_Oz*Inputs!$F$45)*LOOKUP(YEAR(AD$5),Inputs!$F$49:$I$49,Inputs!$F$50:$I$50)/Thousand
/LOOKUP(YEAR(AD$5),Inputs!$F$89:$I$89,Inputs!$F$90:$I$90)-((Inputs!$F$64*(IF(ROUNDUP(SUM($J$7:AD$7)*AD$7/Qtrs_Yr,0)=0,0,LOOKUP(ROUNDUP(SUM($J$7:AD$7)*AD$7/Qtrs_Yr,0),Inputs!$F$35:$I$35,Inputs!$F$36:$I$36))/Thousand/Qtrs_Yr+IF(ROUNDUP(SUM($J$7:AD$7)*AD$7/Qtrs_Yr,0)=0,0,LOOKUP(ROUNDUP(SUM($J$7:AD$7)*AD$7/Qtrs_Yr,0),Inputs!$F$35:$I$35,Inputs!$F$38:$I$38)*LOOKUP(ROUNDUP(SUM($J$7:AD$7)*AD$7/Qtrs_Yr,0),Inputs!$F$35:$I$35,Inputs!$F$36:$I$36))/Thousand/Qtrs_Yr)+Inputs!$F$65*(IF(ROUNDUP(SUM($J$7:AD$7)*AD$7/Qtrs_Yr,0)=0,0,LOOKUP(ROUNDUP(SUM($J$7:AD$7)*AD$7/Qtrs_Yr,0),Inputs!$F$35:$I$35,Inputs!$F$36:$I$36))/Thousand/Qtrs_Yr)+Inputs!$F$66*(IF(ROUNDUP(SUM($J$7:AD$7)*AD$7/Qtrs_Yr,0)=0,0,LOOKUP(ROUNDUP(SUM($J$7:AD$7)*AD$7/Qtrs_Yr,0),Inputs!$F$35:$I$35,Inputs!$F$38:$I$38)*LOOKUP(ROUNDUP(SUM($J$7:AD$7)*AD$7/Qtrs_Yr,0),Inputs!$F$35:$I$35,Inputs!$F$36:$I$36))/Thousand/Qtrs_Yr))/Thousand+SUM(Inputs!$F$54:$F$61)*AD$7/Qtrs_Yr)*(1+LOOKUP(YEAR(AD$5),Inputs!$F$93:$I$93,Inputs!$F$94:$I$94)/Qtrs_Yr)^(COUNT($J$7:AD7))-Inputs!$E$29*(1+Inputs!$E$31)*AD$7/Inputs!$E$16/Qtrs_Yr-IF(OR(AD$7=0,SUM($J7:AD7)*AD7&gt;Inputs!$F$77*Qtrs_Yr),0,(Inputs!$F$71-SUM($J7:AD7,-1)*AD7*Inputs!$F$71/Inputs!$F$77/Qtrs_Yr)*(LOOKUP(YEAR(AE$5),Inputs!$F$85:$I$85,Inputs!$F$86:$I$86)+LOOKUP(ROUNDUP(SUM($J7:AE7)*AE7/Qtrs_Yr,0),Inputs!$G$73:$J$73,Inputs!$G$74:$J$74))/Qtrs_Yr))*Inputs!$F$101)/(IF(OR(AD$7=0,SUM($J7:AD7)*AD7&gt;Inputs!$F$77*Qtrs_Yr),0,(Inputs!$F$71-SUM($J7:AD7,-1)*AD7*Inputs!$F$71/Inputs!$F$77/Qtrs_Yr)*(LOOKUP(YEAR(AE$5),Inputs!$F$85:$I$85,Inputs!$F$86:$I$86)+LOOKUP(ROUNDUP(SUM($J7:AE7)*AE7/Qtrs_Yr,0),Inputs!$G$73:$J$73,Inputs!$G$74:$J$74))/Qtrs_Yr)+IF(OR(AD$7=0,SUM($J7:AD7)*AD7&gt;Inputs!$F$77*Qtrs_Yr),0,Inputs!$F$71/Inputs!$F$77/Qtrs_Yr)))</f>
        <v>1.6913737094962613</v>
      </c>
      <c r="AE14" s="75">
        <f>IF((IF(OR(AE$7=0,SUM($J7:AE7)*AE7&gt;Inputs!$F$77*Qtrs_Yr),0,(Inputs!$F$71-SUM($J7:AE7,-1)*AE7*Inputs!$F$71/Inputs!$F$77/Qtrs_Yr)*(LOOKUP(YEAR(AF$5),Inputs!$F$85:$I$85,Inputs!$F$86:$I$86)+LOOKUP(ROUNDUP(SUM($J7:AF7)*AF7/Qtrs_Yr,0),Inputs!$G$73:$J$73,Inputs!$G$74:$J$74))/Qtrs_Yr)+IF(OR(AE$7=0,SUM($J7:AE7)*AE7&gt;Inputs!$F$77*Qtrs_Yr),0,Inputs!$F$71/Inputs!$F$77/Qtrs_Yr))=0,0,((((IF(ROUNDUP(SUM($J$7:AE$7)*AE$7/Qtrs_Yr,0)=0,0,LOOKUP(ROUNDUP(SUM($J$7:AE$7)*AE$7/Qtrs_Yr,0),Inputs!$F$35:$I$35,Inputs!$F$36:$I$36))/Thousand/Qtrs_Yr)*IF(ROUNDUP(SUM($J$7:AE$7)*AE$7/Qtrs_Yr,0)=0,0,LOOKUP(ROUNDUP(SUM($J$7:AE$7)*AE$7/Qtrs_Yr,0),Inputs!$F$41:$I$41,Inputs!$F$42:$I$42))/Grams_Oz*Inputs!$F$45)*LOOKUP(YEAR(AE$5),Inputs!$F$49:$I$49,Inputs!$F$50:$I$50)/Thousand/LOOKUP(YEAR(AE$5),Inputs!$F$89:$I$89,Inputs!$F$90:$I$90)*(AE5-AD5-Inputs!$F$97)/(AE5-AD5)+((IF(ROUNDUP(SUM($I$7:AD$7)*AD$7/Qtrs_Yr,0)=0,0,LOOKUP(ROUNDUP(SUM($I$7:AD$7)*AD$7/Qtrs_Yr,0),Inputs!$F$35:$I$35,Inputs!$F$36:$I$36))/Thousand/Qtrs_Yr)*IF(ROUNDUP(SUM($I$7:AD$7)*AD$7/Qtrs_Yr,0)=0,0,LOOKUP(ROUNDUP(SUM($I$7:AD$7)*AD$7/Qtrs_Yr,0),Inputs!$F$41:$I$41,Inputs!$F$42:$I$42))/Grams_Oz*Inputs!$F$45)*LOOKUP(YEAR(AD$5),Inputs!$F$49:$I$49,Inputs!$F$50:$I$50)/Thousand
/LOOKUP(YEAR(AD$5),Inputs!$F$89:$I$89,Inputs!$F$90:$I$90)*Inputs!$F$97/(AD5-AC5))-(((Inputs!$F$64*(IF(ROUNDUP(SUM($J$7:AE$7)*AE$7/Qtrs_Yr,0)=0,0,LOOKUP(ROUNDUP(SUM($J$7:AE$7)*AE$7/Qtrs_Yr,0),Inputs!$F$35:$I$35,Inputs!$F$36:$I$36))/Thousand/Qtrs_Yr+IF(ROUNDUP(SUM($J$7:AE$7)*AE$7/Qtrs_Yr,0)=0,0,LOOKUP(ROUNDUP(SUM($J$7:AE$7)*AE$7/Qtrs_Yr,0),Inputs!$F$35:$I$35,Inputs!$F$38:$I$38)*LOOKUP(ROUNDUP(SUM($J$7:AE$7)*AE$7/Qtrs_Yr,0),Inputs!$F$35:$I$35,Inputs!$F$36:$I$36))/Thousand/Qtrs_Yr)+Inputs!$F$65*(IF(ROUNDUP(SUM($J$7:AE$7)*AE$7/Qtrs_Yr,0)=0,0,LOOKUP(ROUNDUP(SUM($J$7:AE$7)*AE$7/Qtrs_Yr,0),Inputs!$F$35:$I$35,Inputs!$F$36:$I$36))/Thousand/Qtrs_Yr)+Inputs!$F$66*(IF(ROUNDUP(SUM($J$7:AE$7)*AE$7/Qtrs_Yr,0)=0,0,LOOKUP(ROUNDUP(SUM($J$7:AE$7)*AE$7/Qtrs_Yr,0),Inputs!$F$35:$I$35,Inputs!$F$38:$I$38)*LOOKUP(ROUNDUP(SUM($J$7:AE$7)*AE$7/Qtrs_Yr,0),Inputs!$F$35:$I$35,Inputs!$F$36:$I$36))/Thousand/Qtrs_Yr))/Thousand+SUM(Inputs!$F$54:$F$61)*AE$7/Qtrs_Yr)*(1+LOOKUP(YEAR(AE$5),Inputs!$F$93:$I$93,Inputs!$F$94:$I$94)/Qtrs_Yr)^(COUNT($J$7:AE7))*(AE5-AD5-Inputs!$F$98)/(AE5-AD5)+((Inputs!$F$64*(IF(ROUNDUP(SUM($I$7:AD$7)*AD$7/Qtrs_Yr,0)=0,0,LOOKUP(ROUNDUP(SUM($I$7:AD$7)*AD$7/Qtrs_Yr,0),Inputs!$F$35:$I$35,Inputs!$F$36:$I$36))/Thousand/Qtrs_Yr+IF(ROUNDUP(SUM($I$7:AD$7)*AD$7/Qtrs_Yr,0)=0,0,LOOKUP(ROUNDUP(SUM($I$7:AD$7)*AD$7/Qtrs_Yr,0),Inputs!$F$35:$I$35,Inputs!$F$38:$I$38)*LOOKUP(ROUNDUP(SUM($I$7:AD$7)*AD$7/Qtrs_Yr,0),Inputs!$F$35:$I$35,Inputs!$F$36:$I$36))/Thousand/Qtrs_Yr)+Inputs!$F$65*(IF(ROUNDUP(SUM($I$7:AD$7)*AD$7/Qtrs_Yr,0)=0,0,LOOKUP(ROUNDUP(SUM($I$7:AD$7)*AD$7/Qtrs_Yr,0),Inputs!$F$35:$I$35,Inputs!$F$36:$I$36))/Thousand/Qtrs_Yr)+Inputs!$F$66*(IF(ROUNDUP(SUM($I$7:AD$7)*AD$7/Qtrs_Yr,0)=0,0,LOOKUP(ROUNDUP(SUM($I$7:AD$7)*AD$7/Qtrs_Yr,0),Inputs!$F$35:$I$35,Inputs!$F$38:$I$38)*LOOKUP(ROUNDUP(SUM($I$7:AD$7)*AD$7/Qtrs_Yr,0),Inputs!$F$35:$I$35,Inputs!$F$36:$I$36))/Thousand/Qtrs_Yr))/Thousand+SUM(Inputs!$F$54:$F$61)*AD$7/Qtrs_Yr)*(1+LOOKUP(YEAR(AE$5),Inputs!$F$93:$I$93,Inputs!$F$94:$I$94)/Qtrs_Yr)^(COUNT($I$7:AD7))*Inputs!$F$98/(AD5-AC5))-(((IF(ROUNDUP(SUM($J$7:AE$7)*AE$7/Qtrs_Yr,0)=0,0,LOOKUP(ROUNDUP(SUM($J$7:AE$7)*AE$7/Qtrs_Yr,0),Inputs!$F$35:$I$35,Inputs!$F$36:$I$36))/Thousand/Qtrs_Yr)*IF(ROUNDUP(SUM($J$7:AE$7)*AE$7/Qtrs_Yr,0)=0,0,LOOKUP(ROUNDUP(SUM($J$7:AE$7)*AE$7/Qtrs_Yr,0),Inputs!$F$41:$I$41,Inputs!$F$42:$I$42))/Grams_Oz*Inputs!$F$45)*LOOKUP(YEAR(AE$5),Inputs!$F$49:$I$49,Inputs!$F$50:$I$50)/Thousand
/LOOKUP(YEAR(AE$5),Inputs!$F$89:$I$89,Inputs!$F$90:$I$90)-((Inputs!$F$64*(IF(ROUNDUP(SUM($J$7:AE$7)*AE$7/Qtrs_Yr,0)=0,0,LOOKUP(ROUNDUP(SUM($J$7:AE$7)*AE$7/Qtrs_Yr,0),Inputs!$F$35:$I$35,Inputs!$F$36:$I$36))/Thousand/Qtrs_Yr+IF(ROUNDUP(SUM($J$7:AE$7)*AE$7/Qtrs_Yr,0)=0,0,LOOKUP(ROUNDUP(SUM($J$7:AE$7)*AE$7/Qtrs_Yr,0),Inputs!$F$35:$I$35,Inputs!$F$38:$I$38)*LOOKUP(ROUNDUP(SUM($J$7:AE$7)*AE$7/Qtrs_Yr,0),Inputs!$F$35:$I$35,Inputs!$F$36:$I$36))/Thousand/Qtrs_Yr)+Inputs!$F$65*(IF(ROUNDUP(SUM($J$7:AE$7)*AE$7/Qtrs_Yr,0)=0,0,LOOKUP(ROUNDUP(SUM($J$7:AE$7)*AE$7/Qtrs_Yr,0),Inputs!$F$35:$I$35,Inputs!$F$36:$I$36))/Thousand/Qtrs_Yr)+Inputs!$F$66*(IF(ROUNDUP(SUM($J$7:AE$7)*AE$7/Qtrs_Yr,0)=0,0,LOOKUP(ROUNDUP(SUM($J$7:AE$7)*AE$7/Qtrs_Yr,0),Inputs!$F$35:$I$35,Inputs!$F$38:$I$38)*LOOKUP(ROUNDUP(SUM($J$7:AE$7)*AE$7/Qtrs_Yr,0),Inputs!$F$35:$I$35,Inputs!$F$36:$I$36))/Thousand/Qtrs_Yr))/Thousand+SUM(Inputs!$F$54:$F$61)*AE$7/Qtrs_Yr)*(1+LOOKUP(YEAR(AE$5),Inputs!$F$93:$I$93,Inputs!$F$94:$I$94)/Qtrs_Yr)^(COUNT($J$7:AE7))-Inputs!$E$29*(1+Inputs!$E$31)*AE$7/Inputs!$E$16/Qtrs_Yr-IF(OR(AE$7=0,SUM($J7:AE7)*AE7&gt;Inputs!$F$77*Qtrs_Yr),0,(Inputs!$F$71-SUM($J7:AE7,-1)*AE7*Inputs!$F$71/Inputs!$F$77/Qtrs_Yr)*(LOOKUP(YEAR(AF$5),Inputs!$F$85:$I$85,Inputs!$F$86:$I$86)+LOOKUP(ROUNDUP(SUM($J7:AF7)*AF7/Qtrs_Yr,0),Inputs!$G$73:$J$73,Inputs!$G$74:$J$74))/Qtrs_Yr))*Inputs!$F$101)/(IF(OR(AE$7=0,SUM($J7:AE7)*AE7&gt;Inputs!$F$77*Qtrs_Yr),0,(Inputs!$F$71-SUM($J7:AE7,-1)*AE7*Inputs!$F$71/Inputs!$F$77/Qtrs_Yr)*(LOOKUP(YEAR(AF$5),Inputs!$F$85:$I$85,Inputs!$F$86:$I$86)+LOOKUP(ROUNDUP(SUM($J7:AF7)*AF7/Qtrs_Yr,0),Inputs!$G$73:$J$73,Inputs!$G$74:$J$74))/Qtrs_Yr)+IF(OR(AE$7=0,SUM($J7:AE7)*AE7&gt;Inputs!$F$77*Qtrs_Yr),0,Inputs!$F$71/Inputs!$F$77/Qtrs_Yr)))</f>
        <v>1.7023566872673173</v>
      </c>
      <c r="AF14" s="75">
        <f>IF((IF(OR(AF$7=0,SUM($J7:AF7)*AF7&gt;Inputs!$F$77*Qtrs_Yr),0,(Inputs!$F$71-SUM($J7:AF7,-1)*AF7*Inputs!$F$71/Inputs!$F$77/Qtrs_Yr)*(LOOKUP(YEAR(AG$5),Inputs!$F$85:$I$85,Inputs!$F$86:$I$86)+LOOKUP(ROUNDUP(SUM($J7:AG7)*AG7/Qtrs_Yr,0),Inputs!$G$73:$J$73,Inputs!$G$74:$J$74))/Qtrs_Yr)+IF(OR(AF$7=0,SUM($J7:AF7)*AF7&gt;Inputs!$F$77*Qtrs_Yr),0,Inputs!$F$71/Inputs!$F$77/Qtrs_Yr))=0,0,((((IF(ROUNDUP(SUM($J$7:AF$7)*AF$7/Qtrs_Yr,0)=0,0,LOOKUP(ROUNDUP(SUM($J$7:AF$7)*AF$7/Qtrs_Yr,0),Inputs!$F$35:$I$35,Inputs!$F$36:$I$36))/Thousand/Qtrs_Yr)*IF(ROUNDUP(SUM($J$7:AF$7)*AF$7/Qtrs_Yr,0)=0,0,LOOKUP(ROUNDUP(SUM($J$7:AF$7)*AF$7/Qtrs_Yr,0),Inputs!$F$41:$I$41,Inputs!$F$42:$I$42))/Grams_Oz*Inputs!$F$45)*LOOKUP(YEAR(AF$5),Inputs!$F$49:$I$49,Inputs!$F$50:$I$50)/Thousand/LOOKUP(YEAR(AF$5),Inputs!$F$89:$I$89,Inputs!$F$90:$I$90)*(AF5-AE5-Inputs!$F$97)/(AF5-AE5)+((IF(ROUNDUP(SUM($I$7:AE$7)*AE$7/Qtrs_Yr,0)=0,0,LOOKUP(ROUNDUP(SUM($I$7:AE$7)*AE$7/Qtrs_Yr,0),Inputs!$F$35:$I$35,Inputs!$F$36:$I$36))/Thousand/Qtrs_Yr)*IF(ROUNDUP(SUM($I$7:AE$7)*AE$7/Qtrs_Yr,0)=0,0,LOOKUP(ROUNDUP(SUM($I$7:AE$7)*AE$7/Qtrs_Yr,0),Inputs!$F$41:$I$41,Inputs!$F$42:$I$42))/Grams_Oz*Inputs!$F$45)*LOOKUP(YEAR(AE$5),Inputs!$F$49:$I$49,Inputs!$F$50:$I$50)/Thousand
/LOOKUP(YEAR(AE$5),Inputs!$F$89:$I$89,Inputs!$F$90:$I$90)*Inputs!$F$97/(AE5-AD5))-(((Inputs!$F$64*(IF(ROUNDUP(SUM($J$7:AF$7)*AF$7/Qtrs_Yr,0)=0,0,LOOKUP(ROUNDUP(SUM($J$7:AF$7)*AF$7/Qtrs_Yr,0),Inputs!$F$35:$I$35,Inputs!$F$36:$I$36))/Thousand/Qtrs_Yr+IF(ROUNDUP(SUM($J$7:AF$7)*AF$7/Qtrs_Yr,0)=0,0,LOOKUP(ROUNDUP(SUM($J$7:AF$7)*AF$7/Qtrs_Yr,0),Inputs!$F$35:$I$35,Inputs!$F$38:$I$38)*LOOKUP(ROUNDUP(SUM($J$7:AF$7)*AF$7/Qtrs_Yr,0),Inputs!$F$35:$I$35,Inputs!$F$36:$I$36))/Thousand/Qtrs_Yr)+Inputs!$F$65*(IF(ROUNDUP(SUM($J$7:AF$7)*AF$7/Qtrs_Yr,0)=0,0,LOOKUP(ROUNDUP(SUM($J$7:AF$7)*AF$7/Qtrs_Yr,0),Inputs!$F$35:$I$35,Inputs!$F$36:$I$36))/Thousand/Qtrs_Yr)+Inputs!$F$66*(IF(ROUNDUP(SUM($J$7:AF$7)*AF$7/Qtrs_Yr,0)=0,0,LOOKUP(ROUNDUP(SUM($J$7:AF$7)*AF$7/Qtrs_Yr,0),Inputs!$F$35:$I$35,Inputs!$F$38:$I$38)*LOOKUP(ROUNDUP(SUM($J$7:AF$7)*AF$7/Qtrs_Yr,0),Inputs!$F$35:$I$35,Inputs!$F$36:$I$36))/Thousand/Qtrs_Yr))/Thousand+SUM(Inputs!$F$54:$F$61)*AF$7/Qtrs_Yr)*(1+LOOKUP(YEAR(AF$5),Inputs!$F$93:$I$93,Inputs!$F$94:$I$94)/Qtrs_Yr)^(COUNT($J$7:AF7))*(AF5-AE5-Inputs!$F$98)/(AF5-AE5)+((Inputs!$F$64*(IF(ROUNDUP(SUM($I$7:AE$7)*AE$7/Qtrs_Yr,0)=0,0,LOOKUP(ROUNDUP(SUM($I$7:AE$7)*AE$7/Qtrs_Yr,0),Inputs!$F$35:$I$35,Inputs!$F$36:$I$36))/Thousand/Qtrs_Yr+IF(ROUNDUP(SUM($I$7:AE$7)*AE$7/Qtrs_Yr,0)=0,0,LOOKUP(ROUNDUP(SUM($I$7:AE$7)*AE$7/Qtrs_Yr,0),Inputs!$F$35:$I$35,Inputs!$F$38:$I$38)*LOOKUP(ROUNDUP(SUM($I$7:AE$7)*AE$7/Qtrs_Yr,0),Inputs!$F$35:$I$35,Inputs!$F$36:$I$36))/Thousand/Qtrs_Yr)+Inputs!$F$65*(IF(ROUNDUP(SUM($I$7:AE$7)*AE$7/Qtrs_Yr,0)=0,0,LOOKUP(ROUNDUP(SUM($I$7:AE$7)*AE$7/Qtrs_Yr,0),Inputs!$F$35:$I$35,Inputs!$F$36:$I$36))/Thousand/Qtrs_Yr)+Inputs!$F$66*(IF(ROUNDUP(SUM($I$7:AE$7)*AE$7/Qtrs_Yr,0)=0,0,LOOKUP(ROUNDUP(SUM($I$7:AE$7)*AE$7/Qtrs_Yr,0),Inputs!$F$35:$I$35,Inputs!$F$38:$I$38)*LOOKUP(ROUNDUP(SUM($I$7:AE$7)*AE$7/Qtrs_Yr,0),Inputs!$F$35:$I$35,Inputs!$F$36:$I$36))/Thousand/Qtrs_Yr))/Thousand+SUM(Inputs!$F$54:$F$61)*AE$7/Qtrs_Yr)*(1+LOOKUP(YEAR(AF$5),Inputs!$F$93:$I$93,Inputs!$F$94:$I$94)/Qtrs_Yr)^(COUNT($I$7:AE7))*Inputs!$F$98/(AE5-AD5))-(((IF(ROUNDUP(SUM($J$7:AF$7)*AF$7/Qtrs_Yr,0)=0,0,LOOKUP(ROUNDUP(SUM($J$7:AF$7)*AF$7/Qtrs_Yr,0),Inputs!$F$35:$I$35,Inputs!$F$36:$I$36))/Thousand/Qtrs_Yr)*IF(ROUNDUP(SUM($J$7:AF$7)*AF$7/Qtrs_Yr,0)=0,0,LOOKUP(ROUNDUP(SUM($J$7:AF$7)*AF$7/Qtrs_Yr,0),Inputs!$F$41:$I$41,Inputs!$F$42:$I$42))/Grams_Oz*Inputs!$F$45)*LOOKUP(YEAR(AF$5),Inputs!$F$49:$I$49,Inputs!$F$50:$I$50)/Thousand
/LOOKUP(YEAR(AF$5),Inputs!$F$89:$I$89,Inputs!$F$90:$I$90)-((Inputs!$F$64*(IF(ROUNDUP(SUM($J$7:AF$7)*AF$7/Qtrs_Yr,0)=0,0,LOOKUP(ROUNDUP(SUM($J$7:AF$7)*AF$7/Qtrs_Yr,0),Inputs!$F$35:$I$35,Inputs!$F$36:$I$36))/Thousand/Qtrs_Yr+IF(ROUNDUP(SUM($J$7:AF$7)*AF$7/Qtrs_Yr,0)=0,0,LOOKUP(ROUNDUP(SUM($J$7:AF$7)*AF$7/Qtrs_Yr,0),Inputs!$F$35:$I$35,Inputs!$F$38:$I$38)*LOOKUP(ROUNDUP(SUM($J$7:AF$7)*AF$7/Qtrs_Yr,0),Inputs!$F$35:$I$35,Inputs!$F$36:$I$36))/Thousand/Qtrs_Yr)+Inputs!$F$65*(IF(ROUNDUP(SUM($J$7:AF$7)*AF$7/Qtrs_Yr,0)=0,0,LOOKUP(ROUNDUP(SUM($J$7:AF$7)*AF$7/Qtrs_Yr,0),Inputs!$F$35:$I$35,Inputs!$F$36:$I$36))/Thousand/Qtrs_Yr)+Inputs!$F$66*(IF(ROUNDUP(SUM($J$7:AF$7)*AF$7/Qtrs_Yr,0)=0,0,LOOKUP(ROUNDUP(SUM($J$7:AF$7)*AF$7/Qtrs_Yr,0),Inputs!$F$35:$I$35,Inputs!$F$38:$I$38)*LOOKUP(ROUNDUP(SUM($J$7:AF$7)*AF$7/Qtrs_Yr,0),Inputs!$F$35:$I$35,Inputs!$F$36:$I$36))/Thousand/Qtrs_Yr))/Thousand+SUM(Inputs!$F$54:$F$61)*AF$7/Qtrs_Yr)*(1+LOOKUP(YEAR(AF$5),Inputs!$F$93:$I$93,Inputs!$F$94:$I$94)/Qtrs_Yr)^(COUNT($J$7:AF7))-Inputs!$E$29*(1+Inputs!$E$31)*AF$7/Inputs!$E$16/Qtrs_Yr-IF(OR(AF$7=0,SUM($J7:AF7)*AF7&gt;Inputs!$F$77*Qtrs_Yr),0,(Inputs!$F$71-SUM($J7:AF7,-1)*AF7*Inputs!$F$71/Inputs!$F$77/Qtrs_Yr)*(LOOKUP(YEAR(AG$5),Inputs!$F$85:$I$85,Inputs!$F$86:$I$86)+LOOKUP(ROUNDUP(SUM($J7:AG7)*AG7/Qtrs_Yr,0),Inputs!$G$73:$J$73,Inputs!$G$74:$J$74))/Qtrs_Yr))*Inputs!$F$101)/(IF(OR(AF$7=0,SUM($J7:AF7)*AF7&gt;Inputs!$F$77*Qtrs_Yr),0,(Inputs!$F$71-SUM($J7:AF7,-1)*AF7*Inputs!$F$71/Inputs!$F$77/Qtrs_Yr)*(LOOKUP(YEAR(AG$5),Inputs!$F$85:$I$85,Inputs!$F$86:$I$86)+LOOKUP(ROUNDUP(SUM($J7:AG7)*AG7/Qtrs_Yr,0),Inputs!$G$73:$J$73,Inputs!$G$74:$J$74))/Qtrs_Yr)+IF(OR(AF$7=0,SUM($J7:AF7)*AF7&gt;Inputs!$F$77*Qtrs_Yr),0,Inputs!$F$71/Inputs!$F$77/Qtrs_Yr)))</f>
        <v>1.7054261541994893</v>
      </c>
      <c r="AG14" s="75">
        <f>IF((IF(OR(AG$7=0,SUM($J7:AG7)*AG7&gt;Inputs!$F$77*Qtrs_Yr),0,(Inputs!$F$71-SUM($J7:AG7,-1)*AG7*Inputs!$F$71/Inputs!$F$77/Qtrs_Yr)*(LOOKUP(YEAR(AH$5),Inputs!$F$85:$I$85,Inputs!$F$86:$I$86)+LOOKUP(ROUNDUP(SUM($J7:AH7)*AH7/Qtrs_Yr,0),Inputs!$G$73:$J$73,Inputs!$G$74:$J$74))/Qtrs_Yr)+IF(OR(AG$7=0,SUM($J7:AG7)*AG7&gt;Inputs!$F$77*Qtrs_Yr),0,Inputs!$F$71/Inputs!$F$77/Qtrs_Yr))=0,0,((((IF(ROUNDUP(SUM($J$7:AG$7)*AG$7/Qtrs_Yr,0)=0,0,LOOKUP(ROUNDUP(SUM($J$7:AG$7)*AG$7/Qtrs_Yr,0),Inputs!$F$35:$I$35,Inputs!$F$36:$I$36))/Thousand/Qtrs_Yr)*IF(ROUNDUP(SUM($J$7:AG$7)*AG$7/Qtrs_Yr,0)=0,0,LOOKUP(ROUNDUP(SUM($J$7:AG$7)*AG$7/Qtrs_Yr,0),Inputs!$F$41:$I$41,Inputs!$F$42:$I$42))/Grams_Oz*Inputs!$F$45)*LOOKUP(YEAR(AG$5),Inputs!$F$49:$I$49,Inputs!$F$50:$I$50)/Thousand/LOOKUP(YEAR(AG$5),Inputs!$F$89:$I$89,Inputs!$F$90:$I$90)*(AG5-AF5-Inputs!$F$97)/(AG5-AF5)+((IF(ROUNDUP(SUM($I$7:AF$7)*AF$7/Qtrs_Yr,0)=0,0,LOOKUP(ROUNDUP(SUM($I$7:AF$7)*AF$7/Qtrs_Yr,0),Inputs!$F$35:$I$35,Inputs!$F$36:$I$36))/Thousand/Qtrs_Yr)*IF(ROUNDUP(SUM($I$7:AF$7)*AF$7/Qtrs_Yr,0)=0,0,LOOKUP(ROUNDUP(SUM($I$7:AF$7)*AF$7/Qtrs_Yr,0),Inputs!$F$41:$I$41,Inputs!$F$42:$I$42))/Grams_Oz*Inputs!$F$45)*LOOKUP(YEAR(AF$5),Inputs!$F$49:$I$49,Inputs!$F$50:$I$50)/Thousand
/LOOKUP(YEAR(AF$5),Inputs!$F$89:$I$89,Inputs!$F$90:$I$90)*Inputs!$F$97/(AF5-AE5))-(((Inputs!$F$64*(IF(ROUNDUP(SUM($J$7:AG$7)*AG$7/Qtrs_Yr,0)=0,0,LOOKUP(ROUNDUP(SUM($J$7:AG$7)*AG$7/Qtrs_Yr,0),Inputs!$F$35:$I$35,Inputs!$F$36:$I$36))/Thousand/Qtrs_Yr+IF(ROUNDUP(SUM($J$7:AG$7)*AG$7/Qtrs_Yr,0)=0,0,LOOKUP(ROUNDUP(SUM($J$7:AG$7)*AG$7/Qtrs_Yr,0),Inputs!$F$35:$I$35,Inputs!$F$38:$I$38)*LOOKUP(ROUNDUP(SUM($J$7:AG$7)*AG$7/Qtrs_Yr,0),Inputs!$F$35:$I$35,Inputs!$F$36:$I$36))/Thousand/Qtrs_Yr)+Inputs!$F$65*(IF(ROUNDUP(SUM($J$7:AG$7)*AG$7/Qtrs_Yr,0)=0,0,LOOKUP(ROUNDUP(SUM($J$7:AG$7)*AG$7/Qtrs_Yr,0),Inputs!$F$35:$I$35,Inputs!$F$36:$I$36))/Thousand/Qtrs_Yr)+Inputs!$F$66*(IF(ROUNDUP(SUM($J$7:AG$7)*AG$7/Qtrs_Yr,0)=0,0,LOOKUP(ROUNDUP(SUM($J$7:AG$7)*AG$7/Qtrs_Yr,0),Inputs!$F$35:$I$35,Inputs!$F$38:$I$38)*LOOKUP(ROUNDUP(SUM($J$7:AG$7)*AG$7/Qtrs_Yr,0),Inputs!$F$35:$I$35,Inputs!$F$36:$I$36))/Thousand/Qtrs_Yr))/Thousand+SUM(Inputs!$F$54:$F$61)*AG$7/Qtrs_Yr)*(1+LOOKUP(YEAR(AG$5),Inputs!$F$93:$I$93,Inputs!$F$94:$I$94)/Qtrs_Yr)^(COUNT($J$7:AG7))*(AG5-AF5-Inputs!$F$98)/(AG5-AF5)+((Inputs!$F$64*(IF(ROUNDUP(SUM($I$7:AF$7)*AF$7/Qtrs_Yr,0)=0,0,LOOKUP(ROUNDUP(SUM($I$7:AF$7)*AF$7/Qtrs_Yr,0),Inputs!$F$35:$I$35,Inputs!$F$36:$I$36))/Thousand/Qtrs_Yr+IF(ROUNDUP(SUM($I$7:AF$7)*AF$7/Qtrs_Yr,0)=0,0,LOOKUP(ROUNDUP(SUM($I$7:AF$7)*AF$7/Qtrs_Yr,0),Inputs!$F$35:$I$35,Inputs!$F$38:$I$38)*LOOKUP(ROUNDUP(SUM($I$7:AF$7)*AF$7/Qtrs_Yr,0),Inputs!$F$35:$I$35,Inputs!$F$36:$I$36))/Thousand/Qtrs_Yr)+Inputs!$F$65*(IF(ROUNDUP(SUM($I$7:AF$7)*AF$7/Qtrs_Yr,0)=0,0,LOOKUP(ROUNDUP(SUM($I$7:AF$7)*AF$7/Qtrs_Yr,0),Inputs!$F$35:$I$35,Inputs!$F$36:$I$36))/Thousand/Qtrs_Yr)+Inputs!$F$66*(IF(ROUNDUP(SUM($I$7:AF$7)*AF$7/Qtrs_Yr,0)=0,0,LOOKUP(ROUNDUP(SUM($I$7:AF$7)*AF$7/Qtrs_Yr,0),Inputs!$F$35:$I$35,Inputs!$F$38:$I$38)*LOOKUP(ROUNDUP(SUM($I$7:AF$7)*AF$7/Qtrs_Yr,0),Inputs!$F$35:$I$35,Inputs!$F$36:$I$36))/Thousand/Qtrs_Yr))/Thousand+SUM(Inputs!$F$54:$F$61)*AF$7/Qtrs_Yr)*(1+LOOKUP(YEAR(AG$5),Inputs!$F$93:$I$93,Inputs!$F$94:$I$94)/Qtrs_Yr)^(COUNT($I$7:AF7))*Inputs!$F$98/(AF5-AE5))-(((IF(ROUNDUP(SUM($J$7:AG$7)*AG$7/Qtrs_Yr,0)=0,0,LOOKUP(ROUNDUP(SUM($J$7:AG$7)*AG$7/Qtrs_Yr,0),Inputs!$F$35:$I$35,Inputs!$F$36:$I$36))/Thousand/Qtrs_Yr)*IF(ROUNDUP(SUM($J$7:AG$7)*AG$7/Qtrs_Yr,0)=0,0,LOOKUP(ROUNDUP(SUM($J$7:AG$7)*AG$7/Qtrs_Yr,0),Inputs!$F$41:$I$41,Inputs!$F$42:$I$42))/Grams_Oz*Inputs!$F$45)*LOOKUP(YEAR(AG$5),Inputs!$F$49:$I$49,Inputs!$F$50:$I$50)/Thousand
/LOOKUP(YEAR(AG$5),Inputs!$F$89:$I$89,Inputs!$F$90:$I$90)-((Inputs!$F$64*(IF(ROUNDUP(SUM($J$7:AG$7)*AG$7/Qtrs_Yr,0)=0,0,LOOKUP(ROUNDUP(SUM($J$7:AG$7)*AG$7/Qtrs_Yr,0),Inputs!$F$35:$I$35,Inputs!$F$36:$I$36))/Thousand/Qtrs_Yr+IF(ROUNDUP(SUM($J$7:AG$7)*AG$7/Qtrs_Yr,0)=0,0,LOOKUP(ROUNDUP(SUM($J$7:AG$7)*AG$7/Qtrs_Yr,0),Inputs!$F$35:$I$35,Inputs!$F$38:$I$38)*LOOKUP(ROUNDUP(SUM($J$7:AG$7)*AG$7/Qtrs_Yr,0),Inputs!$F$35:$I$35,Inputs!$F$36:$I$36))/Thousand/Qtrs_Yr)+Inputs!$F$65*(IF(ROUNDUP(SUM($J$7:AG$7)*AG$7/Qtrs_Yr,0)=0,0,LOOKUP(ROUNDUP(SUM($J$7:AG$7)*AG$7/Qtrs_Yr,0),Inputs!$F$35:$I$35,Inputs!$F$36:$I$36))/Thousand/Qtrs_Yr)+Inputs!$F$66*(IF(ROUNDUP(SUM($J$7:AG$7)*AG$7/Qtrs_Yr,0)=0,0,LOOKUP(ROUNDUP(SUM($J$7:AG$7)*AG$7/Qtrs_Yr,0),Inputs!$F$35:$I$35,Inputs!$F$38:$I$38)*LOOKUP(ROUNDUP(SUM($J$7:AG$7)*AG$7/Qtrs_Yr,0),Inputs!$F$35:$I$35,Inputs!$F$36:$I$36))/Thousand/Qtrs_Yr))/Thousand+SUM(Inputs!$F$54:$F$61)*AG$7/Qtrs_Yr)*(1+LOOKUP(YEAR(AG$5),Inputs!$F$93:$I$93,Inputs!$F$94:$I$94)/Qtrs_Yr)^(COUNT($J$7:AG7))-Inputs!$E$29*(1+Inputs!$E$31)*AG$7/Inputs!$E$16/Qtrs_Yr-IF(OR(AG$7=0,SUM($J7:AG7)*AG7&gt;Inputs!$F$77*Qtrs_Yr),0,(Inputs!$F$71-SUM($J7:AG7,-1)*AG7*Inputs!$F$71/Inputs!$F$77/Qtrs_Yr)*(LOOKUP(YEAR(AH$5),Inputs!$F$85:$I$85,Inputs!$F$86:$I$86)+LOOKUP(ROUNDUP(SUM($J7:AH7)*AH7/Qtrs_Yr,0),Inputs!$G$73:$J$73,Inputs!$G$74:$J$74))/Qtrs_Yr))*Inputs!$F$101)/(IF(OR(AG$7=0,SUM($J7:AG7)*AG7&gt;Inputs!$F$77*Qtrs_Yr),0,(Inputs!$F$71-SUM($J7:AG7,-1)*AG7*Inputs!$F$71/Inputs!$F$77/Qtrs_Yr)*(LOOKUP(YEAR(AH$5),Inputs!$F$85:$I$85,Inputs!$F$86:$I$86)+LOOKUP(ROUNDUP(SUM($J7:AH7)*AH7/Qtrs_Yr,0),Inputs!$G$73:$J$73,Inputs!$G$74:$J$74))/Qtrs_Yr)+IF(OR(AG$7=0,SUM($J7:AG7)*AG7&gt;Inputs!$F$77*Qtrs_Yr),0,Inputs!$F$71/Inputs!$F$77/Qtrs_Yr)))</f>
        <v>1.7062743566885923</v>
      </c>
      <c r="AH14" s="75">
        <f>IF((IF(OR(AH$7=0,SUM($J7:AH7)*AH7&gt;Inputs!$F$77*Qtrs_Yr),0,(Inputs!$F$71-SUM($J7:AH7,-1)*AH7*Inputs!$F$71/Inputs!$F$77/Qtrs_Yr)*(LOOKUP(YEAR(AI$5),Inputs!$F$85:$I$85,Inputs!$F$86:$I$86)+LOOKUP(ROUNDUP(SUM($J7:AI7)*AI7/Qtrs_Yr,0),Inputs!$G$73:$J$73,Inputs!$G$74:$J$74))/Qtrs_Yr)+IF(OR(AH$7=0,SUM($J7:AH7)*AH7&gt;Inputs!$F$77*Qtrs_Yr),0,Inputs!$F$71/Inputs!$F$77/Qtrs_Yr))=0,0,((((IF(ROUNDUP(SUM($J$7:AH$7)*AH$7/Qtrs_Yr,0)=0,0,LOOKUP(ROUNDUP(SUM($J$7:AH$7)*AH$7/Qtrs_Yr,0),Inputs!$F$35:$I$35,Inputs!$F$36:$I$36))/Thousand/Qtrs_Yr)*IF(ROUNDUP(SUM($J$7:AH$7)*AH$7/Qtrs_Yr,0)=0,0,LOOKUP(ROUNDUP(SUM($J$7:AH$7)*AH$7/Qtrs_Yr,0),Inputs!$F$41:$I$41,Inputs!$F$42:$I$42))/Grams_Oz*Inputs!$F$45)*LOOKUP(YEAR(AH$5),Inputs!$F$49:$I$49,Inputs!$F$50:$I$50)/Thousand/LOOKUP(YEAR(AH$5),Inputs!$F$89:$I$89,Inputs!$F$90:$I$90)*(AH5-AG5-Inputs!$F$97)/(AH5-AG5)+((IF(ROUNDUP(SUM($I$7:AG$7)*AG$7/Qtrs_Yr,0)=0,0,LOOKUP(ROUNDUP(SUM($I$7:AG$7)*AG$7/Qtrs_Yr,0),Inputs!$F$35:$I$35,Inputs!$F$36:$I$36))/Thousand/Qtrs_Yr)*IF(ROUNDUP(SUM($I$7:AG$7)*AG$7/Qtrs_Yr,0)=0,0,LOOKUP(ROUNDUP(SUM($I$7:AG$7)*AG$7/Qtrs_Yr,0),Inputs!$F$41:$I$41,Inputs!$F$42:$I$42))/Grams_Oz*Inputs!$F$45)*LOOKUP(YEAR(AG$5),Inputs!$F$49:$I$49,Inputs!$F$50:$I$50)/Thousand
/LOOKUP(YEAR(AG$5),Inputs!$F$89:$I$89,Inputs!$F$90:$I$90)*Inputs!$F$97/(AG5-AF5))-(((Inputs!$F$64*(IF(ROUNDUP(SUM($J$7:AH$7)*AH$7/Qtrs_Yr,0)=0,0,LOOKUP(ROUNDUP(SUM($J$7:AH$7)*AH$7/Qtrs_Yr,0),Inputs!$F$35:$I$35,Inputs!$F$36:$I$36))/Thousand/Qtrs_Yr+IF(ROUNDUP(SUM($J$7:AH$7)*AH$7/Qtrs_Yr,0)=0,0,LOOKUP(ROUNDUP(SUM($J$7:AH$7)*AH$7/Qtrs_Yr,0),Inputs!$F$35:$I$35,Inputs!$F$38:$I$38)*LOOKUP(ROUNDUP(SUM($J$7:AH$7)*AH$7/Qtrs_Yr,0),Inputs!$F$35:$I$35,Inputs!$F$36:$I$36))/Thousand/Qtrs_Yr)+Inputs!$F$65*(IF(ROUNDUP(SUM($J$7:AH$7)*AH$7/Qtrs_Yr,0)=0,0,LOOKUP(ROUNDUP(SUM($J$7:AH$7)*AH$7/Qtrs_Yr,0),Inputs!$F$35:$I$35,Inputs!$F$36:$I$36))/Thousand/Qtrs_Yr)+Inputs!$F$66*(IF(ROUNDUP(SUM($J$7:AH$7)*AH$7/Qtrs_Yr,0)=0,0,LOOKUP(ROUNDUP(SUM($J$7:AH$7)*AH$7/Qtrs_Yr,0),Inputs!$F$35:$I$35,Inputs!$F$38:$I$38)*LOOKUP(ROUNDUP(SUM($J$7:AH$7)*AH$7/Qtrs_Yr,0),Inputs!$F$35:$I$35,Inputs!$F$36:$I$36))/Thousand/Qtrs_Yr))/Thousand+SUM(Inputs!$F$54:$F$61)*AH$7/Qtrs_Yr)*(1+LOOKUP(YEAR(AH$5),Inputs!$F$93:$I$93,Inputs!$F$94:$I$94)/Qtrs_Yr)^(COUNT($J$7:AH7))*(AH5-AG5-Inputs!$F$98)/(AH5-AG5)+((Inputs!$F$64*(IF(ROUNDUP(SUM($I$7:AG$7)*AG$7/Qtrs_Yr,0)=0,0,LOOKUP(ROUNDUP(SUM($I$7:AG$7)*AG$7/Qtrs_Yr,0),Inputs!$F$35:$I$35,Inputs!$F$36:$I$36))/Thousand/Qtrs_Yr+IF(ROUNDUP(SUM($I$7:AG$7)*AG$7/Qtrs_Yr,0)=0,0,LOOKUP(ROUNDUP(SUM($I$7:AG$7)*AG$7/Qtrs_Yr,0),Inputs!$F$35:$I$35,Inputs!$F$38:$I$38)*LOOKUP(ROUNDUP(SUM($I$7:AG$7)*AG$7/Qtrs_Yr,0),Inputs!$F$35:$I$35,Inputs!$F$36:$I$36))/Thousand/Qtrs_Yr)+Inputs!$F$65*(IF(ROUNDUP(SUM($I$7:AG$7)*AG$7/Qtrs_Yr,0)=0,0,LOOKUP(ROUNDUP(SUM($I$7:AG$7)*AG$7/Qtrs_Yr,0),Inputs!$F$35:$I$35,Inputs!$F$36:$I$36))/Thousand/Qtrs_Yr)+Inputs!$F$66*(IF(ROUNDUP(SUM($I$7:AG$7)*AG$7/Qtrs_Yr,0)=0,0,LOOKUP(ROUNDUP(SUM($I$7:AG$7)*AG$7/Qtrs_Yr,0),Inputs!$F$35:$I$35,Inputs!$F$38:$I$38)*LOOKUP(ROUNDUP(SUM($I$7:AG$7)*AG$7/Qtrs_Yr,0),Inputs!$F$35:$I$35,Inputs!$F$36:$I$36))/Thousand/Qtrs_Yr))/Thousand+SUM(Inputs!$F$54:$F$61)*AG$7/Qtrs_Yr)*(1+LOOKUP(YEAR(AH$5),Inputs!$F$93:$I$93,Inputs!$F$94:$I$94)/Qtrs_Yr)^(COUNT($I$7:AG7))*Inputs!$F$98/(AG5-AF5))-(((IF(ROUNDUP(SUM($J$7:AH$7)*AH$7/Qtrs_Yr,0)=0,0,LOOKUP(ROUNDUP(SUM($J$7:AH$7)*AH$7/Qtrs_Yr,0),Inputs!$F$35:$I$35,Inputs!$F$36:$I$36))/Thousand/Qtrs_Yr)*IF(ROUNDUP(SUM($J$7:AH$7)*AH$7/Qtrs_Yr,0)=0,0,LOOKUP(ROUNDUP(SUM($J$7:AH$7)*AH$7/Qtrs_Yr,0),Inputs!$F$41:$I$41,Inputs!$F$42:$I$42))/Grams_Oz*Inputs!$F$45)*LOOKUP(YEAR(AH$5),Inputs!$F$49:$I$49,Inputs!$F$50:$I$50)/Thousand
/LOOKUP(YEAR(AH$5),Inputs!$F$89:$I$89,Inputs!$F$90:$I$90)-((Inputs!$F$64*(IF(ROUNDUP(SUM($J$7:AH$7)*AH$7/Qtrs_Yr,0)=0,0,LOOKUP(ROUNDUP(SUM($J$7:AH$7)*AH$7/Qtrs_Yr,0),Inputs!$F$35:$I$35,Inputs!$F$36:$I$36))/Thousand/Qtrs_Yr+IF(ROUNDUP(SUM($J$7:AH$7)*AH$7/Qtrs_Yr,0)=0,0,LOOKUP(ROUNDUP(SUM($J$7:AH$7)*AH$7/Qtrs_Yr,0),Inputs!$F$35:$I$35,Inputs!$F$38:$I$38)*LOOKUP(ROUNDUP(SUM($J$7:AH$7)*AH$7/Qtrs_Yr,0),Inputs!$F$35:$I$35,Inputs!$F$36:$I$36))/Thousand/Qtrs_Yr)+Inputs!$F$65*(IF(ROUNDUP(SUM($J$7:AH$7)*AH$7/Qtrs_Yr,0)=0,0,LOOKUP(ROUNDUP(SUM($J$7:AH$7)*AH$7/Qtrs_Yr,0),Inputs!$F$35:$I$35,Inputs!$F$36:$I$36))/Thousand/Qtrs_Yr)+Inputs!$F$66*(IF(ROUNDUP(SUM($J$7:AH$7)*AH$7/Qtrs_Yr,0)=0,0,LOOKUP(ROUNDUP(SUM($J$7:AH$7)*AH$7/Qtrs_Yr,0),Inputs!$F$35:$I$35,Inputs!$F$38:$I$38)*LOOKUP(ROUNDUP(SUM($J$7:AH$7)*AH$7/Qtrs_Yr,0),Inputs!$F$35:$I$35,Inputs!$F$36:$I$36))/Thousand/Qtrs_Yr))/Thousand+SUM(Inputs!$F$54:$F$61)*AH$7/Qtrs_Yr)*(1+LOOKUP(YEAR(AH$5),Inputs!$F$93:$I$93,Inputs!$F$94:$I$94)/Qtrs_Yr)^(COUNT($J$7:AH7))-Inputs!$E$29*(1+Inputs!$E$31)*AH$7/Inputs!$E$16/Qtrs_Yr-IF(OR(AH$7=0,SUM($J7:AH7)*AH7&gt;Inputs!$F$77*Qtrs_Yr),0,(Inputs!$F$71-SUM($J7:AH7,-1)*AH7*Inputs!$F$71/Inputs!$F$77/Qtrs_Yr)*(LOOKUP(YEAR(AI$5),Inputs!$F$85:$I$85,Inputs!$F$86:$I$86)+LOOKUP(ROUNDUP(SUM($J7:AI7)*AI7/Qtrs_Yr,0),Inputs!$G$73:$J$73,Inputs!$G$74:$J$74))/Qtrs_Yr))*Inputs!$F$101)/(IF(OR(AH$7=0,SUM($J7:AH7)*AH7&gt;Inputs!$F$77*Qtrs_Yr),0,(Inputs!$F$71-SUM($J7:AH7,-1)*AH7*Inputs!$F$71/Inputs!$F$77/Qtrs_Yr)*(LOOKUP(YEAR(AI$5),Inputs!$F$85:$I$85,Inputs!$F$86:$I$86)+LOOKUP(ROUNDUP(SUM($J7:AI7)*AI7/Qtrs_Yr,0),Inputs!$G$73:$J$73,Inputs!$G$74:$J$74))/Qtrs_Yr)+IF(OR(AH$7=0,SUM($J7:AH7)*AH7&gt;Inputs!$F$77*Qtrs_Yr),0,Inputs!$F$71/Inputs!$F$77/Qtrs_Yr)))</f>
        <v>1.7051180170466611</v>
      </c>
      <c r="AI14" s="75">
        <f>IF((IF(OR(AI$7=0,SUM($J7:AI7)*AI7&gt;Inputs!$F$77*Qtrs_Yr),0,(Inputs!$F$71-SUM($J7:AI7,-1)*AI7*Inputs!$F$71/Inputs!$F$77/Qtrs_Yr)*(LOOKUP(YEAR(AJ$5),Inputs!$F$85:$I$85,Inputs!$F$86:$I$86)+LOOKUP(ROUNDUP(SUM($J7:AJ7)*AJ7/Qtrs_Yr,0),Inputs!$G$73:$J$73,Inputs!$G$74:$J$74))/Qtrs_Yr)+IF(OR(AI$7=0,SUM($J7:AI7)*AI7&gt;Inputs!$F$77*Qtrs_Yr),0,Inputs!$F$71/Inputs!$F$77/Qtrs_Yr))=0,0,((((IF(ROUNDUP(SUM($J$7:AI$7)*AI$7/Qtrs_Yr,0)=0,0,LOOKUP(ROUNDUP(SUM($J$7:AI$7)*AI$7/Qtrs_Yr,0),Inputs!$F$35:$I$35,Inputs!$F$36:$I$36))/Thousand/Qtrs_Yr)*IF(ROUNDUP(SUM($J$7:AI$7)*AI$7/Qtrs_Yr,0)=0,0,LOOKUP(ROUNDUP(SUM($J$7:AI$7)*AI$7/Qtrs_Yr,0),Inputs!$F$41:$I$41,Inputs!$F$42:$I$42))/Grams_Oz*Inputs!$F$45)*LOOKUP(YEAR(AI$5),Inputs!$F$49:$I$49,Inputs!$F$50:$I$50)/Thousand/LOOKUP(YEAR(AI$5),Inputs!$F$89:$I$89,Inputs!$F$90:$I$90)*(AI5-AH5-Inputs!$F$97)/(AI5-AH5)+((IF(ROUNDUP(SUM($I$7:AH$7)*AH$7/Qtrs_Yr,0)=0,0,LOOKUP(ROUNDUP(SUM($I$7:AH$7)*AH$7/Qtrs_Yr,0),Inputs!$F$35:$I$35,Inputs!$F$36:$I$36))/Thousand/Qtrs_Yr)*IF(ROUNDUP(SUM($I$7:AH$7)*AH$7/Qtrs_Yr,0)=0,0,LOOKUP(ROUNDUP(SUM($I$7:AH$7)*AH$7/Qtrs_Yr,0),Inputs!$F$41:$I$41,Inputs!$F$42:$I$42))/Grams_Oz*Inputs!$F$45)*LOOKUP(YEAR(AH$5),Inputs!$F$49:$I$49,Inputs!$F$50:$I$50)/Thousand
/LOOKUP(YEAR(AH$5),Inputs!$F$89:$I$89,Inputs!$F$90:$I$90)*Inputs!$F$97/(AH5-AG5))-(((Inputs!$F$64*(IF(ROUNDUP(SUM($J$7:AI$7)*AI$7/Qtrs_Yr,0)=0,0,LOOKUP(ROUNDUP(SUM($J$7:AI$7)*AI$7/Qtrs_Yr,0),Inputs!$F$35:$I$35,Inputs!$F$36:$I$36))/Thousand/Qtrs_Yr+IF(ROUNDUP(SUM($J$7:AI$7)*AI$7/Qtrs_Yr,0)=0,0,LOOKUP(ROUNDUP(SUM($J$7:AI$7)*AI$7/Qtrs_Yr,0),Inputs!$F$35:$I$35,Inputs!$F$38:$I$38)*LOOKUP(ROUNDUP(SUM($J$7:AI$7)*AI$7/Qtrs_Yr,0),Inputs!$F$35:$I$35,Inputs!$F$36:$I$36))/Thousand/Qtrs_Yr)+Inputs!$F$65*(IF(ROUNDUP(SUM($J$7:AI$7)*AI$7/Qtrs_Yr,0)=0,0,LOOKUP(ROUNDUP(SUM($J$7:AI$7)*AI$7/Qtrs_Yr,0),Inputs!$F$35:$I$35,Inputs!$F$36:$I$36))/Thousand/Qtrs_Yr)+Inputs!$F$66*(IF(ROUNDUP(SUM($J$7:AI$7)*AI$7/Qtrs_Yr,0)=0,0,LOOKUP(ROUNDUP(SUM($J$7:AI$7)*AI$7/Qtrs_Yr,0),Inputs!$F$35:$I$35,Inputs!$F$38:$I$38)*LOOKUP(ROUNDUP(SUM($J$7:AI$7)*AI$7/Qtrs_Yr,0),Inputs!$F$35:$I$35,Inputs!$F$36:$I$36))/Thousand/Qtrs_Yr))/Thousand+SUM(Inputs!$F$54:$F$61)*AI$7/Qtrs_Yr)*(1+LOOKUP(YEAR(AI$5),Inputs!$F$93:$I$93,Inputs!$F$94:$I$94)/Qtrs_Yr)^(COUNT($J$7:AI7))*(AI5-AH5-Inputs!$F$98)/(AI5-AH5)+((Inputs!$F$64*(IF(ROUNDUP(SUM($I$7:AH$7)*AH$7/Qtrs_Yr,0)=0,0,LOOKUP(ROUNDUP(SUM($I$7:AH$7)*AH$7/Qtrs_Yr,0),Inputs!$F$35:$I$35,Inputs!$F$36:$I$36))/Thousand/Qtrs_Yr+IF(ROUNDUP(SUM($I$7:AH$7)*AH$7/Qtrs_Yr,0)=0,0,LOOKUP(ROUNDUP(SUM($I$7:AH$7)*AH$7/Qtrs_Yr,0),Inputs!$F$35:$I$35,Inputs!$F$38:$I$38)*LOOKUP(ROUNDUP(SUM($I$7:AH$7)*AH$7/Qtrs_Yr,0),Inputs!$F$35:$I$35,Inputs!$F$36:$I$36))/Thousand/Qtrs_Yr)+Inputs!$F$65*(IF(ROUNDUP(SUM($I$7:AH$7)*AH$7/Qtrs_Yr,0)=0,0,LOOKUP(ROUNDUP(SUM($I$7:AH$7)*AH$7/Qtrs_Yr,0),Inputs!$F$35:$I$35,Inputs!$F$36:$I$36))/Thousand/Qtrs_Yr)+Inputs!$F$66*(IF(ROUNDUP(SUM($I$7:AH$7)*AH$7/Qtrs_Yr,0)=0,0,LOOKUP(ROUNDUP(SUM($I$7:AH$7)*AH$7/Qtrs_Yr,0),Inputs!$F$35:$I$35,Inputs!$F$38:$I$38)*LOOKUP(ROUNDUP(SUM($I$7:AH$7)*AH$7/Qtrs_Yr,0),Inputs!$F$35:$I$35,Inputs!$F$36:$I$36))/Thousand/Qtrs_Yr))/Thousand+SUM(Inputs!$F$54:$F$61)*AH$7/Qtrs_Yr)*(1+LOOKUP(YEAR(AI$5),Inputs!$F$93:$I$93,Inputs!$F$94:$I$94)/Qtrs_Yr)^(COUNT($I$7:AH7))*Inputs!$F$98/(AH5-AG5))-(((IF(ROUNDUP(SUM($J$7:AI$7)*AI$7/Qtrs_Yr,0)=0,0,LOOKUP(ROUNDUP(SUM($J$7:AI$7)*AI$7/Qtrs_Yr,0),Inputs!$F$35:$I$35,Inputs!$F$36:$I$36))/Thousand/Qtrs_Yr)*IF(ROUNDUP(SUM($J$7:AI$7)*AI$7/Qtrs_Yr,0)=0,0,LOOKUP(ROUNDUP(SUM($J$7:AI$7)*AI$7/Qtrs_Yr,0),Inputs!$F$41:$I$41,Inputs!$F$42:$I$42))/Grams_Oz*Inputs!$F$45)*LOOKUP(YEAR(AI$5),Inputs!$F$49:$I$49,Inputs!$F$50:$I$50)/Thousand
/LOOKUP(YEAR(AI$5),Inputs!$F$89:$I$89,Inputs!$F$90:$I$90)-((Inputs!$F$64*(IF(ROUNDUP(SUM($J$7:AI$7)*AI$7/Qtrs_Yr,0)=0,0,LOOKUP(ROUNDUP(SUM($J$7:AI$7)*AI$7/Qtrs_Yr,0),Inputs!$F$35:$I$35,Inputs!$F$36:$I$36))/Thousand/Qtrs_Yr+IF(ROUNDUP(SUM($J$7:AI$7)*AI$7/Qtrs_Yr,0)=0,0,LOOKUP(ROUNDUP(SUM($J$7:AI$7)*AI$7/Qtrs_Yr,0),Inputs!$F$35:$I$35,Inputs!$F$38:$I$38)*LOOKUP(ROUNDUP(SUM($J$7:AI$7)*AI$7/Qtrs_Yr,0),Inputs!$F$35:$I$35,Inputs!$F$36:$I$36))/Thousand/Qtrs_Yr)+Inputs!$F$65*(IF(ROUNDUP(SUM($J$7:AI$7)*AI$7/Qtrs_Yr,0)=0,0,LOOKUP(ROUNDUP(SUM($J$7:AI$7)*AI$7/Qtrs_Yr,0),Inputs!$F$35:$I$35,Inputs!$F$36:$I$36))/Thousand/Qtrs_Yr)+Inputs!$F$66*(IF(ROUNDUP(SUM($J$7:AI$7)*AI$7/Qtrs_Yr,0)=0,0,LOOKUP(ROUNDUP(SUM($J$7:AI$7)*AI$7/Qtrs_Yr,0),Inputs!$F$35:$I$35,Inputs!$F$38:$I$38)*LOOKUP(ROUNDUP(SUM($J$7:AI$7)*AI$7/Qtrs_Yr,0),Inputs!$F$35:$I$35,Inputs!$F$36:$I$36))/Thousand/Qtrs_Yr))/Thousand+SUM(Inputs!$F$54:$F$61)*AI$7/Qtrs_Yr)*(1+LOOKUP(YEAR(AI$5),Inputs!$F$93:$I$93,Inputs!$F$94:$I$94)/Qtrs_Yr)^(COUNT($J$7:AI7))-Inputs!$E$29*(1+Inputs!$E$31)*AI$7/Inputs!$E$16/Qtrs_Yr-IF(OR(AI$7=0,SUM($J7:AI7)*AI7&gt;Inputs!$F$77*Qtrs_Yr),0,(Inputs!$F$71-SUM($J7:AI7,-1)*AI7*Inputs!$F$71/Inputs!$F$77/Qtrs_Yr)*(LOOKUP(YEAR(AJ$5),Inputs!$F$85:$I$85,Inputs!$F$86:$I$86)+LOOKUP(ROUNDUP(SUM($J7:AJ7)*AJ7/Qtrs_Yr,0),Inputs!$G$73:$J$73,Inputs!$G$74:$J$74))/Qtrs_Yr))*Inputs!$F$101)/(IF(OR(AI$7=0,SUM($J7:AI7)*AI7&gt;Inputs!$F$77*Qtrs_Yr),0,(Inputs!$F$71-SUM($J7:AI7,-1)*AI7*Inputs!$F$71/Inputs!$F$77/Qtrs_Yr)*(LOOKUP(YEAR(AJ$5),Inputs!$F$85:$I$85,Inputs!$F$86:$I$86)+LOOKUP(ROUNDUP(SUM($J7:AJ7)*AJ7/Qtrs_Yr,0),Inputs!$G$73:$J$73,Inputs!$G$74:$J$74))/Qtrs_Yr)+IF(OR(AI$7=0,SUM($J7:AI7)*AI7&gt;Inputs!$F$77*Qtrs_Yr),0,Inputs!$F$71/Inputs!$F$77/Qtrs_Yr)))</f>
        <v>1.7153035897210163</v>
      </c>
      <c r="AJ14" s="75">
        <f>IF((IF(OR(AJ$7=0,SUM($J7:AJ7)*AJ7&gt;Inputs!$F$77*Qtrs_Yr),0,(Inputs!$F$71-SUM($J7:AJ7,-1)*AJ7*Inputs!$F$71/Inputs!$F$77/Qtrs_Yr)*(LOOKUP(YEAR(AK$5),Inputs!$F$85:$I$85,Inputs!$F$86:$I$86)+LOOKUP(ROUNDUP(SUM($J7:AK7)*AK7/Qtrs_Yr,0),Inputs!$G$73:$J$73,Inputs!$G$74:$J$74))/Qtrs_Yr)+IF(OR(AJ$7=0,SUM($J7:AJ7)*AJ7&gt;Inputs!$F$77*Qtrs_Yr),0,Inputs!$F$71/Inputs!$F$77/Qtrs_Yr))=0,0,((((IF(ROUNDUP(SUM($J$7:AJ$7)*AJ$7/Qtrs_Yr,0)=0,0,LOOKUP(ROUNDUP(SUM($J$7:AJ$7)*AJ$7/Qtrs_Yr,0),Inputs!$F$35:$I$35,Inputs!$F$36:$I$36))/Thousand/Qtrs_Yr)*IF(ROUNDUP(SUM($J$7:AJ$7)*AJ$7/Qtrs_Yr,0)=0,0,LOOKUP(ROUNDUP(SUM($J$7:AJ$7)*AJ$7/Qtrs_Yr,0),Inputs!$F$41:$I$41,Inputs!$F$42:$I$42))/Grams_Oz*Inputs!$F$45)*LOOKUP(YEAR(AJ$5),Inputs!$F$49:$I$49,Inputs!$F$50:$I$50)/Thousand/LOOKUP(YEAR(AJ$5),Inputs!$F$89:$I$89,Inputs!$F$90:$I$90)*(AJ5-AI5-Inputs!$F$97)/(AJ5-AI5)+((IF(ROUNDUP(SUM($I$7:AI$7)*AI$7/Qtrs_Yr,0)=0,0,LOOKUP(ROUNDUP(SUM($I$7:AI$7)*AI$7/Qtrs_Yr,0),Inputs!$F$35:$I$35,Inputs!$F$36:$I$36))/Thousand/Qtrs_Yr)*IF(ROUNDUP(SUM($I$7:AI$7)*AI$7/Qtrs_Yr,0)=0,0,LOOKUP(ROUNDUP(SUM($I$7:AI$7)*AI$7/Qtrs_Yr,0),Inputs!$F$41:$I$41,Inputs!$F$42:$I$42))/Grams_Oz*Inputs!$F$45)*LOOKUP(YEAR(AI$5),Inputs!$F$49:$I$49,Inputs!$F$50:$I$50)/Thousand
/LOOKUP(YEAR(AI$5),Inputs!$F$89:$I$89,Inputs!$F$90:$I$90)*Inputs!$F$97/(AI5-AH5))-(((Inputs!$F$64*(IF(ROUNDUP(SUM($J$7:AJ$7)*AJ$7/Qtrs_Yr,0)=0,0,LOOKUP(ROUNDUP(SUM($J$7:AJ$7)*AJ$7/Qtrs_Yr,0),Inputs!$F$35:$I$35,Inputs!$F$36:$I$36))/Thousand/Qtrs_Yr+IF(ROUNDUP(SUM($J$7:AJ$7)*AJ$7/Qtrs_Yr,0)=0,0,LOOKUP(ROUNDUP(SUM($J$7:AJ$7)*AJ$7/Qtrs_Yr,0),Inputs!$F$35:$I$35,Inputs!$F$38:$I$38)*LOOKUP(ROUNDUP(SUM($J$7:AJ$7)*AJ$7/Qtrs_Yr,0),Inputs!$F$35:$I$35,Inputs!$F$36:$I$36))/Thousand/Qtrs_Yr)+Inputs!$F$65*(IF(ROUNDUP(SUM($J$7:AJ$7)*AJ$7/Qtrs_Yr,0)=0,0,LOOKUP(ROUNDUP(SUM($J$7:AJ$7)*AJ$7/Qtrs_Yr,0),Inputs!$F$35:$I$35,Inputs!$F$36:$I$36))/Thousand/Qtrs_Yr)+Inputs!$F$66*(IF(ROUNDUP(SUM($J$7:AJ$7)*AJ$7/Qtrs_Yr,0)=0,0,LOOKUP(ROUNDUP(SUM($J$7:AJ$7)*AJ$7/Qtrs_Yr,0),Inputs!$F$35:$I$35,Inputs!$F$38:$I$38)*LOOKUP(ROUNDUP(SUM($J$7:AJ$7)*AJ$7/Qtrs_Yr,0),Inputs!$F$35:$I$35,Inputs!$F$36:$I$36))/Thousand/Qtrs_Yr))/Thousand+SUM(Inputs!$F$54:$F$61)*AJ$7/Qtrs_Yr)*(1+LOOKUP(YEAR(AJ$5),Inputs!$F$93:$I$93,Inputs!$F$94:$I$94)/Qtrs_Yr)^(COUNT($J$7:AJ7))*(AJ5-AI5-Inputs!$F$98)/(AJ5-AI5)+((Inputs!$F$64*(IF(ROUNDUP(SUM($I$7:AI$7)*AI$7/Qtrs_Yr,0)=0,0,LOOKUP(ROUNDUP(SUM($I$7:AI$7)*AI$7/Qtrs_Yr,0),Inputs!$F$35:$I$35,Inputs!$F$36:$I$36))/Thousand/Qtrs_Yr+IF(ROUNDUP(SUM($I$7:AI$7)*AI$7/Qtrs_Yr,0)=0,0,LOOKUP(ROUNDUP(SUM($I$7:AI$7)*AI$7/Qtrs_Yr,0),Inputs!$F$35:$I$35,Inputs!$F$38:$I$38)*LOOKUP(ROUNDUP(SUM($I$7:AI$7)*AI$7/Qtrs_Yr,0),Inputs!$F$35:$I$35,Inputs!$F$36:$I$36))/Thousand/Qtrs_Yr)+Inputs!$F$65*(IF(ROUNDUP(SUM($I$7:AI$7)*AI$7/Qtrs_Yr,0)=0,0,LOOKUP(ROUNDUP(SUM($I$7:AI$7)*AI$7/Qtrs_Yr,0),Inputs!$F$35:$I$35,Inputs!$F$36:$I$36))/Thousand/Qtrs_Yr)+Inputs!$F$66*(IF(ROUNDUP(SUM($I$7:AI$7)*AI$7/Qtrs_Yr,0)=0,0,LOOKUP(ROUNDUP(SUM($I$7:AI$7)*AI$7/Qtrs_Yr,0),Inputs!$F$35:$I$35,Inputs!$F$38:$I$38)*LOOKUP(ROUNDUP(SUM($I$7:AI$7)*AI$7/Qtrs_Yr,0),Inputs!$F$35:$I$35,Inputs!$F$36:$I$36))/Thousand/Qtrs_Yr))/Thousand+SUM(Inputs!$F$54:$F$61)*AI$7/Qtrs_Yr)*(1+LOOKUP(YEAR(AJ$5),Inputs!$F$93:$I$93,Inputs!$F$94:$I$94)/Qtrs_Yr)^(COUNT($I$7:AI7))*Inputs!$F$98/(AI5-AH5))-(((IF(ROUNDUP(SUM($J$7:AJ$7)*AJ$7/Qtrs_Yr,0)=0,0,LOOKUP(ROUNDUP(SUM($J$7:AJ$7)*AJ$7/Qtrs_Yr,0),Inputs!$F$35:$I$35,Inputs!$F$36:$I$36))/Thousand/Qtrs_Yr)*IF(ROUNDUP(SUM($J$7:AJ$7)*AJ$7/Qtrs_Yr,0)=0,0,LOOKUP(ROUNDUP(SUM($J$7:AJ$7)*AJ$7/Qtrs_Yr,0),Inputs!$F$41:$I$41,Inputs!$F$42:$I$42))/Grams_Oz*Inputs!$F$45)*LOOKUP(YEAR(AJ$5),Inputs!$F$49:$I$49,Inputs!$F$50:$I$50)/Thousand
/LOOKUP(YEAR(AJ$5),Inputs!$F$89:$I$89,Inputs!$F$90:$I$90)-((Inputs!$F$64*(IF(ROUNDUP(SUM($J$7:AJ$7)*AJ$7/Qtrs_Yr,0)=0,0,LOOKUP(ROUNDUP(SUM($J$7:AJ$7)*AJ$7/Qtrs_Yr,0),Inputs!$F$35:$I$35,Inputs!$F$36:$I$36))/Thousand/Qtrs_Yr+IF(ROUNDUP(SUM($J$7:AJ$7)*AJ$7/Qtrs_Yr,0)=0,0,LOOKUP(ROUNDUP(SUM($J$7:AJ$7)*AJ$7/Qtrs_Yr,0),Inputs!$F$35:$I$35,Inputs!$F$38:$I$38)*LOOKUP(ROUNDUP(SUM($J$7:AJ$7)*AJ$7/Qtrs_Yr,0),Inputs!$F$35:$I$35,Inputs!$F$36:$I$36))/Thousand/Qtrs_Yr)+Inputs!$F$65*(IF(ROUNDUP(SUM($J$7:AJ$7)*AJ$7/Qtrs_Yr,0)=0,0,LOOKUP(ROUNDUP(SUM($J$7:AJ$7)*AJ$7/Qtrs_Yr,0),Inputs!$F$35:$I$35,Inputs!$F$36:$I$36))/Thousand/Qtrs_Yr)+Inputs!$F$66*(IF(ROUNDUP(SUM($J$7:AJ$7)*AJ$7/Qtrs_Yr,0)=0,0,LOOKUP(ROUNDUP(SUM($J$7:AJ$7)*AJ$7/Qtrs_Yr,0),Inputs!$F$35:$I$35,Inputs!$F$38:$I$38)*LOOKUP(ROUNDUP(SUM($J$7:AJ$7)*AJ$7/Qtrs_Yr,0),Inputs!$F$35:$I$35,Inputs!$F$36:$I$36))/Thousand/Qtrs_Yr))/Thousand+SUM(Inputs!$F$54:$F$61)*AJ$7/Qtrs_Yr)*(1+LOOKUP(YEAR(AJ$5),Inputs!$F$93:$I$93,Inputs!$F$94:$I$94)/Qtrs_Yr)^(COUNT($J$7:AJ7))-Inputs!$E$29*(1+Inputs!$E$31)*AJ$7/Inputs!$E$16/Qtrs_Yr-IF(OR(AJ$7=0,SUM($J7:AJ7)*AJ7&gt;Inputs!$F$77*Qtrs_Yr),0,(Inputs!$F$71-SUM($J7:AJ7,-1)*AJ7*Inputs!$F$71/Inputs!$F$77/Qtrs_Yr)*(LOOKUP(YEAR(AK$5),Inputs!$F$85:$I$85,Inputs!$F$86:$I$86)+LOOKUP(ROUNDUP(SUM($J7:AK7)*AK7/Qtrs_Yr,0),Inputs!$G$73:$J$73,Inputs!$G$74:$J$74))/Qtrs_Yr))*Inputs!$F$101)/(IF(OR(AJ$7=0,SUM($J7:AJ7)*AJ7&gt;Inputs!$F$77*Qtrs_Yr),0,(Inputs!$F$71-SUM($J7:AJ7,-1)*AJ7*Inputs!$F$71/Inputs!$F$77/Qtrs_Yr)*(LOOKUP(YEAR(AK$5),Inputs!$F$85:$I$85,Inputs!$F$86:$I$86)+LOOKUP(ROUNDUP(SUM($J7:AK7)*AK7/Qtrs_Yr,0),Inputs!$G$73:$J$73,Inputs!$G$74:$J$74))/Qtrs_Yr)+IF(OR(AJ$7=0,SUM($J7:AJ7)*AJ7&gt;Inputs!$F$77*Qtrs_Yr),0,Inputs!$F$71/Inputs!$F$77/Qtrs_Yr)))</f>
        <v>1.718408142530917</v>
      </c>
      <c r="AK14" s="75">
        <f>IF((IF(OR(AK$7=0,SUM($J7:AK7)*AK7&gt;Inputs!$F$77*Qtrs_Yr),0,(Inputs!$F$71-SUM($J7:AK7,-1)*AK7*Inputs!$F$71/Inputs!$F$77/Qtrs_Yr)*(LOOKUP(YEAR(AL$5),Inputs!$F$85:$I$85,Inputs!$F$86:$I$86)+LOOKUP(ROUNDUP(SUM($J7:AL7)*AL7/Qtrs_Yr,0),Inputs!$G$73:$J$73,Inputs!$G$74:$J$74))/Qtrs_Yr)+IF(OR(AK$7=0,SUM($J7:AK7)*AK7&gt;Inputs!$F$77*Qtrs_Yr),0,Inputs!$F$71/Inputs!$F$77/Qtrs_Yr))=0,0,((((IF(ROUNDUP(SUM($J$7:AK$7)*AK$7/Qtrs_Yr,0)=0,0,LOOKUP(ROUNDUP(SUM($J$7:AK$7)*AK$7/Qtrs_Yr,0),Inputs!$F$35:$I$35,Inputs!$F$36:$I$36))/Thousand/Qtrs_Yr)*IF(ROUNDUP(SUM($J$7:AK$7)*AK$7/Qtrs_Yr,0)=0,0,LOOKUP(ROUNDUP(SUM($J$7:AK$7)*AK$7/Qtrs_Yr,0),Inputs!$F$41:$I$41,Inputs!$F$42:$I$42))/Grams_Oz*Inputs!$F$45)*LOOKUP(YEAR(AK$5),Inputs!$F$49:$I$49,Inputs!$F$50:$I$50)/Thousand/LOOKUP(YEAR(AK$5),Inputs!$F$89:$I$89,Inputs!$F$90:$I$90)*(AK5-AJ5-Inputs!$F$97)/(AK5-AJ5)+((IF(ROUNDUP(SUM($I$7:AJ$7)*AJ$7/Qtrs_Yr,0)=0,0,LOOKUP(ROUNDUP(SUM($I$7:AJ$7)*AJ$7/Qtrs_Yr,0),Inputs!$F$35:$I$35,Inputs!$F$36:$I$36))/Thousand/Qtrs_Yr)*IF(ROUNDUP(SUM($I$7:AJ$7)*AJ$7/Qtrs_Yr,0)=0,0,LOOKUP(ROUNDUP(SUM($I$7:AJ$7)*AJ$7/Qtrs_Yr,0),Inputs!$F$41:$I$41,Inputs!$F$42:$I$42))/Grams_Oz*Inputs!$F$45)*LOOKUP(YEAR(AJ$5),Inputs!$F$49:$I$49,Inputs!$F$50:$I$50)/Thousand
/LOOKUP(YEAR(AJ$5),Inputs!$F$89:$I$89,Inputs!$F$90:$I$90)*Inputs!$F$97/(AJ5-AI5))-(((Inputs!$F$64*(IF(ROUNDUP(SUM($J$7:AK$7)*AK$7/Qtrs_Yr,0)=0,0,LOOKUP(ROUNDUP(SUM($J$7:AK$7)*AK$7/Qtrs_Yr,0),Inputs!$F$35:$I$35,Inputs!$F$36:$I$36))/Thousand/Qtrs_Yr+IF(ROUNDUP(SUM($J$7:AK$7)*AK$7/Qtrs_Yr,0)=0,0,LOOKUP(ROUNDUP(SUM($J$7:AK$7)*AK$7/Qtrs_Yr,0),Inputs!$F$35:$I$35,Inputs!$F$38:$I$38)*LOOKUP(ROUNDUP(SUM($J$7:AK$7)*AK$7/Qtrs_Yr,0),Inputs!$F$35:$I$35,Inputs!$F$36:$I$36))/Thousand/Qtrs_Yr)+Inputs!$F$65*(IF(ROUNDUP(SUM($J$7:AK$7)*AK$7/Qtrs_Yr,0)=0,0,LOOKUP(ROUNDUP(SUM($J$7:AK$7)*AK$7/Qtrs_Yr,0),Inputs!$F$35:$I$35,Inputs!$F$36:$I$36))/Thousand/Qtrs_Yr)+Inputs!$F$66*(IF(ROUNDUP(SUM($J$7:AK$7)*AK$7/Qtrs_Yr,0)=0,0,LOOKUP(ROUNDUP(SUM($J$7:AK$7)*AK$7/Qtrs_Yr,0),Inputs!$F$35:$I$35,Inputs!$F$38:$I$38)*LOOKUP(ROUNDUP(SUM($J$7:AK$7)*AK$7/Qtrs_Yr,0),Inputs!$F$35:$I$35,Inputs!$F$36:$I$36))/Thousand/Qtrs_Yr))/Thousand+SUM(Inputs!$F$54:$F$61)*AK$7/Qtrs_Yr)*(1+LOOKUP(YEAR(AK$5),Inputs!$F$93:$I$93,Inputs!$F$94:$I$94)/Qtrs_Yr)^(COUNT($J$7:AK7))*(AK5-AJ5-Inputs!$F$98)/(AK5-AJ5)+((Inputs!$F$64*(IF(ROUNDUP(SUM($I$7:AJ$7)*AJ$7/Qtrs_Yr,0)=0,0,LOOKUP(ROUNDUP(SUM($I$7:AJ$7)*AJ$7/Qtrs_Yr,0),Inputs!$F$35:$I$35,Inputs!$F$36:$I$36))/Thousand/Qtrs_Yr+IF(ROUNDUP(SUM($I$7:AJ$7)*AJ$7/Qtrs_Yr,0)=0,0,LOOKUP(ROUNDUP(SUM($I$7:AJ$7)*AJ$7/Qtrs_Yr,0),Inputs!$F$35:$I$35,Inputs!$F$38:$I$38)*LOOKUP(ROUNDUP(SUM($I$7:AJ$7)*AJ$7/Qtrs_Yr,0),Inputs!$F$35:$I$35,Inputs!$F$36:$I$36))/Thousand/Qtrs_Yr)+Inputs!$F$65*(IF(ROUNDUP(SUM($I$7:AJ$7)*AJ$7/Qtrs_Yr,0)=0,0,LOOKUP(ROUNDUP(SUM($I$7:AJ$7)*AJ$7/Qtrs_Yr,0),Inputs!$F$35:$I$35,Inputs!$F$36:$I$36))/Thousand/Qtrs_Yr)+Inputs!$F$66*(IF(ROUNDUP(SUM($I$7:AJ$7)*AJ$7/Qtrs_Yr,0)=0,0,LOOKUP(ROUNDUP(SUM($I$7:AJ$7)*AJ$7/Qtrs_Yr,0),Inputs!$F$35:$I$35,Inputs!$F$38:$I$38)*LOOKUP(ROUNDUP(SUM($I$7:AJ$7)*AJ$7/Qtrs_Yr,0),Inputs!$F$35:$I$35,Inputs!$F$36:$I$36))/Thousand/Qtrs_Yr))/Thousand+SUM(Inputs!$F$54:$F$61)*AJ$7/Qtrs_Yr)*(1+LOOKUP(YEAR(AK$5),Inputs!$F$93:$I$93,Inputs!$F$94:$I$94)/Qtrs_Yr)^(COUNT($I$7:AJ7))*Inputs!$F$98/(AJ5-AI5))-(((IF(ROUNDUP(SUM($J$7:AK$7)*AK$7/Qtrs_Yr,0)=0,0,LOOKUP(ROUNDUP(SUM($J$7:AK$7)*AK$7/Qtrs_Yr,0),Inputs!$F$35:$I$35,Inputs!$F$36:$I$36))/Thousand/Qtrs_Yr)*IF(ROUNDUP(SUM($J$7:AK$7)*AK$7/Qtrs_Yr,0)=0,0,LOOKUP(ROUNDUP(SUM($J$7:AK$7)*AK$7/Qtrs_Yr,0),Inputs!$F$41:$I$41,Inputs!$F$42:$I$42))/Grams_Oz*Inputs!$F$45)*LOOKUP(YEAR(AK$5),Inputs!$F$49:$I$49,Inputs!$F$50:$I$50)/Thousand
/LOOKUP(YEAR(AK$5),Inputs!$F$89:$I$89,Inputs!$F$90:$I$90)-((Inputs!$F$64*(IF(ROUNDUP(SUM($J$7:AK$7)*AK$7/Qtrs_Yr,0)=0,0,LOOKUP(ROUNDUP(SUM($J$7:AK$7)*AK$7/Qtrs_Yr,0),Inputs!$F$35:$I$35,Inputs!$F$36:$I$36))/Thousand/Qtrs_Yr+IF(ROUNDUP(SUM($J$7:AK$7)*AK$7/Qtrs_Yr,0)=0,0,LOOKUP(ROUNDUP(SUM($J$7:AK$7)*AK$7/Qtrs_Yr,0),Inputs!$F$35:$I$35,Inputs!$F$38:$I$38)*LOOKUP(ROUNDUP(SUM($J$7:AK$7)*AK$7/Qtrs_Yr,0),Inputs!$F$35:$I$35,Inputs!$F$36:$I$36))/Thousand/Qtrs_Yr)+Inputs!$F$65*(IF(ROUNDUP(SUM($J$7:AK$7)*AK$7/Qtrs_Yr,0)=0,0,LOOKUP(ROUNDUP(SUM($J$7:AK$7)*AK$7/Qtrs_Yr,0),Inputs!$F$35:$I$35,Inputs!$F$36:$I$36))/Thousand/Qtrs_Yr)+Inputs!$F$66*(IF(ROUNDUP(SUM($J$7:AK$7)*AK$7/Qtrs_Yr,0)=0,0,LOOKUP(ROUNDUP(SUM($J$7:AK$7)*AK$7/Qtrs_Yr,0),Inputs!$F$35:$I$35,Inputs!$F$38:$I$38)*LOOKUP(ROUNDUP(SUM($J$7:AK$7)*AK$7/Qtrs_Yr,0),Inputs!$F$35:$I$35,Inputs!$F$36:$I$36))/Thousand/Qtrs_Yr))/Thousand+SUM(Inputs!$F$54:$F$61)*AK$7/Qtrs_Yr)*(1+LOOKUP(YEAR(AK$5),Inputs!$F$93:$I$93,Inputs!$F$94:$I$94)/Qtrs_Yr)^(COUNT($J$7:AK7))-Inputs!$E$29*(1+Inputs!$E$31)*AK$7/Inputs!$E$16/Qtrs_Yr-IF(OR(AK$7=0,SUM($J7:AK7)*AK7&gt;Inputs!$F$77*Qtrs_Yr),0,(Inputs!$F$71-SUM($J7:AK7,-1)*AK7*Inputs!$F$71/Inputs!$F$77/Qtrs_Yr)*(LOOKUP(YEAR(AL$5),Inputs!$F$85:$I$85,Inputs!$F$86:$I$86)+LOOKUP(ROUNDUP(SUM($J7:AL7)*AL7/Qtrs_Yr,0),Inputs!$G$73:$J$73,Inputs!$G$74:$J$74))/Qtrs_Yr))*Inputs!$F$101)/(IF(OR(AK$7=0,SUM($J7:AK7)*AK7&gt;Inputs!$F$77*Qtrs_Yr),0,(Inputs!$F$71-SUM($J7:AK7,-1)*AK7*Inputs!$F$71/Inputs!$F$77/Qtrs_Yr)*(LOOKUP(YEAR(AL$5),Inputs!$F$85:$I$85,Inputs!$F$86:$I$86)+LOOKUP(ROUNDUP(SUM($J7:AL7)*AL7/Qtrs_Yr,0),Inputs!$G$73:$J$73,Inputs!$G$74:$J$74))/Qtrs_Yr)+IF(OR(AK$7=0,SUM($J7:AK7)*AK7&gt;Inputs!$F$77*Qtrs_Yr),0,Inputs!$F$71/Inputs!$F$77/Qtrs_Yr)))</f>
        <v>1.7195920291692137</v>
      </c>
      <c r="AL14" s="75">
        <f>IF((IF(OR(AL$7=0,SUM($J7:AL7)*AL7&gt;Inputs!$F$77*Qtrs_Yr),0,(Inputs!$F$71-SUM($J7:AL7,-1)*AL7*Inputs!$F$71/Inputs!$F$77/Qtrs_Yr)*(LOOKUP(YEAR(AM$5),Inputs!$F$85:$I$85,Inputs!$F$86:$I$86)+LOOKUP(ROUNDUP(SUM($J7:AM7)*AM7/Qtrs_Yr,0),Inputs!$G$73:$J$73,Inputs!$G$74:$J$74))/Qtrs_Yr)+IF(OR(AL$7=0,SUM($J7:AL7)*AL7&gt;Inputs!$F$77*Qtrs_Yr),0,Inputs!$F$71/Inputs!$F$77/Qtrs_Yr))=0,0,((((IF(ROUNDUP(SUM($J$7:AL$7)*AL$7/Qtrs_Yr,0)=0,0,LOOKUP(ROUNDUP(SUM($J$7:AL$7)*AL$7/Qtrs_Yr,0),Inputs!$F$35:$I$35,Inputs!$F$36:$I$36))/Thousand/Qtrs_Yr)*IF(ROUNDUP(SUM($J$7:AL$7)*AL$7/Qtrs_Yr,0)=0,0,LOOKUP(ROUNDUP(SUM($J$7:AL$7)*AL$7/Qtrs_Yr,0),Inputs!$F$41:$I$41,Inputs!$F$42:$I$42))/Grams_Oz*Inputs!$F$45)*LOOKUP(YEAR(AL$5),Inputs!$F$49:$I$49,Inputs!$F$50:$I$50)/Thousand/LOOKUP(YEAR(AL$5),Inputs!$F$89:$I$89,Inputs!$F$90:$I$90)*(AL5-AK5-Inputs!$F$97)/(AL5-AK5)+((IF(ROUNDUP(SUM($I$7:AK$7)*AK$7/Qtrs_Yr,0)=0,0,LOOKUP(ROUNDUP(SUM($I$7:AK$7)*AK$7/Qtrs_Yr,0),Inputs!$F$35:$I$35,Inputs!$F$36:$I$36))/Thousand/Qtrs_Yr)*IF(ROUNDUP(SUM($I$7:AK$7)*AK$7/Qtrs_Yr,0)=0,0,LOOKUP(ROUNDUP(SUM($I$7:AK$7)*AK$7/Qtrs_Yr,0),Inputs!$F$41:$I$41,Inputs!$F$42:$I$42))/Grams_Oz*Inputs!$F$45)*LOOKUP(YEAR(AK$5),Inputs!$F$49:$I$49,Inputs!$F$50:$I$50)/Thousand
/LOOKUP(YEAR(AK$5),Inputs!$F$89:$I$89,Inputs!$F$90:$I$90)*Inputs!$F$97/(AK5-AJ5))-(((Inputs!$F$64*(IF(ROUNDUP(SUM($J$7:AL$7)*AL$7/Qtrs_Yr,0)=0,0,LOOKUP(ROUNDUP(SUM($J$7:AL$7)*AL$7/Qtrs_Yr,0),Inputs!$F$35:$I$35,Inputs!$F$36:$I$36))/Thousand/Qtrs_Yr+IF(ROUNDUP(SUM($J$7:AL$7)*AL$7/Qtrs_Yr,0)=0,0,LOOKUP(ROUNDUP(SUM($J$7:AL$7)*AL$7/Qtrs_Yr,0),Inputs!$F$35:$I$35,Inputs!$F$38:$I$38)*LOOKUP(ROUNDUP(SUM($J$7:AL$7)*AL$7/Qtrs_Yr,0),Inputs!$F$35:$I$35,Inputs!$F$36:$I$36))/Thousand/Qtrs_Yr)+Inputs!$F$65*(IF(ROUNDUP(SUM($J$7:AL$7)*AL$7/Qtrs_Yr,0)=0,0,LOOKUP(ROUNDUP(SUM($J$7:AL$7)*AL$7/Qtrs_Yr,0),Inputs!$F$35:$I$35,Inputs!$F$36:$I$36))/Thousand/Qtrs_Yr)+Inputs!$F$66*(IF(ROUNDUP(SUM($J$7:AL$7)*AL$7/Qtrs_Yr,0)=0,0,LOOKUP(ROUNDUP(SUM($J$7:AL$7)*AL$7/Qtrs_Yr,0),Inputs!$F$35:$I$35,Inputs!$F$38:$I$38)*LOOKUP(ROUNDUP(SUM($J$7:AL$7)*AL$7/Qtrs_Yr,0),Inputs!$F$35:$I$35,Inputs!$F$36:$I$36))/Thousand/Qtrs_Yr))/Thousand+SUM(Inputs!$F$54:$F$61)*AL$7/Qtrs_Yr)*(1+LOOKUP(YEAR(AL$5),Inputs!$F$93:$I$93,Inputs!$F$94:$I$94)/Qtrs_Yr)^(COUNT($J$7:AL7))*(AL5-AK5-Inputs!$F$98)/(AL5-AK5)+((Inputs!$F$64*(IF(ROUNDUP(SUM($I$7:AK$7)*AK$7/Qtrs_Yr,0)=0,0,LOOKUP(ROUNDUP(SUM($I$7:AK$7)*AK$7/Qtrs_Yr,0),Inputs!$F$35:$I$35,Inputs!$F$36:$I$36))/Thousand/Qtrs_Yr+IF(ROUNDUP(SUM($I$7:AK$7)*AK$7/Qtrs_Yr,0)=0,0,LOOKUP(ROUNDUP(SUM($I$7:AK$7)*AK$7/Qtrs_Yr,0),Inputs!$F$35:$I$35,Inputs!$F$38:$I$38)*LOOKUP(ROUNDUP(SUM($I$7:AK$7)*AK$7/Qtrs_Yr,0),Inputs!$F$35:$I$35,Inputs!$F$36:$I$36))/Thousand/Qtrs_Yr)+Inputs!$F$65*(IF(ROUNDUP(SUM($I$7:AK$7)*AK$7/Qtrs_Yr,0)=0,0,LOOKUP(ROUNDUP(SUM($I$7:AK$7)*AK$7/Qtrs_Yr,0),Inputs!$F$35:$I$35,Inputs!$F$36:$I$36))/Thousand/Qtrs_Yr)+Inputs!$F$66*(IF(ROUNDUP(SUM($I$7:AK$7)*AK$7/Qtrs_Yr,0)=0,0,LOOKUP(ROUNDUP(SUM($I$7:AK$7)*AK$7/Qtrs_Yr,0),Inputs!$F$35:$I$35,Inputs!$F$38:$I$38)*LOOKUP(ROUNDUP(SUM($I$7:AK$7)*AK$7/Qtrs_Yr,0),Inputs!$F$35:$I$35,Inputs!$F$36:$I$36))/Thousand/Qtrs_Yr))/Thousand+SUM(Inputs!$F$54:$F$61)*AK$7/Qtrs_Yr)*(1+LOOKUP(YEAR(AL$5),Inputs!$F$93:$I$93,Inputs!$F$94:$I$94)/Qtrs_Yr)^(COUNT($I$7:AK7))*Inputs!$F$98/(AK5-AJ5))-(((IF(ROUNDUP(SUM($J$7:AL$7)*AL$7/Qtrs_Yr,0)=0,0,LOOKUP(ROUNDUP(SUM($J$7:AL$7)*AL$7/Qtrs_Yr,0),Inputs!$F$35:$I$35,Inputs!$F$36:$I$36))/Thousand/Qtrs_Yr)*IF(ROUNDUP(SUM($J$7:AL$7)*AL$7/Qtrs_Yr,0)=0,0,LOOKUP(ROUNDUP(SUM($J$7:AL$7)*AL$7/Qtrs_Yr,0),Inputs!$F$41:$I$41,Inputs!$F$42:$I$42))/Grams_Oz*Inputs!$F$45)*LOOKUP(YEAR(AL$5),Inputs!$F$49:$I$49,Inputs!$F$50:$I$50)/Thousand
/LOOKUP(YEAR(AL$5),Inputs!$F$89:$I$89,Inputs!$F$90:$I$90)-((Inputs!$F$64*(IF(ROUNDUP(SUM($J$7:AL$7)*AL$7/Qtrs_Yr,0)=0,0,LOOKUP(ROUNDUP(SUM($J$7:AL$7)*AL$7/Qtrs_Yr,0),Inputs!$F$35:$I$35,Inputs!$F$36:$I$36))/Thousand/Qtrs_Yr+IF(ROUNDUP(SUM($J$7:AL$7)*AL$7/Qtrs_Yr,0)=0,0,LOOKUP(ROUNDUP(SUM($J$7:AL$7)*AL$7/Qtrs_Yr,0),Inputs!$F$35:$I$35,Inputs!$F$38:$I$38)*LOOKUP(ROUNDUP(SUM($J$7:AL$7)*AL$7/Qtrs_Yr,0),Inputs!$F$35:$I$35,Inputs!$F$36:$I$36))/Thousand/Qtrs_Yr)+Inputs!$F$65*(IF(ROUNDUP(SUM($J$7:AL$7)*AL$7/Qtrs_Yr,0)=0,0,LOOKUP(ROUNDUP(SUM($J$7:AL$7)*AL$7/Qtrs_Yr,0),Inputs!$F$35:$I$35,Inputs!$F$36:$I$36))/Thousand/Qtrs_Yr)+Inputs!$F$66*(IF(ROUNDUP(SUM($J$7:AL$7)*AL$7/Qtrs_Yr,0)=0,0,LOOKUP(ROUNDUP(SUM($J$7:AL$7)*AL$7/Qtrs_Yr,0),Inputs!$F$35:$I$35,Inputs!$F$38:$I$38)*LOOKUP(ROUNDUP(SUM($J$7:AL$7)*AL$7/Qtrs_Yr,0),Inputs!$F$35:$I$35,Inputs!$F$36:$I$36))/Thousand/Qtrs_Yr))/Thousand+SUM(Inputs!$F$54:$F$61)*AL$7/Qtrs_Yr)*(1+LOOKUP(YEAR(AL$5),Inputs!$F$93:$I$93,Inputs!$F$94:$I$94)/Qtrs_Yr)^(COUNT($J$7:AL7))-Inputs!$E$29*(1+Inputs!$E$31)*AL$7/Inputs!$E$16/Qtrs_Yr-IF(OR(AL$7=0,SUM($J7:AL7)*AL7&gt;Inputs!$F$77*Qtrs_Yr),0,(Inputs!$F$71-SUM($J7:AL7,-1)*AL7*Inputs!$F$71/Inputs!$F$77/Qtrs_Yr)*(LOOKUP(YEAR(AM$5),Inputs!$F$85:$I$85,Inputs!$F$86:$I$86)+LOOKUP(ROUNDUP(SUM($J7:AM7)*AM7/Qtrs_Yr,0),Inputs!$G$73:$J$73,Inputs!$G$74:$J$74))/Qtrs_Yr))*Inputs!$F$101)/(IF(OR(AL$7=0,SUM($J7:AL7)*AL7&gt;Inputs!$F$77*Qtrs_Yr),0,(Inputs!$F$71-SUM($J7:AL7,-1)*AL7*Inputs!$F$71/Inputs!$F$77/Qtrs_Yr)*(LOOKUP(YEAR(AM$5),Inputs!$F$85:$I$85,Inputs!$F$86:$I$86)+LOOKUP(ROUNDUP(SUM($J7:AM7)*AM7/Qtrs_Yr,0),Inputs!$G$73:$J$73,Inputs!$G$74:$J$74))/Qtrs_Yr)+IF(OR(AL$7=0,SUM($J7:AL7)*AL7&gt;Inputs!$F$77*Qtrs_Yr),0,Inputs!$F$71/Inputs!$F$77/Qtrs_Yr)))</f>
        <v>0</v>
      </c>
      <c r="AM14" s="75">
        <f>IF((IF(OR(AM$7=0,SUM($J7:AM7)*AM7&gt;Inputs!$F$77*Qtrs_Yr),0,(Inputs!$F$71-SUM($J7:AM7,-1)*AM7*Inputs!$F$71/Inputs!$F$77/Qtrs_Yr)*(LOOKUP(YEAR(AN$5),Inputs!$F$85:$I$85,Inputs!$F$86:$I$86)+LOOKUP(ROUNDUP(SUM($J7:AN7)*AN7/Qtrs_Yr,0),Inputs!$G$73:$J$73,Inputs!$G$74:$J$74))/Qtrs_Yr)+IF(OR(AM$7=0,SUM($J7:AM7)*AM7&gt;Inputs!$F$77*Qtrs_Yr),0,Inputs!$F$71/Inputs!$F$77/Qtrs_Yr))=0,0,((((IF(ROUNDUP(SUM($J$7:AM$7)*AM$7/Qtrs_Yr,0)=0,0,LOOKUP(ROUNDUP(SUM($J$7:AM$7)*AM$7/Qtrs_Yr,0),Inputs!$F$35:$I$35,Inputs!$F$36:$I$36))/Thousand/Qtrs_Yr)*IF(ROUNDUP(SUM($J$7:AM$7)*AM$7/Qtrs_Yr,0)=0,0,LOOKUP(ROUNDUP(SUM($J$7:AM$7)*AM$7/Qtrs_Yr,0),Inputs!$F$41:$I$41,Inputs!$F$42:$I$42))/Grams_Oz*Inputs!$F$45)*LOOKUP(YEAR(AM$5),Inputs!$F$49:$I$49,Inputs!$F$50:$I$50)/Thousand/LOOKUP(YEAR(AM$5),Inputs!$F$89:$I$89,Inputs!$F$90:$I$90)*(AM5-AL5-Inputs!$F$97)/(AM5-AL5)+((IF(ROUNDUP(SUM($I$7:AL$7)*AL$7/Qtrs_Yr,0)=0,0,LOOKUP(ROUNDUP(SUM($I$7:AL$7)*AL$7/Qtrs_Yr,0),Inputs!$F$35:$I$35,Inputs!$F$36:$I$36))/Thousand/Qtrs_Yr)*IF(ROUNDUP(SUM($I$7:AL$7)*AL$7/Qtrs_Yr,0)=0,0,LOOKUP(ROUNDUP(SUM($I$7:AL$7)*AL$7/Qtrs_Yr,0),Inputs!$F$41:$I$41,Inputs!$F$42:$I$42))/Grams_Oz*Inputs!$F$45)*LOOKUP(YEAR(AL$5),Inputs!$F$49:$I$49,Inputs!$F$50:$I$50)/Thousand
/LOOKUP(YEAR(AL$5),Inputs!$F$89:$I$89,Inputs!$F$90:$I$90)*Inputs!$F$97/(AL5-AK5))-(((Inputs!$F$64*(IF(ROUNDUP(SUM($J$7:AM$7)*AM$7/Qtrs_Yr,0)=0,0,LOOKUP(ROUNDUP(SUM($J$7:AM$7)*AM$7/Qtrs_Yr,0),Inputs!$F$35:$I$35,Inputs!$F$36:$I$36))/Thousand/Qtrs_Yr+IF(ROUNDUP(SUM($J$7:AM$7)*AM$7/Qtrs_Yr,0)=0,0,LOOKUP(ROUNDUP(SUM($J$7:AM$7)*AM$7/Qtrs_Yr,0),Inputs!$F$35:$I$35,Inputs!$F$38:$I$38)*LOOKUP(ROUNDUP(SUM($J$7:AM$7)*AM$7/Qtrs_Yr,0),Inputs!$F$35:$I$35,Inputs!$F$36:$I$36))/Thousand/Qtrs_Yr)+Inputs!$F$65*(IF(ROUNDUP(SUM($J$7:AM$7)*AM$7/Qtrs_Yr,0)=0,0,LOOKUP(ROUNDUP(SUM($J$7:AM$7)*AM$7/Qtrs_Yr,0),Inputs!$F$35:$I$35,Inputs!$F$36:$I$36))/Thousand/Qtrs_Yr)+Inputs!$F$66*(IF(ROUNDUP(SUM($J$7:AM$7)*AM$7/Qtrs_Yr,0)=0,0,LOOKUP(ROUNDUP(SUM($J$7:AM$7)*AM$7/Qtrs_Yr,0),Inputs!$F$35:$I$35,Inputs!$F$38:$I$38)*LOOKUP(ROUNDUP(SUM($J$7:AM$7)*AM$7/Qtrs_Yr,0),Inputs!$F$35:$I$35,Inputs!$F$36:$I$36))/Thousand/Qtrs_Yr))/Thousand+SUM(Inputs!$F$54:$F$61)*AM$7/Qtrs_Yr)*(1+LOOKUP(YEAR(AM$5),Inputs!$F$93:$I$93,Inputs!$F$94:$I$94)/Qtrs_Yr)^(COUNT($J$7:AM7))*(AM5-AL5-Inputs!$F$98)/(AM5-AL5)+((Inputs!$F$64*(IF(ROUNDUP(SUM($I$7:AL$7)*AL$7/Qtrs_Yr,0)=0,0,LOOKUP(ROUNDUP(SUM($I$7:AL$7)*AL$7/Qtrs_Yr,0),Inputs!$F$35:$I$35,Inputs!$F$36:$I$36))/Thousand/Qtrs_Yr+IF(ROUNDUP(SUM($I$7:AL$7)*AL$7/Qtrs_Yr,0)=0,0,LOOKUP(ROUNDUP(SUM($I$7:AL$7)*AL$7/Qtrs_Yr,0),Inputs!$F$35:$I$35,Inputs!$F$38:$I$38)*LOOKUP(ROUNDUP(SUM($I$7:AL$7)*AL$7/Qtrs_Yr,0),Inputs!$F$35:$I$35,Inputs!$F$36:$I$36))/Thousand/Qtrs_Yr)+Inputs!$F$65*(IF(ROUNDUP(SUM($I$7:AL$7)*AL$7/Qtrs_Yr,0)=0,0,LOOKUP(ROUNDUP(SUM($I$7:AL$7)*AL$7/Qtrs_Yr,0),Inputs!$F$35:$I$35,Inputs!$F$36:$I$36))/Thousand/Qtrs_Yr)+Inputs!$F$66*(IF(ROUNDUP(SUM($I$7:AL$7)*AL$7/Qtrs_Yr,0)=0,0,LOOKUP(ROUNDUP(SUM($I$7:AL$7)*AL$7/Qtrs_Yr,0),Inputs!$F$35:$I$35,Inputs!$F$38:$I$38)*LOOKUP(ROUNDUP(SUM($I$7:AL$7)*AL$7/Qtrs_Yr,0),Inputs!$F$35:$I$35,Inputs!$F$36:$I$36))/Thousand/Qtrs_Yr))/Thousand+SUM(Inputs!$F$54:$F$61)*AL$7/Qtrs_Yr)*(1+LOOKUP(YEAR(AM$5),Inputs!$F$93:$I$93,Inputs!$F$94:$I$94)/Qtrs_Yr)^(COUNT($I$7:AL7))*Inputs!$F$98/(AL5-AK5))-(((IF(ROUNDUP(SUM($J$7:AM$7)*AM$7/Qtrs_Yr,0)=0,0,LOOKUP(ROUNDUP(SUM($J$7:AM$7)*AM$7/Qtrs_Yr,0),Inputs!$F$35:$I$35,Inputs!$F$36:$I$36))/Thousand/Qtrs_Yr)*IF(ROUNDUP(SUM($J$7:AM$7)*AM$7/Qtrs_Yr,0)=0,0,LOOKUP(ROUNDUP(SUM($J$7:AM$7)*AM$7/Qtrs_Yr,0),Inputs!$F$41:$I$41,Inputs!$F$42:$I$42))/Grams_Oz*Inputs!$F$45)*LOOKUP(YEAR(AM$5),Inputs!$F$49:$I$49,Inputs!$F$50:$I$50)/Thousand
/LOOKUP(YEAR(AM$5),Inputs!$F$89:$I$89,Inputs!$F$90:$I$90)-((Inputs!$F$64*(IF(ROUNDUP(SUM($J$7:AM$7)*AM$7/Qtrs_Yr,0)=0,0,LOOKUP(ROUNDUP(SUM($J$7:AM$7)*AM$7/Qtrs_Yr,0),Inputs!$F$35:$I$35,Inputs!$F$36:$I$36))/Thousand/Qtrs_Yr+IF(ROUNDUP(SUM($J$7:AM$7)*AM$7/Qtrs_Yr,0)=0,0,LOOKUP(ROUNDUP(SUM($J$7:AM$7)*AM$7/Qtrs_Yr,0),Inputs!$F$35:$I$35,Inputs!$F$38:$I$38)*LOOKUP(ROUNDUP(SUM($J$7:AM$7)*AM$7/Qtrs_Yr,0),Inputs!$F$35:$I$35,Inputs!$F$36:$I$36))/Thousand/Qtrs_Yr)+Inputs!$F$65*(IF(ROUNDUP(SUM($J$7:AM$7)*AM$7/Qtrs_Yr,0)=0,0,LOOKUP(ROUNDUP(SUM($J$7:AM$7)*AM$7/Qtrs_Yr,0),Inputs!$F$35:$I$35,Inputs!$F$36:$I$36))/Thousand/Qtrs_Yr)+Inputs!$F$66*(IF(ROUNDUP(SUM($J$7:AM$7)*AM$7/Qtrs_Yr,0)=0,0,LOOKUP(ROUNDUP(SUM($J$7:AM$7)*AM$7/Qtrs_Yr,0),Inputs!$F$35:$I$35,Inputs!$F$38:$I$38)*LOOKUP(ROUNDUP(SUM($J$7:AM$7)*AM$7/Qtrs_Yr,0),Inputs!$F$35:$I$35,Inputs!$F$36:$I$36))/Thousand/Qtrs_Yr))/Thousand+SUM(Inputs!$F$54:$F$61)*AM$7/Qtrs_Yr)*(1+LOOKUP(YEAR(AM$5),Inputs!$F$93:$I$93,Inputs!$F$94:$I$94)/Qtrs_Yr)^(COUNT($J$7:AM7))-Inputs!$E$29*(1+Inputs!$E$31)*AM$7/Inputs!$E$16/Qtrs_Yr-IF(OR(AM$7=0,SUM($J7:AM7)*AM7&gt;Inputs!$F$77*Qtrs_Yr),0,(Inputs!$F$71-SUM($J7:AM7,-1)*AM7*Inputs!$F$71/Inputs!$F$77/Qtrs_Yr)*(LOOKUP(YEAR(AN$5),Inputs!$F$85:$I$85,Inputs!$F$86:$I$86)+LOOKUP(ROUNDUP(SUM($J7:AN7)*AN7/Qtrs_Yr,0),Inputs!$G$73:$J$73,Inputs!$G$74:$J$74))/Qtrs_Yr))*Inputs!$F$101)/(IF(OR(AM$7=0,SUM($J7:AM7)*AM7&gt;Inputs!$F$77*Qtrs_Yr),0,(Inputs!$F$71-SUM($J7:AM7,-1)*AM7*Inputs!$F$71/Inputs!$F$77/Qtrs_Yr)*(LOOKUP(YEAR(AN$5),Inputs!$F$85:$I$85,Inputs!$F$86:$I$86)+LOOKUP(ROUNDUP(SUM($J7:AN7)*AN7/Qtrs_Yr,0),Inputs!$G$73:$J$73,Inputs!$G$74:$J$74))/Qtrs_Yr)+IF(OR(AM$7=0,SUM($J7:AM7)*AM7&gt;Inputs!$F$77*Qtrs_Yr),0,Inputs!$F$71/Inputs!$F$77/Qtrs_Yr)))</f>
        <v>0</v>
      </c>
      <c r="AN14" s="75">
        <f>IF((IF(OR(AN$7=0,SUM($J7:AN7)*AN7&gt;Inputs!$F$77*Qtrs_Yr),0,(Inputs!$F$71-SUM($J7:AN7,-1)*AN7*Inputs!$F$71/Inputs!$F$77/Qtrs_Yr)*(LOOKUP(YEAR(AO$5),Inputs!$F$85:$I$85,Inputs!$F$86:$I$86)+LOOKUP(ROUNDUP(SUM($J7:AO7)*AO7/Qtrs_Yr,0),Inputs!$G$73:$J$73,Inputs!$G$74:$J$74))/Qtrs_Yr)+IF(OR(AN$7=0,SUM($J7:AN7)*AN7&gt;Inputs!$F$77*Qtrs_Yr),0,Inputs!$F$71/Inputs!$F$77/Qtrs_Yr))=0,0,((((IF(ROUNDUP(SUM($J$7:AN$7)*AN$7/Qtrs_Yr,0)=0,0,LOOKUP(ROUNDUP(SUM($J$7:AN$7)*AN$7/Qtrs_Yr,0),Inputs!$F$35:$I$35,Inputs!$F$36:$I$36))/Thousand/Qtrs_Yr)*IF(ROUNDUP(SUM($J$7:AN$7)*AN$7/Qtrs_Yr,0)=0,0,LOOKUP(ROUNDUP(SUM($J$7:AN$7)*AN$7/Qtrs_Yr,0),Inputs!$F$41:$I$41,Inputs!$F$42:$I$42))/Grams_Oz*Inputs!$F$45)*LOOKUP(YEAR(AN$5),Inputs!$F$49:$I$49,Inputs!$F$50:$I$50)/Thousand/LOOKUP(YEAR(AN$5),Inputs!$F$89:$I$89,Inputs!$F$90:$I$90)*(AN5-AM5-Inputs!$F$97)/(AN5-AM5)+((IF(ROUNDUP(SUM($I$7:AM$7)*AM$7/Qtrs_Yr,0)=0,0,LOOKUP(ROUNDUP(SUM($I$7:AM$7)*AM$7/Qtrs_Yr,0),Inputs!$F$35:$I$35,Inputs!$F$36:$I$36))/Thousand/Qtrs_Yr)*IF(ROUNDUP(SUM($I$7:AM$7)*AM$7/Qtrs_Yr,0)=0,0,LOOKUP(ROUNDUP(SUM($I$7:AM$7)*AM$7/Qtrs_Yr,0),Inputs!$F$41:$I$41,Inputs!$F$42:$I$42))/Grams_Oz*Inputs!$F$45)*LOOKUP(YEAR(AM$5),Inputs!$F$49:$I$49,Inputs!$F$50:$I$50)/Thousand
/LOOKUP(YEAR(AM$5),Inputs!$F$89:$I$89,Inputs!$F$90:$I$90)*Inputs!$F$97/(AM5-AL5))-(((Inputs!$F$64*(IF(ROUNDUP(SUM($J$7:AN$7)*AN$7/Qtrs_Yr,0)=0,0,LOOKUP(ROUNDUP(SUM($J$7:AN$7)*AN$7/Qtrs_Yr,0),Inputs!$F$35:$I$35,Inputs!$F$36:$I$36))/Thousand/Qtrs_Yr+IF(ROUNDUP(SUM($J$7:AN$7)*AN$7/Qtrs_Yr,0)=0,0,LOOKUP(ROUNDUP(SUM($J$7:AN$7)*AN$7/Qtrs_Yr,0),Inputs!$F$35:$I$35,Inputs!$F$38:$I$38)*LOOKUP(ROUNDUP(SUM($J$7:AN$7)*AN$7/Qtrs_Yr,0),Inputs!$F$35:$I$35,Inputs!$F$36:$I$36))/Thousand/Qtrs_Yr)+Inputs!$F$65*(IF(ROUNDUP(SUM($J$7:AN$7)*AN$7/Qtrs_Yr,0)=0,0,LOOKUP(ROUNDUP(SUM($J$7:AN$7)*AN$7/Qtrs_Yr,0),Inputs!$F$35:$I$35,Inputs!$F$36:$I$36))/Thousand/Qtrs_Yr)+Inputs!$F$66*(IF(ROUNDUP(SUM($J$7:AN$7)*AN$7/Qtrs_Yr,0)=0,0,LOOKUP(ROUNDUP(SUM($J$7:AN$7)*AN$7/Qtrs_Yr,0),Inputs!$F$35:$I$35,Inputs!$F$38:$I$38)*LOOKUP(ROUNDUP(SUM($J$7:AN$7)*AN$7/Qtrs_Yr,0),Inputs!$F$35:$I$35,Inputs!$F$36:$I$36))/Thousand/Qtrs_Yr))/Thousand+SUM(Inputs!$F$54:$F$61)*AN$7/Qtrs_Yr)*(1+LOOKUP(YEAR(AN$5),Inputs!$F$93:$I$93,Inputs!$F$94:$I$94)/Qtrs_Yr)^(COUNT($J$7:AN7))*(AN5-AM5-Inputs!$F$98)/(AN5-AM5)+((Inputs!$F$64*(IF(ROUNDUP(SUM($I$7:AM$7)*AM$7/Qtrs_Yr,0)=0,0,LOOKUP(ROUNDUP(SUM($I$7:AM$7)*AM$7/Qtrs_Yr,0),Inputs!$F$35:$I$35,Inputs!$F$36:$I$36))/Thousand/Qtrs_Yr+IF(ROUNDUP(SUM($I$7:AM$7)*AM$7/Qtrs_Yr,0)=0,0,LOOKUP(ROUNDUP(SUM($I$7:AM$7)*AM$7/Qtrs_Yr,0),Inputs!$F$35:$I$35,Inputs!$F$38:$I$38)*LOOKUP(ROUNDUP(SUM($I$7:AM$7)*AM$7/Qtrs_Yr,0),Inputs!$F$35:$I$35,Inputs!$F$36:$I$36))/Thousand/Qtrs_Yr)+Inputs!$F$65*(IF(ROUNDUP(SUM($I$7:AM$7)*AM$7/Qtrs_Yr,0)=0,0,LOOKUP(ROUNDUP(SUM($I$7:AM$7)*AM$7/Qtrs_Yr,0),Inputs!$F$35:$I$35,Inputs!$F$36:$I$36))/Thousand/Qtrs_Yr)+Inputs!$F$66*(IF(ROUNDUP(SUM($I$7:AM$7)*AM$7/Qtrs_Yr,0)=0,0,LOOKUP(ROUNDUP(SUM($I$7:AM$7)*AM$7/Qtrs_Yr,0),Inputs!$F$35:$I$35,Inputs!$F$38:$I$38)*LOOKUP(ROUNDUP(SUM($I$7:AM$7)*AM$7/Qtrs_Yr,0),Inputs!$F$35:$I$35,Inputs!$F$36:$I$36))/Thousand/Qtrs_Yr))/Thousand+SUM(Inputs!$F$54:$F$61)*AM$7/Qtrs_Yr)*(1+LOOKUP(YEAR(AN$5),Inputs!$F$93:$I$93,Inputs!$F$94:$I$94)/Qtrs_Yr)^(COUNT($I$7:AM7))*Inputs!$F$98/(AM5-AL5))-(((IF(ROUNDUP(SUM($J$7:AN$7)*AN$7/Qtrs_Yr,0)=0,0,LOOKUP(ROUNDUP(SUM($J$7:AN$7)*AN$7/Qtrs_Yr,0),Inputs!$F$35:$I$35,Inputs!$F$36:$I$36))/Thousand/Qtrs_Yr)*IF(ROUNDUP(SUM($J$7:AN$7)*AN$7/Qtrs_Yr,0)=0,0,LOOKUP(ROUNDUP(SUM($J$7:AN$7)*AN$7/Qtrs_Yr,0),Inputs!$F$41:$I$41,Inputs!$F$42:$I$42))/Grams_Oz*Inputs!$F$45)*LOOKUP(YEAR(AN$5),Inputs!$F$49:$I$49,Inputs!$F$50:$I$50)/Thousand
/LOOKUP(YEAR(AN$5),Inputs!$F$89:$I$89,Inputs!$F$90:$I$90)-((Inputs!$F$64*(IF(ROUNDUP(SUM($J$7:AN$7)*AN$7/Qtrs_Yr,0)=0,0,LOOKUP(ROUNDUP(SUM($J$7:AN$7)*AN$7/Qtrs_Yr,0),Inputs!$F$35:$I$35,Inputs!$F$36:$I$36))/Thousand/Qtrs_Yr+IF(ROUNDUP(SUM($J$7:AN$7)*AN$7/Qtrs_Yr,0)=0,0,LOOKUP(ROUNDUP(SUM($J$7:AN$7)*AN$7/Qtrs_Yr,0),Inputs!$F$35:$I$35,Inputs!$F$38:$I$38)*LOOKUP(ROUNDUP(SUM($J$7:AN$7)*AN$7/Qtrs_Yr,0),Inputs!$F$35:$I$35,Inputs!$F$36:$I$36))/Thousand/Qtrs_Yr)+Inputs!$F$65*(IF(ROUNDUP(SUM($J$7:AN$7)*AN$7/Qtrs_Yr,0)=0,0,LOOKUP(ROUNDUP(SUM($J$7:AN$7)*AN$7/Qtrs_Yr,0),Inputs!$F$35:$I$35,Inputs!$F$36:$I$36))/Thousand/Qtrs_Yr)+Inputs!$F$66*(IF(ROUNDUP(SUM($J$7:AN$7)*AN$7/Qtrs_Yr,0)=0,0,LOOKUP(ROUNDUP(SUM($J$7:AN$7)*AN$7/Qtrs_Yr,0),Inputs!$F$35:$I$35,Inputs!$F$38:$I$38)*LOOKUP(ROUNDUP(SUM($J$7:AN$7)*AN$7/Qtrs_Yr,0),Inputs!$F$35:$I$35,Inputs!$F$36:$I$36))/Thousand/Qtrs_Yr))/Thousand+SUM(Inputs!$F$54:$F$61)*AN$7/Qtrs_Yr)*(1+LOOKUP(YEAR(AN$5),Inputs!$F$93:$I$93,Inputs!$F$94:$I$94)/Qtrs_Yr)^(COUNT($J$7:AN7))-Inputs!$E$29*(1+Inputs!$E$31)*AN$7/Inputs!$E$16/Qtrs_Yr-IF(OR(AN$7=0,SUM($J7:AN7)*AN7&gt;Inputs!$F$77*Qtrs_Yr),0,(Inputs!$F$71-SUM($J7:AN7,-1)*AN7*Inputs!$F$71/Inputs!$F$77/Qtrs_Yr)*(LOOKUP(YEAR(AO$5),Inputs!$F$85:$I$85,Inputs!$F$86:$I$86)+LOOKUP(ROUNDUP(SUM($J7:AO7)*AO7/Qtrs_Yr,0),Inputs!$G$73:$J$73,Inputs!$G$74:$J$74))/Qtrs_Yr))*Inputs!$F$101)/(IF(OR(AN$7=0,SUM($J7:AN7)*AN7&gt;Inputs!$F$77*Qtrs_Yr),0,(Inputs!$F$71-SUM($J7:AN7,-1)*AN7*Inputs!$F$71/Inputs!$F$77/Qtrs_Yr)*(LOOKUP(YEAR(AO$5),Inputs!$F$85:$I$85,Inputs!$F$86:$I$86)+LOOKUP(ROUNDUP(SUM($J7:AO7)*AO7/Qtrs_Yr,0),Inputs!$G$73:$J$73,Inputs!$G$74:$J$74))/Qtrs_Yr)+IF(OR(AN$7=0,SUM($J7:AN7)*AN7&gt;Inputs!$F$77*Qtrs_Yr),0,Inputs!$F$71/Inputs!$F$77/Qtrs_Yr)))</f>
        <v>0</v>
      </c>
      <c r="AO14" s="75">
        <f>IF((IF(OR(AO$7=0,SUM($J7:AO7)*AO7&gt;Inputs!$F$77*Qtrs_Yr),0,(Inputs!$F$71-SUM($J7:AO7,-1)*AO7*Inputs!$F$71/Inputs!$F$77/Qtrs_Yr)*(LOOKUP(YEAR(AP$5),Inputs!$F$85:$I$85,Inputs!$F$86:$I$86)+LOOKUP(ROUNDUP(SUM($J7:AP7)*AP7/Qtrs_Yr,0),Inputs!$G$73:$J$73,Inputs!$G$74:$J$74))/Qtrs_Yr)+IF(OR(AO$7=0,SUM($J7:AO7)*AO7&gt;Inputs!$F$77*Qtrs_Yr),0,Inputs!$F$71/Inputs!$F$77/Qtrs_Yr))=0,0,((((IF(ROUNDUP(SUM($J$7:AO$7)*AO$7/Qtrs_Yr,0)=0,0,LOOKUP(ROUNDUP(SUM($J$7:AO$7)*AO$7/Qtrs_Yr,0),Inputs!$F$35:$I$35,Inputs!$F$36:$I$36))/Thousand/Qtrs_Yr)*IF(ROUNDUP(SUM($J$7:AO$7)*AO$7/Qtrs_Yr,0)=0,0,LOOKUP(ROUNDUP(SUM($J$7:AO$7)*AO$7/Qtrs_Yr,0),Inputs!$F$41:$I$41,Inputs!$F$42:$I$42))/Grams_Oz*Inputs!$F$45)*LOOKUP(YEAR(AO$5),Inputs!$F$49:$I$49,Inputs!$F$50:$I$50)/Thousand/LOOKUP(YEAR(AO$5),Inputs!$F$89:$I$89,Inputs!$F$90:$I$90)*(AO5-AN5-Inputs!$F$97)/(AO5-AN5)+((IF(ROUNDUP(SUM($I$7:AN$7)*AN$7/Qtrs_Yr,0)=0,0,LOOKUP(ROUNDUP(SUM($I$7:AN$7)*AN$7/Qtrs_Yr,0),Inputs!$F$35:$I$35,Inputs!$F$36:$I$36))/Thousand/Qtrs_Yr)*IF(ROUNDUP(SUM($I$7:AN$7)*AN$7/Qtrs_Yr,0)=0,0,LOOKUP(ROUNDUP(SUM($I$7:AN$7)*AN$7/Qtrs_Yr,0),Inputs!$F$41:$I$41,Inputs!$F$42:$I$42))/Grams_Oz*Inputs!$F$45)*LOOKUP(YEAR(AN$5),Inputs!$F$49:$I$49,Inputs!$F$50:$I$50)/Thousand
/LOOKUP(YEAR(AN$5),Inputs!$F$89:$I$89,Inputs!$F$90:$I$90)*Inputs!$F$97/(AN5-AM5))-(((Inputs!$F$64*(IF(ROUNDUP(SUM($J$7:AO$7)*AO$7/Qtrs_Yr,0)=0,0,LOOKUP(ROUNDUP(SUM($J$7:AO$7)*AO$7/Qtrs_Yr,0),Inputs!$F$35:$I$35,Inputs!$F$36:$I$36))/Thousand/Qtrs_Yr+IF(ROUNDUP(SUM($J$7:AO$7)*AO$7/Qtrs_Yr,0)=0,0,LOOKUP(ROUNDUP(SUM($J$7:AO$7)*AO$7/Qtrs_Yr,0),Inputs!$F$35:$I$35,Inputs!$F$38:$I$38)*LOOKUP(ROUNDUP(SUM($J$7:AO$7)*AO$7/Qtrs_Yr,0),Inputs!$F$35:$I$35,Inputs!$F$36:$I$36))/Thousand/Qtrs_Yr)+Inputs!$F$65*(IF(ROUNDUP(SUM($J$7:AO$7)*AO$7/Qtrs_Yr,0)=0,0,LOOKUP(ROUNDUP(SUM($J$7:AO$7)*AO$7/Qtrs_Yr,0),Inputs!$F$35:$I$35,Inputs!$F$36:$I$36))/Thousand/Qtrs_Yr)+Inputs!$F$66*(IF(ROUNDUP(SUM($J$7:AO$7)*AO$7/Qtrs_Yr,0)=0,0,LOOKUP(ROUNDUP(SUM($J$7:AO$7)*AO$7/Qtrs_Yr,0),Inputs!$F$35:$I$35,Inputs!$F$38:$I$38)*LOOKUP(ROUNDUP(SUM($J$7:AO$7)*AO$7/Qtrs_Yr,0),Inputs!$F$35:$I$35,Inputs!$F$36:$I$36))/Thousand/Qtrs_Yr))/Thousand+SUM(Inputs!$F$54:$F$61)*AO$7/Qtrs_Yr)*(1+LOOKUP(YEAR(AO$5),Inputs!$F$93:$I$93,Inputs!$F$94:$I$94)/Qtrs_Yr)^(COUNT($J$7:AO7))*(AO5-AN5-Inputs!$F$98)/(AO5-AN5)+((Inputs!$F$64*(IF(ROUNDUP(SUM($I$7:AN$7)*AN$7/Qtrs_Yr,0)=0,0,LOOKUP(ROUNDUP(SUM($I$7:AN$7)*AN$7/Qtrs_Yr,0),Inputs!$F$35:$I$35,Inputs!$F$36:$I$36))/Thousand/Qtrs_Yr+IF(ROUNDUP(SUM($I$7:AN$7)*AN$7/Qtrs_Yr,0)=0,0,LOOKUP(ROUNDUP(SUM($I$7:AN$7)*AN$7/Qtrs_Yr,0),Inputs!$F$35:$I$35,Inputs!$F$38:$I$38)*LOOKUP(ROUNDUP(SUM($I$7:AN$7)*AN$7/Qtrs_Yr,0),Inputs!$F$35:$I$35,Inputs!$F$36:$I$36))/Thousand/Qtrs_Yr)+Inputs!$F$65*(IF(ROUNDUP(SUM($I$7:AN$7)*AN$7/Qtrs_Yr,0)=0,0,LOOKUP(ROUNDUP(SUM($I$7:AN$7)*AN$7/Qtrs_Yr,0),Inputs!$F$35:$I$35,Inputs!$F$36:$I$36))/Thousand/Qtrs_Yr)+Inputs!$F$66*(IF(ROUNDUP(SUM($I$7:AN$7)*AN$7/Qtrs_Yr,0)=0,0,LOOKUP(ROUNDUP(SUM($I$7:AN$7)*AN$7/Qtrs_Yr,0),Inputs!$F$35:$I$35,Inputs!$F$38:$I$38)*LOOKUP(ROUNDUP(SUM($I$7:AN$7)*AN$7/Qtrs_Yr,0),Inputs!$F$35:$I$35,Inputs!$F$36:$I$36))/Thousand/Qtrs_Yr))/Thousand+SUM(Inputs!$F$54:$F$61)*AN$7/Qtrs_Yr)*(1+LOOKUP(YEAR(AO$5),Inputs!$F$93:$I$93,Inputs!$F$94:$I$94)/Qtrs_Yr)^(COUNT($I$7:AN7))*Inputs!$F$98/(AN5-AM5))-(((IF(ROUNDUP(SUM($J$7:AO$7)*AO$7/Qtrs_Yr,0)=0,0,LOOKUP(ROUNDUP(SUM($J$7:AO$7)*AO$7/Qtrs_Yr,0),Inputs!$F$35:$I$35,Inputs!$F$36:$I$36))/Thousand/Qtrs_Yr)*IF(ROUNDUP(SUM($J$7:AO$7)*AO$7/Qtrs_Yr,0)=0,0,LOOKUP(ROUNDUP(SUM($J$7:AO$7)*AO$7/Qtrs_Yr,0),Inputs!$F$41:$I$41,Inputs!$F$42:$I$42))/Grams_Oz*Inputs!$F$45)*LOOKUP(YEAR(AO$5),Inputs!$F$49:$I$49,Inputs!$F$50:$I$50)/Thousand
/LOOKUP(YEAR(AO$5),Inputs!$F$89:$I$89,Inputs!$F$90:$I$90)-((Inputs!$F$64*(IF(ROUNDUP(SUM($J$7:AO$7)*AO$7/Qtrs_Yr,0)=0,0,LOOKUP(ROUNDUP(SUM($J$7:AO$7)*AO$7/Qtrs_Yr,0),Inputs!$F$35:$I$35,Inputs!$F$36:$I$36))/Thousand/Qtrs_Yr+IF(ROUNDUP(SUM($J$7:AO$7)*AO$7/Qtrs_Yr,0)=0,0,LOOKUP(ROUNDUP(SUM($J$7:AO$7)*AO$7/Qtrs_Yr,0),Inputs!$F$35:$I$35,Inputs!$F$38:$I$38)*LOOKUP(ROUNDUP(SUM($J$7:AO$7)*AO$7/Qtrs_Yr,0),Inputs!$F$35:$I$35,Inputs!$F$36:$I$36))/Thousand/Qtrs_Yr)+Inputs!$F$65*(IF(ROUNDUP(SUM($J$7:AO$7)*AO$7/Qtrs_Yr,0)=0,0,LOOKUP(ROUNDUP(SUM($J$7:AO$7)*AO$7/Qtrs_Yr,0),Inputs!$F$35:$I$35,Inputs!$F$36:$I$36))/Thousand/Qtrs_Yr)+Inputs!$F$66*(IF(ROUNDUP(SUM($J$7:AO$7)*AO$7/Qtrs_Yr,0)=0,0,LOOKUP(ROUNDUP(SUM($J$7:AO$7)*AO$7/Qtrs_Yr,0),Inputs!$F$35:$I$35,Inputs!$F$38:$I$38)*LOOKUP(ROUNDUP(SUM($J$7:AO$7)*AO$7/Qtrs_Yr,0),Inputs!$F$35:$I$35,Inputs!$F$36:$I$36))/Thousand/Qtrs_Yr))/Thousand+SUM(Inputs!$F$54:$F$61)*AO$7/Qtrs_Yr)*(1+LOOKUP(YEAR(AO$5),Inputs!$F$93:$I$93,Inputs!$F$94:$I$94)/Qtrs_Yr)^(COUNT($J$7:AO7))-Inputs!$E$29*(1+Inputs!$E$31)*AO$7/Inputs!$E$16/Qtrs_Yr-IF(OR(AO$7=0,SUM($J7:AO7)*AO7&gt;Inputs!$F$77*Qtrs_Yr),0,(Inputs!$F$71-SUM($J7:AO7,-1)*AO7*Inputs!$F$71/Inputs!$F$77/Qtrs_Yr)*(LOOKUP(YEAR(AP$5),Inputs!$F$85:$I$85,Inputs!$F$86:$I$86)+LOOKUP(ROUNDUP(SUM($J7:AP7)*AP7/Qtrs_Yr,0),Inputs!$G$73:$J$73,Inputs!$G$74:$J$74))/Qtrs_Yr))*Inputs!$F$101)/(IF(OR(AO$7=0,SUM($J7:AO7)*AO7&gt;Inputs!$F$77*Qtrs_Yr),0,(Inputs!$F$71-SUM($J7:AO7,-1)*AO7*Inputs!$F$71/Inputs!$F$77/Qtrs_Yr)*(LOOKUP(YEAR(AP$5),Inputs!$F$85:$I$85,Inputs!$F$86:$I$86)+LOOKUP(ROUNDUP(SUM($J7:AP7)*AP7/Qtrs_Yr,0),Inputs!$G$73:$J$73,Inputs!$G$74:$J$74))/Qtrs_Yr)+IF(OR(AO$7=0,SUM($J7:AO7)*AO7&gt;Inputs!$F$77*Qtrs_Yr),0,Inputs!$F$71/Inputs!$F$77/Qtrs_Yr)))</f>
        <v>0</v>
      </c>
      <c r="AP14" s="75">
        <f>IF((IF(OR(AP$7=0,SUM($J7:AP7)*AP7&gt;Inputs!$F$77*Qtrs_Yr),0,(Inputs!$F$71-SUM($J7:AP7,-1)*AP7*Inputs!$F$71/Inputs!$F$77/Qtrs_Yr)*(LOOKUP(YEAR(AQ$5),Inputs!$F$85:$I$85,Inputs!$F$86:$I$86)+LOOKUP(ROUNDUP(SUM($J7:AQ7)*AQ7/Qtrs_Yr,0),Inputs!$G$73:$J$73,Inputs!$G$74:$J$74))/Qtrs_Yr)+IF(OR(AP$7=0,SUM($J7:AP7)*AP7&gt;Inputs!$F$77*Qtrs_Yr),0,Inputs!$F$71/Inputs!$F$77/Qtrs_Yr))=0,0,((((IF(ROUNDUP(SUM($J$7:AP$7)*AP$7/Qtrs_Yr,0)=0,0,LOOKUP(ROUNDUP(SUM($J$7:AP$7)*AP$7/Qtrs_Yr,0),Inputs!$F$35:$I$35,Inputs!$F$36:$I$36))/Thousand/Qtrs_Yr)*IF(ROUNDUP(SUM($J$7:AP$7)*AP$7/Qtrs_Yr,0)=0,0,LOOKUP(ROUNDUP(SUM($J$7:AP$7)*AP$7/Qtrs_Yr,0),Inputs!$F$41:$I$41,Inputs!$F$42:$I$42))/Grams_Oz*Inputs!$F$45)*LOOKUP(YEAR(AP$5),Inputs!$F$49:$I$49,Inputs!$F$50:$I$50)/Thousand/LOOKUP(YEAR(AP$5),Inputs!$F$89:$I$89,Inputs!$F$90:$I$90)*(AP5-AO5-Inputs!$F$97)/(AP5-AO5)+((IF(ROUNDUP(SUM($I$7:AO$7)*AO$7/Qtrs_Yr,0)=0,0,LOOKUP(ROUNDUP(SUM($I$7:AO$7)*AO$7/Qtrs_Yr,0),Inputs!$F$35:$I$35,Inputs!$F$36:$I$36))/Thousand/Qtrs_Yr)*IF(ROUNDUP(SUM($I$7:AO$7)*AO$7/Qtrs_Yr,0)=0,0,LOOKUP(ROUNDUP(SUM($I$7:AO$7)*AO$7/Qtrs_Yr,0),Inputs!$F$41:$I$41,Inputs!$F$42:$I$42))/Grams_Oz*Inputs!$F$45)*LOOKUP(YEAR(AO$5),Inputs!$F$49:$I$49,Inputs!$F$50:$I$50)/Thousand
/LOOKUP(YEAR(AO$5),Inputs!$F$89:$I$89,Inputs!$F$90:$I$90)*Inputs!$F$97/(AO5-AN5))-(((Inputs!$F$64*(IF(ROUNDUP(SUM($J$7:AP$7)*AP$7/Qtrs_Yr,0)=0,0,LOOKUP(ROUNDUP(SUM($J$7:AP$7)*AP$7/Qtrs_Yr,0),Inputs!$F$35:$I$35,Inputs!$F$36:$I$36))/Thousand/Qtrs_Yr+IF(ROUNDUP(SUM($J$7:AP$7)*AP$7/Qtrs_Yr,0)=0,0,LOOKUP(ROUNDUP(SUM($J$7:AP$7)*AP$7/Qtrs_Yr,0),Inputs!$F$35:$I$35,Inputs!$F$38:$I$38)*LOOKUP(ROUNDUP(SUM($J$7:AP$7)*AP$7/Qtrs_Yr,0),Inputs!$F$35:$I$35,Inputs!$F$36:$I$36))/Thousand/Qtrs_Yr)+Inputs!$F$65*(IF(ROUNDUP(SUM($J$7:AP$7)*AP$7/Qtrs_Yr,0)=0,0,LOOKUP(ROUNDUP(SUM($J$7:AP$7)*AP$7/Qtrs_Yr,0),Inputs!$F$35:$I$35,Inputs!$F$36:$I$36))/Thousand/Qtrs_Yr)+Inputs!$F$66*(IF(ROUNDUP(SUM($J$7:AP$7)*AP$7/Qtrs_Yr,0)=0,0,LOOKUP(ROUNDUP(SUM($J$7:AP$7)*AP$7/Qtrs_Yr,0),Inputs!$F$35:$I$35,Inputs!$F$38:$I$38)*LOOKUP(ROUNDUP(SUM($J$7:AP$7)*AP$7/Qtrs_Yr,0),Inputs!$F$35:$I$35,Inputs!$F$36:$I$36))/Thousand/Qtrs_Yr))/Thousand+SUM(Inputs!$F$54:$F$61)*AP$7/Qtrs_Yr)*(1+LOOKUP(YEAR(AP$5),Inputs!$F$93:$I$93,Inputs!$F$94:$I$94)/Qtrs_Yr)^(COUNT($J$7:AP7))*(AP5-AO5-Inputs!$F$98)/(AP5-AO5)+((Inputs!$F$64*(IF(ROUNDUP(SUM($I$7:AO$7)*AO$7/Qtrs_Yr,0)=0,0,LOOKUP(ROUNDUP(SUM($I$7:AO$7)*AO$7/Qtrs_Yr,0),Inputs!$F$35:$I$35,Inputs!$F$36:$I$36))/Thousand/Qtrs_Yr+IF(ROUNDUP(SUM($I$7:AO$7)*AO$7/Qtrs_Yr,0)=0,0,LOOKUP(ROUNDUP(SUM($I$7:AO$7)*AO$7/Qtrs_Yr,0),Inputs!$F$35:$I$35,Inputs!$F$38:$I$38)*LOOKUP(ROUNDUP(SUM($I$7:AO$7)*AO$7/Qtrs_Yr,0),Inputs!$F$35:$I$35,Inputs!$F$36:$I$36))/Thousand/Qtrs_Yr)+Inputs!$F$65*(IF(ROUNDUP(SUM($I$7:AO$7)*AO$7/Qtrs_Yr,0)=0,0,LOOKUP(ROUNDUP(SUM($I$7:AO$7)*AO$7/Qtrs_Yr,0),Inputs!$F$35:$I$35,Inputs!$F$36:$I$36))/Thousand/Qtrs_Yr)+Inputs!$F$66*(IF(ROUNDUP(SUM($I$7:AO$7)*AO$7/Qtrs_Yr,0)=0,0,LOOKUP(ROUNDUP(SUM($I$7:AO$7)*AO$7/Qtrs_Yr,0),Inputs!$F$35:$I$35,Inputs!$F$38:$I$38)*LOOKUP(ROUNDUP(SUM($I$7:AO$7)*AO$7/Qtrs_Yr,0),Inputs!$F$35:$I$35,Inputs!$F$36:$I$36))/Thousand/Qtrs_Yr))/Thousand+SUM(Inputs!$F$54:$F$61)*AO$7/Qtrs_Yr)*(1+LOOKUP(YEAR(AP$5),Inputs!$F$93:$I$93,Inputs!$F$94:$I$94)/Qtrs_Yr)^(COUNT($I$7:AO7))*Inputs!$F$98/(AO5-AN5))-(((IF(ROUNDUP(SUM($J$7:AP$7)*AP$7/Qtrs_Yr,0)=0,0,LOOKUP(ROUNDUP(SUM($J$7:AP$7)*AP$7/Qtrs_Yr,0),Inputs!$F$35:$I$35,Inputs!$F$36:$I$36))/Thousand/Qtrs_Yr)*IF(ROUNDUP(SUM($J$7:AP$7)*AP$7/Qtrs_Yr,0)=0,0,LOOKUP(ROUNDUP(SUM($J$7:AP$7)*AP$7/Qtrs_Yr,0),Inputs!$F$41:$I$41,Inputs!$F$42:$I$42))/Grams_Oz*Inputs!$F$45)*LOOKUP(YEAR(AP$5),Inputs!$F$49:$I$49,Inputs!$F$50:$I$50)/Thousand
/LOOKUP(YEAR(AP$5),Inputs!$F$89:$I$89,Inputs!$F$90:$I$90)-((Inputs!$F$64*(IF(ROUNDUP(SUM($J$7:AP$7)*AP$7/Qtrs_Yr,0)=0,0,LOOKUP(ROUNDUP(SUM($J$7:AP$7)*AP$7/Qtrs_Yr,0),Inputs!$F$35:$I$35,Inputs!$F$36:$I$36))/Thousand/Qtrs_Yr+IF(ROUNDUP(SUM($J$7:AP$7)*AP$7/Qtrs_Yr,0)=0,0,LOOKUP(ROUNDUP(SUM($J$7:AP$7)*AP$7/Qtrs_Yr,0),Inputs!$F$35:$I$35,Inputs!$F$38:$I$38)*LOOKUP(ROUNDUP(SUM($J$7:AP$7)*AP$7/Qtrs_Yr,0),Inputs!$F$35:$I$35,Inputs!$F$36:$I$36))/Thousand/Qtrs_Yr)+Inputs!$F$65*(IF(ROUNDUP(SUM($J$7:AP$7)*AP$7/Qtrs_Yr,0)=0,0,LOOKUP(ROUNDUP(SUM($J$7:AP$7)*AP$7/Qtrs_Yr,0),Inputs!$F$35:$I$35,Inputs!$F$36:$I$36))/Thousand/Qtrs_Yr)+Inputs!$F$66*(IF(ROUNDUP(SUM($J$7:AP$7)*AP$7/Qtrs_Yr,0)=0,0,LOOKUP(ROUNDUP(SUM($J$7:AP$7)*AP$7/Qtrs_Yr,0),Inputs!$F$35:$I$35,Inputs!$F$38:$I$38)*LOOKUP(ROUNDUP(SUM($J$7:AP$7)*AP$7/Qtrs_Yr,0),Inputs!$F$35:$I$35,Inputs!$F$36:$I$36))/Thousand/Qtrs_Yr))/Thousand+SUM(Inputs!$F$54:$F$61)*AP$7/Qtrs_Yr)*(1+LOOKUP(YEAR(AP$5),Inputs!$F$93:$I$93,Inputs!$F$94:$I$94)/Qtrs_Yr)^(COUNT($J$7:AP7))-Inputs!$E$29*(1+Inputs!$E$31)*AP$7/Inputs!$E$16/Qtrs_Yr-IF(OR(AP$7=0,SUM($J7:AP7)*AP7&gt;Inputs!$F$77*Qtrs_Yr),0,(Inputs!$F$71-SUM($J7:AP7,-1)*AP7*Inputs!$F$71/Inputs!$F$77/Qtrs_Yr)*(LOOKUP(YEAR(AQ$5),Inputs!$F$85:$I$85,Inputs!$F$86:$I$86)+LOOKUP(ROUNDUP(SUM($J7:AQ7)*AQ7/Qtrs_Yr,0),Inputs!$G$73:$J$73,Inputs!$G$74:$J$74))/Qtrs_Yr))*Inputs!$F$101)/(IF(OR(AP$7=0,SUM($J7:AP7)*AP7&gt;Inputs!$F$77*Qtrs_Yr),0,(Inputs!$F$71-SUM($J7:AP7,-1)*AP7*Inputs!$F$71/Inputs!$F$77/Qtrs_Yr)*(LOOKUP(YEAR(AQ$5),Inputs!$F$85:$I$85,Inputs!$F$86:$I$86)+LOOKUP(ROUNDUP(SUM($J7:AQ7)*AQ7/Qtrs_Yr,0),Inputs!$G$73:$J$73,Inputs!$G$74:$J$74))/Qtrs_Yr)+IF(OR(AP$7=0,SUM($J7:AP7)*AP7&gt;Inputs!$F$77*Qtrs_Yr),0,Inputs!$F$71/Inputs!$F$77/Qtrs_Yr)))</f>
        <v>0</v>
      </c>
      <c r="AQ14" s="75">
        <f>IF((IF(OR(AQ$7=0,SUM($J7:AQ7)*AQ7&gt;Inputs!$F$77*Qtrs_Yr),0,(Inputs!$F$71-SUM($J7:AQ7,-1)*AQ7*Inputs!$F$71/Inputs!$F$77/Qtrs_Yr)*(LOOKUP(YEAR(AR$5),Inputs!$F$85:$I$85,Inputs!$F$86:$I$86)+LOOKUP(ROUNDUP(SUM($J7:AR7)*AR7/Qtrs_Yr,0),Inputs!$G$73:$J$73,Inputs!$G$74:$J$74))/Qtrs_Yr)+IF(OR(AQ$7=0,SUM($J7:AQ7)*AQ7&gt;Inputs!$F$77*Qtrs_Yr),0,Inputs!$F$71/Inputs!$F$77/Qtrs_Yr))=0,0,((((IF(ROUNDUP(SUM($J$7:AQ$7)*AQ$7/Qtrs_Yr,0)=0,0,LOOKUP(ROUNDUP(SUM($J$7:AQ$7)*AQ$7/Qtrs_Yr,0),Inputs!$F$35:$I$35,Inputs!$F$36:$I$36))/Thousand/Qtrs_Yr)*IF(ROUNDUP(SUM($J$7:AQ$7)*AQ$7/Qtrs_Yr,0)=0,0,LOOKUP(ROUNDUP(SUM($J$7:AQ$7)*AQ$7/Qtrs_Yr,0),Inputs!$F$41:$I$41,Inputs!$F$42:$I$42))/Grams_Oz*Inputs!$F$45)*LOOKUP(YEAR(AQ$5),Inputs!$F$49:$I$49,Inputs!$F$50:$I$50)/Thousand/LOOKUP(YEAR(AQ$5),Inputs!$F$89:$I$89,Inputs!$F$90:$I$90)*(AQ5-AP5-Inputs!$F$97)/(AQ5-AP5)+((IF(ROUNDUP(SUM($I$7:AP$7)*AP$7/Qtrs_Yr,0)=0,0,LOOKUP(ROUNDUP(SUM($I$7:AP$7)*AP$7/Qtrs_Yr,0),Inputs!$F$35:$I$35,Inputs!$F$36:$I$36))/Thousand/Qtrs_Yr)*IF(ROUNDUP(SUM($I$7:AP$7)*AP$7/Qtrs_Yr,0)=0,0,LOOKUP(ROUNDUP(SUM($I$7:AP$7)*AP$7/Qtrs_Yr,0),Inputs!$F$41:$I$41,Inputs!$F$42:$I$42))/Grams_Oz*Inputs!$F$45)*LOOKUP(YEAR(AP$5),Inputs!$F$49:$I$49,Inputs!$F$50:$I$50)/Thousand
/LOOKUP(YEAR(AP$5),Inputs!$F$89:$I$89,Inputs!$F$90:$I$90)*Inputs!$F$97/(AP5-AO5))-(((Inputs!$F$64*(IF(ROUNDUP(SUM($J$7:AQ$7)*AQ$7/Qtrs_Yr,0)=0,0,LOOKUP(ROUNDUP(SUM($J$7:AQ$7)*AQ$7/Qtrs_Yr,0),Inputs!$F$35:$I$35,Inputs!$F$36:$I$36))/Thousand/Qtrs_Yr+IF(ROUNDUP(SUM($J$7:AQ$7)*AQ$7/Qtrs_Yr,0)=0,0,LOOKUP(ROUNDUP(SUM($J$7:AQ$7)*AQ$7/Qtrs_Yr,0),Inputs!$F$35:$I$35,Inputs!$F$38:$I$38)*LOOKUP(ROUNDUP(SUM($J$7:AQ$7)*AQ$7/Qtrs_Yr,0),Inputs!$F$35:$I$35,Inputs!$F$36:$I$36))/Thousand/Qtrs_Yr)+Inputs!$F$65*(IF(ROUNDUP(SUM($J$7:AQ$7)*AQ$7/Qtrs_Yr,0)=0,0,LOOKUP(ROUNDUP(SUM($J$7:AQ$7)*AQ$7/Qtrs_Yr,0),Inputs!$F$35:$I$35,Inputs!$F$36:$I$36))/Thousand/Qtrs_Yr)+Inputs!$F$66*(IF(ROUNDUP(SUM($J$7:AQ$7)*AQ$7/Qtrs_Yr,0)=0,0,LOOKUP(ROUNDUP(SUM($J$7:AQ$7)*AQ$7/Qtrs_Yr,0),Inputs!$F$35:$I$35,Inputs!$F$38:$I$38)*LOOKUP(ROUNDUP(SUM($J$7:AQ$7)*AQ$7/Qtrs_Yr,0),Inputs!$F$35:$I$35,Inputs!$F$36:$I$36))/Thousand/Qtrs_Yr))/Thousand+SUM(Inputs!$F$54:$F$61)*AQ$7/Qtrs_Yr)*(1+LOOKUP(YEAR(AQ$5),Inputs!$F$93:$I$93,Inputs!$F$94:$I$94)/Qtrs_Yr)^(COUNT($J$7:AQ7))*(AQ5-AP5-Inputs!$F$98)/(AQ5-AP5)+((Inputs!$F$64*(IF(ROUNDUP(SUM($I$7:AP$7)*AP$7/Qtrs_Yr,0)=0,0,LOOKUP(ROUNDUP(SUM($I$7:AP$7)*AP$7/Qtrs_Yr,0),Inputs!$F$35:$I$35,Inputs!$F$36:$I$36))/Thousand/Qtrs_Yr+IF(ROUNDUP(SUM($I$7:AP$7)*AP$7/Qtrs_Yr,0)=0,0,LOOKUP(ROUNDUP(SUM($I$7:AP$7)*AP$7/Qtrs_Yr,0),Inputs!$F$35:$I$35,Inputs!$F$38:$I$38)*LOOKUP(ROUNDUP(SUM($I$7:AP$7)*AP$7/Qtrs_Yr,0),Inputs!$F$35:$I$35,Inputs!$F$36:$I$36))/Thousand/Qtrs_Yr)+Inputs!$F$65*(IF(ROUNDUP(SUM($I$7:AP$7)*AP$7/Qtrs_Yr,0)=0,0,LOOKUP(ROUNDUP(SUM($I$7:AP$7)*AP$7/Qtrs_Yr,0),Inputs!$F$35:$I$35,Inputs!$F$36:$I$36))/Thousand/Qtrs_Yr)+Inputs!$F$66*(IF(ROUNDUP(SUM($I$7:AP$7)*AP$7/Qtrs_Yr,0)=0,0,LOOKUP(ROUNDUP(SUM($I$7:AP$7)*AP$7/Qtrs_Yr,0),Inputs!$F$35:$I$35,Inputs!$F$38:$I$38)*LOOKUP(ROUNDUP(SUM($I$7:AP$7)*AP$7/Qtrs_Yr,0),Inputs!$F$35:$I$35,Inputs!$F$36:$I$36))/Thousand/Qtrs_Yr))/Thousand+SUM(Inputs!$F$54:$F$61)*AP$7/Qtrs_Yr)*(1+LOOKUP(YEAR(AQ$5),Inputs!$F$93:$I$93,Inputs!$F$94:$I$94)/Qtrs_Yr)^(COUNT($I$7:AP7))*Inputs!$F$98/(AP5-AO5))-(((IF(ROUNDUP(SUM($J$7:AQ$7)*AQ$7/Qtrs_Yr,0)=0,0,LOOKUP(ROUNDUP(SUM($J$7:AQ$7)*AQ$7/Qtrs_Yr,0),Inputs!$F$35:$I$35,Inputs!$F$36:$I$36))/Thousand/Qtrs_Yr)*IF(ROUNDUP(SUM($J$7:AQ$7)*AQ$7/Qtrs_Yr,0)=0,0,LOOKUP(ROUNDUP(SUM($J$7:AQ$7)*AQ$7/Qtrs_Yr,0),Inputs!$F$41:$I$41,Inputs!$F$42:$I$42))/Grams_Oz*Inputs!$F$45)*LOOKUP(YEAR(AQ$5),Inputs!$F$49:$I$49,Inputs!$F$50:$I$50)/Thousand
/LOOKUP(YEAR(AQ$5),Inputs!$F$89:$I$89,Inputs!$F$90:$I$90)-((Inputs!$F$64*(IF(ROUNDUP(SUM($J$7:AQ$7)*AQ$7/Qtrs_Yr,0)=0,0,LOOKUP(ROUNDUP(SUM($J$7:AQ$7)*AQ$7/Qtrs_Yr,0),Inputs!$F$35:$I$35,Inputs!$F$36:$I$36))/Thousand/Qtrs_Yr+IF(ROUNDUP(SUM($J$7:AQ$7)*AQ$7/Qtrs_Yr,0)=0,0,LOOKUP(ROUNDUP(SUM($J$7:AQ$7)*AQ$7/Qtrs_Yr,0),Inputs!$F$35:$I$35,Inputs!$F$38:$I$38)*LOOKUP(ROUNDUP(SUM($J$7:AQ$7)*AQ$7/Qtrs_Yr,0),Inputs!$F$35:$I$35,Inputs!$F$36:$I$36))/Thousand/Qtrs_Yr)+Inputs!$F$65*(IF(ROUNDUP(SUM($J$7:AQ$7)*AQ$7/Qtrs_Yr,0)=0,0,LOOKUP(ROUNDUP(SUM($J$7:AQ$7)*AQ$7/Qtrs_Yr,0),Inputs!$F$35:$I$35,Inputs!$F$36:$I$36))/Thousand/Qtrs_Yr)+Inputs!$F$66*(IF(ROUNDUP(SUM($J$7:AQ$7)*AQ$7/Qtrs_Yr,0)=0,0,LOOKUP(ROUNDUP(SUM($J$7:AQ$7)*AQ$7/Qtrs_Yr,0),Inputs!$F$35:$I$35,Inputs!$F$38:$I$38)*LOOKUP(ROUNDUP(SUM($J$7:AQ$7)*AQ$7/Qtrs_Yr,0),Inputs!$F$35:$I$35,Inputs!$F$36:$I$36))/Thousand/Qtrs_Yr))/Thousand+SUM(Inputs!$F$54:$F$61)*AQ$7/Qtrs_Yr)*(1+LOOKUP(YEAR(AQ$5),Inputs!$F$93:$I$93,Inputs!$F$94:$I$94)/Qtrs_Yr)^(COUNT($J$7:AQ7))-Inputs!$E$29*(1+Inputs!$E$31)*AQ$7/Inputs!$E$16/Qtrs_Yr-IF(OR(AQ$7=0,SUM($J7:AQ7)*AQ7&gt;Inputs!$F$77*Qtrs_Yr),0,(Inputs!$F$71-SUM($J7:AQ7,-1)*AQ7*Inputs!$F$71/Inputs!$F$77/Qtrs_Yr)*(LOOKUP(YEAR(AR$5),Inputs!$F$85:$I$85,Inputs!$F$86:$I$86)+LOOKUP(ROUNDUP(SUM($J7:AR7)*AR7/Qtrs_Yr,0),Inputs!$G$73:$J$73,Inputs!$G$74:$J$74))/Qtrs_Yr))*Inputs!$F$101)/(IF(OR(AQ$7=0,SUM($J7:AQ7)*AQ7&gt;Inputs!$F$77*Qtrs_Yr),0,(Inputs!$F$71-SUM($J7:AQ7,-1)*AQ7*Inputs!$F$71/Inputs!$F$77/Qtrs_Yr)*(LOOKUP(YEAR(AR$5),Inputs!$F$85:$I$85,Inputs!$F$86:$I$86)+LOOKUP(ROUNDUP(SUM($J7:AR7)*AR7/Qtrs_Yr,0),Inputs!$G$73:$J$73,Inputs!$G$74:$J$74))/Qtrs_Yr)+IF(OR(AQ$7=0,SUM($J7:AQ7)*AQ7&gt;Inputs!$F$77*Qtrs_Yr),0,Inputs!$F$71/Inputs!$F$77/Qtrs_Yr)))</f>
        <v>0</v>
      </c>
      <c r="AR14" s="75">
        <f>IF((IF(OR(AR$7=0,SUM($J7:AR7)*AR7&gt;Inputs!$F$77*Qtrs_Yr),0,(Inputs!$F$71-SUM($J7:AR7,-1)*AR7*Inputs!$F$71/Inputs!$F$77/Qtrs_Yr)*(LOOKUP(YEAR(AS$5),Inputs!$F$85:$I$85,Inputs!$F$86:$I$86)+LOOKUP(ROUNDUP(SUM($J7:AS7)*AS7/Qtrs_Yr,0),Inputs!$G$73:$J$73,Inputs!$G$74:$J$74))/Qtrs_Yr)+IF(OR(AR$7=0,SUM($J7:AR7)*AR7&gt;Inputs!$F$77*Qtrs_Yr),0,Inputs!$F$71/Inputs!$F$77/Qtrs_Yr))=0,0,((((IF(ROUNDUP(SUM($J$7:AR$7)*AR$7/Qtrs_Yr,0)=0,0,LOOKUP(ROUNDUP(SUM($J$7:AR$7)*AR$7/Qtrs_Yr,0),Inputs!$F$35:$I$35,Inputs!$F$36:$I$36))/Thousand/Qtrs_Yr)*IF(ROUNDUP(SUM($J$7:AR$7)*AR$7/Qtrs_Yr,0)=0,0,LOOKUP(ROUNDUP(SUM($J$7:AR$7)*AR$7/Qtrs_Yr,0),Inputs!$F$41:$I$41,Inputs!$F$42:$I$42))/Grams_Oz*Inputs!$F$45)*LOOKUP(YEAR(AR$5),Inputs!$F$49:$I$49,Inputs!$F$50:$I$50)/Thousand/LOOKUP(YEAR(AR$5),Inputs!$F$89:$I$89,Inputs!$F$90:$I$90)*(AR5-AQ5-Inputs!$F$97)/(AR5-AQ5)+((IF(ROUNDUP(SUM($I$7:AQ$7)*AQ$7/Qtrs_Yr,0)=0,0,LOOKUP(ROUNDUP(SUM($I$7:AQ$7)*AQ$7/Qtrs_Yr,0),Inputs!$F$35:$I$35,Inputs!$F$36:$I$36))/Thousand/Qtrs_Yr)*IF(ROUNDUP(SUM($I$7:AQ$7)*AQ$7/Qtrs_Yr,0)=0,0,LOOKUP(ROUNDUP(SUM($I$7:AQ$7)*AQ$7/Qtrs_Yr,0),Inputs!$F$41:$I$41,Inputs!$F$42:$I$42))/Grams_Oz*Inputs!$F$45)*LOOKUP(YEAR(AQ$5),Inputs!$F$49:$I$49,Inputs!$F$50:$I$50)/Thousand
/LOOKUP(YEAR(AQ$5),Inputs!$F$89:$I$89,Inputs!$F$90:$I$90)*Inputs!$F$97/(AQ5-AP5))-(((Inputs!$F$64*(IF(ROUNDUP(SUM($J$7:AR$7)*AR$7/Qtrs_Yr,0)=0,0,LOOKUP(ROUNDUP(SUM($J$7:AR$7)*AR$7/Qtrs_Yr,0),Inputs!$F$35:$I$35,Inputs!$F$36:$I$36))/Thousand/Qtrs_Yr+IF(ROUNDUP(SUM($J$7:AR$7)*AR$7/Qtrs_Yr,0)=0,0,LOOKUP(ROUNDUP(SUM($J$7:AR$7)*AR$7/Qtrs_Yr,0),Inputs!$F$35:$I$35,Inputs!$F$38:$I$38)*LOOKUP(ROUNDUP(SUM($J$7:AR$7)*AR$7/Qtrs_Yr,0),Inputs!$F$35:$I$35,Inputs!$F$36:$I$36))/Thousand/Qtrs_Yr)+Inputs!$F$65*(IF(ROUNDUP(SUM($J$7:AR$7)*AR$7/Qtrs_Yr,0)=0,0,LOOKUP(ROUNDUP(SUM($J$7:AR$7)*AR$7/Qtrs_Yr,0),Inputs!$F$35:$I$35,Inputs!$F$36:$I$36))/Thousand/Qtrs_Yr)+Inputs!$F$66*(IF(ROUNDUP(SUM($J$7:AR$7)*AR$7/Qtrs_Yr,0)=0,0,LOOKUP(ROUNDUP(SUM($J$7:AR$7)*AR$7/Qtrs_Yr,0),Inputs!$F$35:$I$35,Inputs!$F$38:$I$38)*LOOKUP(ROUNDUP(SUM($J$7:AR$7)*AR$7/Qtrs_Yr,0),Inputs!$F$35:$I$35,Inputs!$F$36:$I$36))/Thousand/Qtrs_Yr))/Thousand+SUM(Inputs!$F$54:$F$61)*AR$7/Qtrs_Yr)*(1+LOOKUP(YEAR(AR$5),Inputs!$F$93:$I$93,Inputs!$F$94:$I$94)/Qtrs_Yr)^(COUNT($J$7:AR7))*(AR5-AQ5-Inputs!$F$98)/(AR5-AQ5)+((Inputs!$F$64*(IF(ROUNDUP(SUM($I$7:AQ$7)*AQ$7/Qtrs_Yr,0)=0,0,LOOKUP(ROUNDUP(SUM($I$7:AQ$7)*AQ$7/Qtrs_Yr,0),Inputs!$F$35:$I$35,Inputs!$F$36:$I$36))/Thousand/Qtrs_Yr+IF(ROUNDUP(SUM($I$7:AQ$7)*AQ$7/Qtrs_Yr,0)=0,0,LOOKUP(ROUNDUP(SUM($I$7:AQ$7)*AQ$7/Qtrs_Yr,0),Inputs!$F$35:$I$35,Inputs!$F$38:$I$38)*LOOKUP(ROUNDUP(SUM($I$7:AQ$7)*AQ$7/Qtrs_Yr,0),Inputs!$F$35:$I$35,Inputs!$F$36:$I$36))/Thousand/Qtrs_Yr)+Inputs!$F$65*(IF(ROUNDUP(SUM($I$7:AQ$7)*AQ$7/Qtrs_Yr,0)=0,0,LOOKUP(ROUNDUP(SUM($I$7:AQ$7)*AQ$7/Qtrs_Yr,0),Inputs!$F$35:$I$35,Inputs!$F$36:$I$36))/Thousand/Qtrs_Yr)+Inputs!$F$66*(IF(ROUNDUP(SUM($I$7:AQ$7)*AQ$7/Qtrs_Yr,0)=0,0,LOOKUP(ROUNDUP(SUM($I$7:AQ$7)*AQ$7/Qtrs_Yr,0),Inputs!$F$35:$I$35,Inputs!$F$38:$I$38)*LOOKUP(ROUNDUP(SUM($I$7:AQ$7)*AQ$7/Qtrs_Yr,0),Inputs!$F$35:$I$35,Inputs!$F$36:$I$36))/Thousand/Qtrs_Yr))/Thousand+SUM(Inputs!$F$54:$F$61)*AQ$7/Qtrs_Yr)*(1+LOOKUP(YEAR(AR$5),Inputs!$F$93:$I$93,Inputs!$F$94:$I$94)/Qtrs_Yr)^(COUNT($I$7:AQ7))*Inputs!$F$98/(AQ5-AP5))-(((IF(ROUNDUP(SUM($J$7:AR$7)*AR$7/Qtrs_Yr,0)=0,0,LOOKUP(ROUNDUP(SUM($J$7:AR$7)*AR$7/Qtrs_Yr,0),Inputs!$F$35:$I$35,Inputs!$F$36:$I$36))/Thousand/Qtrs_Yr)*IF(ROUNDUP(SUM($J$7:AR$7)*AR$7/Qtrs_Yr,0)=0,0,LOOKUP(ROUNDUP(SUM($J$7:AR$7)*AR$7/Qtrs_Yr,0),Inputs!$F$41:$I$41,Inputs!$F$42:$I$42))/Grams_Oz*Inputs!$F$45)*LOOKUP(YEAR(AR$5),Inputs!$F$49:$I$49,Inputs!$F$50:$I$50)/Thousand
/LOOKUP(YEAR(AR$5),Inputs!$F$89:$I$89,Inputs!$F$90:$I$90)-((Inputs!$F$64*(IF(ROUNDUP(SUM($J$7:AR$7)*AR$7/Qtrs_Yr,0)=0,0,LOOKUP(ROUNDUP(SUM($J$7:AR$7)*AR$7/Qtrs_Yr,0),Inputs!$F$35:$I$35,Inputs!$F$36:$I$36))/Thousand/Qtrs_Yr+IF(ROUNDUP(SUM($J$7:AR$7)*AR$7/Qtrs_Yr,0)=0,0,LOOKUP(ROUNDUP(SUM($J$7:AR$7)*AR$7/Qtrs_Yr,0),Inputs!$F$35:$I$35,Inputs!$F$38:$I$38)*LOOKUP(ROUNDUP(SUM($J$7:AR$7)*AR$7/Qtrs_Yr,0),Inputs!$F$35:$I$35,Inputs!$F$36:$I$36))/Thousand/Qtrs_Yr)+Inputs!$F$65*(IF(ROUNDUP(SUM($J$7:AR$7)*AR$7/Qtrs_Yr,0)=0,0,LOOKUP(ROUNDUP(SUM($J$7:AR$7)*AR$7/Qtrs_Yr,0),Inputs!$F$35:$I$35,Inputs!$F$36:$I$36))/Thousand/Qtrs_Yr)+Inputs!$F$66*(IF(ROUNDUP(SUM($J$7:AR$7)*AR$7/Qtrs_Yr,0)=0,0,LOOKUP(ROUNDUP(SUM($J$7:AR$7)*AR$7/Qtrs_Yr,0),Inputs!$F$35:$I$35,Inputs!$F$38:$I$38)*LOOKUP(ROUNDUP(SUM($J$7:AR$7)*AR$7/Qtrs_Yr,0),Inputs!$F$35:$I$35,Inputs!$F$36:$I$36))/Thousand/Qtrs_Yr))/Thousand+SUM(Inputs!$F$54:$F$61)*AR$7/Qtrs_Yr)*(1+LOOKUP(YEAR(AR$5),Inputs!$F$93:$I$93,Inputs!$F$94:$I$94)/Qtrs_Yr)^(COUNT($J$7:AR7))-Inputs!$E$29*(1+Inputs!$E$31)*AR$7/Inputs!$E$16/Qtrs_Yr-IF(OR(AR$7=0,SUM($J7:AR7)*AR7&gt;Inputs!$F$77*Qtrs_Yr),0,(Inputs!$F$71-SUM($J7:AR7,-1)*AR7*Inputs!$F$71/Inputs!$F$77/Qtrs_Yr)*(LOOKUP(YEAR(AS$5),Inputs!$F$85:$I$85,Inputs!$F$86:$I$86)+LOOKUP(ROUNDUP(SUM($J7:AS7)*AS7/Qtrs_Yr,0),Inputs!$G$73:$J$73,Inputs!$G$74:$J$74))/Qtrs_Yr))*Inputs!$F$101)/(IF(OR(AR$7=0,SUM($J7:AR7)*AR7&gt;Inputs!$F$77*Qtrs_Yr),0,(Inputs!$F$71-SUM($J7:AR7,-1)*AR7*Inputs!$F$71/Inputs!$F$77/Qtrs_Yr)*(LOOKUP(YEAR(AS$5),Inputs!$F$85:$I$85,Inputs!$F$86:$I$86)+LOOKUP(ROUNDUP(SUM($J7:AS7)*AS7/Qtrs_Yr,0),Inputs!$G$73:$J$73,Inputs!$G$74:$J$74))/Qtrs_Yr)+IF(OR(AR$7=0,SUM($J7:AR7)*AR7&gt;Inputs!$F$77*Qtrs_Yr),0,Inputs!$F$71/Inputs!$F$77/Qtrs_Yr)))</f>
        <v>0</v>
      </c>
      <c r="AS14" s="75">
        <f>IF((IF(OR(AS$7=0,SUM($J7:AS7)*AS7&gt;Inputs!$F$77*Qtrs_Yr),0,(Inputs!$F$71-SUM($J7:AS7,-1)*AS7*Inputs!$F$71/Inputs!$F$77/Qtrs_Yr)*(LOOKUP(YEAR(AT$5),Inputs!$F$85:$I$85,Inputs!$F$86:$I$86)+LOOKUP(ROUNDUP(SUM($J7:AT7)*AT7/Qtrs_Yr,0),Inputs!$G$73:$J$73,Inputs!$G$74:$J$74))/Qtrs_Yr)+IF(OR(AS$7=0,SUM($J7:AS7)*AS7&gt;Inputs!$F$77*Qtrs_Yr),0,Inputs!$F$71/Inputs!$F$77/Qtrs_Yr))=0,0,((((IF(ROUNDUP(SUM($J$7:AS$7)*AS$7/Qtrs_Yr,0)=0,0,LOOKUP(ROUNDUP(SUM($J$7:AS$7)*AS$7/Qtrs_Yr,0),Inputs!$F$35:$I$35,Inputs!$F$36:$I$36))/Thousand/Qtrs_Yr)*IF(ROUNDUP(SUM($J$7:AS$7)*AS$7/Qtrs_Yr,0)=0,0,LOOKUP(ROUNDUP(SUM($J$7:AS$7)*AS$7/Qtrs_Yr,0),Inputs!$F$41:$I$41,Inputs!$F$42:$I$42))/Grams_Oz*Inputs!$F$45)*LOOKUP(YEAR(AS$5),Inputs!$F$49:$I$49,Inputs!$F$50:$I$50)/Thousand/LOOKUP(YEAR(AS$5),Inputs!$F$89:$I$89,Inputs!$F$90:$I$90)*(AS5-AR5-Inputs!$F$97)/(AS5-AR5)+((IF(ROUNDUP(SUM($I$7:AR$7)*AR$7/Qtrs_Yr,0)=0,0,LOOKUP(ROUNDUP(SUM($I$7:AR$7)*AR$7/Qtrs_Yr,0),Inputs!$F$35:$I$35,Inputs!$F$36:$I$36))/Thousand/Qtrs_Yr)*IF(ROUNDUP(SUM($I$7:AR$7)*AR$7/Qtrs_Yr,0)=0,0,LOOKUP(ROUNDUP(SUM($I$7:AR$7)*AR$7/Qtrs_Yr,0),Inputs!$F$41:$I$41,Inputs!$F$42:$I$42))/Grams_Oz*Inputs!$F$45)*LOOKUP(YEAR(AR$5),Inputs!$F$49:$I$49,Inputs!$F$50:$I$50)/Thousand
/LOOKUP(YEAR(AR$5),Inputs!$F$89:$I$89,Inputs!$F$90:$I$90)*Inputs!$F$97/(AR5-AQ5))-(((Inputs!$F$64*(IF(ROUNDUP(SUM($J$7:AS$7)*AS$7/Qtrs_Yr,0)=0,0,LOOKUP(ROUNDUP(SUM($J$7:AS$7)*AS$7/Qtrs_Yr,0),Inputs!$F$35:$I$35,Inputs!$F$36:$I$36))/Thousand/Qtrs_Yr+IF(ROUNDUP(SUM($J$7:AS$7)*AS$7/Qtrs_Yr,0)=0,0,LOOKUP(ROUNDUP(SUM($J$7:AS$7)*AS$7/Qtrs_Yr,0),Inputs!$F$35:$I$35,Inputs!$F$38:$I$38)*LOOKUP(ROUNDUP(SUM($J$7:AS$7)*AS$7/Qtrs_Yr,0),Inputs!$F$35:$I$35,Inputs!$F$36:$I$36))/Thousand/Qtrs_Yr)+Inputs!$F$65*(IF(ROUNDUP(SUM($J$7:AS$7)*AS$7/Qtrs_Yr,0)=0,0,LOOKUP(ROUNDUP(SUM($J$7:AS$7)*AS$7/Qtrs_Yr,0),Inputs!$F$35:$I$35,Inputs!$F$36:$I$36))/Thousand/Qtrs_Yr)+Inputs!$F$66*(IF(ROUNDUP(SUM($J$7:AS$7)*AS$7/Qtrs_Yr,0)=0,0,LOOKUP(ROUNDUP(SUM($J$7:AS$7)*AS$7/Qtrs_Yr,0),Inputs!$F$35:$I$35,Inputs!$F$38:$I$38)*LOOKUP(ROUNDUP(SUM($J$7:AS$7)*AS$7/Qtrs_Yr,0),Inputs!$F$35:$I$35,Inputs!$F$36:$I$36))/Thousand/Qtrs_Yr))/Thousand+SUM(Inputs!$F$54:$F$61)*AS$7/Qtrs_Yr)*(1+LOOKUP(YEAR(AS$5),Inputs!$F$93:$I$93,Inputs!$F$94:$I$94)/Qtrs_Yr)^(COUNT($J$7:AS7))*(AS5-AR5-Inputs!$F$98)/(AS5-AR5)+((Inputs!$F$64*(IF(ROUNDUP(SUM($I$7:AR$7)*AR$7/Qtrs_Yr,0)=0,0,LOOKUP(ROUNDUP(SUM($I$7:AR$7)*AR$7/Qtrs_Yr,0),Inputs!$F$35:$I$35,Inputs!$F$36:$I$36))/Thousand/Qtrs_Yr+IF(ROUNDUP(SUM($I$7:AR$7)*AR$7/Qtrs_Yr,0)=0,0,LOOKUP(ROUNDUP(SUM($I$7:AR$7)*AR$7/Qtrs_Yr,0),Inputs!$F$35:$I$35,Inputs!$F$38:$I$38)*LOOKUP(ROUNDUP(SUM($I$7:AR$7)*AR$7/Qtrs_Yr,0),Inputs!$F$35:$I$35,Inputs!$F$36:$I$36))/Thousand/Qtrs_Yr)+Inputs!$F$65*(IF(ROUNDUP(SUM($I$7:AR$7)*AR$7/Qtrs_Yr,0)=0,0,LOOKUP(ROUNDUP(SUM($I$7:AR$7)*AR$7/Qtrs_Yr,0),Inputs!$F$35:$I$35,Inputs!$F$36:$I$36))/Thousand/Qtrs_Yr)+Inputs!$F$66*(IF(ROUNDUP(SUM($I$7:AR$7)*AR$7/Qtrs_Yr,0)=0,0,LOOKUP(ROUNDUP(SUM($I$7:AR$7)*AR$7/Qtrs_Yr,0),Inputs!$F$35:$I$35,Inputs!$F$38:$I$38)*LOOKUP(ROUNDUP(SUM($I$7:AR$7)*AR$7/Qtrs_Yr,0),Inputs!$F$35:$I$35,Inputs!$F$36:$I$36))/Thousand/Qtrs_Yr))/Thousand+SUM(Inputs!$F$54:$F$61)*AR$7/Qtrs_Yr)*(1+LOOKUP(YEAR(AS$5),Inputs!$F$93:$I$93,Inputs!$F$94:$I$94)/Qtrs_Yr)^(COUNT($I$7:AR7))*Inputs!$F$98/(AR5-AQ5))-(((IF(ROUNDUP(SUM($J$7:AS$7)*AS$7/Qtrs_Yr,0)=0,0,LOOKUP(ROUNDUP(SUM($J$7:AS$7)*AS$7/Qtrs_Yr,0),Inputs!$F$35:$I$35,Inputs!$F$36:$I$36))/Thousand/Qtrs_Yr)*IF(ROUNDUP(SUM($J$7:AS$7)*AS$7/Qtrs_Yr,0)=0,0,LOOKUP(ROUNDUP(SUM($J$7:AS$7)*AS$7/Qtrs_Yr,0),Inputs!$F$41:$I$41,Inputs!$F$42:$I$42))/Grams_Oz*Inputs!$F$45)*LOOKUP(YEAR(AS$5),Inputs!$F$49:$I$49,Inputs!$F$50:$I$50)/Thousand
/LOOKUP(YEAR(AS$5),Inputs!$F$89:$I$89,Inputs!$F$90:$I$90)-((Inputs!$F$64*(IF(ROUNDUP(SUM($J$7:AS$7)*AS$7/Qtrs_Yr,0)=0,0,LOOKUP(ROUNDUP(SUM($J$7:AS$7)*AS$7/Qtrs_Yr,0),Inputs!$F$35:$I$35,Inputs!$F$36:$I$36))/Thousand/Qtrs_Yr+IF(ROUNDUP(SUM($J$7:AS$7)*AS$7/Qtrs_Yr,0)=0,0,LOOKUP(ROUNDUP(SUM($J$7:AS$7)*AS$7/Qtrs_Yr,0),Inputs!$F$35:$I$35,Inputs!$F$38:$I$38)*LOOKUP(ROUNDUP(SUM($J$7:AS$7)*AS$7/Qtrs_Yr,0),Inputs!$F$35:$I$35,Inputs!$F$36:$I$36))/Thousand/Qtrs_Yr)+Inputs!$F$65*(IF(ROUNDUP(SUM($J$7:AS$7)*AS$7/Qtrs_Yr,0)=0,0,LOOKUP(ROUNDUP(SUM($J$7:AS$7)*AS$7/Qtrs_Yr,0),Inputs!$F$35:$I$35,Inputs!$F$36:$I$36))/Thousand/Qtrs_Yr)+Inputs!$F$66*(IF(ROUNDUP(SUM($J$7:AS$7)*AS$7/Qtrs_Yr,0)=0,0,LOOKUP(ROUNDUP(SUM($J$7:AS$7)*AS$7/Qtrs_Yr,0),Inputs!$F$35:$I$35,Inputs!$F$38:$I$38)*LOOKUP(ROUNDUP(SUM($J$7:AS$7)*AS$7/Qtrs_Yr,0),Inputs!$F$35:$I$35,Inputs!$F$36:$I$36))/Thousand/Qtrs_Yr))/Thousand+SUM(Inputs!$F$54:$F$61)*AS$7/Qtrs_Yr)*(1+LOOKUP(YEAR(AS$5),Inputs!$F$93:$I$93,Inputs!$F$94:$I$94)/Qtrs_Yr)^(COUNT($J$7:AS7))-Inputs!$E$29*(1+Inputs!$E$31)*AS$7/Inputs!$E$16/Qtrs_Yr-IF(OR(AS$7=0,SUM($J7:AS7)*AS7&gt;Inputs!$F$77*Qtrs_Yr),0,(Inputs!$F$71-SUM($J7:AS7,-1)*AS7*Inputs!$F$71/Inputs!$F$77/Qtrs_Yr)*(LOOKUP(YEAR(AT$5),Inputs!$F$85:$I$85,Inputs!$F$86:$I$86)+LOOKUP(ROUNDUP(SUM($J7:AT7)*AT7/Qtrs_Yr,0),Inputs!$G$73:$J$73,Inputs!$G$74:$J$74))/Qtrs_Yr))*Inputs!$F$101)/(IF(OR(AS$7=0,SUM($J7:AS7)*AS7&gt;Inputs!$F$77*Qtrs_Yr),0,(Inputs!$F$71-SUM($J7:AS7,-1)*AS7*Inputs!$F$71/Inputs!$F$77/Qtrs_Yr)*(LOOKUP(YEAR(AT$5),Inputs!$F$85:$I$85,Inputs!$F$86:$I$86)+LOOKUP(ROUNDUP(SUM($J7:AT7)*AT7/Qtrs_Yr,0),Inputs!$G$73:$J$73,Inputs!$G$74:$J$74))/Qtrs_Yr)+IF(OR(AS$7=0,SUM($J7:AS7)*AS7&gt;Inputs!$F$77*Qtrs_Yr),0,Inputs!$F$71/Inputs!$F$77/Qtrs_Yr)))</f>
        <v>0</v>
      </c>
      <c r="AT14" s="75">
        <f>IF((IF(OR(AT$7=0,SUM($J7:AT7)*AT7&gt;Inputs!$F$77*Qtrs_Yr),0,(Inputs!$F$71-SUM($J7:AT7,-1)*AT7*Inputs!$F$71/Inputs!$F$77/Qtrs_Yr)*(LOOKUP(YEAR(AU$5),Inputs!$F$85:$I$85,Inputs!$F$86:$I$86)+LOOKUP(ROUNDUP(SUM($J7:AU7)*AU7/Qtrs_Yr,0),Inputs!$G$73:$J$73,Inputs!$G$74:$J$74))/Qtrs_Yr)+IF(OR(AT$7=0,SUM($J7:AT7)*AT7&gt;Inputs!$F$77*Qtrs_Yr),0,Inputs!$F$71/Inputs!$F$77/Qtrs_Yr))=0,0,((((IF(ROUNDUP(SUM($J$7:AT$7)*AT$7/Qtrs_Yr,0)=0,0,LOOKUP(ROUNDUP(SUM($J$7:AT$7)*AT$7/Qtrs_Yr,0),Inputs!$F$35:$I$35,Inputs!$F$36:$I$36))/Thousand/Qtrs_Yr)*IF(ROUNDUP(SUM($J$7:AT$7)*AT$7/Qtrs_Yr,0)=0,0,LOOKUP(ROUNDUP(SUM($J$7:AT$7)*AT$7/Qtrs_Yr,0),Inputs!$F$41:$I$41,Inputs!$F$42:$I$42))/Grams_Oz*Inputs!$F$45)*LOOKUP(YEAR(AT$5),Inputs!$F$49:$I$49,Inputs!$F$50:$I$50)/Thousand/LOOKUP(YEAR(AT$5),Inputs!$F$89:$I$89,Inputs!$F$90:$I$90)*(AT5-AS5-Inputs!$F$97)/(AT5-AS5)+((IF(ROUNDUP(SUM($I$7:AS$7)*AS$7/Qtrs_Yr,0)=0,0,LOOKUP(ROUNDUP(SUM($I$7:AS$7)*AS$7/Qtrs_Yr,0),Inputs!$F$35:$I$35,Inputs!$F$36:$I$36))/Thousand/Qtrs_Yr)*IF(ROUNDUP(SUM($I$7:AS$7)*AS$7/Qtrs_Yr,0)=0,0,LOOKUP(ROUNDUP(SUM($I$7:AS$7)*AS$7/Qtrs_Yr,0),Inputs!$F$41:$I$41,Inputs!$F$42:$I$42))/Grams_Oz*Inputs!$F$45)*LOOKUP(YEAR(AS$5),Inputs!$F$49:$I$49,Inputs!$F$50:$I$50)/Thousand
/LOOKUP(YEAR(AS$5),Inputs!$F$89:$I$89,Inputs!$F$90:$I$90)*Inputs!$F$97/(AS5-AR5))-(((Inputs!$F$64*(IF(ROUNDUP(SUM($J$7:AT$7)*AT$7/Qtrs_Yr,0)=0,0,LOOKUP(ROUNDUP(SUM($J$7:AT$7)*AT$7/Qtrs_Yr,0),Inputs!$F$35:$I$35,Inputs!$F$36:$I$36))/Thousand/Qtrs_Yr+IF(ROUNDUP(SUM($J$7:AT$7)*AT$7/Qtrs_Yr,0)=0,0,LOOKUP(ROUNDUP(SUM($J$7:AT$7)*AT$7/Qtrs_Yr,0),Inputs!$F$35:$I$35,Inputs!$F$38:$I$38)*LOOKUP(ROUNDUP(SUM($J$7:AT$7)*AT$7/Qtrs_Yr,0),Inputs!$F$35:$I$35,Inputs!$F$36:$I$36))/Thousand/Qtrs_Yr)+Inputs!$F$65*(IF(ROUNDUP(SUM($J$7:AT$7)*AT$7/Qtrs_Yr,0)=0,0,LOOKUP(ROUNDUP(SUM($J$7:AT$7)*AT$7/Qtrs_Yr,0),Inputs!$F$35:$I$35,Inputs!$F$36:$I$36))/Thousand/Qtrs_Yr)+Inputs!$F$66*(IF(ROUNDUP(SUM($J$7:AT$7)*AT$7/Qtrs_Yr,0)=0,0,LOOKUP(ROUNDUP(SUM($J$7:AT$7)*AT$7/Qtrs_Yr,0),Inputs!$F$35:$I$35,Inputs!$F$38:$I$38)*LOOKUP(ROUNDUP(SUM($J$7:AT$7)*AT$7/Qtrs_Yr,0),Inputs!$F$35:$I$35,Inputs!$F$36:$I$36))/Thousand/Qtrs_Yr))/Thousand+SUM(Inputs!$F$54:$F$61)*AT$7/Qtrs_Yr)*(1+LOOKUP(YEAR(AT$5),Inputs!$F$93:$I$93,Inputs!$F$94:$I$94)/Qtrs_Yr)^(COUNT($J$7:AT7))*(AT5-AS5-Inputs!$F$98)/(AT5-AS5)+((Inputs!$F$64*(IF(ROUNDUP(SUM($I$7:AS$7)*AS$7/Qtrs_Yr,0)=0,0,LOOKUP(ROUNDUP(SUM($I$7:AS$7)*AS$7/Qtrs_Yr,0),Inputs!$F$35:$I$35,Inputs!$F$36:$I$36))/Thousand/Qtrs_Yr+IF(ROUNDUP(SUM($I$7:AS$7)*AS$7/Qtrs_Yr,0)=0,0,LOOKUP(ROUNDUP(SUM($I$7:AS$7)*AS$7/Qtrs_Yr,0),Inputs!$F$35:$I$35,Inputs!$F$38:$I$38)*LOOKUP(ROUNDUP(SUM($I$7:AS$7)*AS$7/Qtrs_Yr,0),Inputs!$F$35:$I$35,Inputs!$F$36:$I$36))/Thousand/Qtrs_Yr)+Inputs!$F$65*(IF(ROUNDUP(SUM($I$7:AS$7)*AS$7/Qtrs_Yr,0)=0,0,LOOKUP(ROUNDUP(SUM($I$7:AS$7)*AS$7/Qtrs_Yr,0),Inputs!$F$35:$I$35,Inputs!$F$36:$I$36))/Thousand/Qtrs_Yr)+Inputs!$F$66*(IF(ROUNDUP(SUM($I$7:AS$7)*AS$7/Qtrs_Yr,0)=0,0,LOOKUP(ROUNDUP(SUM($I$7:AS$7)*AS$7/Qtrs_Yr,0),Inputs!$F$35:$I$35,Inputs!$F$38:$I$38)*LOOKUP(ROUNDUP(SUM($I$7:AS$7)*AS$7/Qtrs_Yr,0),Inputs!$F$35:$I$35,Inputs!$F$36:$I$36))/Thousand/Qtrs_Yr))/Thousand+SUM(Inputs!$F$54:$F$61)*AS$7/Qtrs_Yr)*(1+LOOKUP(YEAR(AT$5),Inputs!$F$93:$I$93,Inputs!$F$94:$I$94)/Qtrs_Yr)^(COUNT($I$7:AS7))*Inputs!$F$98/(AS5-AR5))-(((IF(ROUNDUP(SUM($J$7:AT$7)*AT$7/Qtrs_Yr,0)=0,0,LOOKUP(ROUNDUP(SUM($J$7:AT$7)*AT$7/Qtrs_Yr,0),Inputs!$F$35:$I$35,Inputs!$F$36:$I$36))/Thousand/Qtrs_Yr)*IF(ROUNDUP(SUM($J$7:AT$7)*AT$7/Qtrs_Yr,0)=0,0,LOOKUP(ROUNDUP(SUM($J$7:AT$7)*AT$7/Qtrs_Yr,0),Inputs!$F$41:$I$41,Inputs!$F$42:$I$42))/Grams_Oz*Inputs!$F$45)*LOOKUP(YEAR(AT$5),Inputs!$F$49:$I$49,Inputs!$F$50:$I$50)/Thousand
/LOOKUP(YEAR(AT$5),Inputs!$F$89:$I$89,Inputs!$F$90:$I$90)-((Inputs!$F$64*(IF(ROUNDUP(SUM($J$7:AT$7)*AT$7/Qtrs_Yr,0)=0,0,LOOKUP(ROUNDUP(SUM($J$7:AT$7)*AT$7/Qtrs_Yr,0),Inputs!$F$35:$I$35,Inputs!$F$36:$I$36))/Thousand/Qtrs_Yr+IF(ROUNDUP(SUM($J$7:AT$7)*AT$7/Qtrs_Yr,0)=0,0,LOOKUP(ROUNDUP(SUM($J$7:AT$7)*AT$7/Qtrs_Yr,0),Inputs!$F$35:$I$35,Inputs!$F$38:$I$38)*LOOKUP(ROUNDUP(SUM($J$7:AT$7)*AT$7/Qtrs_Yr,0),Inputs!$F$35:$I$35,Inputs!$F$36:$I$36))/Thousand/Qtrs_Yr)+Inputs!$F$65*(IF(ROUNDUP(SUM($J$7:AT$7)*AT$7/Qtrs_Yr,0)=0,0,LOOKUP(ROUNDUP(SUM($J$7:AT$7)*AT$7/Qtrs_Yr,0),Inputs!$F$35:$I$35,Inputs!$F$36:$I$36))/Thousand/Qtrs_Yr)+Inputs!$F$66*(IF(ROUNDUP(SUM($J$7:AT$7)*AT$7/Qtrs_Yr,0)=0,0,LOOKUP(ROUNDUP(SUM($J$7:AT$7)*AT$7/Qtrs_Yr,0),Inputs!$F$35:$I$35,Inputs!$F$38:$I$38)*LOOKUP(ROUNDUP(SUM($J$7:AT$7)*AT$7/Qtrs_Yr,0),Inputs!$F$35:$I$35,Inputs!$F$36:$I$36))/Thousand/Qtrs_Yr))/Thousand+SUM(Inputs!$F$54:$F$61)*AT$7/Qtrs_Yr)*(1+LOOKUP(YEAR(AT$5),Inputs!$F$93:$I$93,Inputs!$F$94:$I$94)/Qtrs_Yr)^(COUNT($J$7:AT7))-Inputs!$E$29*(1+Inputs!$E$31)*AT$7/Inputs!$E$16/Qtrs_Yr-IF(OR(AT$7=0,SUM($J7:AT7)*AT7&gt;Inputs!$F$77*Qtrs_Yr),0,(Inputs!$F$71-SUM($J7:AT7,-1)*AT7*Inputs!$F$71/Inputs!$F$77/Qtrs_Yr)*(LOOKUP(YEAR(AU$5),Inputs!$F$85:$I$85,Inputs!$F$86:$I$86)+LOOKUP(ROUNDUP(SUM($J7:AU7)*AU7/Qtrs_Yr,0),Inputs!$G$73:$J$73,Inputs!$G$74:$J$74))/Qtrs_Yr))*Inputs!$F$101)/(IF(OR(AT$7=0,SUM($J7:AT7)*AT7&gt;Inputs!$F$77*Qtrs_Yr),0,(Inputs!$F$71-SUM($J7:AT7,-1)*AT7*Inputs!$F$71/Inputs!$F$77/Qtrs_Yr)*(LOOKUP(YEAR(AU$5),Inputs!$F$85:$I$85,Inputs!$F$86:$I$86)+LOOKUP(ROUNDUP(SUM($J7:AU7)*AU7/Qtrs_Yr,0),Inputs!$G$73:$J$73,Inputs!$G$74:$J$74))/Qtrs_Yr)+IF(OR(AT$7=0,SUM($J7:AT7)*AT7&gt;Inputs!$F$77*Qtrs_Yr),0,Inputs!$F$71/Inputs!$F$77/Qtrs_Yr)))</f>
        <v>0</v>
      </c>
      <c r="AU14" s="75">
        <f>IF((IF(OR(AU$7=0,SUM($J7:AU7)*AU7&gt;Inputs!$F$77*Qtrs_Yr),0,(Inputs!$F$71-SUM($J7:AU7,-1)*AU7*Inputs!$F$71/Inputs!$F$77/Qtrs_Yr)*(LOOKUP(YEAR(AV$5),Inputs!$F$85:$I$85,Inputs!$F$86:$I$86)+LOOKUP(ROUNDUP(SUM($J7:AV7)*AV7/Qtrs_Yr,0),Inputs!$G$73:$J$73,Inputs!$G$74:$J$74))/Qtrs_Yr)+IF(OR(AU$7=0,SUM($J7:AU7)*AU7&gt;Inputs!$F$77*Qtrs_Yr),0,Inputs!$F$71/Inputs!$F$77/Qtrs_Yr))=0,0,((((IF(ROUNDUP(SUM($J$7:AU$7)*AU$7/Qtrs_Yr,0)=0,0,LOOKUP(ROUNDUP(SUM($J$7:AU$7)*AU$7/Qtrs_Yr,0),Inputs!$F$35:$I$35,Inputs!$F$36:$I$36))/Thousand/Qtrs_Yr)*IF(ROUNDUP(SUM($J$7:AU$7)*AU$7/Qtrs_Yr,0)=0,0,LOOKUP(ROUNDUP(SUM($J$7:AU$7)*AU$7/Qtrs_Yr,0),Inputs!$F$41:$I$41,Inputs!$F$42:$I$42))/Grams_Oz*Inputs!$F$45)*LOOKUP(YEAR(AU$5),Inputs!$F$49:$I$49,Inputs!$F$50:$I$50)/Thousand/LOOKUP(YEAR(AU$5),Inputs!$F$89:$I$89,Inputs!$F$90:$I$90)*(AU5-AT5-Inputs!$F$97)/(AU5-AT5)+((IF(ROUNDUP(SUM($I$7:AT$7)*AT$7/Qtrs_Yr,0)=0,0,LOOKUP(ROUNDUP(SUM($I$7:AT$7)*AT$7/Qtrs_Yr,0),Inputs!$F$35:$I$35,Inputs!$F$36:$I$36))/Thousand/Qtrs_Yr)*IF(ROUNDUP(SUM($I$7:AT$7)*AT$7/Qtrs_Yr,0)=0,0,LOOKUP(ROUNDUP(SUM($I$7:AT$7)*AT$7/Qtrs_Yr,0),Inputs!$F$41:$I$41,Inputs!$F$42:$I$42))/Grams_Oz*Inputs!$F$45)*LOOKUP(YEAR(AT$5),Inputs!$F$49:$I$49,Inputs!$F$50:$I$50)/Thousand
/LOOKUP(YEAR(AT$5),Inputs!$F$89:$I$89,Inputs!$F$90:$I$90)*Inputs!$F$97/(AT5-AS5))-(((Inputs!$F$64*(IF(ROUNDUP(SUM($J$7:AU$7)*AU$7/Qtrs_Yr,0)=0,0,LOOKUP(ROUNDUP(SUM($J$7:AU$7)*AU$7/Qtrs_Yr,0),Inputs!$F$35:$I$35,Inputs!$F$36:$I$36))/Thousand/Qtrs_Yr+IF(ROUNDUP(SUM($J$7:AU$7)*AU$7/Qtrs_Yr,0)=0,0,LOOKUP(ROUNDUP(SUM($J$7:AU$7)*AU$7/Qtrs_Yr,0),Inputs!$F$35:$I$35,Inputs!$F$38:$I$38)*LOOKUP(ROUNDUP(SUM($J$7:AU$7)*AU$7/Qtrs_Yr,0),Inputs!$F$35:$I$35,Inputs!$F$36:$I$36))/Thousand/Qtrs_Yr)+Inputs!$F$65*(IF(ROUNDUP(SUM($J$7:AU$7)*AU$7/Qtrs_Yr,0)=0,0,LOOKUP(ROUNDUP(SUM($J$7:AU$7)*AU$7/Qtrs_Yr,0),Inputs!$F$35:$I$35,Inputs!$F$36:$I$36))/Thousand/Qtrs_Yr)+Inputs!$F$66*(IF(ROUNDUP(SUM($J$7:AU$7)*AU$7/Qtrs_Yr,0)=0,0,LOOKUP(ROUNDUP(SUM($J$7:AU$7)*AU$7/Qtrs_Yr,0),Inputs!$F$35:$I$35,Inputs!$F$38:$I$38)*LOOKUP(ROUNDUP(SUM($J$7:AU$7)*AU$7/Qtrs_Yr,0),Inputs!$F$35:$I$35,Inputs!$F$36:$I$36))/Thousand/Qtrs_Yr))/Thousand+SUM(Inputs!$F$54:$F$61)*AU$7/Qtrs_Yr)*(1+LOOKUP(YEAR(AU$5),Inputs!$F$93:$I$93,Inputs!$F$94:$I$94)/Qtrs_Yr)^(COUNT($J$7:AU7))*(AU5-AT5-Inputs!$F$98)/(AU5-AT5)+((Inputs!$F$64*(IF(ROUNDUP(SUM($I$7:AT$7)*AT$7/Qtrs_Yr,0)=0,0,LOOKUP(ROUNDUP(SUM($I$7:AT$7)*AT$7/Qtrs_Yr,0),Inputs!$F$35:$I$35,Inputs!$F$36:$I$36))/Thousand/Qtrs_Yr+IF(ROUNDUP(SUM($I$7:AT$7)*AT$7/Qtrs_Yr,0)=0,0,LOOKUP(ROUNDUP(SUM($I$7:AT$7)*AT$7/Qtrs_Yr,0),Inputs!$F$35:$I$35,Inputs!$F$38:$I$38)*LOOKUP(ROUNDUP(SUM($I$7:AT$7)*AT$7/Qtrs_Yr,0),Inputs!$F$35:$I$35,Inputs!$F$36:$I$36))/Thousand/Qtrs_Yr)+Inputs!$F$65*(IF(ROUNDUP(SUM($I$7:AT$7)*AT$7/Qtrs_Yr,0)=0,0,LOOKUP(ROUNDUP(SUM($I$7:AT$7)*AT$7/Qtrs_Yr,0),Inputs!$F$35:$I$35,Inputs!$F$36:$I$36))/Thousand/Qtrs_Yr)+Inputs!$F$66*(IF(ROUNDUP(SUM($I$7:AT$7)*AT$7/Qtrs_Yr,0)=0,0,LOOKUP(ROUNDUP(SUM($I$7:AT$7)*AT$7/Qtrs_Yr,0),Inputs!$F$35:$I$35,Inputs!$F$38:$I$38)*LOOKUP(ROUNDUP(SUM($I$7:AT$7)*AT$7/Qtrs_Yr,0),Inputs!$F$35:$I$35,Inputs!$F$36:$I$36))/Thousand/Qtrs_Yr))/Thousand+SUM(Inputs!$F$54:$F$61)*AT$7/Qtrs_Yr)*(1+LOOKUP(YEAR(AU$5),Inputs!$F$93:$I$93,Inputs!$F$94:$I$94)/Qtrs_Yr)^(COUNT($I$7:AT7))*Inputs!$F$98/(AT5-AS5))-(((IF(ROUNDUP(SUM($J$7:AU$7)*AU$7/Qtrs_Yr,0)=0,0,LOOKUP(ROUNDUP(SUM($J$7:AU$7)*AU$7/Qtrs_Yr,0),Inputs!$F$35:$I$35,Inputs!$F$36:$I$36))/Thousand/Qtrs_Yr)*IF(ROUNDUP(SUM($J$7:AU$7)*AU$7/Qtrs_Yr,0)=0,0,LOOKUP(ROUNDUP(SUM($J$7:AU$7)*AU$7/Qtrs_Yr,0),Inputs!$F$41:$I$41,Inputs!$F$42:$I$42))/Grams_Oz*Inputs!$F$45)*LOOKUP(YEAR(AU$5),Inputs!$F$49:$I$49,Inputs!$F$50:$I$50)/Thousand
/LOOKUP(YEAR(AU$5),Inputs!$F$89:$I$89,Inputs!$F$90:$I$90)-((Inputs!$F$64*(IF(ROUNDUP(SUM($J$7:AU$7)*AU$7/Qtrs_Yr,0)=0,0,LOOKUP(ROUNDUP(SUM($J$7:AU$7)*AU$7/Qtrs_Yr,0),Inputs!$F$35:$I$35,Inputs!$F$36:$I$36))/Thousand/Qtrs_Yr+IF(ROUNDUP(SUM($J$7:AU$7)*AU$7/Qtrs_Yr,0)=0,0,LOOKUP(ROUNDUP(SUM($J$7:AU$7)*AU$7/Qtrs_Yr,0),Inputs!$F$35:$I$35,Inputs!$F$38:$I$38)*LOOKUP(ROUNDUP(SUM($J$7:AU$7)*AU$7/Qtrs_Yr,0),Inputs!$F$35:$I$35,Inputs!$F$36:$I$36))/Thousand/Qtrs_Yr)+Inputs!$F$65*(IF(ROUNDUP(SUM($J$7:AU$7)*AU$7/Qtrs_Yr,0)=0,0,LOOKUP(ROUNDUP(SUM($J$7:AU$7)*AU$7/Qtrs_Yr,0),Inputs!$F$35:$I$35,Inputs!$F$36:$I$36))/Thousand/Qtrs_Yr)+Inputs!$F$66*(IF(ROUNDUP(SUM($J$7:AU$7)*AU$7/Qtrs_Yr,0)=0,0,LOOKUP(ROUNDUP(SUM($J$7:AU$7)*AU$7/Qtrs_Yr,0),Inputs!$F$35:$I$35,Inputs!$F$38:$I$38)*LOOKUP(ROUNDUP(SUM($J$7:AU$7)*AU$7/Qtrs_Yr,0),Inputs!$F$35:$I$35,Inputs!$F$36:$I$36))/Thousand/Qtrs_Yr))/Thousand+SUM(Inputs!$F$54:$F$61)*AU$7/Qtrs_Yr)*(1+LOOKUP(YEAR(AU$5),Inputs!$F$93:$I$93,Inputs!$F$94:$I$94)/Qtrs_Yr)^(COUNT($J$7:AU7))-Inputs!$E$29*(1+Inputs!$E$31)*AU$7/Inputs!$E$16/Qtrs_Yr-IF(OR(AU$7=0,SUM($J7:AU7)*AU7&gt;Inputs!$F$77*Qtrs_Yr),0,(Inputs!$F$71-SUM($J7:AU7,-1)*AU7*Inputs!$F$71/Inputs!$F$77/Qtrs_Yr)*(LOOKUP(YEAR(AV$5),Inputs!$F$85:$I$85,Inputs!$F$86:$I$86)+LOOKUP(ROUNDUP(SUM($J7:AV7)*AV7/Qtrs_Yr,0),Inputs!$G$73:$J$73,Inputs!$G$74:$J$74))/Qtrs_Yr))*Inputs!$F$101)/(IF(OR(AU$7=0,SUM($J7:AU7)*AU7&gt;Inputs!$F$77*Qtrs_Yr),0,(Inputs!$F$71-SUM($J7:AU7,-1)*AU7*Inputs!$F$71/Inputs!$F$77/Qtrs_Yr)*(LOOKUP(YEAR(AV$5),Inputs!$F$85:$I$85,Inputs!$F$86:$I$86)+LOOKUP(ROUNDUP(SUM($J7:AV7)*AV7/Qtrs_Yr,0),Inputs!$G$73:$J$73,Inputs!$G$74:$J$74))/Qtrs_Yr)+IF(OR(AU$7=0,SUM($J7:AU7)*AU7&gt;Inputs!$F$77*Qtrs_Yr),0,Inputs!$F$71/Inputs!$F$77/Qtrs_Yr)))</f>
        <v>0</v>
      </c>
      <c r="AV14" s="75">
        <f>IF((IF(OR(AV$7=0,SUM($J7:AV7)*AV7&gt;Inputs!$F$77*Qtrs_Yr),0,(Inputs!$F$71-SUM($J7:AV7,-1)*AV7*Inputs!$F$71/Inputs!$F$77/Qtrs_Yr)*(LOOKUP(YEAR(AW$5),Inputs!$F$85:$I$85,Inputs!$F$86:$I$86)+LOOKUP(ROUNDUP(SUM($J7:AW7)*AW7/Qtrs_Yr,0),Inputs!$G$73:$J$73,Inputs!$G$74:$J$74))/Qtrs_Yr)+IF(OR(AV$7=0,SUM($J7:AV7)*AV7&gt;Inputs!$F$77*Qtrs_Yr),0,Inputs!$F$71/Inputs!$F$77/Qtrs_Yr))=0,0,((((IF(ROUNDUP(SUM($J$7:AV$7)*AV$7/Qtrs_Yr,0)=0,0,LOOKUP(ROUNDUP(SUM($J$7:AV$7)*AV$7/Qtrs_Yr,0),Inputs!$F$35:$I$35,Inputs!$F$36:$I$36))/Thousand/Qtrs_Yr)*IF(ROUNDUP(SUM($J$7:AV$7)*AV$7/Qtrs_Yr,0)=0,0,LOOKUP(ROUNDUP(SUM($J$7:AV$7)*AV$7/Qtrs_Yr,0),Inputs!$F$41:$I$41,Inputs!$F$42:$I$42))/Grams_Oz*Inputs!$F$45)*LOOKUP(YEAR(AV$5),Inputs!$F$49:$I$49,Inputs!$F$50:$I$50)/Thousand/LOOKUP(YEAR(AV$5),Inputs!$F$89:$I$89,Inputs!$F$90:$I$90)*(AV5-AU5-Inputs!$F$97)/(AV5-AU5)+((IF(ROUNDUP(SUM($I$7:AU$7)*AU$7/Qtrs_Yr,0)=0,0,LOOKUP(ROUNDUP(SUM($I$7:AU$7)*AU$7/Qtrs_Yr,0),Inputs!$F$35:$I$35,Inputs!$F$36:$I$36))/Thousand/Qtrs_Yr)*IF(ROUNDUP(SUM($I$7:AU$7)*AU$7/Qtrs_Yr,0)=0,0,LOOKUP(ROUNDUP(SUM($I$7:AU$7)*AU$7/Qtrs_Yr,0),Inputs!$F$41:$I$41,Inputs!$F$42:$I$42))/Grams_Oz*Inputs!$F$45)*LOOKUP(YEAR(AU$5),Inputs!$F$49:$I$49,Inputs!$F$50:$I$50)/Thousand
/LOOKUP(YEAR(AU$5),Inputs!$F$89:$I$89,Inputs!$F$90:$I$90)*Inputs!$F$97/(AU5-AT5))-(((Inputs!$F$64*(IF(ROUNDUP(SUM($J$7:AV$7)*AV$7/Qtrs_Yr,0)=0,0,LOOKUP(ROUNDUP(SUM($J$7:AV$7)*AV$7/Qtrs_Yr,0),Inputs!$F$35:$I$35,Inputs!$F$36:$I$36))/Thousand/Qtrs_Yr+IF(ROUNDUP(SUM($J$7:AV$7)*AV$7/Qtrs_Yr,0)=0,0,LOOKUP(ROUNDUP(SUM($J$7:AV$7)*AV$7/Qtrs_Yr,0),Inputs!$F$35:$I$35,Inputs!$F$38:$I$38)*LOOKUP(ROUNDUP(SUM($J$7:AV$7)*AV$7/Qtrs_Yr,0),Inputs!$F$35:$I$35,Inputs!$F$36:$I$36))/Thousand/Qtrs_Yr)+Inputs!$F$65*(IF(ROUNDUP(SUM($J$7:AV$7)*AV$7/Qtrs_Yr,0)=0,0,LOOKUP(ROUNDUP(SUM($J$7:AV$7)*AV$7/Qtrs_Yr,0),Inputs!$F$35:$I$35,Inputs!$F$36:$I$36))/Thousand/Qtrs_Yr)+Inputs!$F$66*(IF(ROUNDUP(SUM($J$7:AV$7)*AV$7/Qtrs_Yr,0)=0,0,LOOKUP(ROUNDUP(SUM($J$7:AV$7)*AV$7/Qtrs_Yr,0),Inputs!$F$35:$I$35,Inputs!$F$38:$I$38)*LOOKUP(ROUNDUP(SUM($J$7:AV$7)*AV$7/Qtrs_Yr,0),Inputs!$F$35:$I$35,Inputs!$F$36:$I$36))/Thousand/Qtrs_Yr))/Thousand+SUM(Inputs!$F$54:$F$61)*AV$7/Qtrs_Yr)*(1+LOOKUP(YEAR(AV$5),Inputs!$F$93:$I$93,Inputs!$F$94:$I$94)/Qtrs_Yr)^(COUNT($J$7:AV7))*(AV5-AU5-Inputs!$F$98)/(AV5-AU5)+((Inputs!$F$64*(IF(ROUNDUP(SUM($I$7:AU$7)*AU$7/Qtrs_Yr,0)=0,0,LOOKUP(ROUNDUP(SUM($I$7:AU$7)*AU$7/Qtrs_Yr,0),Inputs!$F$35:$I$35,Inputs!$F$36:$I$36))/Thousand/Qtrs_Yr+IF(ROUNDUP(SUM($I$7:AU$7)*AU$7/Qtrs_Yr,0)=0,0,LOOKUP(ROUNDUP(SUM($I$7:AU$7)*AU$7/Qtrs_Yr,0),Inputs!$F$35:$I$35,Inputs!$F$38:$I$38)*LOOKUP(ROUNDUP(SUM($I$7:AU$7)*AU$7/Qtrs_Yr,0),Inputs!$F$35:$I$35,Inputs!$F$36:$I$36))/Thousand/Qtrs_Yr)+Inputs!$F$65*(IF(ROUNDUP(SUM($I$7:AU$7)*AU$7/Qtrs_Yr,0)=0,0,LOOKUP(ROUNDUP(SUM($I$7:AU$7)*AU$7/Qtrs_Yr,0),Inputs!$F$35:$I$35,Inputs!$F$36:$I$36))/Thousand/Qtrs_Yr)+Inputs!$F$66*(IF(ROUNDUP(SUM($I$7:AU$7)*AU$7/Qtrs_Yr,0)=0,0,LOOKUP(ROUNDUP(SUM($I$7:AU$7)*AU$7/Qtrs_Yr,0),Inputs!$F$35:$I$35,Inputs!$F$38:$I$38)*LOOKUP(ROUNDUP(SUM($I$7:AU$7)*AU$7/Qtrs_Yr,0),Inputs!$F$35:$I$35,Inputs!$F$36:$I$36))/Thousand/Qtrs_Yr))/Thousand+SUM(Inputs!$F$54:$F$61)*AU$7/Qtrs_Yr)*(1+LOOKUP(YEAR(AV$5),Inputs!$F$93:$I$93,Inputs!$F$94:$I$94)/Qtrs_Yr)^(COUNT($I$7:AU7))*Inputs!$F$98/(AU5-AT5))-(((IF(ROUNDUP(SUM($J$7:AV$7)*AV$7/Qtrs_Yr,0)=0,0,LOOKUP(ROUNDUP(SUM($J$7:AV$7)*AV$7/Qtrs_Yr,0),Inputs!$F$35:$I$35,Inputs!$F$36:$I$36))/Thousand/Qtrs_Yr)*IF(ROUNDUP(SUM($J$7:AV$7)*AV$7/Qtrs_Yr,0)=0,0,LOOKUP(ROUNDUP(SUM($J$7:AV$7)*AV$7/Qtrs_Yr,0),Inputs!$F$41:$I$41,Inputs!$F$42:$I$42))/Grams_Oz*Inputs!$F$45)*LOOKUP(YEAR(AV$5),Inputs!$F$49:$I$49,Inputs!$F$50:$I$50)/Thousand
/LOOKUP(YEAR(AV$5),Inputs!$F$89:$I$89,Inputs!$F$90:$I$90)-((Inputs!$F$64*(IF(ROUNDUP(SUM($J$7:AV$7)*AV$7/Qtrs_Yr,0)=0,0,LOOKUP(ROUNDUP(SUM($J$7:AV$7)*AV$7/Qtrs_Yr,0),Inputs!$F$35:$I$35,Inputs!$F$36:$I$36))/Thousand/Qtrs_Yr+IF(ROUNDUP(SUM($J$7:AV$7)*AV$7/Qtrs_Yr,0)=0,0,LOOKUP(ROUNDUP(SUM($J$7:AV$7)*AV$7/Qtrs_Yr,0),Inputs!$F$35:$I$35,Inputs!$F$38:$I$38)*LOOKUP(ROUNDUP(SUM($J$7:AV$7)*AV$7/Qtrs_Yr,0),Inputs!$F$35:$I$35,Inputs!$F$36:$I$36))/Thousand/Qtrs_Yr)+Inputs!$F$65*(IF(ROUNDUP(SUM($J$7:AV$7)*AV$7/Qtrs_Yr,0)=0,0,LOOKUP(ROUNDUP(SUM($J$7:AV$7)*AV$7/Qtrs_Yr,0),Inputs!$F$35:$I$35,Inputs!$F$36:$I$36))/Thousand/Qtrs_Yr)+Inputs!$F$66*(IF(ROUNDUP(SUM($J$7:AV$7)*AV$7/Qtrs_Yr,0)=0,0,LOOKUP(ROUNDUP(SUM($J$7:AV$7)*AV$7/Qtrs_Yr,0),Inputs!$F$35:$I$35,Inputs!$F$38:$I$38)*LOOKUP(ROUNDUP(SUM($J$7:AV$7)*AV$7/Qtrs_Yr,0),Inputs!$F$35:$I$35,Inputs!$F$36:$I$36))/Thousand/Qtrs_Yr))/Thousand+SUM(Inputs!$F$54:$F$61)*AV$7/Qtrs_Yr)*(1+LOOKUP(YEAR(AV$5),Inputs!$F$93:$I$93,Inputs!$F$94:$I$94)/Qtrs_Yr)^(COUNT($J$7:AV7))-Inputs!$E$29*(1+Inputs!$E$31)*AV$7/Inputs!$E$16/Qtrs_Yr-IF(OR(AV$7=0,SUM($J7:AV7)*AV7&gt;Inputs!$F$77*Qtrs_Yr),0,(Inputs!$F$71-SUM($J7:AV7,-1)*AV7*Inputs!$F$71/Inputs!$F$77/Qtrs_Yr)*(LOOKUP(YEAR(AW$5),Inputs!$F$85:$I$85,Inputs!$F$86:$I$86)+LOOKUP(ROUNDUP(SUM($J7:AW7)*AW7/Qtrs_Yr,0),Inputs!$G$73:$J$73,Inputs!$G$74:$J$74))/Qtrs_Yr))*Inputs!$F$101)/(IF(OR(AV$7=0,SUM($J7:AV7)*AV7&gt;Inputs!$F$77*Qtrs_Yr),0,(Inputs!$F$71-SUM($J7:AV7,-1)*AV7*Inputs!$F$71/Inputs!$F$77/Qtrs_Yr)*(LOOKUP(YEAR(AW$5),Inputs!$F$85:$I$85,Inputs!$F$86:$I$86)+LOOKUP(ROUNDUP(SUM($J7:AW7)*AW7/Qtrs_Yr,0),Inputs!$G$73:$J$73,Inputs!$G$74:$J$74))/Qtrs_Yr)+IF(OR(AV$7=0,SUM($J7:AV7)*AV7&gt;Inputs!$F$77*Qtrs_Yr),0,Inputs!$F$71/Inputs!$F$77/Qtrs_Yr)))</f>
        <v>0</v>
      </c>
      <c r="AW14" s="75">
        <f>IF((IF(OR(AW$7=0,SUM($J7:AW7)*AW7&gt;Inputs!$F$77*Qtrs_Yr),0,(Inputs!$F$71-SUM($J7:AW7,-1)*AW7*Inputs!$F$71/Inputs!$F$77/Qtrs_Yr)*(LOOKUP(YEAR(AX$5),Inputs!$F$85:$I$85,Inputs!$F$86:$I$86)+LOOKUP(ROUNDUP(SUM($J7:AX7)*AX7/Qtrs_Yr,0),Inputs!$G$73:$J$73,Inputs!$G$74:$J$74))/Qtrs_Yr)+IF(OR(AW$7=0,SUM($J7:AW7)*AW7&gt;Inputs!$F$77*Qtrs_Yr),0,Inputs!$F$71/Inputs!$F$77/Qtrs_Yr))=0,0,((((IF(ROUNDUP(SUM($J$7:AW$7)*AW$7/Qtrs_Yr,0)=0,0,LOOKUP(ROUNDUP(SUM($J$7:AW$7)*AW$7/Qtrs_Yr,0),Inputs!$F$35:$I$35,Inputs!$F$36:$I$36))/Thousand/Qtrs_Yr)*IF(ROUNDUP(SUM($J$7:AW$7)*AW$7/Qtrs_Yr,0)=0,0,LOOKUP(ROUNDUP(SUM($J$7:AW$7)*AW$7/Qtrs_Yr,0),Inputs!$F$41:$I$41,Inputs!$F$42:$I$42))/Grams_Oz*Inputs!$F$45)*LOOKUP(YEAR(AW$5),Inputs!$F$49:$I$49,Inputs!$F$50:$I$50)/Thousand/LOOKUP(YEAR(AW$5),Inputs!$F$89:$I$89,Inputs!$F$90:$I$90)*(AW5-AV5-Inputs!$F$97)/(AW5-AV5)+((IF(ROUNDUP(SUM($I$7:AV$7)*AV$7/Qtrs_Yr,0)=0,0,LOOKUP(ROUNDUP(SUM($I$7:AV$7)*AV$7/Qtrs_Yr,0),Inputs!$F$35:$I$35,Inputs!$F$36:$I$36))/Thousand/Qtrs_Yr)*IF(ROUNDUP(SUM($I$7:AV$7)*AV$7/Qtrs_Yr,0)=0,0,LOOKUP(ROUNDUP(SUM($I$7:AV$7)*AV$7/Qtrs_Yr,0),Inputs!$F$41:$I$41,Inputs!$F$42:$I$42))/Grams_Oz*Inputs!$F$45)*LOOKUP(YEAR(AV$5),Inputs!$F$49:$I$49,Inputs!$F$50:$I$50)/Thousand
/LOOKUP(YEAR(AV$5),Inputs!$F$89:$I$89,Inputs!$F$90:$I$90)*Inputs!$F$97/(AV5-AU5))-(((Inputs!$F$64*(IF(ROUNDUP(SUM($J$7:AW$7)*AW$7/Qtrs_Yr,0)=0,0,LOOKUP(ROUNDUP(SUM($J$7:AW$7)*AW$7/Qtrs_Yr,0),Inputs!$F$35:$I$35,Inputs!$F$36:$I$36))/Thousand/Qtrs_Yr+IF(ROUNDUP(SUM($J$7:AW$7)*AW$7/Qtrs_Yr,0)=0,0,LOOKUP(ROUNDUP(SUM($J$7:AW$7)*AW$7/Qtrs_Yr,0),Inputs!$F$35:$I$35,Inputs!$F$38:$I$38)*LOOKUP(ROUNDUP(SUM($J$7:AW$7)*AW$7/Qtrs_Yr,0),Inputs!$F$35:$I$35,Inputs!$F$36:$I$36))/Thousand/Qtrs_Yr)+Inputs!$F$65*(IF(ROUNDUP(SUM($J$7:AW$7)*AW$7/Qtrs_Yr,0)=0,0,LOOKUP(ROUNDUP(SUM($J$7:AW$7)*AW$7/Qtrs_Yr,0),Inputs!$F$35:$I$35,Inputs!$F$36:$I$36))/Thousand/Qtrs_Yr)+Inputs!$F$66*(IF(ROUNDUP(SUM($J$7:AW$7)*AW$7/Qtrs_Yr,0)=0,0,LOOKUP(ROUNDUP(SUM($J$7:AW$7)*AW$7/Qtrs_Yr,0),Inputs!$F$35:$I$35,Inputs!$F$38:$I$38)*LOOKUP(ROUNDUP(SUM($J$7:AW$7)*AW$7/Qtrs_Yr,0),Inputs!$F$35:$I$35,Inputs!$F$36:$I$36))/Thousand/Qtrs_Yr))/Thousand+SUM(Inputs!$F$54:$F$61)*AW$7/Qtrs_Yr)*(1+LOOKUP(YEAR(AW$5),Inputs!$F$93:$I$93,Inputs!$F$94:$I$94)/Qtrs_Yr)^(COUNT($J$7:AW7))*(AW5-AV5-Inputs!$F$98)/(AW5-AV5)+((Inputs!$F$64*(IF(ROUNDUP(SUM($I$7:AV$7)*AV$7/Qtrs_Yr,0)=0,0,LOOKUP(ROUNDUP(SUM($I$7:AV$7)*AV$7/Qtrs_Yr,0),Inputs!$F$35:$I$35,Inputs!$F$36:$I$36))/Thousand/Qtrs_Yr+IF(ROUNDUP(SUM($I$7:AV$7)*AV$7/Qtrs_Yr,0)=0,0,LOOKUP(ROUNDUP(SUM($I$7:AV$7)*AV$7/Qtrs_Yr,0),Inputs!$F$35:$I$35,Inputs!$F$38:$I$38)*LOOKUP(ROUNDUP(SUM($I$7:AV$7)*AV$7/Qtrs_Yr,0),Inputs!$F$35:$I$35,Inputs!$F$36:$I$36))/Thousand/Qtrs_Yr)+Inputs!$F$65*(IF(ROUNDUP(SUM($I$7:AV$7)*AV$7/Qtrs_Yr,0)=0,0,LOOKUP(ROUNDUP(SUM($I$7:AV$7)*AV$7/Qtrs_Yr,0),Inputs!$F$35:$I$35,Inputs!$F$36:$I$36))/Thousand/Qtrs_Yr)+Inputs!$F$66*(IF(ROUNDUP(SUM($I$7:AV$7)*AV$7/Qtrs_Yr,0)=0,0,LOOKUP(ROUNDUP(SUM($I$7:AV$7)*AV$7/Qtrs_Yr,0),Inputs!$F$35:$I$35,Inputs!$F$38:$I$38)*LOOKUP(ROUNDUP(SUM($I$7:AV$7)*AV$7/Qtrs_Yr,0),Inputs!$F$35:$I$35,Inputs!$F$36:$I$36))/Thousand/Qtrs_Yr))/Thousand+SUM(Inputs!$F$54:$F$61)*AV$7/Qtrs_Yr)*(1+LOOKUP(YEAR(AW$5),Inputs!$F$93:$I$93,Inputs!$F$94:$I$94)/Qtrs_Yr)^(COUNT($I$7:AV7))*Inputs!$F$98/(AV5-AU5))-(((IF(ROUNDUP(SUM($J$7:AW$7)*AW$7/Qtrs_Yr,0)=0,0,LOOKUP(ROUNDUP(SUM($J$7:AW$7)*AW$7/Qtrs_Yr,0),Inputs!$F$35:$I$35,Inputs!$F$36:$I$36))/Thousand/Qtrs_Yr)*IF(ROUNDUP(SUM($J$7:AW$7)*AW$7/Qtrs_Yr,0)=0,0,LOOKUP(ROUNDUP(SUM($J$7:AW$7)*AW$7/Qtrs_Yr,0),Inputs!$F$41:$I$41,Inputs!$F$42:$I$42))/Grams_Oz*Inputs!$F$45)*LOOKUP(YEAR(AW$5),Inputs!$F$49:$I$49,Inputs!$F$50:$I$50)/Thousand
/LOOKUP(YEAR(AW$5),Inputs!$F$89:$I$89,Inputs!$F$90:$I$90)-((Inputs!$F$64*(IF(ROUNDUP(SUM($J$7:AW$7)*AW$7/Qtrs_Yr,0)=0,0,LOOKUP(ROUNDUP(SUM($J$7:AW$7)*AW$7/Qtrs_Yr,0),Inputs!$F$35:$I$35,Inputs!$F$36:$I$36))/Thousand/Qtrs_Yr+IF(ROUNDUP(SUM($J$7:AW$7)*AW$7/Qtrs_Yr,0)=0,0,LOOKUP(ROUNDUP(SUM($J$7:AW$7)*AW$7/Qtrs_Yr,0),Inputs!$F$35:$I$35,Inputs!$F$38:$I$38)*LOOKUP(ROUNDUP(SUM($J$7:AW$7)*AW$7/Qtrs_Yr,0),Inputs!$F$35:$I$35,Inputs!$F$36:$I$36))/Thousand/Qtrs_Yr)+Inputs!$F$65*(IF(ROUNDUP(SUM($J$7:AW$7)*AW$7/Qtrs_Yr,0)=0,0,LOOKUP(ROUNDUP(SUM($J$7:AW$7)*AW$7/Qtrs_Yr,0),Inputs!$F$35:$I$35,Inputs!$F$36:$I$36))/Thousand/Qtrs_Yr)+Inputs!$F$66*(IF(ROUNDUP(SUM($J$7:AW$7)*AW$7/Qtrs_Yr,0)=0,0,LOOKUP(ROUNDUP(SUM($J$7:AW$7)*AW$7/Qtrs_Yr,0),Inputs!$F$35:$I$35,Inputs!$F$38:$I$38)*LOOKUP(ROUNDUP(SUM($J$7:AW$7)*AW$7/Qtrs_Yr,0),Inputs!$F$35:$I$35,Inputs!$F$36:$I$36))/Thousand/Qtrs_Yr))/Thousand+SUM(Inputs!$F$54:$F$61)*AW$7/Qtrs_Yr)*(1+LOOKUP(YEAR(AW$5),Inputs!$F$93:$I$93,Inputs!$F$94:$I$94)/Qtrs_Yr)^(COUNT($J$7:AW7))-Inputs!$E$29*(1+Inputs!$E$31)*AW$7/Inputs!$E$16/Qtrs_Yr-IF(OR(AW$7=0,SUM($J7:AW7)*AW7&gt;Inputs!$F$77*Qtrs_Yr),0,(Inputs!$F$71-SUM($J7:AW7,-1)*AW7*Inputs!$F$71/Inputs!$F$77/Qtrs_Yr)*(LOOKUP(YEAR(AX$5),Inputs!$F$85:$I$85,Inputs!$F$86:$I$86)+LOOKUP(ROUNDUP(SUM($J7:AX7)*AX7/Qtrs_Yr,0),Inputs!$G$73:$J$73,Inputs!$G$74:$J$74))/Qtrs_Yr))*Inputs!$F$101)/(IF(OR(AW$7=0,SUM($J7:AW7)*AW7&gt;Inputs!$F$77*Qtrs_Yr),0,(Inputs!$F$71-SUM($J7:AW7,-1)*AW7*Inputs!$F$71/Inputs!$F$77/Qtrs_Yr)*(LOOKUP(YEAR(AX$5),Inputs!$F$85:$I$85,Inputs!$F$86:$I$86)+LOOKUP(ROUNDUP(SUM($J7:AX7)*AX7/Qtrs_Yr,0),Inputs!$G$73:$J$73,Inputs!$G$74:$J$74))/Qtrs_Yr)+IF(OR(AW$7=0,SUM($J7:AW7)*AW7&gt;Inputs!$F$77*Qtrs_Yr),0,Inputs!$F$71/Inputs!$F$77/Qtrs_Yr)))</f>
        <v>0</v>
      </c>
      <c r="AX14" s="75">
        <f>IF((IF(OR(AX$7=0,SUM($J7:AX7)*AX7&gt;Inputs!$F$77*Qtrs_Yr),0,(Inputs!$F$71-SUM($J7:AX7,-1)*AX7*Inputs!$F$71/Inputs!$F$77/Qtrs_Yr)*(LOOKUP(YEAR(AY$5),Inputs!$F$85:$I$85,Inputs!$F$86:$I$86)+LOOKUP(ROUNDUP(SUM($J7:AY7)*AY7/Qtrs_Yr,0),Inputs!$G$73:$J$73,Inputs!$G$74:$J$74))/Qtrs_Yr)+IF(OR(AX$7=0,SUM($J7:AX7)*AX7&gt;Inputs!$F$77*Qtrs_Yr),0,Inputs!$F$71/Inputs!$F$77/Qtrs_Yr))=0,0,((((IF(ROUNDUP(SUM($J$7:AX$7)*AX$7/Qtrs_Yr,0)=0,0,LOOKUP(ROUNDUP(SUM($J$7:AX$7)*AX$7/Qtrs_Yr,0),Inputs!$F$35:$I$35,Inputs!$F$36:$I$36))/Thousand/Qtrs_Yr)*IF(ROUNDUP(SUM($J$7:AX$7)*AX$7/Qtrs_Yr,0)=0,0,LOOKUP(ROUNDUP(SUM($J$7:AX$7)*AX$7/Qtrs_Yr,0),Inputs!$F$41:$I$41,Inputs!$F$42:$I$42))/Grams_Oz*Inputs!$F$45)*LOOKUP(YEAR(AX$5),Inputs!$F$49:$I$49,Inputs!$F$50:$I$50)/Thousand/LOOKUP(YEAR(AX$5),Inputs!$F$89:$I$89,Inputs!$F$90:$I$90)*(AX5-AW5-Inputs!$F$97)/(AX5-AW5)+((IF(ROUNDUP(SUM($I$7:AW$7)*AW$7/Qtrs_Yr,0)=0,0,LOOKUP(ROUNDUP(SUM($I$7:AW$7)*AW$7/Qtrs_Yr,0),Inputs!$F$35:$I$35,Inputs!$F$36:$I$36))/Thousand/Qtrs_Yr)*IF(ROUNDUP(SUM($I$7:AW$7)*AW$7/Qtrs_Yr,0)=0,0,LOOKUP(ROUNDUP(SUM($I$7:AW$7)*AW$7/Qtrs_Yr,0),Inputs!$F$41:$I$41,Inputs!$F$42:$I$42))/Grams_Oz*Inputs!$F$45)*LOOKUP(YEAR(AW$5),Inputs!$F$49:$I$49,Inputs!$F$50:$I$50)/Thousand
/LOOKUP(YEAR(AW$5),Inputs!$F$89:$I$89,Inputs!$F$90:$I$90)*Inputs!$F$97/(AW5-AV5))-(((Inputs!$F$64*(IF(ROUNDUP(SUM($J$7:AX$7)*AX$7/Qtrs_Yr,0)=0,0,LOOKUP(ROUNDUP(SUM($J$7:AX$7)*AX$7/Qtrs_Yr,0),Inputs!$F$35:$I$35,Inputs!$F$36:$I$36))/Thousand/Qtrs_Yr+IF(ROUNDUP(SUM($J$7:AX$7)*AX$7/Qtrs_Yr,0)=0,0,LOOKUP(ROUNDUP(SUM($J$7:AX$7)*AX$7/Qtrs_Yr,0),Inputs!$F$35:$I$35,Inputs!$F$38:$I$38)*LOOKUP(ROUNDUP(SUM($J$7:AX$7)*AX$7/Qtrs_Yr,0),Inputs!$F$35:$I$35,Inputs!$F$36:$I$36))/Thousand/Qtrs_Yr)+Inputs!$F$65*(IF(ROUNDUP(SUM($J$7:AX$7)*AX$7/Qtrs_Yr,0)=0,0,LOOKUP(ROUNDUP(SUM($J$7:AX$7)*AX$7/Qtrs_Yr,0),Inputs!$F$35:$I$35,Inputs!$F$36:$I$36))/Thousand/Qtrs_Yr)+Inputs!$F$66*(IF(ROUNDUP(SUM($J$7:AX$7)*AX$7/Qtrs_Yr,0)=0,0,LOOKUP(ROUNDUP(SUM($J$7:AX$7)*AX$7/Qtrs_Yr,0),Inputs!$F$35:$I$35,Inputs!$F$38:$I$38)*LOOKUP(ROUNDUP(SUM($J$7:AX$7)*AX$7/Qtrs_Yr,0),Inputs!$F$35:$I$35,Inputs!$F$36:$I$36))/Thousand/Qtrs_Yr))/Thousand+SUM(Inputs!$F$54:$F$61)*AX$7/Qtrs_Yr)*(1+LOOKUP(YEAR(AX$5),Inputs!$F$93:$I$93,Inputs!$F$94:$I$94)/Qtrs_Yr)^(COUNT($J$7:AX7))*(AX5-AW5-Inputs!$F$98)/(AX5-AW5)+((Inputs!$F$64*(IF(ROUNDUP(SUM($I$7:AW$7)*AW$7/Qtrs_Yr,0)=0,0,LOOKUP(ROUNDUP(SUM($I$7:AW$7)*AW$7/Qtrs_Yr,0),Inputs!$F$35:$I$35,Inputs!$F$36:$I$36))/Thousand/Qtrs_Yr+IF(ROUNDUP(SUM($I$7:AW$7)*AW$7/Qtrs_Yr,0)=0,0,LOOKUP(ROUNDUP(SUM($I$7:AW$7)*AW$7/Qtrs_Yr,0),Inputs!$F$35:$I$35,Inputs!$F$38:$I$38)*LOOKUP(ROUNDUP(SUM($I$7:AW$7)*AW$7/Qtrs_Yr,0),Inputs!$F$35:$I$35,Inputs!$F$36:$I$36))/Thousand/Qtrs_Yr)+Inputs!$F$65*(IF(ROUNDUP(SUM($I$7:AW$7)*AW$7/Qtrs_Yr,0)=0,0,LOOKUP(ROUNDUP(SUM($I$7:AW$7)*AW$7/Qtrs_Yr,0),Inputs!$F$35:$I$35,Inputs!$F$36:$I$36))/Thousand/Qtrs_Yr)+Inputs!$F$66*(IF(ROUNDUP(SUM($I$7:AW$7)*AW$7/Qtrs_Yr,0)=0,0,LOOKUP(ROUNDUP(SUM($I$7:AW$7)*AW$7/Qtrs_Yr,0),Inputs!$F$35:$I$35,Inputs!$F$38:$I$38)*LOOKUP(ROUNDUP(SUM($I$7:AW$7)*AW$7/Qtrs_Yr,0),Inputs!$F$35:$I$35,Inputs!$F$36:$I$36))/Thousand/Qtrs_Yr))/Thousand+SUM(Inputs!$F$54:$F$61)*AW$7/Qtrs_Yr)*(1+LOOKUP(YEAR(AX$5),Inputs!$F$93:$I$93,Inputs!$F$94:$I$94)/Qtrs_Yr)^(COUNT($I$7:AW7))*Inputs!$F$98/(AW5-AV5))-(((IF(ROUNDUP(SUM($J$7:AX$7)*AX$7/Qtrs_Yr,0)=0,0,LOOKUP(ROUNDUP(SUM($J$7:AX$7)*AX$7/Qtrs_Yr,0),Inputs!$F$35:$I$35,Inputs!$F$36:$I$36))/Thousand/Qtrs_Yr)*IF(ROUNDUP(SUM($J$7:AX$7)*AX$7/Qtrs_Yr,0)=0,0,LOOKUP(ROUNDUP(SUM($J$7:AX$7)*AX$7/Qtrs_Yr,0),Inputs!$F$41:$I$41,Inputs!$F$42:$I$42))/Grams_Oz*Inputs!$F$45)*LOOKUP(YEAR(AX$5),Inputs!$F$49:$I$49,Inputs!$F$50:$I$50)/Thousand
/LOOKUP(YEAR(AX$5),Inputs!$F$89:$I$89,Inputs!$F$90:$I$90)-((Inputs!$F$64*(IF(ROUNDUP(SUM($J$7:AX$7)*AX$7/Qtrs_Yr,0)=0,0,LOOKUP(ROUNDUP(SUM($J$7:AX$7)*AX$7/Qtrs_Yr,0),Inputs!$F$35:$I$35,Inputs!$F$36:$I$36))/Thousand/Qtrs_Yr+IF(ROUNDUP(SUM($J$7:AX$7)*AX$7/Qtrs_Yr,0)=0,0,LOOKUP(ROUNDUP(SUM($J$7:AX$7)*AX$7/Qtrs_Yr,0),Inputs!$F$35:$I$35,Inputs!$F$38:$I$38)*LOOKUP(ROUNDUP(SUM($J$7:AX$7)*AX$7/Qtrs_Yr,0),Inputs!$F$35:$I$35,Inputs!$F$36:$I$36))/Thousand/Qtrs_Yr)+Inputs!$F$65*(IF(ROUNDUP(SUM($J$7:AX$7)*AX$7/Qtrs_Yr,0)=0,0,LOOKUP(ROUNDUP(SUM($J$7:AX$7)*AX$7/Qtrs_Yr,0),Inputs!$F$35:$I$35,Inputs!$F$36:$I$36))/Thousand/Qtrs_Yr)+Inputs!$F$66*(IF(ROUNDUP(SUM($J$7:AX$7)*AX$7/Qtrs_Yr,0)=0,0,LOOKUP(ROUNDUP(SUM($J$7:AX$7)*AX$7/Qtrs_Yr,0),Inputs!$F$35:$I$35,Inputs!$F$38:$I$38)*LOOKUP(ROUNDUP(SUM($J$7:AX$7)*AX$7/Qtrs_Yr,0),Inputs!$F$35:$I$35,Inputs!$F$36:$I$36))/Thousand/Qtrs_Yr))/Thousand+SUM(Inputs!$F$54:$F$61)*AX$7/Qtrs_Yr)*(1+LOOKUP(YEAR(AX$5),Inputs!$F$93:$I$93,Inputs!$F$94:$I$94)/Qtrs_Yr)^(COUNT($J$7:AX7))-Inputs!$E$29*(1+Inputs!$E$31)*AX$7/Inputs!$E$16/Qtrs_Yr-IF(OR(AX$7=0,SUM($J7:AX7)*AX7&gt;Inputs!$F$77*Qtrs_Yr),0,(Inputs!$F$71-SUM($J7:AX7,-1)*AX7*Inputs!$F$71/Inputs!$F$77/Qtrs_Yr)*(LOOKUP(YEAR(AY$5),Inputs!$F$85:$I$85,Inputs!$F$86:$I$86)+LOOKUP(ROUNDUP(SUM($J7:AY7)*AY7/Qtrs_Yr,0),Inputs!$G$73:$J$73,Inputs!$G$74:$J$74))/Qtrs_Yr))*Inputs!$F$101)/(IF(OR(AX$7=0,SUM($J7:AX7)*AX7&gt;Inputs!$F$77*Qtrs_Yr),0,(Inputs!$F$71-SUM($J7:AX7,-1)*AX7*Inputs!$F$71/Inputs!$F$77/Qtrs_Yr)*(LOOKUP(YEAR(AY$5),Inputs!$F$85:$I$85,Inputs!$F$86:$I$86)+LOOKUP(ROUNDUP(SUM($J7:AY7)*AY7/Qtrs_Yr,0),Inputs!$G$73:$J$73,Inputs!$G$74:$J$74))/Qtrs_Yr)+IF(OR(AX$7=0,SUM($J7:AX7)*AX7&gt;Inputs!$F$77*Qtrs_Yr),0,Inputs!$F$71/Inputs!$F$77/Qtrs_Yr)))</f>
        <v>0</v>
      </c>
      <c r="AY14" s="75">
        <f>IF((IF(OR(AY$7=0,SUM($J7:AY7)*AY7&gt;Inputs!$F$77*Qtrs_Yr),0,(Inputs!$F$71-SUM($J7:AY7,-1)*AY7*Inputs!$F$71/Inputs!$F$77/Qtrs_Yr)*(LOOKUP(YEAR(AZ$5),Inputs!$F$85:$I$85,Inputs!$F$86:$I$86)+LOOKUP(ROUNDUP(SUM($J7:AZ7)*AZ7/Qtrs_Yr,0),Inputs!$G$73:$J$73,Inputs!$G$74:$J$74))/Qtrs_Yr)+IF(OR(AY$7=0,SUM($J7:AY7)*AY7&gt;Inputs!$F$77*Qtrs_Yr),0,Inputs!$F$71/Inputs!$F$77/Qtrs_Yr))=0,0,((((IF(ROUNDUP(SUM($J$7:AY$7)*AY$7/Qtrs_Yr,0)=0,0,LOOKUP(ROUNDUP(SUM($J$7:AY$7)*AY$7/Qtrs_Yr,0),Inputs!$F$35:$I$35,Inputs!$F$36:$I$36))/Thousand/Qtrs_Yr)*IF(ROUNDUP(SUM($J$7:AY$7)*AY$7/Qtrs_Yr,0)=0,0,LOOKUP(ROUNDUP(SUM($J$7:AY$7)*AY$7/Qtrs_Yr,0),Inputs!$F$41:$I$41,Inputs!$F$42:$I$42))/Grams_Oz*Inputs!$F$45)*LOOKUP(YEAR(AY$5),Inputs!$F$49:$I$49,Inputs!$F$50:$I$50)/Thousand/LOOKUP(YEAR(AY$5),Inputs!$F$89:$I$89,Inputs!$F$90:$I$90)*(AY5-AX5-Inputs!$F$97)/(AY5-AX5)+((IF(ROUNDUP(SUM($I$7:AX$7)*AX$7/Qtrs_Yr,0)=0,0,LOOKUP(ROUNDUP(SUM($I$7:AX$7)*AX$7/Qtrs_Yr,0),Inputs!$F$35:$I$35,Inputs!$F$36:$I$36))/Thousand/Qtrs_Yr)*IF(ROUNDUP(SUM($I$7:AX$7)*AX$7/Qtrs_Yr,0)=0,0,LOOKUP(ROUNDUP(SUM($I$7:AX$7)*AX$7/Qtrs_Yr,0),Inputs!$F$41:$I$41,Inputs!$F$42:$I$42))/Grams_Oz*Inputs!$F$45)*LOOKUP(YEAR(AX$5),Inputs!$F$49:$I$49,Inputs!$F$50:$I$50)/Thousand
/LOOKUP(YEAR(AX$5),Inputs!$F$89:$I$89,Inputs!$F$90:$I$90)*Inputs!$F$97/(AX5-AW5))-(((Inputs!$F$64*(IF(ROUNDUP(SUM($J$7:AY$7)*AY$7/Qtrs_Yr,0)=0,0,LOOKUP(ROUNDUP(SUM($J$7:AY$7)*AY$7/Qtrs_Yr,0),Inputs!$F$35:$I$35,Inputs!$F$36:$I$36))/Thousand/Qtrs_Yr+IF(ROUNDUP(SUM($J$7:AY$7)*AY$7/Qtrs_Yr,0)=0,0,LOOKUP(ROUNDUP(SUM($J$7:AY$7)*AY$7/Qtrs_Yr,0),Inputs!$F$35:$I$35,Inputs!$F$38:$I$38)*LOOKUP(ROUNDUP(SUM($J$7:AY$7)*AY$7/Qtrs_Yr,0),Inputs!$F$35:$I$35,Inputs!$F$36:$I$36))/Thousand/Qtrs_Yr)+Inputs!$F$65*(IF(ROUNDUP(SUM($J$7:AY$7)*AY$7/Qtrs_Yr,0)=0,0,LOOKUP(ROUNDUP(SUM($J$7:AY$7)*AY$7/Qtrs_Yr,0),Inputs!$F$35:$I$35,Inputs!$F$36:$I$36))/Thousand/Qtrs_Yr)+Inputs!$F$66*(IF(ROUNDUP(SUM($J$7:AY$7)*AY$7/Qtrs_Yr,0)=0,0,LOOKUP(ROUNDUP(SUM($J$7:AY$7)*AY$7/Qtrs_Yr,0),Inputs!$F$35:$I$35,Inputs!$F$38:$I$38)*LOOKUP(ROUNDUP(SUM($J$7:AY$7)*AY$7/Qtrs_Yr,0),Inputs!$F$35:$I$35,Inputs!$F$36:$I$36))/Thousand/Qtrs_Yr))/Thousand+SUM(Inputs!$F$54:$F$61)*AY$7/Qtrs_Yr)*(1+LOOKUP(YEAR(AY$5),Inputs!$F$93:$I$93,Inputs!$F$94:$I$94)/Qtrs_Yr)^(COUNT($J$7:AY7))*(AY5-AX5-Inputs!$F$98)/(AY5-AX5)+((Inputs!$F$64*(IF(ROUNDUP(SUM($I$7:AX$7)*AX$7/Qtrs_Yr,0)=0,0,LOOKUP(ROUNDUP(SUM($I$7:AX$7)*AX$7/Qtrs_Yr,0),Inputs!$F$35:$I$35,Inputs!$F$36:$I$36))/Thousand/Qtrs_Yr+IF(ROUNDUP(SUM($I$7:AX$7)*AX$7/Qtrs_Yr,0)=0,0,LOOKUP(ROUNDUP(SUM($I$7:AX$7)*AX$7/Qtrs_Yr,0),Inputs!$F$35:$I$35,Inputs!$F$38:$I$38)*LOOKUP(ROUNDUP(SUM($I$7:AX$7)*AX$7/Qtrs_Yr,0),Inputs!$F$35:$I$35,Inputs!$F$36:$I$36))/Thousand/Qtrs_Yr)+Inputs!$F$65*(IF(ROUNDUP(SUM($I$7:AX$7)*AX$7/Qtrs_Yr,0)=0,0,LOOKUP(ROUNDUP(SUM($I$7:AX$7)*AX$7/Qtrs_Yr,0),Inputs!$F$35:$I$35,Inputs!$F$36:$I$36))/Thousand/Qtrs_Yr)+Inputs!$F$66*(IF(ROUNDUP(SUM($I$7:AX$7)*AX$7/Qtrs_Yr,0)=0,0,LOOKUP(ROUNDUP(SUM($I$7:AX$7)*AX$7/Qtrs_Yr,0),Inputs!$F$35:$I$35,Inputs!$F$38:$I$38)*LOOKUP(ROUNDUP(SUM($I$7:AX$7)*AX$7/Qtrs_Yr,0),Inputs!$F$35:$I$35,Inputs!$F$36:$I$36))/Thousand/Qtrs_Yr))/Thousand+SUM(Inputs!$F$54:$F$61)*AX$7/Qtrs_Yr)*(1+LOOKUP(YEAR(AY$5),Inputs!$F$93:$I$93,Inputs!$F$94:$I$94)/Qtrs_Yr)^(COUNT($I$7:AX7))*Inputs!$F$98/(AX5-AW5))-(((IF(ROUNDUP(SUM($J$7:AY$7)*AY$7/Qtrs_Yr,0)=0,0,LOOKUP(ROUNDUP(SUM($J$7:AY$7)*AY$7/Qtrs_Yr,0),Inputs!$F$35:$I$35,Inputs!$F$36:$I$36))/Thousand/Qtrs_Yr)*IF(ROUNDUP(SUM($J$7:AY$7)*AY$7/Qtrs_Yr,0)=0,0,LOOKUP(ROUNDUP(SUM($J$7:AY$7)*AY$7/Qtrs_Yr,0),Inputs!$F$41:$I$41,Inputs!$F$42:$I$42))/Grams_Oz*Inputs!$F$45)*LOOKUP(YEAR(AY$5),Inputs!$F$49:$I$49,Inputs!$F$50:$I$50)/Thousand
/LOOKUP(YEAR(AY$5),Inputs!$F$89:$I$89,Inputs!$F$90:$I$90)-((Inputs!$F$64*(IF(ROUNDUP(SUM($J$7:AY$7)*AY$7/Qtrs_Yr,0)=0,0,LOOKUP(ROUNDUP(SUM($J$7:AY$7)*AY$7/Qtrs_Yr,0),Inputs!$F$35:$I$35,Inputs!$F$36:$I$36))/Thousand/Qtrs_Yr+IF(ROUNDUP(SUM($J$7:AY$7)*AY$7/Qtrs_Yr,0)=0,0,LOOKUP(ROUNDUP(SUM($J$7:AY$7)*AY$7/Qtrs_Yr,0),Inputs!$F$35:$I$35,Inputs!$F$38:$I$38)*LOOKUP(ROUNDUP(SUM($J$7:AY$7)*AY$7/Qtrs_Yr,0),Inputs!$F$35:$I$35,Inputs!$F$36:$I$36))/Thousand/Qtrs_Yr)+Inputs!$F$65*(IF(ROUNDUP(SUM($J$7:AY$7)*AY$7/Qtrs_Yr,0)=0,0,LOOKUP(ROUNDUP(SUM($J$7:AY$7)*AY$7/Qtrs_Yr,0),Inputs!$F$35:$I$35,Inputs!$F$36:$I$36))/Thousand/Qtrs_Yr)+Inputs!$F$66*(IF(ROUNDUP(SUM($J$7:AY$7)*AY$7/Qtrs_Yr,0)=0,0,LOOKUP(ROUNDUP(SUM($J$7:AY$7)*AY$7/Qtrs_Yr,0),Inputs!$F$35:$I$35,Inputs!$F$38:$I$38)*LOOKUP(ROUNDUP(SUM($J$7:AY$7)*AY$7/Qtrs_Yr,0),Inputs!$F$35:$I$35,Inputs!$F$36:$I$36))/Thousand/Qtrs_Yr))/Thousand+SUM(Inputs!$F$54:$F$61)*AY$7/Qtrs_Yr)*(1+LOOKUP(YEAR(AY$5),Inputs!$F$93:$I$93,Inputs!$F$94:$I$94)/Qtrs_Yr)^(COUNT($J$7:AY7))-Inputs!$E$29*(1+Inputs!$E$31)*AY$7/Inputs!$E$16/Qtrs_Yr-IF(OR(AY$7=0,SUM($J7:AY7)*AY7&gt;Inputs!$F$77*Qtrs_Yr),0,(Inputs!$F$71-SUM($J7:AY7,-1)*AY7*Inputs!$F$71/Inputs!$F$77/Qtrs_Yr)*(LOOKUP(YEAR(AZ$5),Inputs!$F$85:$I$85,Inputs!$F$86:$I$86)+LOOKUP(ROUNDUP(SUM($J7:AZ7)*AZ7/Qtrs_Yr,0),Inputs!$G$73:$J$73,Inputs!$G$74:$J$74))/Qtrs_Yr))*Inputs!$F$101)/(IF(OR(AY$7=0,SUM($J7:AY7)*AY7&gt;Inputs!$F$77*Qtrs_Yr),0,(Inputs!$F$71-SUM($J7:AY7,-1)*AY7*Inputs!$F$71/Inputs!$F$77/Qtrs_Yr)*(LOOKUP(YEAR(AZ$5),Inputs!$F$85:$I$85,Inputs!$F$86:$I$86)+LOOKUP(ROUNDUP(SUM($J7:AZ7)*AZ7/Qtrs_Yr,0),Inputs!$G$73:$J$73,Inputs!$G$74:$J$74))/Qtrs_Yr)+IF(OR(AY$7=0,SUM($J7:AY7)*AY7&gt;Inputs!$F$77*Qtrs_Yr),0,Inputs!$F$71/Inputs!$F$77/Qtrs_Yr)))</f>
        <v>0</v>
      </c>
      <c r="AZ14" s="75">
        <f>IF((IF(OR(AZ$7=0,SUM($J7:AZ7)*AZ7&gt;Inputs!$F$77*Qtrs_Yr),0,(Inputs!$F$71-SUM($J7:AZ7,-1)*AZ7*Inputs!$F$71/Inputs!$F$77/Qtrs_Yr)*(LOOKUP(YEAR(BA$5),Inputs!$F$85:$I$85,Inputs!$F$86:$I$86)+LOOKUP(ROUNDUP(SUM($J7:BA7)*BA7/Qtrs_Yr,0),Inputs!$G$73:$J$73,Inputs!$G$74:$J$74))/Qtrs_Yr)+IF(OR(AZ$7=0,SUM($J7:AZ7)*AZ7&gt;Inputs!$F$77*Qtrs_Yr),0,Inputs!$F$71/Inputs!$F$77/Qtrs_Yr))=0,0,((((IF(ROUNDUP(SUM($J$7:AZ$7)*AZ$7/Qtrs_Yr,0)=0,0,LOOKUP(ROUNDUP(SUM($J$7:AZ$7)*AZ$7/Qtrs_Yr,0),Inputs!$F$35:$I$35,Inputs!$F$36:$I$36))/Thousand/Qtrs_Yr)*IF(ROUNDUP(SUM($J$7:AZ$7)*AZ$7/Qtrs_Yr,0)=0,0,LOOKUP(ROUNDUP(SUM($J$7:AZ$7)*AZ$7/Qtrs_Yr,0),Inputs!$F$41:$I$41,Inputs!$F$42:$I$42))/Grams_Oz*Inputs!$F$45)*LOOKUP(YEAR(AZ$5),Inputs!$F$49:$I$49,Inputs!$F$50:$I$50)/Thousand/LOOKUP(YEAR(AZ$5),Inputs!$F$89:$I$89,Inputs!$F$90:$I$90)*(AZ5-AY5-Inputs!$F$97)/(AZ5-AY5)+((IF(ROUNDUP(SUM($I$7:AY$7)*AY$7/Qtrs_Yr,0)=0,0,LOOKUP(ROUNDUP(SUM($I$7:AY$7)*AY$7/Qtrs_Yr,0),Inputs!$F$35:$I$35,Inputs!$F$36:$I$36))/Thousand/Qtrs_Yr)*IF(ROUNDUP(SUM($I$7:AY$7)*AY$7/Qtrs_Yr,0)=0,0,LOOKUP(ROUNDUP(SUM($I$7:AY$7)*AY$7/Qtrs_Yr,0),Inputs!$F$41:$I$41,Inputs!$F$42:$I$42))/Grams_Oz*Inputs!$F$45)*LOOKUP(YEAR(AY$5),Inputs!$F$49:$I$49,Inputs!$F$50:$I$50)/Thousand
/LOOKUP(YEAR(AY$5),Inputs!$F$89:$I$89,Inputs!$F$90:$I$90)*Inputs!$F$97/(AY5-AX5))-(((Inputs!$F$64*(IF(ROUNDUP(SUM($J$7:AZ$7)*AZ$7/Qtrs_Yr,0)=0,0,LOOKUP(ROUNDUP(SUM($J$7:AZ$7)*AZ$7/Qtrs_Yr,0),Inputs!$F$35:$I$35,Inputs!$F$36:$I$36))/Thousand/Qtrs_Yr+IF(ROUNDUP(SUM($J$7:AZ$7)*AZ$7/Qtrs_Yr,0)=0,0,LOOKUP(ROUNDUP(SUM($J$7:AZ$7)*AZ$7/Qtrs_Yr,0),Inputs!$F$35:$I$35,Inputs!$F$38:$I$38)*LOOKUP(ROUNDUP(SUM($J$7:AZ$7)*AZ$7/Qtrs_Yr,0),Inputs!$F$35:$I$35,Inputs!$F$36:$I$36))/Thousand/Qtrs_Yr)+Inputs!$F$65*(IF(ROUNDUP(SUM($J$7:AZ$7)*AZ$7/Qtrs_Yr,0)=0,0,LOOKUP(ROUNDUP(SUM($J$7:AZ$7)*AZ$7/Qtrs_Yr,0),Inputs!$F$35:$I$35,Inputs!$F$36:$I$36))/Thousand/Qtrs_Yr)+Inputs!$F$66*(IF(ROUNDUP(SUM($J$7:AZ$7)*AZ$7/Qtrs_Yr,0)=0,0,LOOKUP(ROUNDUP(SUM($J$7:AZ$7)*AZ$7/Qtrs_Yr,0),Inputs!$F$35:$I$35,Inputs!$F$38:$I$38)*LOOKUP(ROUNDUP(SUM($J$7:AZ$7)*AZ$7/Qtrs_Yr,0),Inputs!$F$35:$I$35,Inputs!$F$36:$I$36))/Thousand/Qtrs_Yr))/Thousand+SUM(Inputs!$F$54:$F$61)*AZ$7/Qtrs_Yr)*(1+LOOKUP(YEAR(AZ$5),Inputs!$F$93:$I$93,Inputs!$F$94:$I$94)/Qtrs_Yr)^(COUNT($J$7:AZ7))*(AZ5-AY5-Inputs!$F$98)/(AZ5-AY5)+((Inputs!$F$64*(IF(ROUNDUP(SUM($I$7:AY$7)*AY$7/Qtrs_Yr,0)=0,0,LOOKUP(ROUNDUP(SUM($I$7:AY$7)*AY$7/Qtrs_Yr,0),Inputs!$F$35:$I$35,Inputs!$F$36:$I$36))/Thousand/Qtrs_Yr+IF(ROUNDUP(SUM($I$7:AY$7)*AY$7/Qtrs_Yr,0)=0,0,LOOKUP(ROUNDUP(SUM($I$7:AY$7)*AY$7/Qtrs_Yr,0),Inputs!$F$35:$I$35,Inputs!$F$38:$I$38)*LOOKUP(ROUNDUP(SUM($I$7:AY$7)*AY$7/Qtrs_Yr,0),Inputs!$F$35:$I$35,Inputs!$F$36:$I$36))/Thousand/Qtrs_Yr)+Inputs!$F$65*(IF(ROUNDUP(SUM($I$7:AY$7)*AY$7/Qtrs_Yr,0)=0,0,LOOKUP(ROUNDUP(SUM($I$7:AY$7)*AY$7/Qtrs_Yr,0),Inputs!$F$35:$I$35,Inputs!$F$36:$I$36))/Thousand/Qtrs_Yr)+Inputs!$F$66*(IF(ROUNDUP(SUM($I$7:AY$7)*AY$7/Qtrs_Yr,0)=0,0,LOOKUP(ROUNDUP(SUM($I$7:AY$7)*AY$7/Qtrs_Yr,0),Inputs!$F$35:$I$35,Inputs!$F$38:$I$38)*LOOKUP(ROUNDUP(SUM($I$7:AY$7)*AY$7/Qtrs_Yr,0),Inputs!$F$35:$I$35,Inputs!$F$36:$I$36))/Thousand/Qtrs_Yr))/Thousand+SUM(Inputs!$F$54:$F$61)*AY$7/Qtrs_Yr)*(1+LOOKUP(YEAR(AZ$5),Inputs!$F$93:$I$93,Inputs!$F$94:$I$94)/Qtrs_Yr)^(COUNT($I$7:AY7))*Inputs!$F$98/(AY5-AX5))-(((IF(ROUNDUP(SUM($J$7:AZ$7)*AZ$7/Qtrs_Yr,0)=0,0,LOOKUP(ROUNDUP(SUM($J$7:AZ$7)*AZ$7/Qtrs_Yr,0),Inputs!$F$35:$I$35,Inputs!$F$36:$I$36))/Thousand/Qtrs_Yr)*IF(ROUNDUP(SUM($J$7:AZ$7)*AZ$7/Qtrs_Yr,0)=0,0,LOOKUP(ROUNDUP(SUM($J$7:AZ$7)*AZ$7/Qtrs_Yr,0),Inputs!$F$41:$I$41,Inputs!$F$42:$I$42))/Grams_Oz*Inputs!$F$45)*LOOKUP(YEAR(AZ$5),Inputs!$F$49:$I$49,Inputs!$F$50:$I$50)/Thousand
/LOOKUP(YEAR(AZ$5),Inputs!$F$89:$I$89,Inputs!$F$90:$I$90)-((Inputs!$F$64*(IF(ROUNDUP(SUM($J$7:AZ$7)*AZ$7/Qtrs_Yr,0)=0,0,LOOKUP(ROUNDUP(SUM($J$7:AZ$7)*AZ$7/Qtrs_Yr,0),Inputs!$F$35:$I$35,Inputs!$F$36:$I$36))/Thousand/Qtrs_Yr+IF(ROUNDUP(SUM($J$7:AZ$7)*AZ$7/Qtrs_Yr,0)=0,0,LOOKUP(ROUNDUP(SUM($J$7:AZ$7)*AZ$7/Qtrs_Yr,0),Inputs!$F$35:$I$35,Inputs!$F$38:$I$38)*LOOKUP(ROUNDUP(SUM($J$7:AZ$7)*AZ$7/Qtrs_Yr,0),Inputs!$F$35:$I$35,Inputs!$F$36:$I$36))/Thousand/Qtrs_Yr)+Inputs!$F$65*(IF(ROUNDUP(SUM($J$7:AZ$7)*AZ$7/Qtrs_Yr,0)=0,0,LOOKUP(ROUNDUP(SUM($J$7:AZ$7)*AZ$7/Qtrs_Yr,0),Inputs!$F$35:$I$35,Inputs!$F$36:$I$36))/Thousand/Qtrs_Yr)+Inputs!$F$66*(IF(ROUNDUP(SUM($J$7:AZ$7)*AZ$7/Qtrs_Yr,0)=0,0,LOOKUP(ROUNDUP(SUM($J$7:AZ$7)*AZ$7/Qtrs_Yr,0),Inputs!$F$35:$I$35,Inputs!$F$38:$I$38)*LOOKUP(ROUNDUP(SUM($J$7:AZ$7)*AZ$7/Qtrs_Yr,0),Inputs!$F$35:$I$35,Inputs!$F$36:$I$36))/Thousand/Qtrs_Yr))/Thousand+SUM(Inputs!$F$54:$F$61)*AZ$7/Qtrs_Yr)*(1+LOOKUP(YEAR(AZ$5),Inputs!$F$93:$I$93,Inputs!$F$94:$I$94)/Qtrs_Yr)^(COUNT($J$7:AZ7))-Inputs!$E$29*(1+Inputs!$E$31)*AZ$7/Inputs!$E$16/Qtrs_Yr-IF(OR(AZ$7=0,SUM($J7:AZ7)*AZ7&gt;Inputs!$F$77*Qtrs_Yr),0,(Inputs!$F$71-SUM($J7:AZ7,-1)*AZ7*Inputs!$F$71/Inputs!$F$77/Qtrs_Yr)*(LOOKUP(YEAR(BA$5),Inputs!$F$85:$I$85,Inputs!$F$86:$I$86)+LOOKUP(ROUNDUP(SUM($J7:BA7)*BA7/Qtrs_Yr,0),Inputs!$G$73:$J$73,Inputs!$G$74:$J$74))/Qtrs_Yr))*Inputs!$F$101)/(IF(OR(AZ$7=0,SUM($J7:AZ7)*AZ7&gt;Inputs!$F$77*Qtrs_Yr),0,(Inputs!$F$71-SUM($J7:AZ7,-1)*AZ7*Inputs!$F$71/Inputs!$F$77/Qtrs_Yr)*(LOOKUP(YEAR(BA$5),Inputs!$F$85:$I$85,Inputs!$F$86:$I$86)+LOOKUP(ROUNDUP(SUM($J7:BA7)*BA7/Qtrs_Yr,0),Inputs!$G$73:$J$73,Inputs!$G$74:$J$74))/Qtrs_Yr)+IF(OR(AZ$7=0,SUM($J7:AZ7)*AZ7&gt;Inputs!$F$77*Qtrs_Yr),0,Inputs!$F$71/Inputs!$F$77/Qtrs_Yr)))</f>
        <v>0</v>
      </c>
      <c r="BA14" s="75">
        <f>IF((IF(OR(BA$7=0,SUM($J7:BA7)*BA7&gt;Inputs!$F$77*Qtrs_Yr),0,(Inputs!$F$71-SUM($J7:BA7,-1)*BA7*Inputs!$F$71/Inputs!$F$77/Qtrs_Yr)*(LOOKUP(YEAR(BB$5),Inputs!$F$85:$I$85,Inputs!$F$86:$I$86)+LOOKUP(ROUNDUP(SUM($J7:BB7)*BB7/Qtrs_Yr,0),Inputs!$G$73:$J$73,Inputs!$G$74:$J$74))/Qtrs_Yr)+IF(OR(BA$7=0,SUM($J7:BA7)*BA7&gt;Inputs!$F$77*Qtrs_Yr),0,Inputs!$F$71/Inputs!$F$77/Qtrs_Yr))=0,0,((((IF(ROUNDUP(SUM($J$7:BA$7)*BA$7/Qtrs_Yr,0)=0,0,LOOKUP(ROUNDUP(SUM($J$7:BA$7)*BA$7/Qtrs_Yr,0),Inputs!$F$35:$I$35,Inputs!$F$36:$I$36))/Thousand/Qtrs_Yr)*IF(ROUNDUP(SUM($J$7:BA$7)*BA$7/Qtrs_Yr,0)=0,0,LOOKUP(ROUNDUP(SUM($J$7:BA$7)*BA$7/Qtrs_Yr,0),Inputs!$F$41:$I$41,Inputs!$F$42:$I$42))/Grams_Oz*Inputs!$F$45)*LOOKUP(YEAR(BA$5),Inputs!$F$49:$I$49,Inputs!$F$50:$I$50)/Thousand/LOOKUP(YEAR(BA$5),Inputs!$F$89:$I$89,Inputs!$F$90:$I$90)*(BA5-AZ5-Inputs!$F$97)/(BA5-AZ5)+((IF(ROUNDUP(SUM($I$7:AZ$7)*AZ$7/Qtrs_Yr,0)=0,0,LOOKUP(ROUNDUP(SUM($I$7:AZ$7)*AZ$7/Qtrs_Yr,0),Inputs!$F$35:$I$35,Inputs!$F$36:$I$36))/Thousand/Qtrs_Yr)*IF(ROUNDUP(SUM($I$7:AZ$7)*AZ$7/Qtrs_Yr,0)=0,0,LOOKUP(ROUNDUP(SUM($I$7:AZ$7)*AZ$7/Qtrs_Yr,0),Inputs!$F$41:$I$41,Inputs!$F$42:$I$42))/Grams_Oz*Inputs!$F$45)*LOOKUP(YEAR(AZ$5),Inputs!$F$49:$I$49,Inputs!$F$50:$I$50)/Thousand
/LOOKUP(YEAR(AZ$5),Inputs!$F$89:$I$89,Inputs!$F$90:$I$90)*Inputs!$F$97/(AZ5-AY5))-(((Inputs!$F$64*(IF(ROUNDUP(SUM($J$7:BA$7)*BA$7/Qtrs_Yr,0)=0,0,LOOKUP(ROUNDUP(SUM($J$7:BA$7)*BA$7/Qtrs_Yr,0),Inputs!$F$35:$I$35,Inputs!$F$36:$I$36))/Thousand/Qtrs_Yr+IF(ROUNDUP(SUM($J$7:BA$7)*BA$7/Qtrs_Yr,0)=0,0,LOOKUP(ROUNDUP(SUM($J$7:BA$7)*BA$7/Qtrs_Yr,0),Inputs!$F$35:$I$35,Inputs!$F$38:$I$38)*LOOKUP(ROUNDUP(SUM($J$7:BA$7)*BA$7/Qtrs_Yr,0),Inputs!$F$35:$I$35,Inputs!$F$36:$I$36))/Thousand/Qtrs_Yr)+Inputs!$F$65*(IF(ROUNDUP(SUM($J$7:BA$7)*BA$7/Qtrs_Yr,0)=0,0,LOOKUP(ROUNDUP(SUM($J$7:BA$7)*BA$7/Qtrs_Yr,0),Inputs!$F$35:$I$35,Inputs!$F$36:$I$36))/Thousand/Qtrs_Yr)+Inputs!$F$66*(IF(ROUNDUP(SUM($J$7:BA$7)*BA$7/Qtrs_Yr,0)=0,0,LOOKUP(ROUNDUP(SUM($J$7:BA$7)*BA$7/Qtrs_Yr,0),Inputs!$F$35:$I$35,Inputs!$F$38:$I$38)*LOOKUP(ROUNDUP(SUM($J$7:BA$7)*BA$7/Qtrs_Yr,0),Inputs!$F$35:$I$35,Inputs!$F$36:$I$36))/Thousand/Qtrs_Yr))/Thousand+SUM(Inputs!$F$54:$F$61)*BA$7/Qtrs_Yr)*(1+LOOKUP(YEAR(BA$5),Inputs!$F$93:$I$93,Inputs!$F$94:$I$94)/Qtrs_Yr)^(COUNT($J$7:BA7))*(BA5-AZ5-Inputs!$F$98)/(BA5-AZ5)+((Inputs!$F$64*(IF(ROUNDUP(SUM($I$7:AZ$7)*AZ$7/Qtrs_Yr,0)=0,0,LOOKUP(ROUNDUP(SUM($I$7:AZ$7)*AZ$7/Qtrs_Yr,0),Inputs!$F$35:$I$35,Inputs!$F$36:$I$36))/Thousand/Qtrs_Yr+IF(ROUNDUP(SUM($I$7:AZ$7)*AZ$7/Qtrs_Yr,0)=0,0,LOOKUP(ROUNDUP(SUM($I$7:AZ$7)*AZ$7/Qtrs_Yr,0),Inputs!$F$35:$I$35,Inputs!$F$38:$I$38)*LOOKUP(ROUNDUP(SUM($I$7:AZ$7)*AZ$7/Qtrs_Yr,0),Inputs!$F$35:$I$35,Inputs!$F$36:$I$36))/Thousand/Qtrs_Yr)+Inputs!$F$65*(IF(ROUNDUP(SUM($I$7:AZ$7)*AZ$7/Qtrs_Yr,0)=0,0,LOOKUP(ROUNDUP(SUM($I$7:AZ$7)*AZ$7/Qtrs_Yr,0),Inputs!$F$35:$I$35,Inputs!$F$36:$I$36))/Thousand/Qtrs_Yr)+Inputs!$F$66*(IF(ROUNDUP(SUM($I$7:AZ$7)*AZ$7/Qtrs_Yr,0)=0,0,LOOKUP(ROUNDUP(SUM($I$7:AZ$7)*AZ$7/Qtrs_Yr,0),Inputs!$F$35:$I$35,Inputs!$F$38:$I$38)*LOOKUP(ROUNDUP(SUM($I$7:AZ$7)*AZ$7/Qtrs_Yr,0),Inputs!$F$35:$I$35,Inputs!$F$36:$I$36))/Thousand/Qtrs_Yr))/Thousand+SUM(Inputs!$F$54:$F$61)*AZ$7/Qtrs_Yr)*(1+LOOKUP(YEAR(BA$5),Inputs!$F$93:$I$93,Inputs!$F$94:$I$94)/Qtrs_Yr)^(COUNT($I$7:AZ7))*Inputs!$F$98/(AZ5-AY5))-(((IF(ROUNDUP(SUM($J$7:BA$7)*BA$7/Qtrs_Yr,0)=0,0,LOOKUP(ROUNDUP(SUM($J$7:BA$7)*BA$7/Qtrs_Yr,0),Inputs!$F$35:$I$35,Inputs!$F$36:$I$36))/Thousand/Qtrs_Yr)*IF(ROUNDUP(SUM($J$7:BA$7)*BA$7/Qtrs_Yr,0)=0,0,LOOKUP(ROUNDUP(SUM($J$7:BA$7)*BA$7/Qtrs_Yr,0),Inputs!$F$41:$I$41,Inputs!$F$42:$I$42))/Grams_Oz*Inputs!$F$45)*LOOKUP(YEAR(BA$5),Inputs!$F$49:$I$49,Inputs!$F$50:$I$50)/Thousand
/LOOKUP(YEAR(BA$5),Inputs!$F$89:$I$89,Inputs!$F$90:$I$90)-((Inputs!$F$64*(IF(ROUNDUP(SUM($J$7:BA$7)*BA$7/Qtrs_Yr,0)=0,0,LOOKUP(ROUNDUP(SUM($J$7:BA$7)*BA$7/Qtrs_Yr,0),Inputs!$F$35:$I$35,Inputs!$F$36:$I$36))/Thousand/Qtrs_Yr+IF(ROUNDUP(SUM($J$7:BA$7)*BA$7/Qtrs_Yr,0)=0,0,LOOKUP(ROUNDUP(SUM($J$7:BA$7)*BA$7/Qtrs_Yr,0),Inputs!$F$35:$I$35,Inputs!$F$38:$I$38)*LOOKUP(ROUNDUP(SUM($J$7:BA$7)*BA$7/Qtrs_Yr,0),Inputs!$F$35:$I$35,Inputs!$F$36:$I$36))/Thousand/Qtrs_Yr)+Inputs!$F$65*(IF(ROUNDUP(SUM($J$7:BA$7)*BA$7/Qtrs_Yr,0)=0,0,LOOKUP(ROUNDUP(SUM($J$7:BA$7)*BA$7/Qtrs_Yr,0),Inputs!$F$35:$I$35,Inputs!$F$36:$I$36))/Thousand/Qtrs_Yr)+Inputs!$F$66*(IF(ROUNDUP(SUM($J$7:BA$7)*BA$7/Qtrs_Yr,0)=0,0,LOOKUP(ROUNDUP(SUM($J$7:BA$7)*BA$7/Qtrs_Yr,0),Inputs!$F$35:$I$35,Inputs!$F$38:$I$38)*LOOKUP(ROUNDUP(SUM($J$7:BA$7)*BA$7/Qtrs_Yr,0),Inputs!$F$35:$I$35,Inputs!$F$36:$I$36))/Thousand/Qtrs_Yr))/Thousand+SUM(Inputs!$F$54:$F$61)*BA$7/Qtrs_Yr)*(1+LOOKUP(YEAR(BA$5),Inputs!$F$93:$I$93,Inputs!$F$94:$I$94)/Qtrs_Yr)^(COUNT($J$7:BA7))-Inputs!$E$29*(1+Inputs!$E$31)*BA$7/Inputs!$E$16/Qtrs_Yr-IF(OR(BA$7=0,SUM($J7:BA7)*BA7&gt;Inputs!$F$77*Qtrs_Yr),0,(Inputs!$F$71-SUM($J7:BA7,-1)*BA7*Inputs!$F$71/Inputs!$F$77/Qtrs_Yr)*(LOOKUP(YEAR(BB$5),Inputs!$F$85:$I$85,Inputs!$F$86:$I$86)+LOOKUP(ROUNDUP(SUM($J7:BB7)*BB7/Qtrs_Yr,0),Inputs!$G$73:$J$73,Inputs!$G$74:$J$74))/Qtrs_Yr))*Inputs!$F$101)/(IF(OR(BA$7=0,SUM($J7:BA7)*BA7&gt;Inputs!$F$77*Qtrs_Yr),0,(Inputs!$F$71-SUM($J7:BA7,-1)*BA7*Inputs!$F$71/Inputs!$F$77/Qtrs_Yr)*(LOOKUP(YEAR(BB$5),Inputs!$F$85:$I$85,Inputs!$F$86:$I$86)+LOOKUP(ROUNDUP(SUM($J7:BB7)*BB7/Qtrs_Yr,0),Inputs!$G$73:$J$73,Inputs!$G$74:$J$74))/Qtrs_Yr)+IF(OR(BA$7=0,SUM($J7:BA7)*BA7&gt;Inputs!$F$77*Qtrs_Yr),0,Inputs!$F$71/Inputs!$F$77/Qtrs_Yr)))</f>
        <v>0</v>
      </c>
      <c r="BB14" s="75">
        <f>IF((IF(OR(BB$7=0,SUM($J7:BB7)*BB7&gt;Inputs!$F$77*Qtrs_Yr),0,(Inputs!$F$71-SUM($J7:BB7,-1)*BB7*Inputs!$F$71/Inputs!$F$77/Qtrs_Yr)*(LOOKUP(YEAR(BC$5),Inputs!$F$85:$I$85,Inputs!$F$86:$I$86)+LOOKUP(ROUNDUP(SUM($J7:BC7)*BC7/Qtrs_Yr,0),Inputs!$G$73:$J$73,Inputs!$G$74:$J$74))/Qtrs_Yr)+IF(OR(BB$7=0,SUM($J7:BB7)*BB7&gt;Inputs!$F$77*Qtrs_Yr),0,Inputs!$F$71/Inputs!$F$77/Qtrs_Yr))=0,0,((((IF(ROUNDUP(SUM($J$7:BB$7)*BB$7/Qtrs_Yr,0)=0,0,LOOKUP(ROUNDUP(SUM($J$7:BB$7)*BB$7/Qtrs_Yr,0),Inputs!$F$35:$I$35,Inputs!$F$36:$I$36))/Thousand/Qtrs_Yr)*IF(ROUNDUP(SUM($J$7:BB$7)*BB$7/Qtrs_Yr,0)=0,0,LOOKUP(ROUNDUP(SUM($J$7:BB$7)*BB$7/Qtrs_Yr,0),Inputs!$F$41:$I$41,Inputs!$F$42:$I$42))/Grams_Oz*Inputs!$F$45)*LOOKUP(YEAR(BB$5),Inputs!$F$49:$I$49,Inputs!$F$50:$I$50)/Thousand/LOOKUP(YEAR(BB$5),Inputs!$F$89:$I$89,Inputs!$F$90:$I$90)*(BB5-BA5-Inputs!$F$97)/(BB5-BA5)+((IF(ROUNDUP(SUM($I$7:BA$7)*BA$7/Qtrs_Yr,0)=0,0,LOOKUP(ROUNDUP(SUM($I$7:BA$7)*BA$7/Qtrs_Yr,0),Inputs!$F$35:$I$35,Inputs!$F$36:$I$36))/Thousand/Qtrs_Yr)*IF(ROUNDUP(SUM($I$7:BA$7)*BA$7/Qtrs_Yr,0)=0,0,LOOKUP(ROUNDUP(SUM($I$7:BA$7)*BA$7/Qtrs_Yr,0),Inputs!$F$41:$I$41,Inputs!$F$42:$I$42))/Grams_Oz*Inputs!$F$45)*LOOKUP(YEAR(BA$5),Inputs!$F$49:$I$49,Inputs!$F$50:$I$50)/Thousand
/LOOKUP(YEAR(BA$5),Inputs!$F$89:$I$89,Inputs!$F$90:$I$90)*Inputs!$F$97/(BA5-AZ5))-(((Inputs!$F$64*(IF(ROUNDUP(SUM($J$7:BB$7)*BB$7/Qtrs_Yr,0)=0,0,LOOKUP(ROUNDUP(SUM($J$7:BB$7)*BB$7/Qtrs_Yr,0),Inputs!$F$35:$I$35,Inputs!$F$36:$I$36))/Thousand/Qtrs_Yr+IF(ROUNDUP(SUM($J$7:BB$7)*BB$7/Qtrs_Yr,0)=0,0,LOOKUP(ROUNDUP(SUM($J$7:BB$7)*BB$7/Qtrs_Yr,0),Inputs!$F$35:$I$35,Inputs!$F$38:$I$38)*LOOKUP(ROUNDUP(SUM($J$7:BB$7)*BB$7/Qtrs_Yr,0),Inputs!$F$35:$I$35,Inputs!$F$36:$I$36))/Thousand/Qtrs_Yr)+Inputs!$F$65*(IF(ROUNDUP(SUM($J$7:BB$7)*BB$7/Qtrs_Yr,0)=0,0,LOOKUP(ROUNDUP(SUM($J$7:BB$7)*BB$7/Qtrs_Yr,0),Inputs!$F$35:$I$35,Inputs!$F$36:$I$36))/Thousand/Qtrs_Yr)+Inputs!$F$66*(IF(ROUNDUP(SUM($J$7:BB$7)*BB$7/Qtrs_Yr,0)=0,0,LOOKUP(ROUNDUP(SUM($J$7:BB$7)*BB$7/Qtrs_Yr,0),Inputs!$F$35:$I$35,Inputs!$F$38:$I$38)*LOOKUP(ROUNDUP(SUM($J$7:BB$7)*BB$7/Qtrs_Yr,0),Inputs!$F$35:$I$35,Inputs!$F$36:$I$36))/Thousand/Qtrs_Yr))/Thousand+SUM(Inputs!$F$54:$F$61)*BB$7/Qtrs_Yr)*(1+LOOKUP(YEAR(BB$5),Inputs!$F$93:$I$93,Inputs!$F$94:$I$94)/Qtrs_Yr)^(COUNT($J$7:BB7))*(BB5-BA5-Inputs!$F$98)/(BB5-BA5)+((Inputs!$F$64*(IF(ROUNDUP(SUM($I$7:BA$7)*BA$7/Qtrs_Yr,0)=0,0,LOOKUP(ROUNDUP(SUM($I$7:BA$7)*BA$7/Qtrs_Yr,0),Inputs!$F$35:$I$35,Inputs!$F$36:$I$36))/Thousand/Qtrs_Yr+IF(ROUNDUP(SUM($I$7:BA$7)*BA$7/Qtrs_Yr,0)=0,0,LOOKUP(ROUNDUP(SUM($I$7:BA$7)*BA$7/Qtrs_Yr,0),Inputs!$F$35:$I$35,Inputs!$F$38:$I$38)*LOOKUP(ROUNDUP(SUM($I$7:BA$7)*BA$7/Qtrs_Yr,0),Inputs!$F$35:$I$35,Inputs!$F$36:$I$36))/Thousand/Qtrs_Yr)+Inputs!$F$65*(IF(ROUNDUP(SUM($I$7:BA$7)*BA$7/Qtrs_Yr,0)=0,0,LOOKUP(ROUNDUP(SUM($I$7:BA$7)*BA$7/Qtrs_Yr,0),Inputs!$F$35:$I$35,Inputs!$F$36:$I$36))/Thousand/Qtrs_Yr)+Inputs!$F$66*(IF(ROUNDUP(SUM($I$7:BA$7)*BA$7/Qtrs_Yr,0)=0,0,LOOKUP(ROUNDUP(SUM($I$7:BA$7)*BA$7/Qtrs_Yr,0),Inputs!$F$35:$I$35,Inputs!$F$38:$I$38)*LOOKUP(ROUNDUP(SUM($I$7:BA$7)*BA$7/Qtrs_Yr,0),Inputs!$F$35:$I$35,Inputs!$F$36:$I$36))/Thousand/Qtrs_Yr))/Thousand+SUM(Inputs!$F$54:$F$61)*BA$7/Qtrs_Yr)*(1+LOOKUP(YEAR(BB$5),Inputs!$F$93:$I$93,Inputs!$F$94:$I$94)/Qtrs_Yr)^(COUNT($I$7:BA7))*Inputs!$F$98/(BA5-AZ5))-(((IF(ROUNDUP(SUM($J$7:BB$7)*BB$7/Qtrs_Yr,0)=0,0,LOOKUP(ROUNDUP(SUM($J$7:BB$7)*BB$7/Qtrs_Yr,0),Inputs!$F$35:$I$35,Inputs!$F$36:$I$36))/Thousand/Qtrs_Yr)*IF(ROUNDUP(SUM($J$7:BB$7)*BB$7/Qtrs_Yr,0)=0,0,LOOKUP(ROUNDUP(SUM($J$7:BB$7)*BB$7/Qtrs_Yr,0),Inputs!$F$41:$I$41,Inputs!$F$42:$I$42))/Grams_Oz*Inputs!$F$45)*LOOKUP(YEAR(BB$5),Inputs!$F$49:$I$49,Inputs!$F$50:$I$50)/Thousand
/LOOKUP(YEAR(BB$5),Inputs!$F$89:$I$89,Inputs!$F$90:$I$90)-((Inputs!$F$64*(IF(ROUNDUP(SUM($J$7:BB$7)*BB$7/Qtrs_Yr,0)=0,0,LOOKUP(ROUNDUP(SUM($J$7:BB$7)*BB$7/Qtrs_Yr,0),Inputs!$F$35:$I$35,Inputs!$F$36:$I$36))/Thousand/Qtrs_Yr+IF(ROUNDUP(SUM($J$7:BB$7)*BB$7/Qtrs_Yr,0)=0,0,LOOKUP(ROUNDUP(SUM($J$7:BB$7)*BB$7/Qtrs_Yr,0),Inputs!$F$35:$I$35,Inputs!$F$38:$I$38)*LOOKUP(ROUNDUP(SUM($J$7:BB$7)*BB$7/Qtrs_Yr,0),Inputs!$F$35:$I$35,Inputs!$F$36:$I$36))/Thousand/Qtrs_Yr)+Inputs!$F$65*(IF(ROUNDUP(SUM($J$7:BB$7)*BB$7/Qtrs_Yr,0)=0,0,LOOKUP(ROUNDUP(SUM($J$7:BB$7)*BB$7/Qtrs_Yr,0),Inputs!$F$35:$I$35,Inputs!$F$36:$I$36))/Thousand/Qtrs_Yr)+Inputs!$F$66*(IF(ROUNDUP(SUM($J$7:BB$7)*BB$7/Qtrs_Yr,0)=0,0,LOOKUP(ROUNDUP(SUM($J$7:BB$7)*BB$7/Qtrs_Yr,0),Inputs!$F$35:$I$35,Inputs!$F$38:$I$38)*LOOKUP(ROUNDUP(SUM($J$7:BB$7)*BB$7/Qtrs_Yr,0),Inputs!$F$35:$I$35,Inputs!$F$36:$I$36))/Thousand/Qtrs_Yr))/Thousand+SUM(Inputs!$F$54:$F$61)*BB$7/Qtrs_Yr)*(1+LOOKUP(YEAR(BB$5),Inputs!$F$93:$I$93,Inputs!$F$94:$I$94)/Qtrs_Yr)^(COUNT($J$7:BB7))-Inputs!$E$29*(1+Inputs!$E$31)*BB$7/Inputs!$E$16/Qtrs_Yr-IF(OR(BB$7=0,SUM($J7:BB7)*BB7&gt;Inputs!$F$77*Qtrs_Yr),0,(Inputs!$F$71-SUM($J7:BB7,-1)*BB7*Inputs!$F$71/Inputs!$F$77/Qtrs_Yr)*(LOOKUP(YEAR(BC$5),Inputs!$F$85:$I$85,Inputs!$F$86:$I$86)+LOOKUP(ROUNDUP(SUM($J7:BC7)*BC7/Qtrs_Yr,0),Inputs!$G$73:$J$73,Inputs!$G$74:$J$74))/Qtrs_Yr))*Inputs!$F$101)/(IF(OR(BB$7=0,SUM($J7:BB7)*BB7&gt;Inputs!$F$77*Qtrs_Yr),0,(Inputs!$F$71-SUM($J7:BB7,-1)*BB7*Inputs!$F$71/Inputs!$F$77/Qtrs_Yr)*(LOOKUP(YEAR(BC$5),Inputs!$F$85:$I$85,Inputs!$F$86:$I$86)+LOOKUP(ROUNDUP(SUM($J7:BC7)*BC7/Qtrs_Yr,0),Inputs!$G$73:$J$73,Inputs!$G$74:$J$74))/Qtrs_Yr)+IF(OR(BB$7=0,SUM($J7:BB7)*BB7&gt;Inputs!$F$77*Qtrs_Yr),0,Inputs!$F$71/Inputs!$F$77/Qtrs_Yr)))</f>
        <v>0</v>
      </c>
      <c r="BC14" s="75">
        <f>IF((IF(OR(BC$7=0,SUM($J7:BC7)*BC7&gt;Inputs!$F$77*Qtrs_Yr),0,(Inputs!$F$71-SUM($J7:BC7,-1)*BC7*Inputs!$F$71/Inputs!$F$77/Qtrs_Yr)*(LOOKUP(YEAR(BD$5),Inputs!$F$85:$I$85,Inputs!$F$86:$I$86)+LOOKUP(ROUNDUP(SUM($J7:BD7)*BD7/Qtrs_Yr,0),Inputs!$G$73:$J$73,Inputs!$G$74:$J$74))/Qtrs_Yr)+IF(OR(BC$7=0,SUM($J7:BC7)*BC7&gt;Inputs!$F$77*Qtrs_Yr),0,Inputs!$F$71/Inputs!$F$77/Qtrs_Yr))=0,0,((((IF(ROUNDUP(SUM($J$7:BC$7)*BC$7/Qtrs_Yr,0)=0,0,LOOKUP(ROUNDUP(SUM($J$7:BC$7)*BC$7/Qtrs_Yr,0),Inputs!$F$35:$I$35,Inputs!$F$36:$I$36))/Thousand/Qtrs_Yr)*IF(ROUNDUP(SUM($J$7:BC$7)*BC$7/Qtrs_Yr,0)=0,0,LOOKUP(ROUNDUP(SUM($J$7:BC$7)*BC$7/Qtrs_Yr,0),Inputs!$F$41:$I$41,Inputs!$F$42:$I$42))/Grams_Oz*Inputs!$F$45)*LOOKUP(YEAR(BC$5),Inputs!$F$49:$I$49,Inputs!$F$50:$I$50)/Thousand/LOOKUP(YEAR(BC$5),Inputs!$F$89:$I$89,Inputs!$F$90:$I$90)*(BC5-BB5-Inputs!$F$97)/(BC5-BB5)+((IF(ROUNDUP(SUM($I$7:BB$7)*BB$7/Qtrs_Yr,0)=0,0,LOOKUP(ROUNDUP(SUM($I$7:BB$7)*BB$7/Qtrs_Yr,0),Inputs!$F$35:$I$35,Inputs!$F$36:$I$36))/Thousand/Qtrs_Yr)*IF(ROUNDUP(SUM($I$7:BB$7)*BB$7/Qtrs_Yr,0)=0,0,LOOKUP(ROUNDUP(SUM($I$7:BB$7)*BB$7/Qtrs_Yr,0),Inputs!$F$41:$I$41,Inputs!$F$42:$I$42))/Grams_Oz*Inputs!$F$45)*LOOKUP(YEAR(BB$5),Inputs!$F$49:$I$49,Inputs!$F$50:$I$50)/Thousand
/LOOKUP(YEAR(BB$5),Inputs!$F$89:$I$89,Inputs!$F$90:$I$90)*Inputs!$F$97/(BB5-BA5))-(((Inputs!$F$64*(IF(ROUNDUP(SUM($J$7:BC$7)*BC$7/Qtrs_Yr,0)=0,0,LOOKUP(ROUNDUP(SUM($J$7:BC$7)*BC$7/Qtrs_Yr,0),Inputs!$F$35:$I$35,Inputs!$F$36:$I$36))/Thousand/Qtrs_Yr+IF(ROUNDUP(SUM($J$7:BC$7)*BC$7/Qtrs_Yr,0)=0,0,LOOKUP(ROUNDUP(SUM($J$7:BC$7)*BC$7/Qtrs_Yr,0),Inputs!$F$35:$I$35,Inputs!$F$38:$I$38)*LOOKUP(ROUNDUP(SUM($J$7:BC$7)*BC$7/Qtrs_Yr,0),Inputs!$F$35:$I$35,Inputs!$F$36:$I$36))/Thousand/Qtrs_Yr)+Inputs!$F$65*(IF(ROUNDUP(SUM($J$7:BC$7)*BC$7/Qtrs_Yr,0)=0,0,LOOKUP(ROUNDUP(SUM($J$7:BC$7)*BC$7/Qtrs_Yr,0),Inputs!$F$35:$I$35,Inputs!$F$36:$I$36))/Thousand/Qtrs_Yr)+Inputs!$F$66*(IF(ROUNDUP(SUM($J$7:BC$7)*BC$7/Qtrs_Yr,0)=0,0,LOOKUP(ROUNDUP(SUM($J$7:BC$7)*BC$7/Qtrs_Yr,0),Inputs!$F$35:$I$35,Inputs!$F$38:$I$38)*LOOKUP(ROUNDUP(SUM($J$7:BC$7)*BC$7/Qtrs_Yr,0),Inputs!$F$35:$I$35,Inputs!$F$36:$I$36))/Thousand/Qtrs_Yr))/Thousand+SUM(Inputs!$F$54:$F$61)*BC$7/Qtrs_Yr)*(1+LOOKUP(YEAR(BC$5),Inputs!$F$93:$I$93,Inputs!$F$94:$I$94)/Qtrs_Yr)^(COUNT($J$7:BC7))*(BC5-BB5-Inputs!$F$98)/(BC5-BB5)+((Inputs!$F$64*(IF(ROUNDUP(SUM($I$7:BB$7)*BB$7/Qtrs_Yr,0)=0,0,LOOKUP(ROUNDUP(SUM($I$7:BB$7)*BB$7/Qtrs_Yr,0),Inputs!$F$35:$I$35,Inputs!$F$36:$I$36))/Thousand/Qtrs_Yr+IF(ROUNDUP(SUM($I$7:BB$7)*BB$7/Qtrs_Yr,0)=0,0,LOOKUP(ROUNDUP(SUM($I$7:BB$7)*BB$7/Qtrs_Yr,0),Inputs!$F$35:$I$35,Inputs!$F$38:$I$38)*LOOKUP(ROUNDUP(SUM($I$7:BB$7)*BB$7/Qtrs_Yr,0),Inputs!$F$35:$I$35,Inputs!$F$36:$I$36))/Thousand/Qtrs_Yr)+Inputs!$F$65*(IF(ROUNDUP(SUM($I$7:BB$7)*BB$7/Qtrs_Yr,0)=0,0,LOOKUP(ROUNDUP(SUM($I$7:BB$7)*BB$7/Qtrs_Yr,0),Inputs!$F$35:$I$35,Inputs!$F$36:$I$36))/Thousand/Qtrs_Yr)+Inputs!$F$66*(IF(ROUNDUP(SUM($I$7:BB$7)*BB$7/Qtrs_Yr,0)=0,0,LOOKUP(ROUNDUP(SUM($I$7:BB$7)*BB$7/Qtrs_Yr,0),Inputs!$F$35:$I$35,Inputs!$F$38:$I$38)*LOOKUP(ROUNDUP(SUM($I$7:BB$7)*BB$7/Qtrs_Yr,0),Inputs!$F$35:$I$35,Inputs!$F$36:$I$36))/Thousand/Qtrs_Yr))/Thousand+SUM(Inputs!$F$54:$F$61)*BB$7/Qtrs_Yr)*(1+LOOKUP(YEAR(BC$5),Inputs!$F$93:$I$93,Inputs!$F$94:$I$94)/Qtrs_Yr)^(COUNT($I$7:BB7))*Inputs!$F$98/(BB5-BA5))-(((IF(ROUNDUP(SUM($J$7:BC$7)*BC$7/Qtrs_Yr,0)=0,0,LOOKUP(ROUNDUP(SUM($J$7:BC$7)*BC$7/Qtrs_Yr,0),Inputs!$F$35:$I$35,Inputs!$F$36:$I$36))/Thousand/Qtrs_Yr)*IF(ROUNDUP(SUM($J$7:BC$7)*BC$7/Qtrs_Yr,0)=0,0,LOOKUP(ROUNDUP(SUM($J$7:BC$7)*BC$7/Qtrs_Yr,0),Inputs!$F$41:$I$41,Inputs!$F$42:$I$42))/Grams_Oz*Inputs!$F$45)*LOOKUP(YEAR(BC$5),Inputs!$F$49:$I$49,Inputs!$F$50:$I$50)/Thousand
/LOOKUP(YEAR(BC$5),Inputs!$F$89:$I$89,Inputs!$F$90:$I$90)-((Inputs!$F$64*(IF(ROUNDUP(SUM($J$7:BC$7)*BC$7/Qtrs_Yr,0)=0,0,LOOKUP(ROUNDUP(SUM($J$7:BC$7)*BC$7/Qtrs_Yr,0),Inputs!$F$35:$I$35,Inputs!$F$36:$I$36))/Thousand/Qtrs_Yr+IF(ROUNDUP(SUM($J$7:BC$7)*BC$7/Qtrs_Yr,0)=0,0,LOOKUP(ROUNDUP(SUM($J$7:BC$7)*BC$7/Qtrs_Yr,0),Inputs!$F$35:$I$35,Inputs!$F$38:$I$38)*LOOKUP(ROUNDUP(SUM($J$7:BC$7)*BC$7/Qtrs_Yr,0),Inputs!$F$35:$I$35,Inputs!$F$36:$I$36))/Thousand/Qtrs_Yr)+Inputs!$F$65*(IF(ROUNDUP(SUM($J$7:BC$7)*BC$7/Qtrs_Yr,0)=0,0,LOOKUP(ROUNDUP(SUM($J$7:BC$7)*BC$7/Qtrs_Yr,0),Inputs!$F$35:$I$35,Inputs!$F$36:$I$36))/Thousand/Qtrs_Yr)+Inputs!$F$66*(IF(ROUNDUP(SUM($J$7:BC$7)*BC$7/Qtrs_Yr,0)=0,0,LOOKUP(ROUNDUP(SUM($J$7:BC$7)*BC$7/Qtrs_Yr,0),Inputs!$F$35:$I$35,Inputs!$F$38:$I$38)*LOOKUP(ROUNDUP(SUM($J$7:BC$7)*BC$7/Qtrs_Yr,0),Inputs!$F$35:$I$35,Inputs!$F$36:$I$36))/Thousand/Qtrs_Yr))/Thousand+SUM(Inputs!$F$54:$F$61)*BC$7/Qtrs_Yr)*(1+LOOKUP(YEAR(BC$5),Inputs!$F$93:$I$93,Inputs!$F$94:$I$94)/Qtrs_Yr)^(COUNT($J$7:BC7))-Inputs!$E$29*(1+Inputs!$E$31)*BC$7/Inputs!$E$16/Qtrs_Yr-IF(OR(BC$7=0,SUM($J7:BC7)*BC7&gt;Inputs!$F$77*Qtrs_Yr),0,(Inputs!$F$71-SUM($J7:BC7,-1)*BC7*Inputs!$F$71/Inputs!$F$77/Qtrs_Yr)*(LOOKUP(YEAR(BD$5),Inputs!$F$85:$I$85,Inputs!$F$86:$I$86)+LOOKUP(ROUNDUP(SUM($J7:BD7)*BD7/Qtrs_Yr,0),Inputs!$G$73:$J$73,Inputs!$G$74:$J$74))/Qtrs_Yr))*Inputs!$F$101)/(IF(OR(BC$7=0,SUM($J7:BC7)*BC7&gt;Inputs!$F$77*Qtrs_Yr),0,(Inputs!$F$71-SUM($J7:BC7,-1)*BC7*Inputs!$F$71/Inputs!$F$77/Qtrs_Yr)*(LOOKUP(YEAR(BD$5),Inputs!$F$85:$I$85,Inputs!$F$86:$I$86)+LOOKUP(ROUNDUP(SUM($J7:BD7)*BD7/Qtrs_Yr,0),Inputs!$G$73:$J$73,Inputs!$G$74:$J$74))/Qtrs_Yr)+IF(OR(BC$7=0,SUM($J7:BC7)*BC7&gt;Inputs!$F$77*Qtrs_Yr),0,Inputs!$F$71/Inputs!$F$77/Qtrs_Yr)))</f>
        <v>0</v>
      </c>
      <c r="BD14" s="75">
        <f>IF((IF(OR(BD$7=0,SUM($J7:BD7)*BD7&gt;Inputs!$F$77*Qtrs_Yr),0,(Inputs!$F$71-SUM($J7:BD7,-1)*BD7*Inputs!$F$71/Inputs!$F$77/Qtrs_Yr)*(LOOKUP(YEAR(BE$5),Inputs!$F$85:$I$85,Inputs!$F$86:$I$86)+LOOKUP(ROUNDUP(SUM($J7:BE7)*BE7/Qtrs_Yr,0),Inputs!$G$73:$J$73,Inputs!$G$74:$J$74))/Qtrs_Yr)+IF(OR(BD$7=0,SUM($J7:BD7)*BD7&gt;Inputs!$F$77*Qtrs_Yr),0,Inputs!$F$71/Inputs!$F$77/Qtrs_Yr))=0,0,((((IF(ROUNDUP(SUM($J$7:BD$7)*BD$7/Qtrs_Yr,0)=0,0,LOOKUP(ROUNDUP(SUM($J$7:BD$7)*BD$7/Qtrs_Yr,0),Inputs!$F$35:$I$35,Inputs!$F$36:$I$36))/Thousand/Qtrs_Yr)*IF(ROUNDUP(SUM($J$7:BD$7)*BD$7/Qtrs_Yr,0)=0,0,LOOKUP(ROUNDUP(SUM($J$7:BD$7)*BD$7/Qtrs_Yr,0),Inputs!$F$41:$I$41,Inputs!$F$42:$I$42))/Grams_Oz*Inputs!$F$45)*LOOKUP(YEAR(BD$5),Inputs!$F$49:$I$49,Inputs!$F$50:$I$50)/Thousand/LOOKUP(YEAR(BD$5),Inputs!$F$89:$I$89,Inputs!$F$90:$I$90)*(BD5-BC5-Inputs!$F$97)/(BD5-BC5)+((IF(ROUNDUP(SUM($I$7:BC$7)*BC$7/Qtrs_Yr,0)=0,0,LOOKUP(ROUNDUP(SUM($I$7:BC$7)*BC$7/Qtrs_Yr,0),Inputs!$F$35:$I$35,Inputs!$F$36:$I$36))/Thousand/Qtrs_Yr)*IF(ROUNDUP(SUM($I$7:BC$7)*BC$7/Qtrs_Yr,0)=0,0,LOOKUP(ROUNDUP(SUM($I$7:BC$7)*BC$7/Qtrs_Yr,0),Inputs!$F$41:$I$41,Inputs!$F$42:$I$42))/Grams_Oz*Inputs!$F$45)*LOOKUP(YEAR(BC$5),Inputs!$F$49:$I$49,Inputs!$F$50:$I$50)/Thousand
/LOOKUP(YEAR(BC$5),Inputs!$F$89:$I$89,Inputs!$F$90:$I$90)*Inputs!$F$97/(BC5-BB5))-(((Inputs!$F$64*(IF(ROUNDUP(SUM($J$7:BD$7)*BD$7/Qtrs_Yr,0)=0,0,LOOKUP(ROUNDUP(SUM($J$7:BD$7)*BD$7/Qtrs_Yr,0),Inputs!$F$35:$I$35,Inputs!$F$36:$I$36))/Thousand/Qtrs_Yr+IF(ROUNDUP(SUM($J$7:BD$7)*BD$7/Qtrs_Yr,0)=0,0,LOOKUP(ROUNDUP(SUM($J$7:BD$7)*BD$7/Qtrs_Yr,0),Inputs!$F$35:$I$35,Inputs!$F$38:$I$38)*LOOKUP(ROUNDUP(SUM($J$7:BD$7)*BD$7/Qtrs_Yr,0),Inputs!$F$35:$I$35,Inputs!$F$36:$I$36))/Thousand/Qtrs_Yr)+Inputs!$F$65*(IF(ROUNDUP(SUM($J$7:BD$7)*BD$7/Qtrs_Yr,0)=0,0,LOOKUP(ROUNDUP(SUM($J$7:BD$7)*BD$7/Qtrs_Yr,0),Inputs!$F$35:$I$35,Inputs!$F$36:$I$36))/Thousand/Qtrs_Yr)+Inputs!$F$66*(IF(ROUNDUP(SUM($J$7:BD$7)*BD$7/Qtrs_Yr,0)=0,0,LOOKUP(ROUNDUP(SUM($J$7:BD$7)*BD$7/Qtrs_Yr,0),Inputs!$F$35:$I$35,Inputs!$F$38:$I$38)*LOOKUP(ROUNDUP(SUM($J$7:BD$7)*BD$7/Qtrs_Yr,0),Inputs!$F$35:$I$35,Inputs!$F$36:$I$36))/Thousand/Qtrs_Yr))/Thousand+SUM(Inputs!$F$54:$F$61)*BD$7/Qtrs_Yr)*(1+LOOKUP(YEAR(BD$5),Inputs!$F$93:$I$93,Inputs!$F$94:$I$94)/Qtrs_Yr)^(COUNT($J$7:BD7))*(BD5-BC5-Inputs!$F$98)/(BD5-BC5)+((Inputs!$F$64*(IF(ROUNDUP(SUM($I$7:BC$7)*BC$7/Qtrs_Yr,0)=0,0,LOOKUP(ROUNDUP(SUM($I$7:BC$7)*BC$7/Qtrs_Yr,0),Inputs!$F$35:$I$35,Inputs!$F$36:$I$36))/Thousand/Qtrs_Yr+IF(ROUNDUP(SUM($I$7:BC$7)*BC$7/Qtrs_Yr,0)=0,0,LOOKUP(ROUNDUP(SUM($I$7:BC$7)*BC$7/Qtrs_Yr,0),Inputs!$F$35:$I$35,Inputs!$F$38:$I$38)*LOOKUP(ROUNDUP(SUM($I$7:BC$7)*BC$7/Qtrs_Yr,0),Inputs!$F$35:$I$35,Inputs!$F$36:$I$36))/Thousand/Qtrs_Yr)+Inputs!$F$65*(IF(ROUNDUP(SUM($I$7:BC$7)*BC$7/Qtrs_Yr,0)=0,0,LOOKUP(ROUNDUP(SUM($I$7:BC$7)*BC$7/Qtrs_Yr,0),Inputs!$F$35:$I$35,Inputs!$F$36:$I$36))/Thousand/Qtrs_Yr)+Inputs!$F$66*(IF(ROUNDUP(SUM($I$7:BC$7)*BC$7/Qtrs_Yr,0)=0,0,LOOKUP(ROUNDUP(SUM($I$7:BC$7)*BC$7/Qtrs_Yr,0),Inputs!$F$35:$I$35,Inputs!$F$38:$I$38)*LOOKUP(ROUNDUP(SUM($I$7:BC$7)*BC$7/Qtrs_Yr,0),Inputs!$F$35:$I$35,Inputs!$F$36:$I$36))/Thousand/Qtrs_Yr))/Thousand+SUM(Inputs!$F$54:$F$61)*BC$7/Qtrs_Yr)*(1+LOOKUP(YEAR(BD$5),Inputs!$F$93:$I$93,Inputs!$F$94:$I$94)/Qtrs_Yr)^(COUNT($I$7:BC7))*Inputs!$F$98/(BC5-BB5))-(((IF(ROUNDUP(SUM($J$7:BD$7)*BD$7/Qtrs_Yr,0)=0,0,LOOKUP(ROUNDUP(SUM($J$7:BD$7)*BD$7/Qtrs_Yr,0),Inputs!$F$35:$I$35,Inputs!$F$36:$I$36))/Thousand/Qtrs_Yr)*IF(ROUNDUP(SUM($J$7:BD$7)*BD$7/Qtrs_Yr,0)=0,0,LOOKUP(ROUNDUP(SUM($J$7:BD$7)*BD$7/Qtrs_Yr,0),Inputs!$F$41:$I$41,Inputs!$F$42:$I$42))/Grams_Oz*Inputs!$F$45)*LOOKUP(YEAR(BD$5),Inputs!$F$49:$I$49,Inputs!$F$50:$I$50)/Thousand
/LOOKUP(YEAR(BD$5),Inputs!$F$89:$I$89,Inputs!$F$90:$I$90)-((Inputs!$F$64*(IF(ROUNDUP(SUM($J$7:BD$7)*BD$7/Qtrs_Yr,0)=0,0,LOOKUP(ROUNDUP(SUM($J$7:BD$7)*BD$7/Qtrs_Yr,0),Inputs!$F$35:$I$35,Inputs!$F$36:$I$36))/Thousand/Qtrs_Yr+IF(ROUNDUP(SUM($J$7:BD$7)*BD$7/Qtrs_Yr,0)=0,0,LOOKUP(ROUNDUP(SUM($J$7:BD$7)*BD$7/Qtrs_Yr,0),Inputs!$F$35:$I$35,Inputs!$F$38:$I$38)*LOOKUP(ROUNDUP(SUM($J$7:BD$7)*BD$7/Qtrs_Yr,0),Inputs!$F$35:$I$35,Inputs!$F$36:$I$36))/Thousand/Qtrs_Yr)+Inputs!$F$65*(IF(ROUNDUP(SUM($J$7:BD$7)*BD$7/Qtrs_Yr,0)=0,0,LOOKUP(ROUNDUP(SUM($J$7:BD$7)*BD$7/Qtrs_Yr,0),Inputs!$F$35:$I$35,Inputs!$F$36:$I$36))/Thousand/Qtrs_Yr)+Inputs!$F$66*(IF(ROUNDUP(SUM($J$7:BD$7)*BD$7/Qtrs_Yr,0)=0,0,LOOKUP(ROUNDUP(SUM($J$7:BD$7)*BD$7/Qtrs_Yr,0),Inputs!$F$35:$I$35,Inputs!$F$38:$I$38)*LOOKUP(ROUNDUP(SUM($J$7:BD$7)*BD$7/Qtrs_Yr,0),Inputs!$F$35:$I$35,Inputs!$F$36:$I$36))/Thousand/Qtrs_Yr))/Thousand+SUM(Inputs!$F$54:$F$61)*BD$7/Qtrs_Yr)*(1+LOOKUP(YEAR(BD$5),Inputs!$F$93:$I$93,Inputs!$F$94:$I$94)/Qtrs_Yr)^(COUNT($J$7:BD7))-Inputs!$E$29*(1+Inputs!$E$31)*BD$7/Inputs!$E$16/Qtrs_Yr-IF(OR(BD$7=0,SUM($J7:BD7)*BD7&gt;Inputs!$F$77*Qtrs_Yr),0,(Inputs!$F$71-SUM($J7:BD7,-1)*BD7*Inputs!$F$71/Inputs!$F$77/Qtrs_Yr)*(LOOKUP(YEAR(BE$5),Inputs!$F$85:$I$85,Inputs!$F$86:$I$86)+LOOKUP(ROUNDUP(SUM($J7:BE7)*BE7/Qtrs_Yr,0),Inputs!$G$73:$J$73,Inputs!$G$74:$J$74))/Qtrs_Yr))*Inputs!$F$101)/(IF(OR(BD$7=0,SUM($J7:BD7)*BD7&gt;Inputs!$F$77*Qtrs_Yr),0,(Inputs!$F$71-SUM($J7:BD7,-1)*BD7*Inputs!$F$71/Inputs!$F$77/Qtrs_Yr)*(LOOKUP(YEAR(BE$5),Inputs!$F$85:$I$85,Inputs!$F$86:$I$86)+LOOKUP(ROUNDUP(SUM($J7:BE7)*BE7/Qtrs_Yr,0),Inputs!$G$73:$J$73,Inputs!$G$74:$J$74))/Qtrs_Yr)+IF(OR(BD$7=0,SUM($J7:BD7)*BD7&gt;Inputs!$F$77*Qtrs_Yr),0,Inputs!$F$71/Inputs!$F$77/Qtrs_Yr)))</f>
        <v>0</v>
      </c>
      <c r="BE14" s="75">
        <f>IF((IF(OR(BE$7=0,SUM($J7:BE7)*BE7&gt;Inputs!$F$77*Qtrs_Yr),0,(Inputs!$F$71-SUM($J7:BE7,-1)*BE7*Inputs!$F$71/Inputs!$F$77/Qtrs_Yr)*(LOOKUP(YEAR(BF$5),Inputs!$F$85:$I$85,Inputs!$F$86:$I$86)+LOOKUP(ROUNDUP(SUM($J7:BF7)*BF7/Qtrs_Yr,0),Inputs!$G$73:$J$73,Inputs!$G$74:$J$74))/Qtrs_Yr)+IF(OR(BE$7=0,SUM($J7:BE7)*BE7&gt;Inputs!$F$77*Qtrs_Yr),0,Inputs!$F$71/Inputs!$F$77/Qtrs_Yr))=0,0,((((IF(ROUNDUP(SUM($J$7:BE$7)*BE$7/Qtrs_Yr,0)=0,0,LOOKUP(ROUNDUP(SUM($J$7:BE$7)*BE$7/Qtrs_Yr,0),Inputs!$F$35:$I$35,Inputs!$F$36:$I$36))/Thousand/Qtrs_Yr)*IF(ROUNDUP(SUM($J$7:BE$7)*BE$7/Qtrs_Yr,0)=0,0,LOOKUP(ROUNDUP(SUM($J$7:BE$7)*BE$7/Qtrs_Yr,0),Inputs!$F$41:$I$41,Inputs!$F$42:$I$42))/Grams_Oz*Inputs!$F$45)*LOOKUP(YEAR(BE$5),Inputs!$F$49:$I$49,Inputs!$F$50:$I$50)/Thousand/LOOKUP(YEAR(BE$5),Inputs!$F$89:$I$89,Inputs!$F$90:$I$90)*(BE5-BD5-Inputs!$F$97)/(BE5-BD5)+((IF(ROUNDUP(SUM($I$7:BD$7)*BD$7/Qtrs_Yr,0)=0,0,LOOKUP(ROUNDUP(SUM($I$7:BD$7)*BD$7/Qtrs_Yr,0),Inputs!$F$35:$I$35,Inputs!$F$36:$I$36))/Thousand/Qtrs_Yr)*IF(ROUNDUP(SUM($I$7:BD$7)*BD$7/Qtrs_Yr,0)=0,0,LOOKUP(ROUNDUP(SUM($I$7:BD$7)*BD$7/Qtrs_Yr,0),Inputs!$F$41:$I$41,Inputs!$F$42:$I$42))/Grams_Oz*Inputs!$F$45)*LOOKUP(YEAR(BD$5),Inputs!$F$49:$I$49,Inputs!$F$50:$I$50)/Thousand
/LOOKUP(YEAR(BD$5),Inputs!$F$89:$I$89,Inputs!$F$90:$I$90)*Inputs!$F$97/(BD5-BC5))-(((Inputs!$F$64*(IF(ROUNDUP(SUM($J$7:BE$7)*BE$7/Qtrs_Yr,0)=0,0,LOOKUP(ROUNDUP(SUM($J$7:BE$7)*BE$7/Qtrs_Yr,0),Inputs!$F$35:$I$35,Inputs!$F$36:$I$36))/Thousand/Qtrs_Yr+IF(ROUNDUP(SUM($J$7:BE$7)*BE$7/Qtrs_Yr,0)=0,0,LOOKUP(ROUNDUP(SUM($J$7:BE$7)*BE$7/Qtrs_Yr,0),Inputs!$F$35:$I$35,Inputs!$F$38:$I$38)*LOOKUP(ROUNDUP(SUM($J$7:BE$7)*BE$7/Qtrs_Yr,0),Inputs!$F$35:$I$35,Inputs!$F$36:$I$36))/Thousand/Qtrs_Yr)+Inputs!$F$65*(IF(ROUNDUP(SUM($J$7:BE$7)*BE$7/Qtrs_Yr,0)=0,0,LOOKUP(ROUNDUP(SUM($J$7:BE$7)*BE$7/Qtrs_Yr,0),Inputs!$F$35:$I$35,Inputs!$F$36:$I$36))/Thousand/Qtrs_Yr)+Inputs!$F$66*(IF(ROUNDUP(SUM($J$7:BE$7)*BE$7/Qtrs_Yr,0)=0,0,LOOKUP(ROUNDUP(SUM($J$7:BE$7)*BE$7/Qtrs_Yr,0),Inputs!$F$35:$I$35,Inputs!$F$38:$I$38)*LOOKUP(ROUNDUP(SUM($J$7:BE$7)*BE$7/Qtrs_Yr,0),Inputs!$F$35:$I$35,Inputs!$F$36:$I$36))/Thousand/Qtrs_Yr))/Thousand+SUM(Inputs!$F$54:$F$61)*BE$7/Qtrs_Yr)*(1+LOOKUP(YEAR(BE$5),Inputs!$F$93:$I$93,Inputs!$F$94:$I$94)/Qtrs_Yr)^(COUNT($J$7:BE7))*(BE5-BD5-Inputs!$F$98)/(BE5-BD5)+((Inputs!$F$64*(IF(ROUNDUP(SUM($I$7:BD$7)*BD$7/Qtrs_Yr,0)=0,0,LOOKUP(ROUNDUP(SUM($I$7:BD$7)*BD$7/Qtrs_Yr,0),Inputs!$F$35:$I$35,Inputs!$F$36:$I$36))/Thousand/Qtrs_Yr+IF(ROUNDUP(SUM($I$7:BD$7)*BD$7/Qtrs_Yr,0)=0,0,LOOKUP(ROUNDUP(SUM($I$7:BD$7)*BD$7/Qtrs_Yr,0),Inputs!$F$35:$I$35,Inputs!$F$38:$I$38)*LOOKUP(ROUNDUP(SUM($I$7:BD$7)*BD$7/Qtrs_Yr,0),Inputs!$F$35:$I$35,Inputs!$F$36:$I$36))/Thousand/Qtrs_Yr)+Inputs!$F$65*(IF(ROUNDUP(SUM($I$7:BD$7)*BD$7/Qtrs_Yr,0)=0,0,LOOKUP(ROUNDUP(SUM($I$7:BD$7)*BD$7/Qtrs_Yr,0),Inputs!$F$35:$I$35,Inputs!$F$36:$I$36))/Thousand/Qtrs_Yr)+Inputs!$F$66*(IF(ROUNDUP(SUM($I$7:BD$7)*BD$7/Qtrs_Yr,0)=0,0,LOOKUP(ROUNDUP(SUM($I$7:BD$7)*BD$7/Qtrs_Yr,0),Inputs!$F$35:$I$35,Inputs!$F$38:$I$38)*LOOKUP(ROUNDUP(SUM($I$7:BD$7)*BD$7/Qtrs_Yr,0),Inputs!$F$35:$I$35,Inputs!$F$36:$I$36))/Thousand/Qtrs_Yr))/Thousand+SUM(Inputs!$F$54:$F$61)*BD$7/Qtrs_Yr)*(1+LOOKUP(YEAR(BE$5),Inputs!$F$93:$I$93,Inputs!$F$94:$I$94)/Qtrs_Yr)^(COUNT($I$7:BD7))*Inputs!$F$98/(BD5-BC5))-(((IF(ROUNDUP(SUM($J$7:BE$7)*BE$7/Qtrs_Yr,0)=0,0,LOOKUP(ROUNDUP(SUM($J$7:BE$7)*BE$7/Qtrs_Yr,0),Inputs!$F$35:$I$35,Inputs!$F$36:$I$36))/Thousand/Qtrs_Yr)*IF(ROUNDUP(SUM($J$7:BE$7)*BE$7/Qtrs_Yr,0)=0,0,LOOKUP(ROUNDUP(SUM($J$7:BE$7)*BE$7/Qtrs_Yr,0),Inputs!$F$41:$I$41,Inputs!$F$42:$I$42))/Grams_Oz*Inputs!$F$45)*LOOKUP(YEAR(BE$5),Inputs!$F$49:$I$49,Inputs!$F$50:$I$50)/Thousand
/LOOKUP(YEAR(BE$5),Inputs!$F$89:$I$89,Inputs!$F$90:$I$90)-((Inputs!$F$64*(IF(ROUNDUP(SUM($J$7:BE$7)*BE$7/Qtrs_Yr,0)=0,0,LOOKUP(ROUNDUP(SUM($J$7:BE$7)*BE$7/Qtrs_Yr,0),Inputs!$F$35:$I$35,Inputs!$F$36:$I$36))/Thousand/Qtrs_Yr+IF(ROUNDUP(SUM($J$7:BE$7)*BE$7/Qtrs_Yr,0)=0,0,LOOKUP(ROUNDUP(SUM($J$7:BE$7)*BE$7/Qtrs_Yr,0),Inputs!$F$35:$I$35,Inputs!$F$38:$I$38)*LOOKUP(ROUNDUP(SUM($J$7:BE$7)*BE$7/Qtrs_Yr,0),Inputs!$F$35:$I$35,Inputs!$F$36:$I$36))/Thousand/Qtrs_Yr)+Inputs!$F$65*(IF(ROUNDUP(SUM($J$7:BE$7)*BE$7/Qtrs_Yr,0)=0,0,LOOKUP(ROUNDUP(SUM($J$7:BE$7)*BE$7/Qtrs_Yr,0),Inputs!$F$35:$I$35,Inputs!$F$36:$I$36))/Thousand/Qtrs_Yr)+Inputs!$F$66*(IF(ROUNDUP(SUM($J$7:BE$7)*BE$7/Qtrs_Yr,0)=0,0,LOOKUP(ROUNDUP(SUM($J$7:BE$7)*BE$7/Qtrs_Yr,0),Inputs!$F$35:$I$35,Inputs!$F$38:$I$38)*LOOKUP(ROUNDUP(SUM($J$7:BE$7)*BE$7/Qtrs_Yr,0),Inputs!$F$35:$I$35,Inputs!$F$36:$I$36))/Thousand/Qtrs_Yr))/Thousand+SUM(Inputs!$F$54:$F$61)*BE$7/Qtrs_Yr)*(1+LOOKUP(YEAR(BE$5),Inputs!$F$93:$I$93,Inputs!$F$94:$I$94)/Qtrs_Yr)^(COUNT($J$7:BE7))-Inputs!$E$29*(1+Inputs!$E$31)*BE$7/Inputs!$E$16/Qtrs_Yr-IF(OR(BE$7=0,SUM($J7:BE7)*BE7&gt;Inputs!$F$77*Qtrs_Yr),0,(Inputs!$F$71-SUM($J7:BE7,-1)*BE7*Inputs!$F$71/Inputs!$F$77/Qtrs_Yr)*(LOOKUP(YEAR(BF$5),Inputs!$F$85:$I$85,Inputs!$F$86:$I$86)+LOOKUP(ROUNDUP(SUM($J7:BF7)*BF7/Qtrs_Yr,0),Inputs!$G$73:$J$73,Inputs!$G$74:$J$74))/Qtrs_Yr))*Inputs!$F$101)/(IF(OR(BE$7=0,SUM($J7:BE7)*BE7&gt;Inputs!$F$77*Qtrs_Yr),0,(Inputs!$F$71-SUM($J7:BE7,-1)*BE7*Inputs!$F$71/Inputs!$F$77/Qtrs_Yr)*(LOOKUP(YEAR(BF$5),Inputs!$F$85:$I$85,Inputs!$F$86:$I$86)+LOOKUP(ROUNDUP(SUM($J7:BF7)*BF7/Qtrs_Yr,0),Inputs!$G$73:$J$73,Inputs!$G$74:$J$74))/Qtrs_Yr)+IF(OR(BE$7=0,SUM($J7:BE7)*BE7&gt;Inputs!$F$77*Qtrs_Yr),0,Inputs!$F$71/Inputs!$F$77/Qtrs_Yr)))</f>
        <v>0</v>
      </c>
      <c r="BF14" s="75">
        <f>IF((IF(OR(BF$7=0,SUM($J7:BF7)*BF7&gt;Inputs!$F$77*Qtrs_Yr),0,(Inputs!$F$71-SUM($J7:BF7,-1)*BF7*Inputs!$F$71/Inputs!$F$77/Qtrs_Yr)*(LOOKUP(YEAR(BG$5),Inputs!$F$85:$I$85,Inputs!$F$86:$I$86)+LOOKUP(ROUNDUP(SUM($J7:BG7)*BG7/Qtrs_Yr,0),Inputs!$G$73:$J$73,Inputs!$G$74:$J$74))/Qtrs_Yr)+IF(OR(BF$7=0,SUM($J7:BF7)*BF7&gt;Inputs!$F$77*Qtrs_Yr),0,Inputs!$F$71/Inputs!$F$77/Qtrs_Yr))=0,0,((((IF(ROUNDUP(SUM($J$7:BF$7)*BF$7/Qtrs_Yr,0)=0,0,LOOKUP(ROUNDUP(SUM($J$7:BF$7)*BF$7/Qtrs_Yr,0),Inputs!$F$35:$I$35,Inputs!$F$36:$I$36))/Thousand/Qtrs_Yr)*IF(ROUNDUP(SUM($J$7:BF$7)*BF$7/Qtrs_Yr,0)=0,0,LOOKUP(ROUNDUP(SUM($J$7:BF$7)*BF$7/Qtrs_Yr,0),Inputs!$F$41:$I$41,Inputs!$F$42:$I$42))/Grams_Oz*Inputs!$F$45)*LOOKUP(YEAR(BF$5),Inputs!$F$49:$I$49,Inputs!$F$50:$I$50)/Thousand/LOOKUP(YEAR(BF$5),Inputs!$F$89:$I$89,Inputs!$F$90:$I$90)*(BF5-BE5-Inputs!$F$97)/(BF5-BE5)+((IF(ROUNDUP(SUM($I$7:BE$7)*BE$7/Qtrs_Yr,0)=0,0,LOOKUP(ROUNDUP(SUM($I$7:BE$7)*BE$7/Qtrs_Yr,0),Inputs!$F$35:$I$35,Inputs!$F$36:$I$36))/Thousand/Qtrs_Yr)*IF(ROUNDUP(SUM($I$7:BE$7)*BE$7/Qtrs_Yr,0)=0,0,LOOKUP(ROUNDUP(SUM($I$7:BE$7)*BE$7/Qtrs_Yr,0),Inputs!$F$41:$I$41,Inputs!$F$42:$I$42))/Grams_Oz*Inputs!$F$45)*LOOKUP(YEAR(BE$5),Inputs!$F$49:$I$49,Inputs!$F$50:$I$50)/Thousand
/LOOKUP(YEAR(BE$5),Inputs!$F$89:$I$89,Inputs!$F$90:$I$90)*Inputs!$F$97/(BE5-BD5))-(((Inputs!$F$64*(IF(ROUNDUP(SUM($J$7:BF$7)*BF$7/Qtrs_Yr,0)=0,0,LOOKUP(ROUNDUP(SUM($J$7:BF$7)*BF$7/Qtrs_Yr,0),Inputs!$F$35:$I$35,Inputs!$F$36:$I$36))/Thousand/Qtrs_Yr+IF(ROUNDUP(SUM($J$7:BF$7)*BF$7/Qtrs_Yr,0)=0,0,LOOKUP(ROUNDUP(SUM($J$7:BF$7)*BF$7/Qtrs_Yr,0),Inputs!$F$35:$I$35,Inputs!$F$38:$I$38)*LOOKUP(ROUNDUP(SUM($J$7:BF$7)*BF$7/Qtrs_Yr,0),Inputs!$F$35:$I$35,Inputs!$F$36:$I$36))/Thousand/Qtrs_Yr)+Inputs!$F$65*(IF(ROUNDUP(SUM($J$7:BF$7)*BF$7/Qtrs_Yr,0)=0,0,LOOKUP(ROUNDUP(SUM($J$7:BF$7)*BF$7/Qtrs_Yr,0),Inputs!$F$35:$I$35,Inputs!$F$36:$I$36))/Thousand/Qtrs_Yr)+Inputs!$F$66*(IF(ROUNDUP(SUM($J$7:BF$7)*BF$7/Qtrs_Yr,0)=0,0,LOOKUP(ROUNDUP(SUM($J$7:BF$7)*BF$7/Qtrs_Yr,0),Inputs!$F$35:$I$35,Inputs!$F$38:$I$38)*LOOKUP(ROUNDUP(SUM($J$7:BF$7)*BF$7/Qtrs_Yr,0),Inputs!$F$35:$I$35,Inputs!$F$36:$I$36))/Thousand/Qtrs_Yr))/Thousand+SUM(Inputs!$F$54:$F$61)*BF$7/Qtrs_Yr)*(1+LOOKUP(YEAR(BF$5),Inputs!$F$93:$I$93,Inputs!$F$94:$I$94)/Qtrs_Yr)^(COUNT($J$7:BF7))*(BF5-BE5-Inputs!$F$98)/(BF5-BE5)+((Inputs!$F$64*(IF(ROUNDUP(SUM($I$7:BE$7)*BE$7/Qtrs_Yr,0)=0,0,LOOKUP(ROUNDUP(SUM($I$7:BE$7)*BE$7/Qtrs_Yr,0),Inputs!$F$35:$I$35,Inputs!$F$36:$I$36))/Thousand/Qtrs_Yr+IF(ROUNDUP(SUM($I$7:BE$7)*BE$7/Qtrs_Yr,0)=0,0,LOOKUP(ROUNDUP(SUM($I$7:BE$7)*BE$7/Qtrs_Yr,0),Inputs!$F$35:$I$35,Inputs!$F$38:$I$38)*LOOKUP(ROUNDUP(SUM($I$7:BE$7)*BE$7/Qtrs_Yr,0),Inputs!$F$35:$I$35,Inputs!$F$36:$I$36))/Thousand/Qtrs_Yr)+Inputs!$F$65*(IF(ROUNDUP(SUM($I$7:BE$7)*BE$7/Qtrs_Yr,0)=0,0,LOOKUP(ROUNDUP(SUM($I$7:BE$7)*BE$7/Qtrs_Yr,0),Inputs!$F$35:$I$35,Inputs!$F$36:$I$36))/Thousand/Qtrs_Yr)+Inputs!$F$66*(IF(ROUNDUP(SUM($I$7:BE$7)*BE$7/Qtrs_Yr,0)=0,0,LOOKUP(ROUNDUP(SUM($I$7:BE$7)*BE$7/Qtrs_Yr,0),Inputs!$F$35:$I$35,Inputs!$F$38:$I$38)*LOOKUP(ROUNDUP(SUM($I$7:BE$7)*BE$7/Qtrs_Yr,0),Inputs!$F$35:$I$35,Inputs!$F$36:$I$36))/Thousand/Qtrs_Yr))/Thousand+SUM(Inputs!$F$54:$F$61)*BE$7/Qtrs_Yr)*(1+LOOKUP(YEAR(BF$5),Inputs!$F$93:$I$93,Inputs!$F$94:$I$94)/Qtrs_Yr)^(COUNT($I$7:BE7))*Inputs!$F$98/(BE5-BD5))-(((IF(ROUNDUP(SUM($J$7:BF$7)*BF$7/Qtrs_Yr,0)=0,0,LOOKUP(ROUNDUP(SUM($J$7:BF$7)*BF$7/Qtrs_Yr,0),Inputs!$F$35:$I$35,Inputs!$F$36:$I$36))/Thousand/Qtrs_Yr)*IF(ROUNDUP(SUM($J$7:BF$7)*BF$7/Qtrs_Yr,0)=0,0,LOOKUP(ROUNDUP(SUM($J$7:BF$7)*BF$7/Qtrs_Yr,0),Inputs!$F$41:$I$41,Inputs!$F$42:$I$42))/Grams_Oz*Inputs!$F$45)*LOOKUP(YEAR(BF$5),Inputs!$F$49:$I$49,Inputs!$F$50:$I$50)/Thousand
/LOOKUP(YEAR(BF$5),Inputs!$F$89:$I$89,Inputs!$F$90:$I$90)-((Inputs!$F$64*(IF(ROUNDUP(SUM($J$7:BF$7)*BF$7/Qtrs_Yr,0)=0,0,LOOKUP(ROUNDUP(SUM($J$7:BF$7)*BF$7/Qtrs_Yr,0),Inputs!$F$35:$I$35,Inputs!$F$36:$I$36))/Thousand/Qtrs_Yr+IF(ROUNDUP(SUM($J$7:BF$7)*BF$7/Qtrs_Yr,0)=0,0,LOOKUP(ROUNDUP(SUM($J$7:BF$7)*BF$7/Qtrs_Yr,0),Inputs!$F$35:$I$35,Inputs!$F$38:$I$38)*LOOKUP(ROUNDUP(SUM($J$7:BF$7)*BF$7/Qtrs_Yr,0),Inputs!$F$35:$I$35,Inputs!$F$36:$I$36))/Thousand/Qtrs_Yr)+Inputs!$F$65*(IF(ROUNDUP(SUM($J$7:BF$7)*BF$7/Qtrs_Yr,0)=0,0,LOOKUP(ROUNDUP(SUM($J$7:BF$7)*BF$7/Qtrs_Yr,0),Inputs!$F$35:$I$35,Inputs!$F$36:$I$36))/Thousand/Qtrs_Yr)+Inputs!$F$66*(IF(ROUNDUP(SUM($J$7:BF$7)*BF$7/Qtrs_Yr,0)=0,0,LOOKUP(ROUNDUP(SUM($J$7:BF$7)*BF$7/Qtrs_Yr,0),Inputs!$F$35:$I$35,Inputs!$F$38:$I$38)*LOOKUP(ROUNDUP(SUM($J$7:BF$7)*BF$7/Qtrs_Yr,0),Inputs!$F$35:$I$35,Inputs!$F$36:$I$36))/Thousand/Qtrs_Yr))/Thousand+SUM(Inputs!$F$54:$F$61)*BF$7/Qtrs_Yr)*(1+LOOKUP(YEAR(BF$5),Inputs!$F$93:$I$93,Inputs!$F$94:$I$94)/Qtrs_Yr)^(COUNT($J$7:BF7))-Inputs!$E$29*(1+Inputs!$E$31)*BF$7/Inputs!$E$16/Qtrs_Yr-IF(OR(BF$7=0,SUM($J7:BF7)*BF7&gt;Inputs!$F$77*Qtrs_Yr),0,(Inputs!$F$71-SUM($J7:BF7,-1)*BF7*Inputs!$F$71/Inputs!$F$77/Qtrs_Yr)*(LOOKUP(YEAR(BG$5),Inputs!$F$85:$I$85,Inputs!$F$86:$I$86)+LOOKUP(ROUNDUP(SUM($J7:BG7)*BG7/Qtrs_Yr,0),Inputs!$G$73:$J$73,Inputs!$G$74:$J$74))/Qtrs_Yr))*Inputs!$F$101)/(IF(OR(BF$7=0,SUM($J7:BF7)*BF7&gt;Inputs!$F$77*Qtrs_Yr),0,(Inputs!$F$71-SUM($J7:BF7,-1)*BF7*Inputs!$F$71/Inputs!$F$77/Qtrs_Yr)*(LOOKUP(YEAR(BG$5),Inputs!$F$85:$I$85,Inputs!$F$86:$I$86)+LOOKUP(ROUNDUP(SUM($J7:BG7)*BG7/Qtrs_Yr,0),Inputs!$G$73:$J$73,Inputs!$G$74:$J$74))/Qtrs_Yr)+IF(OR(BF$7=0,SUM($J7:BF7)*BF7&gt;Inputs!$F$77*Qtrs_Yr),0,Inputs!$F$71/Inputs!$F$77/Qtrs_Yr)))</f>
        <v>0</v>
      </c>
      <c r="BG14" s="75">
        <f>IF((IF(OR(BG$7=0,SUM($J7:BG7)*BG7&gt;Inputs!$F$77*Qtrs_Yr),0,(Inputs!$F$71-SUM($J7:BG7,-1)*BG7*Inputs!$F$71/Inputs!$F$77/Qtrs_Yr)*(LOOKUP(YEAR(BH$5),Inputs!$F$85:$I$85,Inputs!$F$86:$I$86)+LOOKUP(ROUNDUP(SUM($J7:BH7)*BH7/Qtrs_Yr,0),Inputs!$G$73:$J$73,Inputs!$G$74:$J$74))/Qtrs_Yr)+IF(OR(BG$7=0,SUM($J7:BG7)*BG7&gt;Inputs!$F$77*Qtrs_Yr),0,Inputs!$F$71/Inputs!$F$77/Qtrs_Yr))=0,0,((((IF(ROUNDUP(SUM($J$7:BG$7)*BG$7/Qtrs_Yr,0)=0,0,LOOKUP(ROUNDUP(SUM($J$7:BG$7)*BG$7/Qtrs_Yr,0),Inputs!$F$35:$I$35,Inputs!$F$36:$I$36))/Thousand/Qtrs_Yr)*IF(ROUNDUP(SUM($J$7:BG$7)*BG$7/Qtrs_Yr,0)=0,0,LOOKUP(ROUNDUP(SUM($J$7:BG$7)*BG$7/Qtrs_Yr,0),Inputs!$F$41:$I$41,Inputs!$F$42:$I$42))/Grams_Oz*Inputs!$F$45)*LOOKUP(YEAR(BG$5),Inputs!$F$49:$I$49,Inputs!$F$50:$I$50)/Thousand/LOOKUP(YEAR(BG$5),Inputs!$F$89:$I$89,Inputs!$F$90:$I$90)*(BG5-BF5-Inputs!$F$97)/(BG5-BF5)+((IF(ROUNDUP(SUM($I$7:BF$7)*BF$7/Qtrs_Yr,0)=0,0,LOOKUP(ROUNDUP(SUM($I$7:BF$7)*BF$7/Qtrs_Yr,0),Inputs!$F$35:$I$35,Inputs!$F$36:$I$36))/Thousand/Qtrs_Yr)*IF(ROUNDUP(SUM($I$7:BF$7)*BF$7/Qtrs_Yr,0)=0,0,LOOKUP(ROUNDUP(SUM($I$7:BF$7)*BF$7/Qtrs_Yr,0),Inputs!$F$41:$I$41,Inputs!$F$42:$I$42))/Grams_Oz*Inputs!$F$45)*LOOKUP(YEAR(BF$5),Inputs!$F$49:$I$49,Inputs!$F$50:$I$50)/Thousand
/LOOKUP(YEAR(BF$5),Inputs!$F$89:$I$89,Inputs!$F$90:$I$90)*Inputs!$F$97/(BF5-BE5))-(((Inputs!$F$64*(IF(ROUNDUP(SUM($J$7:BG$7)*BG$7/Qtrs_Yr,0)=0,0,LOOKUP(ROUNDUP(SUM($J$7:BG$7)*BG$7/Qtrs_Yr,0),Inputs!$F$35:$I$35,Inputs!$F$36:$I$36))/Thousand/Qtrs_Yr+IF(ROUNDUP(SUM($J$7:BG$7)*BG$7/Qtrs_Yr,0)=0,0,LOOKUP(ROUNDUP(SUM($J$7:BG$7)*BG$7/Qtrs_Yr,0),Inputs!$F$35:$I$35,Inputs!$F$38:$I$38)*LOOKUP(ROUNDUP(SUM($J$7:BG$7)*BG$7/Qtrs_Yr,0),Inputs!$F$35:$I$35,Inputs!$F$36:$I$36))/Thousand/Qtrs_Yr)+Inputs!$F$65*(IF(ROUNDUP(SUM($J$7:BG$7)*BG$7/Qtrs_Yr,0)=0,0,LOOKUP(ROUNDUP(SUM($J$7:BG$7)*BG$7/Qtrs_Yr,0),Inputs!$F$35:$I$35,Inputs!$F$36:$I$36))/Thousand/Qtrs_Yr)+Inputs!$F$66*(IF(ROUNDUP(SUM($J$7:BG$7)*BG$7/Qtrs_Yr,0)=0,0,LOOKUP(ROUNDUP(SUM($J$7:BG$7)*BG$7/Qtrs_Yr,0),Inputs!$F$35:$I$35,Inputs!$F$38:$I$38)*LOOKUP(ROUNDUP(SUM($J$7:BG$7)*BG$7/Qtrs_Yr,0),Inputs!$F$35:$I$35,Inputs!$F$36:$I$36))/Thousand/Qtrs_Yr))/Thousand+SUM(Inputs!$F$54:$F$61)*BG$7/Qtrs_Yr)*(1+LOOKUP(YEAR(BG$5),Inputs!$F$93:$I$93,Inputs!$F$94:$I$94)/Qtrs_Yr)^(COUNT($J$7:BG7))*(BG5-BF5-Inputs!$F$98)/(BG5-BF5)+((Inputs!$F$64*(IF(ROUNDUP(SUM($I$7:BF$7)*BF$7/Qtrs_Yr,0)=0,0,LOOKUP(ROUNDUP(SUM($I$7:BF$7)*BF$7/Qtrs_Yr,0),Inputs!$F$35:$I$35,Inputs!$F$36:$I$36))/Thousand/Qtrs_Yr+IF(ROUNDUP(SUM($I$7:BF$7)*BF$7/Qtrs_Yr,0)=0,0,LOOKUP(ROUNDUP(SUM($I$7:BF$7)*BF$7/Qtrs_Yr,0),Inputs!$F$35:$I$35,Inputs!$F$38:$I$38)*LOOKUP(ROUNDUP(SUM($I$7:BF$7)*BF$7/Qtrs_Yr,0),Inputs!$F$35:$I$35,Inputs!$F$36:$I$36))/Thousand/Qtrs_Yr)+Inputs!$F$65*(IF(ROUNDUP(SUM($I$7:BF$7)*BF$7/Qtrs_Yr,0)=0,0,LOOKUP(ROUNDUP(SUM($I$7:BF$7)*BF$7/Qtrs_Yr,0),Inputs!$F$35:$I$35,Inputs!$F$36:$I$36))/Thousand/Qtrs_Yr)+Inputs!$F$66*(IF(ROUNDUP(SUM($I$7:BF$7)*BF$7/Qtrs_Yr,0)=0,0,LOOKUP(ROUNDUP(SUM($I$7:BF$7)*BF$7/Qtrs_Yr,0),Inputs!$F$35:$I$35,Inputs!$F$38:$I$38)*LOOKUP(ROUNDUP(SUM($I$7:BF$7)*BF$7/Qtrs_Yr,0),Inputs!$F$35:$I$35,Inputs!$F$36:$I$36))/Thousand/Qtrs_Yr))/Thousand+SUM(Inputs!$F$54:$F$61)*BF$7/Qtrs_Yr)*(1+LOOKUP(YEAR(BG$5),Inputs!$F$93:$I$93,Inputs!$F$94:$I$94)/Qtrs_Yr)^(COUNT($I$7:BF7))*Inputs!$F$98/(BF5-BE5))-(((IF(ROUNDUP(SUM($J$7:BG$7)*BG$7/Qtrs_Yr,0)=0,0,LOOKUP(ROUNDUP(SUM($J$7:BG$7)*BG$7/Qtrs_Yr,0),Inputs!$F$35:$I$35,Inputs!$F$36:$I$36))/Thousand/Qtrs_Yr)*IF(ROUNDUP(SUM($J$7:BG$7)*BG$7/Qtrs_Yr,0)=0,0,LOOKUP(ROUNDUP(SUM($J$7:BG$7)*BG$7/Qtrs_Yr,0),Inputs!$F$41:$I$41,Inputs!$F$42:$I$42))/Grams_Oz*Inputs!$F$45)*LOOKUP(YEAR(BG$5),Inputs!$F$49:$I$49,Inputs!$F$50:$I$50)/Thousand
/LOOKUP(YEAR(BG$5),Inputs!$F$89:$I$89,Inputs!$F$90:$I$90)-((Inputs!$F$64*(IF(ROUNDUP(SUM($J$7:BG$7)*BG$7/Qtrs_Yr,0)=0,0,LOOKUP(ROUNDUP(SUM($J$7:BG$7)*BG$7/Qtrs_Yr,0),Inputs!$F$35:$I$35,Inputs!$F$36:$I$36))/Thousand/Qtrs_Yr+IF(ROUNDUP(SUM($J$7:BG$7)*BG$7/Qtrs_Yr,0)=0,0,LOOKUP(ROUNDUP(SUM($J$7:BG$7)*BG$7/Qtrs_Yr,0),Inputs!$F$35:$I$35,Inputs!$F$38:$I$38)*LOOKUP(ROUNDUP(SUM($J$7:BG$7)*BG$7/Qtrs_Yr,0),Inputs!$F$35:$I$35,Inputs!$F$36:$I$36))/Thousand/Qtrs_Yr)+Inputs!$F$65*(IF(ROUNDUP(SUM($J$7:BG$7)*BG$7/Qtrs_Yr,0)=0,0,LOOKUP(ROUNDUP(SUM($J$7:BG$7)*BG$7/Qtrs_Yr,0),Inputs!$F$35:$I$35,Inputs!$F$36:$I$36))/Thousand/Qtrs_Yr)+Inputs!$F$66*(IF(ROUNDUP(SUM($J$7:BG$7)*BG$7/Qtrs_Yr,0)=0,0,LOOKUP(ROUNDUP(SUM($J$7:BG$7)*BG$7/Qtrs_Yr,0),Inputs!$F$35:$I$35,Inputs!$F$38:$I$38)*LOOKUP(ROUNDUP(SUM($J$7:BG$7)*BG$7/Qtrs_Yr,0),Inputs!$F$35:$I$35,Inputs!$F$36:$I$36))/Thousand/Qtrs_Yr))/Thousand+SUM(Inputs!$F$54:$F$61)*BG$7/Qtrs_Yr)*(1+LOOKUP(YEAR(BG$5),Inputs!$F$93:$I$93,Inputs!$F$94:$I$94)/Qtrs_Yr)^(COUNT($J$7:BG7))-Inputs!$E$29*(1+Inputs!$E$31)*BG$7/Inputs!$E$16/Qtrs_Yr-IF(OR(BG$7=0,SUM($J7:BG7)*BG7&gt;Inputs!$F$77*Qtrs_Yr),0,(Inputs!$F$71-SUM($J7:BG7,-1)*BG7*Inputs!$F$71/Inputs!$F$77/Qtrs_Yr)*(LOOKUP(YEAR(BH$5),Inputs!$F$85:$I$85,Inputs!$F$86:$I$86)+LOOKUP(ROUNDUP(SUM($J7:BH7)*BH7/Qtrs_Yr,0),Inputs!$G$73:$J$73,Inputs!$G$74:$J$74))/Qtrs_Yr))*Inputs!$F$101)/(IF(OR(BG$7=0,SUM($J7:BG7)*BG7&gt;Inputs!$F$77*Qtrs_Yr),0,(Inputs!$F$71-SUM($J7:BG7,-1)*BG7*Inputs!$F$71/Inputs!$F$77/Qtrs_Yr)*(LOOKUP(YEAR(BH$5),Inputs!$F$85:$I$85,Inputs!$F$86:$I$86)+LOOKUP(ROUNDUP(SUM($J7:BH7)*BH7/Qtrs_Yr,0),Inputs!$G$73:$J$73,Inputs!$G$74:$J$74))/Qtrs_Yr)+IF(OR(BG$7=0,SUM($J7:BG7)*BG7&gt;Inputs!$F$77*Qtrs_Yr),0,Inputs!$F$71/Inputs!$F$77/Qtrs_Yr)))</f>
        <v>0</v>
      </c>
      <c r="BH14" s="75">
        <f>IF((IF(OR(BH$7=0,SUM($J7:BH7)*BH7&gt;Inputs!$F$77*Qtrs_Yr),0,(Inputs!$F$71-SUM($J7:BH7,-1)*BH7*Inputs!$F$71/Inputs!$F$77/Qtrs_Yr)*(LOOKUP(YEAR(BI$5),Inputs!$F$85:$I$85,Inputs!$F$86:$I$86)+LOOKUP(ROUNDUP(SUM($J7:BI7)*BI7/Qtrs_Yr,0),Inputs!$G$73:$J$73,Inputs!$G$74:$J$74))/Qtrs_Yr)+IF(OR(BH$7=0,SUM($J7:BH7)*BH7&gt;Inputs!$F$77*Qtrs_Yr),0,Inputs!$F$71/Inputs!$F$77/Qtrs_Yr))=0,0,((((IF(ROUNDUP(SUM($J$7:BH$7)*BH$7/Qtrs_Yr,0)=0,0,LOOKUP(ROUNDUP(SUM($J$7:BH$7)*BH$7/Qtrs_Yr,0),Inputs!$F$35:$I$35,Inputs!$F$36:$I$36))/Thousand/Qtrs_Yr)*IF(ROUNDUP(SUM($J$7:BH$7)*BH$7/Qtrs_Yr,0)=0,0,LOOKUP(ROUNDUP(SUM($J$7:BH$7)*BH$7/Qtrs_Yr,0),Inputs!$F$41:$I$41,Inputs!$F$42:$I$42))/Grams_Oz*Inputs!$F$45)*LOOKUP(YEAR(BH$5),Inputs!$F$49:$I$49,Inputs!$F$50:$I$50)/Thousand/LOOKUP(YEAR(BH$5),Inputs!$F$89:$I$89,Inputs!$F$90:$I$90)*(BH5-BG5-Inputs!$F$97)/(BH5-BG5)+((IF(ROUNDUP(SUM($I$7:BG$7)*BG$7/Qtrs_Yr,0)=0,0,LOOKUP(ROUNDUP(SUM($I$7:BG$7)*BG$7/Qtrs_Yr,0),Inputs!$F$35:$I$35,Inputs!$F$36:$I$36))/Thousand/Qtrs_Yr)*IF(ROUNDUP(SUM($I$7:BG$7)*BG$7/Qtrs_Yr,0)=0,0,LOOKUP(ROUNDUP(SUM($I$7:BG$7)*BG$7/Qtrs_Yr,0),Inputs!$F$41:$I$41,Inputs!$F$42:$I$42))/Grams_Oz*Inputs!$F$45)*LOOKUP(YEAR(BG$5),Inputs!$F$49:$I$49,Inputs!$F$50:$I$50)/Thousand
/LOOKUP(YEAR(BG$5),Inputs!$F$89:$I$89,Inputs!$F$90:$I$90)*Inputs!$F$97/(BG5-BF5))-(((Inputs!$F$64*(IF(ROUNDUP(SUM($J$7:BH$7)*BH$7/Qtrs_Yr,0)=0,0,LOOKUP(ROUNDUP(SUM($J$7:BH$7)*BH$7/Qtrs_Yr,0),Inputs!$F$35:$I$35,Inputs!$F$36:$I$36))/Thousand/Qtrs_Yr+IF(ROUNDUP(SUM($J$7:BH$7)*BH$7/Qtrs_Yr,0)=0,0,LOOKUP(ROUNDUP(SUM($J$7:BH$7)*BH$7/Qtrs_Yr,0),Inputs!$F$35:$I$35,Inputs!$F$38:$I$38)*LOOKUP(ROUNDUP(SUM($J$7:BH$7)*BH$7/Qtrs_Yr,0),Inputs!$F$35:$I$35,Inputs!$F$36:$I$36))/Thousand/Qtrs_Yr)+Inputs!$F$65*(IF(ROUNDUP(SUM($J$7:BH$7)*BH$7/Qtrs_Yr,0)=0,0,LOOKUP(ROUNDUP(SUM($J$7:BH$7)*BH$7/Qtrs_Yr,0),Inputs!$F$35:$I$35,Inputs!$F$36:$I$36))/Thousand/Qtrs_Yr)+Inputs!$F$66*(IF(ROUNDUP(SUM($J$7:BH$7)*BH$7/Qtrs_Yr,0)=0,0,LOOKUP(ROUNDUP(SUM($J$7:BH$7)*BH$7/Qtrs_Yr,0),Inputs!$F$35:$I$35,Inputs!$F$38:$I$38)*LOOKUP(ROUNDUP(SUM($J$7:BH$7)*BH$7/Qtrs_Yr,0),Inputs!$F$35:$I$35,Inputs!$F$36:$I$36))/Thousand/Qtrs_Yr))/Thousand+SUM(Inputs!$F$54:$F$61)*BH$7/Qtrs_Yr)*(1+LOOKUP(YEAR(BH$5),Inputs!$F$93:$I$93,Inputs!$F$94:$I$94)/Qtrs_Yr)^(COUNT($J$7:BH7))*(BH5-BG5-Inputs!$F$98)/(BH5-BG5)+((Inputs!$F$64*(IF(ROUNDUP(SUM($I$7:BG$7)*BG$7/Qtrs_Yr,0)=0,0,LOOKUP(ROUNDUP(SUM($I$7:BG$7)*BG$7/Qtrs_Yr,0),Inputs!$F$35:$I$35,Inputs!$F$36:$I$36))/Thousand/Qtrs_Yr+IF(ROUNDUP(SUM($I$7:BG$7)*BG$7/Qtrs_Yr,0)=0,0,LOOKUP(ROUNDUP(SUM($I$7:BG$7)*BG$7/Qtrs_Yr,0),Inputs!$F$35:$I$35,Inputs!$F$38:$I$38)*LOOKUP(ROUNDUP(SUM($I$7:BG$7)*BG$7/Qtrs_Yr,0),Inputs!$F$35:$I$35,Inputs!$F$36:$I$36))/Thousand/Qtrs_Yr)+Inputs!$F$65*(IF(ROUNDUP(SUM($I$7:BG$7)*BG$7/Qtrs_Yr,0)=0,0,LOOKUP(ROUNDUP(SUM($I$7:BG$7)*BG$7/Qtrs_Yr,0),Inputs!$F$35:$I$35,Inputs!$F$36:$I$36))/Thousand/Qtrs_Yr)+Inputs!$F$66*(IF(ROUNDUP(SUM($I$7:BG$7)*BG$7/Qtrs_Yr,0)=0,0,LOOKUP(ROUNDUP(SUM($I$7:BG$7)*BG$7/Qtrs_Yr,0),Inputs!$F$35:$I$35,Inputs!$F$38:$I$38)*LOOKUP(ROUNDUP(SUM($I$7:BG$7)*BG$7/Qtrs_Yr,0),Inputs!$F$35:$I$35,Inputs!$F$36:$I$36))/Thousand/Qtrs_Yr))/Thousand+SUM(Inputs!$F$54:$F$61)*BG$7/Qtrs_Yr)*(1+LOOKUP(YEAR(BH$5),Inputs!$F$93:$I$93,Inputs!$F$94:$I$94)/Qtrs_Yr)^(COUNT($I$7:BG7))*Inputs!$F$98/(BG5-BF5))-(((IF(ROUNDUP(SUM($J$7:BH$7)*BH$7/Qtrs_Yr,0)=0,0,LOOKUP(ROUNDUP(SUM($J$7:BH$7)*BH$7/Qtrs_Yr,0),Inputs!$F$35:$I$35,Inputs!$F$36:$I$36))/Thousand/Qtrs_Yr)*IF(ROUNDUP(SUM($J$7:BH$7)*BH$7/Qtrs_Yr,0)=0,0,LOOKUP(ROUNDUP(SUM($J$7:BH$7)*BH$7/Qtrs_Yr,0),Inputs!$F$41:$I$41,Inputs!$F$42:$I$42))/Grams_Oz*Inputs!$F$45)*LOOKUP(YEAR(BH$5),Inputs!$F$49:$I$49,Inputs!$F$50:$I$50)/Thousand
/LOOKUP(YEAR(BH$5),Inputs!$F$89:$I$89,Inputs!$F$90:$I$90)-((Inputs!$F$64*(IF(ROUNDUP(SUM($J$7:BH$7)*BH$7/Qtrs_Yr,0)=0,0,LOOKUP(ROUNDUP(SUM($J$7:BH$7)*BH$7/Qtrs_Yr,0),Inputs!$F$35:$I$35,Inputs!$F$36:$I$36))/Thousand/Qtrs_Yr+IF(ROUNDUP(SUM($J$7:BH$7)*BH$7/Qtrs_Yr,0)=0,0,LOOKUP(ROUNDUP(SUM($J$7:BH$7)*BH$7/Qtrs_Yr,0),Inputs!$F$35:$I$35,Inputs!$F$38:$I$38)*LOOKUP(ROUNDUP(SUM($J$7:BH$7)*BH$7/Qtrs_Yr,0),Inputs!$F$35:$I$35,Inputs!$F$36:$I$36))/Thousand/Qtrs_Yr)+Inputs!$F$65*(IF(ROUNDUP(SUM($J$7:BH$7)*BH$7/Qtrs_Yr,0)=0,0,LOOKUP(ROUNDUP(SUM($J$7:BH$7)*BH$7/Qtrs_Yr,0),Inputs!$F$35:$I$35,Inputs!$F$36:$I$36))/Thousand/Qtrs_Yr)+Inputs!$F$66*(IF(ROUNDUP(SUM($J$7:BH$7)*BH$7/Qtrs_Yr,0)=0,0,LOOKUP(ROUNDUP(SUM($J$7:BH$7)*BH$7/Qtrs_Yr,0),Inputs!$F$35:$I$35,Inputs!$F$38:$I$38)*LOOKUP(ROUNDUP(SUM($J$7:BH$7)*BH$7/Qtrs_Yr,0),Inputs!$F$35:$I$35,Inputs!$F$36:$I$36))/Thousand/Qtrs_Yr))/Thousand+SUM(Inputs!$F$54:$F$61)*BH$7/Qtrs_Yr)*(1+LOOKUP(YEAR(BH$5),Inputs!$F$93:$I$93,Inputs!$F$94:$I$94)/Qtrs_Yr)^(COUNT($J$7:BH7))-Inputs!$E$29*(1+Inputs!$E$31)*BH$7/Inputs!$E$16/Qtrs_Yr-IF(OR(BH$7=0,SUM($J7:BH7)*BH7&gt;Inputs!$F$77*Qtrs_Yr),0,(Inputs!$F$71-SUM($J7:BH7,-1)*BH7*Inputs!$F$71/Inputs!$F$77/Qtrs_Yr)*(LOOKUP(YEAR(BI$5),Inputs!$F$85:$I$85,Inputs!$F$86:$I$86)+LOOKUP(ROUNDUP(SUM($J7:BI7)*BI7/Qtrs_Yr,0),Inputs!$G$73:$J$73,Inputs!$G$74:$J$74))/Qtrs_Yr))*Inputs!$F$101)/(IF(OR(BH$7=0,SUM($J7:BH7)*BH7&gt;Inputs!$F$77*Qtrs_Yr),0,(Inputs!$F$71-SUM($J7:BH7,-1)*BH7*Inputs!$F$71/Inputs!$F$77/Qtrs_Yr)*(LOOKUP(YEAR(BI$5),Inputs!$F$85:$I$85,Inputs!$F$86:$I$86)+LOOKUP(ROUNDUP(SUM($J7:BI7)*BI7/Qtrs_Yr,0),Inputs!$G$73:$J$73,Inputs!$G$74:$J$74))/Qtrs_Yr)+IF(OR(BH$7=0,SUM($J7:BH7)*BH7&gt;Inputs!$F$77*Qtrs_Yr),0,Inputs!$F$71/Inputs!$F$77/Qtrs_Yr)))</f>
        <v>0</v>
      </c>
      <c r="BI14" s="75">
        <f>IF((IF(OR(BI$7=0,SUM($J7:BI7)*BI7&gt;Inputs!$F$77*Qtrs_Yr),0,(Inputs!$F$71-SUM($J7:BI7,-1)*BI7*Inputs!$F$71/Inputs!$F$77/Qtrs_Yr)*(LOOKUP(YEAR(BJ$5),Inputs!$F$85:$I$85,Inputs!$F$86:$I$86)+LOOKUP(ROUNDUP(SUM($J7:BJ7)*BJ7/Qtrs_Yr,0),Inputs!$G$73:$J$73,Inputs!$G$74:$J$74))/Qtrs_Yr)+IF(OR(BI$7=0,SUM($J7:BI7)*BI7&gt;Inputs!$F$77*Qtrs_Yr),0,Inputs!$F$71/Inputs!$F$77/Qtrs_Yr))=0,0,((((IF(ROUNDUP(SUM($J$7:BI$7)*BI$7/Qtrs_Yr,0)=0,0,LOOKUP(ROUNDUP(SUM($J$7:BI$7)*BI$7/Qtrs_Yr,0),Inputs!$F$35:$I$35,Inputs!$F$36:$I$36))/Thousand/Qtrs_Yr)*IF(ROUNDUP(SUM($J$7:BI$7)*BI$7/Qtrs_Yr,0)=0,0,LOOKUP(ROUNDUP(SUM($J$7:BI$7)*BI$7/Qtrs_Yr,0),Inputs!$F$41:$I$41,Inputs!$F$42:$I$42))/Grams_Oz*Inputs!$F$45)*LOOKUP(YEAR(BI$5),Inputs!$F$49:$I$49,Inputs!$F$50:$I$50)/Thousand/LOOKUP(YEAR(BI$5),Inputs!$F$89:$I$89,Inputs!$F$90:$I$90)*(BI5-BH5-Inputs!$F$97)/(BI5-BH5)+((IF(ROUNDUP(SUM($I$7:BH$7)*BH$7/Qtrs_Yr,0)=0,0,LOOKUP(ROUNDUP(SUM($I$7:BH$7)*BH$7/Qtrs_Yr,0),Inputs!$F$35:$I$35,Inputs!$F$36:$I$36))/Thousand/Qtrs_Yr)*IF(ROUNDUP(SUM($I$7:BH$7)*BH$7/Qtrs_Yr,0)=0,0,LOOKUP(ROUNDUP(SUM($I$7:BH$7)*BH$7/Qtrs_Yr,0),Inputs!$F$41:$I$41,Inputs!$F$42:$I$42))/Grams_Oz*Inputs!$F$45)*LOOKUP(YEAR(BH$5),Inputs!$F$49:$I$49,Inputs!$F$50:$I$50)/Thousand
/LOOKUP(YEAR(BH$5),Inputs!$F$89:$I$89,Inputs!$F$90:$I$90)*Inputs!$F$97/(BH5-BG5))-(((Inputs!$F$64*(IF(ROUNDUP(SUM($J$7:BI$7)*BI$7/Qtrs_Yr,0)=0,0,LOOKUP(ROUNDUP(SUM($J$7:BI$7)*BI$7/Qtrs_Yr,0),Inputs!$F$35:$I$35,Inputs!$F$36:$I$36))/Thousand/Qtrs_Yr+IF(ROUNDUP(SUM($J$7:BI$7)*BI$7/Qtrs_Yr,0)=0,0,LOOKUP(ROUNDUP(SUM($J$7:BI$7)*BI$7/Qtrs_Yr,0),Inputs!$F$35:$I$35,Inputs!$F$38:$I$38)*LOOKUP(ROUNDUP(SUM($J$7:BI$7)*BI$7/Qtrs_Yr,0),Inputs!$F$35:$I$35,Inputs!$F$36:$I$36))/Thousand/Qtrs_Yr)+Inputs!$F$65*(IF(ROUNDUP(SUM($J$7:BI$7)*BI$7/Qtrs_Yr,0)=0,0,LOOKUP(ROUNDUP(SUM($J$7:BI$7)*BI$7/Qtrs_Yr,0),Inputs!$F$35:$I$35,Inputs!$F$36:$I$36))/Thousand/Qtrs_Yr)+Inputs!$F$66*(IF(ROUNDUP(SUM($J$7:BI$7)*BI$7/Qtrs_Yr,0)=0,0,LOOKUP(ROUNDUP(SUM($J$7:BI$7)*BI$7/Qtrs_Yr,0),Inputs!$F$35:$I$35,Inputs!$F$38:$I$38)*LOOKUP(ROUNDUP(SUM($J$7:BI$7)*BI$7/Qtrs_Yr,0),Inputs!$F$35:$I$35,Inputs!$F$36:$I$36))/Thousand/Qtrs_Yr))/Thousand+SUM(Inputs!$F$54:$F$61)*BI$7/Qtrs_Yr)*(1+LOOKUP(YEAR(BI$5),Inputs!$F$93:$I$93,Inputs!$F$94:$I$94)/Qtrs_Yr)^(COUNT($J$7:BI7))*(BI5-BH5-Inputs!$F$98)/(BI5-BH5)+((Inputs!$F$64*(IF(ROUNDUP(SUM($I$7:BH$7)*BH$7/Qtrs_Yr,0)=0,0,LOOKUP(ROUNDUP(SUM($I$7:BH$7)*BH$7/Qtrs_Yr,0),Inputs!$F$35:$I$35,Inputs!$F$36:$I$36))/Thousand/Qtrs_Yr+IF(ROUNDUP(SUM($I$7:BH$7)*BH$7/Qtrs_Yr,0)=0,0,LOOKUP(ROUNDUP(SUM($I$7:BH$7)*BH$7/Qtrs_Yr,0),Inputs!$F$35:$I$35,Inputs!$F$38:$I$38)*LOOKUP(ROUNDUP(SUM($I$7:BH$7)*BH$7/Qtrs_Yr,0),Inputs!$F$35:$I$35,Inputs!$F$36:$I$36))/Thousand/Qtrs_Yr)+Inputs!$F$65*(IF(ROUNDUP(SUM($I$7:BH$7)*BH$7/Qtrs_Yr,0)=0,0,LOOKUP(ROUNDUP(SUM($I$7:BH$7)*BH$7/Qtrs_Yr,0),Inputs!$F$35:$I$35,Inputs!$F$36:$I$36))/Thousand/Qtrs_Yr)+Inputs!$F$66*(IF(ROUNDUP(SUM($I$7:BH$7)*BH$7/Qtrs_Yr,0)=0,0,LOOKUP(ROUNDUP(SUM($I$7:BH$7)*BH$7/Qtrs_Yr,0),Inputs!$F$35:$I$35,Inputs!$F$38:$I$38)*LOOKUP(ROUNDUP(SUM($I$7:BH$7)*BH$7/Qtrs_Yr,0),Inputs!$F$35:$I$35,Inputs!$F$36:$I$36))/Thousand/Qtrs_Yr))/Thousand+SUM(Inputs!$F$54:$F$61)*BH$7/Qtrs_Yr)*(1+LOOKUP(YEAR(BI$5),Inputs!$F$93:$I$93,Inputs!$F$94:$I$94)/Qtrs_Yr)^(COUNT($I$7:BH7))*Inputs!$F$98/(BH5-BG5))-(((IF(ROUNDUP(SUM($J$7:BI$7)*BI$7/Qtrs_Yr,0)=0,0,LOOKUP(ROUNDUP(SUM($J$7:BI$7)*BI$7/Qtrs_Yr,0),Inputs!$F$35:$I$35,Inputs!$F$36:$I$36))/Thousand/Qtrs_Yr)*IF(ROUNDUP(SUM($J$7:BI$7)*BI$7/Qtrs_Yr,0)=0,0,LOOKUP(ROUNDUP(SUM($J$7:BI$7)*BI$7/Qtrs_Yr,0),Inputs!$F$41:$I$41,Inputs!$F$42:$I$42))/Grams_Oz*Inputs!$F$45)*LOOKUP(YEAR(BI$5),Inputs!$F$49:$I$49,Inputs!$F$50:$I$50)/Thousand
/LOOKUP(YEAR(BI$5),Inputs!$F$89:$I$89,Inputs!$F$90:$I$90)-((Inputs!$F$64*(IF(ROUNDUP(SUM($J$7:BI$7)*BI$7/Qtrs_Yr,0)=0,0,LOOKUP(ROUNDUP(SUM($J$7:BI$7)*BI$7/Qtrs_Yr,0),Inputs!$F$35:$I$35,Inputs!$F$36:$I$36))/Thousand/Qtrs_Yr+IF(ROUNDUP(SUM($J$7:BI$7)*BI$7/Qtrs_Yr,0)=0,0,LOOKUP(ROUNDUP(SUM($J$7:BI$7)*BI$7/Qtrs_Yr,0),Inputs!$F$35:$I$35,Inputs!$F$38:$I$38)*LOOKUP(ROUNDUP(SUM($J$7:BI$7)*BI$7/Qtrs_Yr,0),Inputs!$F$35:$I$35,Inputs!$F$36:$I$36))/Thousand/Qtrs_Yr)+Inputs!$F$65*(IF(ROUNDUP(SUM($J$7:BI$7)*BI$7/Qtrs_Yr,0)=0,0,LOOKUP(ROUNDUP(SUM($J$7:BI$7)*BI$7/Qtrs_Yr,0),Inputs!$F$35:$I$35,Inputs!$F$36:$I$36))/Thousand/Qtrs_Yr)+Inputs!$F$66*(IF(ROUNDUP(SUM($J$7:BI$7)*BI$7/Qtrs_Yr,0)=0,0,LOOKUP(ROUNDUP(SUM($J$7:BI$7)*BI$7/Qtrs_Yr,0),Inputs!$F$35:$I$35,Inputs!$F$38:$I$38)*LOOKUP(ROUNDUP(SUM($J$7:BI$7)*BI$7/Qtrs_Yr,0),Inputs!$F$35:$I$35,Inputs!$F$36:$I$36))/Thousand/Qtrs_Yr))/Thousand+SUM(Inputs!$F$54:$F$61)*BI$7/Qtrs_Yr)*(1+LOOKUP(YEAR(BI$5),Inputs!$F$93:$I$93,Inputs!$F$94:$I$94)/Qtrs_Yr)^(COUNT($J$7:BI7))-Inputs!$E$29*(1+Inputs!$E$31)*BI$7/Inputs!$E$16/Qtrs_Yr-IF(OR(BI$7=0,SUM($J7:BI7)*BI7&gt;Inputs!$F$77*Qtrs_Yr),0,(Inputs!$F$71-SUM($J7:BI7,-1)*BI7*Inputs!$F$71/Inputs!$F$77/Qtrs_Yr)*(LOOKUP(YEAR(BJ$5),Inputs!$F$85:$I$85,Inputs!$F$86:$I$86)+LOOKUP(ROUNDUP(SUM($J7:BJ7)*BJ7/Qtrs_Yr,0),Inputs!$G$73:$J$73,Inputs!$G$74:$J$74))/Qtrs_Yr))*Inputs!$F$101)/(IF(OR(BI$7=0,SUM($J7:BI7)*BI7&gt;Inputs!$F$77*Qtrs_Yr),0,(Inputs!$F$71-SUM($J7:BI7,-1)*BI7*Inputs!$F$71/Inputs!$F$77/Qtrs_Yr)*(LOOKUP(YEAR(BJ$5),Inputs!$F$85:$I$85,Inputs!$F$86:$I$86)+LOOKUP(ROUNDUP(SUM($J7:BJ7)*BJ7/Qtrs_Yr,0),Inputs!$G$73:$J$73,Inputs!$G$74:$J$74))/Qtrs_Yr)+IF(OR(BI$7=0,SUM($J7:BI7)*BI7&gt;Inputs!$F$77*Qtrs_Yr),0,Inputs!$F$71/Inputs!$F$77/Qtrs_Yr)))</f>
        <v>0</v>
      </c>
    </row>
    <row r="16" spans="1:61" x14ac:dyDescent="0.2"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</sheetData>
  <conditionalFormatting sqref="A3">
    <cfRule type="expression" dxfId="9" priority="6" stopIfTrue="1">
      <formula>MMC&lt;&gt;0</formula>
    </cfRule>
  </conditionalFormatting>
  <conditionalFormatting sqref="D3">
    <cfRule type="cellIs" dxfId="8" priority="5" stopIfTrue="1" operator="notEqual">
      <formula>0</formula>
    </cfRule>
  </conditionalFormatting>
  <conditionalFormatting sqref="J6:BI6">
    <cfRule type="cellIs" dxfId="7" priority="4" operator="equal">
      <formula>1</formula>
    </cfRule>
  </conditionalFormatting>
  <conditionalFormatting sqref="J7:BI7">
    <cfRule type="cellIs" dxfId="6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4177-524F-434E-B9D8-8BD90AA43B0E}">
  <sheetPr codeName="Sheet2"/>
  <dimension ref="A1:BJ118"/>
  <sheetViews>
    <sheetView workbookViewId="0">
      <pane xSplit="9" ySplit="8" topLeftCell="J37" activePane="bottomRight" state="frozen"/>
      <selection pane="topRight" activeCell="J1" sqref="J1"/>
      <selection pane="bottomLeft" activeCell="A9" sqref="A9"/>
      <selection pane="bottomRight" activeCell="J55" sqref="J55"/>
    </sheetView>
  </sheetViews>
  <sheetFormatPr defaultColWidth="0" defaultRowHeight="12.75" x14ac:dyDescent="0.2"/>
  <cols>
    <col min="1" max="2" width="2.28515625" customWidth="1"/>
    <col min="3" max="3" width="28.7109375" customWidth="1"/>
    <col min="4" max="4" width="9.140625" customWidth="1"/>
    <col min="5" max="5" width="9.85546875" customWidth="1"/>
    <col min="6" max="6" width="10.7109375" customWidth="1"/>
    <col min="7" max="8" width="2.7109375" customWidth="1"/>
    <col min="9" max="9" width="10.7109375" customWidth="1"/>
    <col min="10" max="61" width="10.42578125" customWidth="1"/>
    <col min="62" max="62" width="9.140625" customWidth="1"/>
  </cols>
  <sheetData>
    <row r="1" spans="1:62" ht="23.25" x14ac:dyDescent="0.35">
      <c r="A1" s="44" t="s">
        <v>159</v>
      </c>
    </row>
    <row r="2" spans="1:62" ht="15" x14ac:dyDescent="0.25">
      <c r="A2" s="56" t="str">
        <f>Name_Project</f>
        <v>Gold Mining Project</v>
      </c>
    </row>
    <row r="3" spans="1:62" x14ac:dyDescent="0.2">
      <c r="A3" s="58" t="s">
        <v>90</v>
      </c>
      <c r="D3" s="31">
        <f>Master_Integrity</f>
        <v>0</v>
      </c>
    </row>
    <row r="4" spans="1:62" x14ac:dyDescent="0.2">
      <c r="A4" t="s">
        <v>143</v>
      </c>
      <c r="J4" s="70" cm="1">
        <f t="array" ref="J4:BI4">EOMONTH($I$5,+(_xlfn.ANCHORARRAY(J6)-1)*Months_Qtr)+1</f>
        <v>40909</v>
      </c>
      <c r="K4" s="70">
        <v>41000</v>
      </c>
      <c r="L4" s="70">
        <v>41091</v>
      </c>
      <c r="M4" s="70">
        <v>41183</v>
      </c>
      <c r="N4" s="70">
        <v>41275</v>
      </c>
      <c r="O4" s="70">
        <v>41365</v>
      </c>
      <c r="P4" s="70">
        <v>41456</v>
      </c>
      <c r="Q4" s="70">
        <v>41548</v>
      </c>
      <c r="R4" s="70">
        <v>41640</v>
      </c>
      <c r="S4" s="70">
        <v>41730</v>
      </c>
      <c r="T4" s="70">
        <v>41821</v>
      </c>
      <c r="U4" s="70">
        <v>41913</v>
      </c>
      <c r="V4" s="70">
        <v>42005</v>
      </c>
      <c r="W4" s="70">
        <v>42095</v>
      </c>
      <c r="X4" s="70">
        <v>42186</v>
      </c>
      <c r="Y4" s="70">
        <v>42278</v>
      </c>
      <c r="Z4" s="70">
        <v>42370</v>
      </c>
      <c r="AA4" s="70">
        <v>42461</v>
      </c>
      <c r="AB4" s="70">
        <v>42552</v>
      </c>
      <c r="AC4" s="70">
        <v>42644</v>
      </c>
      <c r="AD4" s="70">
        <v>42736</v>
      </c>
      <c r="AE4" s="70">
        <v>42826</v>
      </c>
      <c r="AF4" s="70">
        <v>42917</v>
      </c>
      <c r="AG4" s="70">
        <v>43009</v>
      </c>
      <c r="AH4" s="70">
        <v>43101</v>
      </c>
      <c r="AI4" s="70">
        <v>43191</v>
      </c>
      <c r="AJ4" s="70">
        <v>43282</v>
      </c>
      <c r="AK4" s="70">
        <v>43374</v>
      </c>
      <c r="AL4" s="70">
        <v>43466</v>
      </c>
      <c r="AM4" s="70">
        <v>43556</v>
      </c>
      <c r="AN4" s="70">
        <v>43647</v>
      </c>
      <c r="AO4" s="70">
        <v>43739</v>
      </c>
      <c r="AP4" s="70">
        <v>43831</v>
      </c>
      <c r="AQ4" s="70">
        <v>43922</v>
      </c>
      <c r="AR4" s="70">
        <v>44013</v>
      </c>
      <c r="AS4" s="70">
        <v>44105</v>
      </c>
      <c r="AT4" s="70">
        <v>44197</v>
      </c>
      <c r="AU4" s="70">
        <v>44287</v>
      </c>
      <c r="AV4" s="70">
        <v>44378</v>
      </c>
      <c r="AW4" s="70">
        <v>44470</v>
      </c>
      <c r="AX4" s="70">
        <v>44562</v>
      </c>
      <c r="AY4" s="70">
        <v>44652</v>
      </c>
      <c r="AZ4" s="70">
        <v>44743</v>
      </c>
      <c r="BA4" s="70">
        <v>44835</v>
      </c>
      <c r="BB4" s="70">
        <v>44927</v>
      </c>
      <c r="BC4" s="70">
        <v>45017</v>
      </c>
      <c r="BD4" s="70">
        <v>45108</v>
      </c>
      <c r="BE4" s="70">
        <v>45200</v>
      </c>
      <c r="BF4" s="70">
        <v>45292</v>
      </c>
      <c r="BG4" s="70">
        <v>45383</v>
      </c>
      <c r="BH4" s="70">
        <v>45474</v>
      </c>
      <c r="BI4" s="70">
        <v>45566</v>
      </c>
    </row>
    <row r="5" spans="1:62" x14ac:dyDescent="0.2">
      <c r="A5" t="s">
        <v>144</v>
      </c>
      <c r="I5" s="71">
        <f>Model_Start</f>
        <v>40908</v>
      </c>
      <c r="J5" s="70" cm="1">
        <f t="array" ref="J5:BI5">EOMONTH($I$5,+_xlfn.ANCHORARRAY(J6)*Months_Qtr)</f>
        <v>40999</v>
      </c>
      <c r="K5" s="70">
        <v>41090</v>
      </c>
      <c r="L5" s="70">
        <v>41182</v>
      </c>
      <c r="M5" s="70">
        <v>41274</v>
      </c>
      <c r="N5" s="70">
        <v>41364</v>
      </c>
      <c r="O5" s="70">
        <v>41455</v>
      </c>
      <c r="P5" s="70">
        <v>41547</v>
      </c>
      <c r="Q5" s="70">
        <v>41639</v>
      </c>
      <c r="R5" s="70">
        <v>41729</v>
      </c>
      <c r="S5" s="70">
        <v>41820</v>
      </c>
      <c r="T5" s="70">
        <v>41912</v>
      </c>
      <c r="U5" s="70">
        <v>42004</v>
      </c>
      <c r="V5" s="70">
        <v>42094</v>
      </c>
      <c r="W5" s="70">
        <v>42185</v>
      </c>
      <c r="X5" s="70">
        <v>42277</v>
      </c>
      <c r="Y5" s="70">
        <v>42369</v>
      </c>
      <c r="Z5" s="70">
        <v>42460</v>
      </c>
      <c r="AA5" s="70">
        <v>42551</v>
      </c>
      <c r="AB5" s="70">
        <v>42643</v>
      </c>
      <c r="AC5" s="70">
        <v>42735</v>
      </c>
      <c r="AD5" s="70">
        <v>42825</v>
      </c>
      <c r="AE5" s="70">
        <v>42916</v>
      </c>
      <c r="AF5" s="70">
        <v>43008</v>
      </c>
      <c r="AG5" s="70">
        <v>43100</v>
      </c>
      <c r="AH5" s="70">
        <v>43190</v>
      </c>
      <c r="AI5" s="70">
        <v>43281</v>
      </c>
      <c r="AJ5" s="70">
        <v>43373</v>
      </c>
      <c r="AK5" s="70">
        <v>43465</v>
      </c>
      <c r="AL5" s="70">
        <v>43555</v>
      </c>
      <c r="AM5" s="70">
        <v>43646</v>
      </c>
      <c r="AN5" s="70">
        <v>43738</v>
      </c>
      <c r="AO5" s="70">
        <v>43830</v>
      </c>
      <c r="AP5" s="70">
        <v>43921</v>
      </c>
      <c r="AQ5" s="70">
        <v>44012</v>
      </c>
      <c r="AR5" s="70">
        <v>44104</v>
      </c>
      <c r="AS5" s="70">
        <v>44196</v>
      </c>
      <c r="AT5" s="70">
        <v>44286</v>
      </c>
      <c r="AU5" s="70">
        <v>44377</v>
      </c>
      <c r="AV5" s="70">
        <v>44469</v>
      </c>
      <c r="AW5" s="70">
        <v>44561</v>
      </c>
      <c r="AX5" s="70">
        <v>44651</v>
      </c>
      <c r="AY5" s="70">
        <v>44742</v>
      </c>
      <c r="AZ5" s="70">
        <v>44834</v>
      </c>
      <c r="BA5" s="70">
        <v>44926</v>
      </c>
      <c r="BB5" s="70">
        <v>45016</v>
      </c>
      <c r="BC5" s="70">
        <v>45107</v>
      </c>
      <c r="BD5" s="70">
        <v>45199</v>
      </c>
      <c r="BE5" s="70">
        <v>45291</v>
      </c>
      <c r="BF5" s="70">
        <v>45382</v>
      </c>
      <c r="BG5" s="70">
        <v>45473</v>
      </c>
      <c r="BH5" s="70">
        <v>45565</v>
      </c>
      <c r="BI5" s="70">
        <v>45657</v>
      </c>
    </row>
    <row r="6" spans="1:62" x14ac:dyDescent="0.2">
      <c r="A6" s="58" t="s">
        <v>166</v>
      </c>
      <c r="D6" s="67">
        <v>52</v>
      </c>
      <c r="J6" s="80" cm="1">
        <f t="array" ref="J6:BI6">_xlfn.SEQUENCE(1,$D$6)</f>
        <v>1</v>
      </c>
      <c r="K6" s="80">
        <v>2</v>
      </c>
      <c r="L6" s="80">
        <v>3</v>
      </c>
      <c r="M6" s="80">
        <v>4</v>
      </c>
      <c r="N6" s="80">
        <v>5</v>
      </c>
      <c r="O6" s="80">
        <v>6</v>
      </c>
      <c r="P6" s="80">
        <v>7</v>
      </c>
      <c r="Q6" s="80">
        <v>8</v>
      </c>
      <c r="R6" s="80">
        <v>9</v>
      </c>
      <c r="S6" s="80">
        <v>10</v>
      </c>
      <c r="T6" s="80">
        <v>11</v>
      </c>
      <c r="U6" s="80">
        <v>12</v>
      </c>
      <c r="V6" s="80">
        <v>13</v>
      </c>
      <c r="W6" s="80">
        <v>14</v>
      </c>
      <c r="X6" s="80">
        <v>15</v>
      </c>
      <c r="Y6" s="80">
        <v>16</v>
      </c>
      <c r="Z6" s="80">
        <v>17</v>
      </c>
      <c r="AA6" s="80">
        <v>18</v>
      </c>
      <c r="AB6" s="80">
        <v>19</v>
      </c>
      <c r="AC6" s="80">
        <v>20</v>
      </c>
      <c r="AD6" s="80">
        <v>21</v>
      </c>
      <c r="AE6" s="80">
        <v>22</v>
      </c>
      <c r="AF6" s="80">
        <v>23</v>
      </c>
      <c r="AG6" s="80">
        <v>24</v>
      </c>
      <c r="AH6" s="80">
        <v>25</v>
      </c>
      <c r="AI6" s="80">
        <v>26</v>
      </c>
      <c r="AJ6" s="80">
        <v>27</v>
      </c>
      <c r="AK6" s="80">
        <v>28</v>
      </c>
      <c r="AL6" s="80">
        <v>29</v>
      </c>
      <c r="AM6" s="80">
        <v>30</v>
      </c>
      <c r="AN6" s="80">
        <v>31</v>
      </c>
      <c r="AO6" s="80">
        <v>32</v>
      </c>
      <c r="AP6" s="80">
        <v>33</v>
      </c>
      <c r="AQ6" s="80">
        <v>34</v>
      </c>
      <c r="AR6" s="80">
        <v>35</v>
      </c>
      <c r="AS6" s="80">
        <v>36</v>
      </c>
      <c r="AT6" s="80">
        <v>37</v>
      </c>
      <c r="AU6" s="80">
        <v>38</v>
      </c>
      <c r="AV6" s="80">
        <v>39</v>
      </c>
      <c r="AW6" s="80">
        <v>40</v>
      </c>
      <c r="AX6" s="80">
        <v>41</v>
      </c>
      <c r="AY6" s="80">
        <v>42</v>
      </c>
      <c r="AZ6" s="80">
        <v>43</v>
      </c>
      <c r="BA6" s="80">
        <v>44</v>
      </c>
      <c r="BB6" s="80">
        <v>45</v>
      </c>
      <c r="BC6" s="80">
        <v>46</v>
      </c>
      <c r="BD6" s="80">
        <v>47</v>
      </c>
      <c r="BE6" s="80">
        <v>48</v>
      </c>
      <c r="BF6" s="80">
        <v>49</v>
      </c>
      <c r="BG6" s="80">
        <v>50</v>
      </c>
      <c r="BH6" s="80">
        <v>51</v>
      </c>
      <c r="BI6" s="80">
        <v>52</v>
      </c>
      <c r="BJ6" s="80"/>
    </row>
    <row r="7" spans="1:62" x14ac:dyDescent="0.2">
      <c r="A7" t="s">
        <v>26</v>
      </c>
      <c r="J7" s="69" cm="1">
        <f t="array" ref="J7:BI7">(_xlfn.ANCHORARRAY(J$4)&gt;=Con_Start)*(_xlfn.ANCHORARRAY(J$5)&lt;=Con_End)</f>
        <v>1</v>
      </c>
      <c r="K7" s="69">
        <v>1</v>
      </c>
      <c r="L7" s="69">
        <v>1</v>
      </c>
      <c r="M7" s="69">
        <v>1</v>
      </c>
      <c r="N7" s="69">
        <v>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v>0</v>
      </c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v>0</v>
      </c>
      <c r="AM7" s="69">
        <v>0</v>
      </c>
      <c r="AN7" s="69">
        <v>0</v>
      </c>
      <c r="AO7" s="69">
        <v>0</v>
      </c>
      <c r="AP7" s="69">
        <v>0</v>
      </c>
      <c r="AQ7" s="69">
        <v>0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69">
        <v>0</v>
      </c>
      <c r="AX7" s="69">
        <v>0</v>
      </c>
      <c r="AY7" s="69">
        <v>0</v>
      </c>
      <c r="AZ7" s="69">
        <v>0</v>
      </c>
      <c r="BA7" s="69">
        <v>0</v>
      </c>
      <c r="BB7" s="69">
        <v>0</v>
      </c>
      <c r="BC7" s="69">
        <v>0</v>
      </c>
      <c r="BD7" s="69">
        <v>0</v>
      </c>
      <c r="BE7" s="69">
        <v>0</v>
      </c>
      <c r="BF7" s="69">
        <v>0</v>
      </c>
      <c r="BG7" s="69">
        <v>0</v>
      </c>
      <c r="BH7" s="69">
        <v>0</v>
      </c>
      <c r="BI7" s="69">
        <v>0</v>
      </c>
    </row>
    <row r="8" spans="1:62" x14ac:dyDescent="0.2">
      <c r="A8" t="s">
        <v>27</v>
      </c>
      <c r="J8" s="69" cm="1">
        <f t="array" ref="J8:BI8">(_xlfn.ANCHORARRAY(J$4)&gt;=Ops_Start)*(_xlfn.ANCHORARRAY(J$5)&lt;=Ops_End)</f>
        <v>0</v>
      </c>
      <c r="K8" s="69">
        <v>0</v>
      </c>
      <c r="L8" s="69">
        <v>0</v>
      </c>
      <c r="M8" s="69">
        <v>0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69">
        <v>1</v>
      </c>
      <c r="AB8" s="69">
        <v>1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69">
        <v>1</v>
      </c>
      <c r="AI8" s="69">
        <v>1</v>
      </c>
      <c r="AJ8" s="69">
        <v>1</v>
      </c>
      <c r="AK8" s="69">
        <v>1</v>
      </c>
      <c r="AL8" s="69">
        <v>1</v>
      </c>
      <c r="AM8" s="69">
        <v>1</v>
      </c>
      <c r="AN8" s="69">
        <v>1</v>
      </c>
      <c r="AO8" s="69">
        <v>1</v>
      </c>
      <c r="AP8" s="69">
        <v>1</v>
      </c>
      <c r="AQ8" s="69">
        <v>1</v>
      </c>
      <c r="AR8" s="69">
        <v>1</v>
      </c>
      <c r="AS8" s="69">
        <v>1</v>
      </c>
      <c r="AT8" s="69">
        <v>1</v>
      </c>
      <c r="AU8" s="69">
        <v>1</v>
      </c>
      <c r="AV8" s="69">
        <v>1</v>
      </c>
      <c r="AW8" s="69">
        <v>1</v>
      </c>
      <c r="AX8" s="69">
        <v>1</v>
      </c>
      <c r="AY8" s="69">
        <v>1</v>
      </c>
      <c r="AZ8" s="69">
        <v>1</v>
      </c>
      <c r="BA8" s="69">
        <v>1</v>
      </c>
      <c r="BB8" s="69">
        <v>0</v>
      </c>
      <c r="BC8" s="69">
        <v>0</v>
      </c>
      <c r="BD8" s="69">
        <v>0</v>
      </c>
      <c r="BE8" s="69">
        <v>0</v>
      </c>
      <c r="BF8" s="69">
        <v>0</v>
      </c>
      <c r="BG8" s="69">
        <v>0</v>
      </c>
      <c r="BH8" s="69">
        <v>0</v>
      </c>
      <c r="BI8" s="69">
        <v>0</v>
      </c>
    </row>
    <row r="10" spans="1:62" ht="20.25" x14ac:dyDescent="0.3">
      <c r="C10" s="7" t="s">
        <v>168</v>
      </c>
    </row>
    <row r="11" spans="1:62" x14ac:dyDescent="0.2">
      <c r="C11" s="58" t="s">
        <v>169</v>
      </c>
      <c r="D11" s="8" t="s">
        <v>111</v>
      </c>
      <c r="J11" s="80" cm="1">
        <f t="array" ref="J11:BI11">IF(_xlfn.ANCHORARRAY(J7),_xlfn.ANCHORARRAY(J6),0)</f>
        <v>1</v>
      </c>
      <c r="K11" s="80">
        <v>2</v>
      </c>
      <c r="L11" s="80">
        <v>3</v>
      </c>
      <c r="M11" s="80">
        <v>4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0</v>
      </c>
      <c r="X11" s="80">
        <v>0</v>
      </c>
      <c r="Y11" s="80">
        <v>0</v>
      </c>
      <c r="Z11" s="80">
        <v>0</v>
      </c>
      <c r="AA11" s="80">
        <v>0</v>
      </c>
      <c r="AB11" s="80">
        <v>0</v>
      </c>
      <c r="AC11" s="80">
        <v>0</v>
      </c>
      <c r="AD11" s="80">
        <v>0</v>
      </c>
      <c r="AE11" s="80">
        <v>0</v>
      </c>
      <c r="AF11" s="80">
        <v>0</v>
      </c>
      <c r="AG11" s="80">
        <v>0</v>
      </c>
      <c r="AH11" s="80">
        <v>0</v>
      </c>
      <c r="AI11" s="80">
        <v>0</v>
      </c>
      <c r="AJ11" s="80">
        <v>0</v>
      </c>
      <c r="AK11" s="80">
        <v>0</v>
      </c>
      <c r="AL11" s="80">
        <v>0</v>
      </c>
      <c r="AM11" s="80">
        <v>0</v>
      </c>
      <c r="AN11" s="80">
        <v>0</v>
      </c>
      <c r="AO11" s="80">
        <v>0</v>
      </c>
      <c r="AP11" s="80">
        <v>0</v>
      </c>
      <c r="AQ11" s="80">
        <v>0</v>
      </c>
      <c r="AR11" s="80">
        <v>0</v>
      </c>
      <c r="AS11" s="80">
        <v>0</v>
      </c>
      <c r="AT11" s="80">
        <v>0</v>
      </c>
      <c r="AU11" s="80">
        <v>0</v>
      </c>
      <c r="AV11" s="80">
        <v>0</v>
      </c>
      <c r="AW11" s="80">
        <v>0</v>
      </c>
      <c r="AX11" s="80">
        <v>0</v>
      </c>
      <c r="AY11" s="80">
        <v>0</v>
      </c>
      <c r="AZ11" s="80">
        <v>0</v>
      </c>
      <c r="BA11" s="80">
        <v>0</v>
      </c>
      <c r="BB11" s="80">
        <v>0</v>
      </c>
      <c r="BC11" s="80">
        <v>0</v>
      </c>
      <c r="BD11" s="80">
        <v>0</v>
      </c>
      <c r="BE11" s="80">
        <v>0</v>
      </c>
      <c r="BF11" s="80">
        <v>0</v>
      </c>
      <c r="BG11" s="80">
        <v>0</v>
      </c>
      <c r="BH11" s="80">
        <v>0</v>
      </c>
      <c r="BI11" s="80">
        <v>0</v>
      </c>
    </row>
    <row r="12" spans="1:62" x14ac:dyDescent="0.2">
      <c r="C12" s="58" t="s">
        <v>170</v>
      </c>
      <c r="D12" s="8" t="s">
        <v>111</v>
      </c>
      <c r="J12" s="80" cm="1">
        <f t="array" ref="J12:BI12">IF(_xlfn.ANCHORARRAY(J8),_xlfn.ANCHORARRAY(J6)-MATCH(1,_xlfn.ANCHORARRAY(J8),0)+1,0)</f>
        <v>0</v>
      </c>
      <c r="K12" s="80">
        <v>0</v>
      </c>
      <c r="L12" s="80">
        <v>0</v>
      </c>
      <c r="M12" s="80">
        <v>0</v>
      </c>
      <c r="N12" s="80">
        <v>1</v>
      </c>
      <c r="O12" s="80">
        <v>2</v>
      </c>
      <c r="P12" s="80">
        <v>3</v>
      </c>
      <c r="Q12" s="80">
        <v>4</v>
      </c>
      <c r="R12" s="80">
        <v>5</v>
      </c>
      <c r="S12" s="80">
        <v>6</v>
      </c>
      <c r="T12" s="80">
        <v>7</v>
      </c>
      <c r="U12" s="80">
        <v>8</v>
      </c>
      <c r="V12" s="80">
        <v>9</v>
      </c>
      <c r="W12" s="80">
        <v>10</v>
      </c>
      <c r="X12" s="80">
        <v>11</v>
      </c>
      <c r="Y12" s="80">
        <v>12</v>
      </c>
      <c r="Z12" s="80">
        <v>13</v>
      </c>
      <c r="AA12" s="80">
        <v>14</v>
      </c>
      <c r="AB12" s="80">
        <v>15</v>
      </c>
      <c r="AC12" s="80">
        <v>16</v>
      </c>
      <c r="AD12" s="80">
        <v>17</v>
      </c>
      <c r="AE12" s="80">
        <v>18</v>
      </c>
      <c r="AF12" s="80">
        <v>19</v>
      </c>
      <c r="AG12" s="80">
        <v>20</v>
      </c>
      <c r="AH12" s="80">
        <v>21</v>
      </c>
      <c r="AI12" s="80">
        <v>22</v>
      </c>
      <c r="AJ12" s="80">
        <v>23</v>
      </c>
      <c r="AK12" s="80">
        <v>24</v>
      </c>
      <c r="AL12" s="80">
        <v>25</v>
      </c>
      <c r="AM12" s="80">
        <v>26</v>
      </c>
      <c r="AN12" s="80">
        <v>27</v>
      </c>
      <c r="AO12" s="80">
        <v>28</v>
      </c>
      <c r="AP12" s="80">
        <v>29</v>
      </c>
      <c r="AQ12" s="80">
        <v>30</v>
      </c>
      <c r="AR12" s="80">
        <v>31</v>
      </c>
      <c r="AS12" s="80">
        <v>32</v>
      </c>
      <c r="AT12" s="80">
        <v>33</v>
      </c>
      <c r="AU12" s="80">
        <v>34</v>
      </c>
      <c r="AV12" s="80">
        <v>35</v>
      </c>
      <c r="AW12" s="80">
        <v>36</v>
      </c>
      <c r="AX12" s="80">
        <v>37</v>
      </c>
      <c r="AY12" s="80">
        <v>38</v>
      </c>
      <c r="AZ12" s="80">
        <v>39</v>
      </c>
      <c r="BA12" s="80">
        <v>40</v>
      </c>
      <c r="BB12" s="80">
        <v>0</v>
      </c>
      <c r="BC12" s="80">
        <v>0</v>
      </c>
      <c r="BD12" s="80">
        <v>0</v>
      </c>
      <c r="BE12" s="80">
        <v>0</v>
      </c>
      <c r="BF12" s="80">
        <v>0</v>
      </c>
      <c r="BG12" s="80">
        <v>0</v>
      </c>
      <c r="BH12" s="80">
        <v>0</v>
      </c>
      <c r="BI12" s="80">
        <v>0</v>
      </c>
    </row>
    <row r="13" spans="1:62" x14ac:dyDescent="0.2">
      <c r="C13" s="58" t="s">
        <v>184</v>
      </c>
      <c r="D13" s="8" t="s">
        <v>111</v>
      </c>
      <c r="J13" cm="1">
        <f t="array" ref="J13:BI13">YEAR(_xlfn.ANCHORARRAY(J5))</f>
        <v>2012</v>
      </c>
      <c r="K13">
        <v>2012</v>
      </c>
      <c r="L13">
        <v>2012</v>
      </c>
      <c r="M13">
        <v>2012</v>
      </c>
      <c r="N13">
        <v>2013</v>
      </c>
      <c r="O13">
        <v>2013</v>
      </c>
      <c r="P13">
        <v>2013</v>
      </c>
      <c r="Q13">
        <v>2013</v>
      </c>
      <c r="R13">
        <v>2014</v>
      </c>
      <c r="S13">
        <v>2014</v>
      </c>
      <c r="T13">
        <v>2014</v>
      </c>
      <c r="U13">
        <v>2014</v>
      </c>
      <c r="V13">
        <v>2015</v>
      </c>
      <c r="W13">
        <v>2015</v>
      </c>
      <c r="X13">
        <v>2015</v>
      </c>
      <c r="Y13">
        <v>2015</v>
      </c>
      <c r="Z13">
        <v>2016</v>
      </c>
      <c r="AA13">
        <v>2016</v>
      </c>
      <c r="AB13">
        <v>2016</v>
      </c>
      <c r="AC13">
        <v>2016</v>
      </c>
      <c r="AD13">
        <v>2017</v>
      </c>
      <c r="AE13">
        <v>2017</v>
      </c>
      <c r="AF13">
        <v>2017</v>
      </c>
      <c r="AG13">
        <v>2017</v>
      </c>
      <c r="AH13">
        <v>2018</v>
      </c>
      <c r="AI13">
        <v>2018</v>
      </c>
      <c r="AJ13">
        <v>2018</v>
      </c>
      <c r="AK13">
        <v>2018</v>
      </c>
      <c r="AL13">
        <v>2019</v>
      </c>
      <c r="AM13">
        <v>2019</v>
      </c>
      <c r="AN13">
        <v>2019</v>
      </c>
      <c r="AO13">
        <v>2019</v>
      </c>
      <c r="AP13">
        <v>2020</v>
      </c>
      <c r="AQ13">
        <v>2020</v>
      </c>
      <c r="AR13">
        <v>2020</v>
      </c>
      <c r="AS13">
        <v>2020</v>
      </c>
      <c r="AT13">
        <v>2021</v>
      </c>
      <c r="AU13">
        <v>2021</v>
      </c>
      <c r="AV13">
        <v>2021</v>
      </c>
      <c r="AW13">
        <v>2021</v>
      </c>
      <c r="AX13">
        <v>2022</v>
      </c>
      <c r="AY13">
        <v>2022</v>
      </c>
      <c r="AZ13">
        <v>2022</v>
      </c>
      <c r="BA13">
        <v>2022</v>
      </c>
      <c r="BB13">
        <v>2023</v>
      </c>
      <c r="BC13">
        <v>2023</v>
      </c>
      <c r="BD13">
        <v>2023</v>
      </c>
      <c r="BE13">
        <v>2023</v>
      </c>
      <c r="BF13">
        <v>2024</v>
      </c>
      <c r="BG13">
        <v>2024</v>
      </c>
      <c r="BH13">
        <v>2024</v>
      </c>
      <c r="BI13">
        <v>2024</v>
      </c>
    </row>
    <row r="14" spans="1:62" x14ac:dyDescent="0.2">
      <c r="C14" s="58" t="s">
        <v>185</v>
      </c>
      <c r="D14" s="8" t="s">
        <v>111</v>
      </c>
      <c r="J14" cm="1">
        <f t="array" ref="J14:BI14">MONTH(_xlfn.ANCHORARRAY(J5))</f>
        <v>3</v>
      </c>
      <c r="K14">
        <v>6</v>
      </c>
      <c r="L14">
        <v>9</v>
      </c>
      <c r="M14">
        <v>12</v>
      </c>
      <c r="N14">
        <v>3</v>
      </c>
      <c r="O14">
        <v>6</v>
      </c>
      <c r="P14">
        <v>9</v>
      </c>
      <c r="Q14">
        <v>12</v>
      </c>
      <c r="R14">
        <v>3</v>
      </c>
      <c r="S14">
        <v>6</v>
      </c>
      <c r="T14">
        <v>9</v>
      </c>
      <c r="U14">
        <v>12</v>
      </c>
      <c r="V14">
        <v>3</v>
      </c>
      <c r="W14">
        <v>6</v>
      </c>
      <c r="X14">
        <v>9</v>
      </c>
      <c r="Y14">
        <v>12</v>
      </c>
      <c r="Z14">
        <v>3</v>
      </c>
      <c r="AA14">
        <v>6</v>
      </c>
      <c r="AB14">
        <v>9</v>
      </c>
      <c r="AC14">
        <v>12</v>
      </c>
      <c r="AD14">
        <v>3</v>
      </c>
      <c r="AE14">
        <v>6</v>
      </c>
      <c r="AF14">
        <v>9</v>
      </c>
      <c r="AG14">
        <v>12</v>
      </c>
      <c r="AH14">
        <v>3</v>
      </c>
      <c r="AI14">
        <v>6</v>
      </c>
      <c r="AJ14">
        <v>9</v>
      </c>
      <c r="AK14">
        <v>12</v>
      </c>
      <c r="AL14">
        <v>3</v>
      </c>
      <c r="AM14">
        <v>6</v>
      </c>
      <c r="AN14">
        <v>9</v>
      </c>
      <c r="AO14">
        <v>12</v>
      </c>
      <c r="AP14">
        <v>3</v>
      </c>
      <c r="AQ14">
        <v>6</v>
      </c>
      <c r="AR14">
        <v>9</v>
      </c>
      <c r="AS14">
        <v>12</v>
      </c>
      <c r="AT14">
        <v>3</v>
      </c>
      <c r="AU14">
        <v>6</v>
      </c>
      <c r="AV14">
        <v>9</v>
      </c>
      <c r="AW14">
        <v>12</v>
      </c>
      <c r="AX14">
        <v>3</v>
      </c>
      <c r="AY14">
        <v>6</v>
      </c>
      <c r="AZ14">
        <v>9</v>
      </c>
      <c r="BA14">
        <v>12</v>
      </c>
      <c r="BB14">
        <v>3</v>
      </c>
      <c r="BC14">
        <v>6</v>
      </c>
      <c r="BD14">
        <v>9</v>
      </c>
      <c r="BE14">
        <v>12</v>
      </c>
      <c r="BF14">
        <v>3</v>
      </c>
      <c r="BG14">
        <v>6</v>
      </c>
      <c r="BH14">
        <v>9</v>
      </c>
      <c r="BI14">
        <v>12</v>
      </c>
    </row>
    <row r="15" spans="1:62" x14ac:dyDescent="0.2">
      <c r="C15" s="58" t="s">
        <v>188</v>
      </c>
      <c r="D15" s="8" t="s">
        <v>111</v>
      </c>
      <c r="J15" cm="1">
        <f t="array" ref="J15:BI15">_xlfn.ANCHORARRAY(J5)-_xlfn.ANCHORARRAY(J4)+1</f>
        <v>91</v>
      </c>
      <c r="K15">
        <v>91</v>
      </c>
      <c r="L15">
        <v>92</v>
      </c>
      <c r="M15">
        <v>92</v>
      </c>
      <c r="N15">
        <v>90</v>
      </c>
      <c r="O15">
        <v>91</v>
      </c>
      <c r="P15">
        <v>92</v>
      </c>
      <c r="Q15">
        <v>92</v>
      </c>
      <c r="R15">
        <v>90</v>
      </c>
      <c r="S15">
        <v>91</v>
      </c>
      <c r="T15">
        <v>92</v>
      </c>
      <c r="U15">
        <v>92</v>
      </c>
      <c r="V15">
        <v>90</v>
      </c>
      <c r="W15">
        <v>91</v>
      </c>
      <c r="X15">
        <v>92</v>
      </c>
      <c r="Y15">
        <v>92</v>
      </c>
      <c r="Z15">
        <v>91</v>
      </c>
      <c r="AA15">
        <v>91</v>
      </c>
      <c r="AB15">
        <v>92</v>
      </c>
      <c r="AC15">
        <v>92</v>
      </c>
      <c r="AD15">
        <v>90</v>
      </c>
      <c r="AE15">
        <v>91</v>
      </c>
      <c r="AF15">
        <v>92</v>
      </c>
      <c r="AG15">
        <v>92</v>
      </c>
      <c r="AH15">
        <v>90</v>
      </c>
      <c r="AI15">
        <v>91</v>
      </c>
      <c r="AJ15">
        <v>92</v>
      </c>
      <c r="AK15">
        <v>92</v>
      </c>
      <c r="AL15">
        <v>90</v>
      </c>
      <c r="AM15">
        <v>91</v>
      </c>
      <c r="AN15">
        <v>92</v>
      </c>
      <c r="AO15">
        <v>92</v>
      </c>
      <c r="AP15">
        <v>91</v>
      </c>
      <c r="AQ15">
        <v>91</v>
      </c>
      <c r="AR15">
        <v>92</v>
      </c>
      <c r="AS15">
        <v>92</v>
      </c>
      <c r="AT15">
        <v>90</v>
      </c>
      <c r="AU15">
        <v>91</v>
      </c>
      <c r="AV15">
        <v>92</v>
      </c>
      <c r="AW15">
        <v>92</v>
      </c>
      <c r="AX15">
        <v>90</v>
      </c>
      <c r="AY15">
        <v>91</v>
      </c>
      <c r="AZ15">
        <v>92</v>
      </c>
      <c r="BA15">
        <v>92</v>
      </c>
      <c r="BB15">
        <v>90</v>
      </c>
      <c r="BC15">
        <v>91</v>
      </c>
      <c r="BD15">
        <v>92</v>
      </c>
      <c r="BE15">
        <v>92</v>
      </c>
      <c r="BF15">
        <v>91</v>
      </c>
      <c r="BG15">
        <v>91</v>
      </c>
      <c r="BH15">
        <v>92</v>
      </c>
      <c r="BI15">
        <v>92</v>
      </c>
    </row>
    <row r="17" spans="3:61" ht="20.25" x14ac:dyDescent="0.3">
      <c r="C17" s="7" t="s">
        <v>26</v>
      </c>
    </row>
    <row r="18" spans="3:61" ht="15" x14ac:dyDescent="0.25">
      <c r="C18" s="4" t="s">
        <v>171</v>
      </c>
    </row>
    <row r="19" spans="3:61" x14ac:dyDescent="0.2">
      <c r="C19" t="str" cm="1">
        <f t="array" ref="C19:C25">Inputs!C22:C28</f>
        <v>Infrastructure</v>
      </c>
      <c r="D19" s="8" t="s">
        <v>18</v>
      </c>
      <c r="J19" s="81" cm="1">
        <f t="array" ref="J19:BI19">IF(_xlfn.ANCHORARRAY(J$11)=0,0,_xlfn.XLOOKUP(_xlfn.ANCHORARRAY(J$11),Inputs!$H$21:$S$21,Inputs!$H22:$S22))</f>
        <v>0.25</v>
      </c>
      <c r="K19" s="81">
        <v>0.25</v>
      </c>
      <c r="L19" s="81">
        <v>0.25</v>
      </c>
      <c r="M19" s="81">
        <v>0.25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0</v>
      </c>
      <c r="Z19" s="81">
        <v>0</v>
      </c>
      <c r="AA19" s="81"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81">
        <v>0</v>
      </c>
      <c r="AL19" s="81">
        <v>0</v>
      </c>
      <c r="AM19" s="81">
        <v>0</v>
      </c>
      <c r="AN19" s="81">
        <v>0</v>
      </c>
      <c r="AO19" s="81">
        <v>0</v>
      </c>
      <c r="AP19" s="81">
        <v>0</v>
      </c>
      <c r="AQ19" s="81">
        <v>0</v>
      </c>
      <c r="AR19" s="81">
        <v>0</v>
      </c>
      <c r="AS19" s="81">
        <v>0</v>
      </c>
      <c r="AT19" s="81">
        <v>0</v>
      </c>
      <c r="AU19" s="81">
        <v>0</v>
      </c>
      <c r="AV19" s="81">
        <v>0</v>
      </c>
      <c r="AW19" s="81">
        <v>0</v>
      </c>
      <c r="AX19" s="81">
        <v>0</v>
      </c>
      <c r="AY19" s="81">
        <v>0</v>
      </c>
      <c r="AZ19" s="81">
        <v>0</v>
      </c>
      <c r="BA19" s="81">
        <v>0</v>
      </c>
      <c r="BB19" s="81">
        <v>0</v>
      </c>
      <c r="BC19" s="81">
        <v>0</v>
      </c>
      <c r="BD19" s="81">
        <v>0</v>
      </c>
      <c r="BE19" s="81">
        <v>0</v>
      </c>
      <c r="BF19" s="81">
        <v>0</v>
      </c>
      <c r="BG19" s="81">
        <v>0</v>
      </c>
      <c r="BH19" s="81">
        <v>0</v>
      </c>
      <c r="BI19" s="81">
        <v>0</v>
      </c>
    </row>
    <row r="20" spans="3:61" x14ac:dyDescent="0.2">
      <c r="C20" t="str">
        <v>Overburden</v>
      </c>
      <c r="D20" s="8" t="s">
        <v>18</v>
      </c>
      <c r="J20" s="81" cm="1">
        <f t="array" ref="J20:BI20">IF(_xlfn.ANCHORARRAY(J$11)=0,0,_xlfn.XLOOKUP(_xlfn.ANCHORARRAY(J$11),Inputs!$H$21:$S$21,Inputs!$H23:$S23))</f>
        <v>0</v>
      </c>
      <c r="K20" s="81">
        <v>0.25</v>
      </c>
      <c r="L20" s="81">
        <v>0.25</v>
      </c>
      <c r="M20" s="81">
        <v>0.5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  <c r="Z20" s="81">
        <v>0</v>
      </c>
      <c r="AA20" s="81">
        <v>0</v>
      </c>
      <c r="AB20" s="81">
        <v>0</v>
      </c>
      <c r="AC20" s="81">
        <v>0</v>
      </c>
      <c r="AD20" s="81">
        <v>0</v>
      </c>
      <c r="AE20" s="81">
        <v>0</v>
      </c>
      <c r="AF20" s="81">
        <v>0</v>
      </c>
      <c r="AG20" s="81">
        <v>0</v>
      </c>
      <c r="AH20" s="81">
        <v>0</v>
      </c>
      <c r="AI20" s="81">
        <v>0</v>
      </c>
      <c r="AJ20" s="81">
        <v>0</v>
      </c>
      <c r="AK20" s="81">
        <v>0</v>
      </c>
      <c r="AL20" s="81">
        <v>0</v>
      </c>
      <c r="AM20" s="81">
        <v>0</v>
      </c>
      <c r="AN20" s="81">
        <v>0</v>
      </c>
      <c r="AO20" s="81">
        <v>0</v>
      </c>
      <c r="AP20" s="81">
        <v>0</v>
      </c>
      <c r="AQ20" s="81">
        <v>0</v>
      </c>
      <c r="AR20" s="81">
        <v>0</v>
      </c>
      <c r="AS20" s="81">
        <v>0</v>
      </c>
      <c r="AT20" s="81">
        <v>0</v>
      </c>
      <c r="AU20" s="81">
        <v>0</v>
      </c>
      <c r="AV20" s="81">
        <v>0</v>
      </c>
      <c r="AW20" s="81">
        <v>0</v>
      </c>
      <c r="AX20" s="81">
        <v>0</v>
      </c>
      <c r="AY20" s="81">
        <v>0</v>
      </c>
      <c r="AZ20" s="81">
        <v>0</v>
      </c>
      <c r="BA20" s="81">
        <v>0</v>
      </c>
      <c r="BB20" s="81">
        <v>0</v>
      </c>
      <c r="BC20" s="81">
        <v>0</v>
      </c>
      <c r="BD20" s="81">
        <v>0</v>
      </c>
      <c r="BE20" s="81">
        <v>0</v>
      </c>
      <c r="BF20" s="81">
        <v>0</v>
      </c>
      <c r="BG20" s="81">
        <v>0</v>
      </c>
      <c r="BH20" s="81">
        <v>0</v>
      </c>
      <c r="BI20" s="81">
        <v>0</v>
      </c>
    </row>
    <row r="21" spans="3:61" x14ac:dyDescent="0.2">
      <c r="C21" t="str">
        <v>Processing Plant</v>
      </c>
      <c r="D21" s="8" t="s">
        <v>18</v>
      </c>
      <c r="J21" s="81" cm="1">
        <f t="array" ref="J21:BI21">IF(_xlfn.ANCHORARRAY(J$11)=0,0,_xlfn.XLOOKUP(_xlfn.ANCHORARRAY(J$11),Inputs!$H$21:$S$21,Inputs!$H24:$S24))</f>
        <v>0</v>
      </c>
      <c r="K21" s="81">
        <v>0</v>
      </c>
      <c r="L21" s="81">
        <v>0.5</v>
      </c>
      <c r="M21" s="81">
        <v>0.5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0</v>
      </c>
      <c r="X21" s="81">
        <v>0</v>
      </c>
      <c r="Y21" s="81">
        <v>0</v>
      </c>
      <c r="Z21" s="81">
        <v>0</v>
      </c>
      <c r="AA21" s="81">
        <v>0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0</v>
      </c>
      <c r="AJ21" s="81">
        <v>0</v>
      </c>
      <c r="AK21" s="81">
        <v>0</v>
      </c>
      <c r="AL21" s="81">
        <v>0</v>
      </c>
      <c r="AM21" s="81">
        <v>0</v>
      </c>
      <c r="AN21" s="81">
        <v>0</v>
      </c>
      <c r="AO21" s="81">
        <v>0</v>
      </c>
      <c r="AP21" s="81">
        <v>0</v>
      </c>
      <c r="AQ21" s="81">
        <v>0</v>
      </c>
      <c r="AR21" s="81">
        <v>0</v>
      </c>
      <c r="AS21" s="81">
        <v>0</v>
      </c>
      <c r="AT21" s="81">
        <v>0</v>
      </c>
      <c r="AU21" s="81">
        <v>0</v>
      </c>
      <c r="AV21" s="81">
        <v>0</v>
      </c>
      <c r="AW21" s="81">
        <v>0</v>
      </c>
      <c r="AX21" s="81">
        <v>0</v>
      </c>
      <c r="AY21" s="81">
        <v>0</v>
      </c>
      <c r="AZ21" s="81">
        <v>0</v>
      </c>
      <c r="BA21" s="81">
        <v>0</v>
      </c>
      <c r="BB21" s="81">
        <v>0</v>
      </c>
      <c r="BC21" s="81">
        <v>0</v>
      </c>
      <c r="BD21" s="81">
        <v>0</v>
      </c>
      <c r="BE21" s="81">
        <v>0</v>
      </c>
      <c r="BF21" s="81">
        <v>0</v>
      </c>
      <c r="BG21" s="81">
        <v>0</v>
      </c>
      <c r="BH21" s="81">
        <v>0</v>
      </c>
      <c r="BI21" s="81">
        <v>0</v>
      </c>
    </row>
    <row r="22" spans="3:61" x14ac:dyDescent="0.2">
      <c r="C22" t="str">
        <v>Storage Dam</v>
      </c>
      <c r="D22" s="8" t="s">
        <v>18</v>
      </c>
      <c r="J22" s="81" cm="1">
        <f t="array" ref="J22:BI22">IF(_xlfn.ANCHORARRAY(J$11)=0,0,_xlfn.XLOOKUP(_xlfn.ANCHORARRAY(J$11),Inputs!$H$21:$S$21,Inputs!$H25:$S25))</f>
        <v>0</v>
      </c>
      <c r="K22" s="81">
        <v>0</v>
      </c>
      <c r="L22" s="81">
        <v>0.3</v>
      </c>
      <c r="M22" s="81">
        <v>0.7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1">
        <v>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81">
        <v>0</v>
      </c>
      <c r="AL22" s="81">
        <v>0</v>
      </c>
      <c r="AM22" s="81">
        <v>0</v>
      </c>
      <c r="AN22" s="81">
        <v>0</v>
      </c>
      <c r="AO22" s="81">
        <v>0</v>
      </c>
      <c r="AP22" s="81">
        <v>0</v>
      </c>
      <c r="AQ22" s="81">
        <v>0</v>
      </c>
      <c r="AR22" s="81">
        <v>0</v>
      </c>
      <c r="AS22" s="81">
        <v>0</v>
      </c>
      <c r="AT22" s="81">
        <v>0</v>
      </c>
      <c r="AU22" s="81">
        <v>0</v>
      </c>
      <c r="AV22" s="81">
        <v>0</v>
      </c>
      <c r="AW22" s="81">
        <v>0</v>
      </c>
      <c r="AX22" s="81">
        <v>0</v>
      </c>
      <c r="AY22" s="81">
        <v>0</v>
      </c>
      <c r="AZ22" s="81">
        <v>0</v>
      </c>
      <c r="BA22" s="81">
        <v>0</v>
      </c>
      <c r="BB22" s="81">
        <v>0</v>
      </c>
      <c r="BC22" s="81">
        <v>0</v>
      </c>
      <c r="BD22" s="81">
        <v>0</v>
      </c>
      <c r="BE22" s="81">
        <v>0</v>
      </c>
      <c r="BF22" s="81">
        <v>0</v>
      </c>
      <c r="BG22" s="81">
        <v>0</v>
      </c>
      <c r="BH22" s="81">
        <v>0</v>
      </c>
      <c r="BI22" s="81">
        <v>0</v>
      </c>
    </row>
    <row r="23" spans="3:61" x14ac:dyDescent="0.2">
      <c r="C23" t="str">
        <v>Civil Works</v>
      </c>
      <c r="D23" s="8" t="s">
        <v>18</v>
      </c>
      <c r="J23" s="81" cm="1">
        <f t="array" ref="J23:BI23">IF(_xlfn.ANCHORARRAY(J$11)=0,0,_xlfn.XLOOKUP(_xlfn.ANCHORARRAY(J$11),Inputs!$H$21:$S$21,Inputs!$H26:$S26))</f>
        <v>0</v>
      </c>
      <c r="K23" s="81">
        <v>0.5</v>
      </c>
      <c r="L23" s="81">
        <v>0.25</v>
      </c>
      <c r="M23" s="81">
        <v>0.25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1">
        <v>0</v>
      </c>
      <c r="AA23" s="81">
        <v>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0</v>
      </c>
      <c r="AJ23" s="81">
        <v>0</v>
      </c>
      <c r="AK23" s="81">
        <v>0</v>
      </c>
      <c r="AL23" s="81">
        <v>0</v>
      </c>
      <c r="AM23" s="81">
        <v>0</v>
      </c>
      <c r="AN23" s="81">
        <v>0</v>
      </c>
      <c r="AO23" s="81">
        <v>0</v>
      </c>
      <c r="AP23" s="81">
        <v>0</v>
      </c>
      <c r="AQ23" s="81">
        <v>0</v>
      </c>
      <c r="AR23" s="81">
        <v>0</v>
      </c>
      <c r="AS23" s="81">
        <v>0</v>
      </c>
      <c r="AT23" s="81">
        <v>0</v>
      </c>
      <c r="AU23" s="81">
        <v>0</v>
      </c>
      <c r="AV23" s="81">
        <v>0</v>
      </c>
      <c r="AW23" s="81">
        <v>0</v>
      </c>
      <c r="AX23" s="81">
        <v>0</v>
      </c>
      <c r="AY23" s="81">
        <v>0</v>
      </c>
      <c r="AZ23" s="81">
        <v>0</v>
      </c>
      <c r="BA23" s="81">
        <v>0</v>
      </c>
      <c r="BB23" s="81">
        <v>0</v>
      </c>
      <c r="BC23" s="81">
        <v>0</v>
      </c>
      <c r="BD23" s="81">
        <v>0</v>
      </c>
      <c r="BE23" s="81">
        <v>0</v>
      </c>
      <c r="BF23" s="81">
        <v>0</v>
      </c>
      <c r="BG23" s="81">
        <v>0</v>
      </c>
      <c r="BH23" s="81">
        <v>0</v>
      </c>
      <c r="BI23" s="81">
        <v>0</v>
      </c>
    </row>
    <row r="24" spans="3:61" x14ac:dyDescent="0.2">
      <c r="C24" t="str">
        <v>Spare</v>
      </c>
      <c r="D24" s="8" t="s">
        <v>18</v>
      </c>
      <c r="J24" s="81" cm="1">
        <f t="array" ref="J24:BI24">IF(_xlfn.ANCHORARRAY(J$11)=0,0,_xlfn.XLOOKUP(_xlfn.ANCHORARRAY(J$11),Inputs!$H$21:$S$21,Inputs!$H27:$S27))</f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81">
        <v>0</v>
      </c>
      <c r="Y24" s="81">
        <v>0</v>
      </c>
      <c r="Z24" s="81">
        <v>0</v>
      </c>
      <c r="AA24" s="81">
        <v>0</v>
      </c>
      <c r="AB24" s="81">
        <v>0</v>
      </c>
      <c r="AC24" s="81">
        <v>0</v>
      </c>
      <c r="AD24" s="81">
        <v>0</v>
      </c>
      <c r="AE24" s="81">
        <v>0</v>
      </c>
      <c r="AF24" s="81">
        <v>0</v>
      </c>
      <c r="AG24" s="81">
        <v>0</v>
      </c>
      <c r="AH24" s="81">
        <v>0</v>
      </c>
      <c r="AI24" s="81">
        <v>0</v>
      </c>
      <c r="AJ24" s="81">
        <v>0</v>
      </c>
      <c r="AK24" s="81">
        <v>0</v>
      </c>
      <c r="AL24" s="81">
        <v>0</v>
      </c>
      <c r="AM24" s="81">
        <v>0</v>
      </c>
      <c r="AN24" s="81">
        <v>0</v>
      </c>
      <c r="AO24" s="81">
        <v>0</v>
      </c>
      <c r="AP24" s="81">
        <v>0</v>
      </c>
      <c r="AQ24" s="81">
        <v>0</v>
      </c>
      <c r="AR24" s="81">
        <v>0</v>
      </c>
      <c r="AS24" s="81">
        <v>0</v>
      </c>
      <c r="AT24" s="81">
        <v>0</v>
      </c>
      <c r="AU24" s="81">
        <v>0</v>
      </c>
      <c r="AV24" s="81">
        <v>0</v>
      </c>
      <c r="AW24" s="81">
        <v>0</v>
      </c>
      <c r="AX24" s="81">
        <v>0</v>
      </c>
      <c r="AY24" s="81">
        <v>0</v>
      </c>
      <c r="AZ24" s="81">
        <v>0</v>
      </c>
      <c r="BA24" s="81">
        <v>0</v>
      </c>
      <c r="BB24" s="81">
        <v>0</v>
      </c>
      <c r="BC24" s="81">
        <v>0</v>
      </c>
      <c r="BD24" s="81">
        <v>0</v>
      </c>
      <c r="BE24" s="81">
        <v>0</v>
      </c>
      <c r="BF24" s="81">
        <v>0</v>
      </c>
      <c r="BG24" s="81">
        <v>0</v>
      </c>
      <c r="BH24" s="81">
        <v>0</v>
      </c>
      <c r="BI24" s="81">
        <v>0</v>
      </c>
    </row>
    <row r="25" spans="3:61" x14ac:dyDescent="0.2">
      <c r="C25" t="str">
        <v>Spare</v>
      </c>
      <c r="D25" s="8" t="s">
        <v>18</v>
      </c>
      <c r="J25" s="81" cm="1">
        <f t="array" ref="J25:BI25">IF(_xlfn.ANCHORARRAY(J$11)=0,0,_xlfn.XLOOKUP(_xlfn.ANCHORARRAY(J$11),Inputs!$H$21:$S$21,Inputs!$H28:$S28))</f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1">
        <v>0</v>
      </c>
      <c r="AA25" s="81">
        <v>0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81">
        <v>0</v>
      </c>
      <c r="AO25" s="81">
        <v>0</v>
      </c>
      <c r="AP25" s="81">
        <v>0</v>
      </c>
      <c r="AQ25" s="81">
        <v>0</v>
      </c>
      <c r="AR25" s="81">
        <v>0</v>
      </c>
      <c r="AS25" s="81">
        <v>0</v>
      </c>
      <c r="AT25" s="81">
        <v>0</v>
      </c>
      <c r="AU25" s="81">
        <v>0</v>
      </c>
      <c r="AV25" s="81">
        <v>0</v>
      </c>
      <c r="AW25" s="81">
        <v>0</v>
      </c>
      <c r="AX25" s="81">
        <v>0</v>
      </c>
      <c r="AY25" s="81">
        <v>0</v>
      </c>
      <c r="AZ25" s="81">
        <v>0</v>
      </c>
      <c r="BA25" s="81">
        <v>0</v>
      </c>
      <c r="BB25" s="81">
        <v>0</v>
      </c>
      <c r="BC25" s="81">
        <v>0</v>
      </c>
      <c r="BD25" s="81">
        <v>0</v>
      </c>
      <c r="BE25" s="81">
        <v>0</v>
      </c>
      <c r="BF25" s="81">
        <v>0</v>
      </c>
      <c r="BG25" s="81">
        <v>0</v>
      </c>
      <c r="BH25" s="81">
        <v>0</v>
      </c>
      <c r="BI25" s="81">
        <v>0</v>
      </c>
    </row>
    <row r="27" spans="3:61" ht="15" x14ac:dyDescent="0.25">
      <c r="C27" s="4" t="s">
        <v>167</v>
      </c>
    </row>
    <row r="28" spans="3:61" x14ac:dyDescent="0.2">
      <c r="C28" t="str" cm="1">
        <f t="array" ref="C28:C34">_xlfn.ANCHORARRAY(C19)</f>
        <v>Infrastructure</v>
      </c>
      <c r="D28" s="8" t="str" cm="1">
        <f t="array" ref="D28:D35">Inputs!D22:D29</f>
        <v>AUD M</v>
      </c>
      <c r="E28" s="73" cm="1">
        <f t="array" ref="E28:E34">Inputs!E22:E28</f>
        <v>30</v>
      </c>
      <c r="I28" s="86" cm="1">
        <f t="array" ref="I28:I34">_xlfn.BYROW(_xlfn.ANCHORARRAY(J28),_xlfn.LAMBDA(_xlpm.A,SUM(_xlpm.A)))</f>
        <v>30</v>
      </c>
      <c r="J28" s="28" cm="1">
        <f t="array" ref="J28:BI34">J19:BI25*_xlfn.ANCHORARRAY(E28)</f>
        <v>7.5</v>
      </c>
      <c r="K28" s="28">
        <v>7.5</v>
      </c>
      <c r="L28" s="28">
        <v>7.5</v>
      </c>
      <c r="M28" s="28">
        <v>7.5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</row>
    <row r="29" spans="3:61" x14ac:dyDescent="0.2">
      <c r="C29" t="str">
        <v>Overburden</v>
      </c>
      <c r="D29" s="8" t="str">
        <v>AUD M</v>
      </c>
      <c r="E29" s="73">
        <v>15</v>
      </c>
      <c r="I29" s="86">
        <v>15</v>
      </c>
      <c r="J29" s="28">
        <v>0</v>
      </c>
      <c r="K29" s="28">
        <v>3.75</v>
      </c>
      <c r="L29" s="28">
        <v>3.75</v>
      </c>
      <c r="M29" s="28">
        <v>7.5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</row>
    <row r="30" spans="3:61" x14ac:dyDescent="0.2">
      <c r="C30" t="str">
        <v>Processing Plant</v>
      </c>
      <c r="D30" s="8" t="str">
        <v>AUD M</v>
      </c>
      <c r="E30" s="73">
        <v>75</v>
      </c>
      <c r="I30" s="86">
        <v>75</v>
      </c>
      <c r="J30" s="28">
        <v>0</v>
      </c>
      <c r="K30" s="28">
        <v>0</v>
      </c>
      <c r="L30" s="28">
        <v>37.5</v>
      </c>
      <c r="M30" s="28">
        <v>37.5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</row>
    <row r="31" spans="3:61" x14ac:dyDescent="0.2">
      <c r="C31" t="str">
        <v>Storage Dam</v>
      </c>
      <c r="D31" s="8" t="str">
        <v>AUD M</v>
      </c>
      <c r="E31" s="73">
        <v>20</v>
      </c>
      <c r="I31" s="86">
        <v>20</v>
      </c>
      <c r="J31" s="28">
        <v>0</v>
      </c>
      <c r="K31" s="28">
        <v>0</v>
      </c>
      <c r="L31" s="28">
        <v>6</v>
      </c>
      <c r="M31" s="28">
        <v>14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</row>
    <row r="32" spans="3:61" x14ac:dyDescent="0.2">
      <c r="C32" t="str">
        <v>Civil Works</v>
      </c>
      <c r="D32" s="8" t="str">
        <v>AUD M</v>
      </c>
      <c r="E32" s="73">
        <v>15</v>
      </c>
      <c r="I32" s="86">
        <v>15</v>
      </c>
      <c r="J32" s="28">
        <v>0</v>
      </c>
      <c r="K32" s="28">
        <v>7.5</v>
      </c>
      <c r="L32" s="28">
        <v>3.75</v>
      </c>
      <c r="M32" s="28">
        <v>3.75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</row>
    <row r="33" spans="3:61" x14ac:dyDescent="0.2">
      <c r="C33" t="str">
        <v>Spare</v>
      </c>
      <c r="D33" s="8" t="str">
        <v>AUD M</v>
      </c>
      <c r="E33" s="73">
        <v>0</v>
      </c>
      <c r="I33" s="86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</row>
    <row r="34" spans="3:61" x14ac:dyDescent="0.2">
      <c r="C34" t="str">
        <v>Spare</v>
      </c>
      <c r="D34" s="8" t="str">
        <v>AUD M</v>
      </c>
      <c r="E34" s="73">
        <v>0</v>
      </c>
      <c r="I34" s="86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</row>
    <row r="35" spans="3:61" x14ac:dyDescent="0.2">
      <c r="C35" s="58" t="s">
        <v>57</v>
      </c>
      <c r="D35" s="8" t="str">
        <v>AUD M</v>
      </c>
      <c r="I35" s="86">
        <f t="shared" ref="I35" si="0">SUM(_xlfn.ANCHORARRAY(J35))</f>
        <v>155</v>
      </c>
      <c r="J35" s="83" cm="1">
        <f t="array" ref="J35:BI35">_xlfn.BYCOL(_xlfn.ANCHORARRAY(J28),_xlfn.LAMBDA(_xlpm.a,SUM(_xlpm.a)))</f>
        <v>7.5</v>
      </c>
      <c r="K35" s="83">
        <v>18.75</v>
      </c>
      <c r="L35" s="83">
        <v>58.5</v>
      </c>
      <c r="M35" s="83">
        <v>70.25</v>
      </c>
      <c r="N35" s="83">
        <v>0</v>
      </c>
      <c r="O35" s="83">
        <v>0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3">
        <v>0</v>
      </c>
      <c r="AC35" s="83">
        <v>0</v>
      </c>
      <c r="AD35" s="83">
        <v>0</v>
      </c>
      <c r="AE35" s="83">
        <v>0</v>
      </c>
      <c r="AF35" s="83">
        <v>0</v>
      </c>
      <c r="AG35" s="83">
        <v>0</v>
      </c>
      <c r="AH35" s="83">
        <v>0</v>
      </c>
      <c r="AI35" s="83">
        <v>0</v>
      </c>
      <c r="AJ35" s="83">
        <v>0</v>
      </c>
      <c r="AK35" s="83">
        <v>0</v>
      </c>
      <c r="AL35" s="83">
        <v>0</v>
      </c>
      <c r="AM35" s="83">
        <v>0</v>
      </c>
      <c r="AN35" s="83">
        <v>0</v>
      </c>
      <c r="AO35" s="83">
        <v>0</v>
      </c>
      <c r="AP35" s="83">
        <v>0</v>
      </c>
      <c r="AQ35" s="83">
        <v>0</v>
      </c>
      <c r="AR35" s="83">
        <v>0</v>
      </c>
      <c r="AS35" s="83">
        <v>0</v>
      </c>
      <c r="AT35" s="83">
        <v>0</v>
      </c>
      <c r="AU35" s="83">
        <v>0</v>
      </c>
      <c r="AV35" s="83">
        <v>0</v>
      </c>
      <c r="AW35" s="83">
        <v>0</v>
      </c>
      <c r="AX35" s="83">
        <v>0</v>
      </c>
      <c r="AY35" s="83">
        <v>0</v>
      </c>
      <c r="AZ35" s="83">
        <v>0</v>
      </c>
      <c r="BA35" s="83">
        <v>0</v>
      </c>
      <c r="BB35" s="83">
        <v>0</v>
      </c>
      <c r="BC35" s="83">
        <v>0</v>
      </c>
      <c r="BD35" s="83">
        <v>0</v>
      </c>
      <c r="BE35" s="83">
        <v>0</v>
      </c>
      <c r="BF35" s="83">
        <v>0</v>
      </c>
      <c r="BG35" s="83">
        <v>0</v>
      </c>
      <c r="BH35" s="83">
        <v>0</v>
      </c>
      <c r="BI35" s="83">
        <v>0</v>
      </c>
    </row>
    <row r="37" spans="3:61" ht="15" x14ac:dyDescent="0.25">
      <c r="C37" s="4" t="s">
        <v>172</v>
      </c>
    </row>
    <row r="38" spans="3:61" x14ac:dyDescent="0.2">
      <c r="C38" t="str" cm="1">
        <f t="array" ref="C38:C44">_xlfn.ANCHORARRAY(C19)</f>
        <v>Infrastructure</v>
      </c>
      <c r="D38" s="8" t="str" cm="1">
        <f t="array" ref="D38:D45">_xlfn.ANCHORARRAY(D28)</f>
        <v>AUD M</v>
      </c>
      <c r="E38" s="84">
        <f>Inputs!E31</f>
        <v>0.1</v>
      </c>
      <c r="I38" s="86" cm="1">
        <f t="array" ref="I38:I44">_xlfn.BYROW(_xlfn.ANCHORARRAY(J38),_xlfn.LAMBDA(_xlpm.A,SUM(_xlpm.A)))</f>
        <v>33</v>
      </c>
      <c r="J38" s="28" cm="1">
        <f t="array" ref="J38:BI44">_xlfn.ANCHORARRAY(J28)*(1+E38)</f>
        <v>8.25</v>
      </c>
      <c r="K38" s="28">
        <v>8.25</v>
      </c>
      <c r="L38" s="28">
        <v>8.25</v>
      </c>
      <c r="M38" s="28">
        <v>8.25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</row>
    <row r="39" spans="3:61" x14ac:dyDescent="0.2">
      <c r="C39" t="str">
        <v>Overburden</v>
      </c>
      <c r="D39" s="8" t="str">
        <v>AUD M</v>
      </c>
      <c r="I39" s="86">
        <v>16.5</v>
      </c>
      <c r="J39" s="28">
        <v>0</v>
      </c>
      <c r="K39" s="28">
        <v>4.125</v>
      </c>
      <c r="L39" s="28">
        <v>4.125</v>
      </c>
      <c r="M39" s="28">
        <v>8.25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</row>
    <row r="40" spans="3:61" x14ac:dyDescent="0.2">
      <c r="C40" t="str">
        <v>Processing Plant</v>
      </c>
      <c r="D40" s="8" t="str">
        <v>AUD M</v>
      </c>
      <c r="I40" s="86">
        <v>82.5</v>
      </c>
      <c r="J40" s="28">
        <v>0</v>
      </c>
      <c r="K40" s="28">
        <v>0</v>
      </c>
      <c r="L40" s="28">
        <v>41.25</v>
      </c>
      <c r="M40" s="28">
        <v>41.25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</row>
    <row r="41" spans="3:61" x14ac:dyDescent="0.2">
      <c r="C41" t="str">
        <v>Storage Dam</v>
      </c>
      <c r="D41" s="8" t="str">
        <v>AUD M</v>
      </c>
      <c r="I41" s="86">
        <v>22.000000000000004</v>
      </c>
      <c r="J41" s="28">
        <v>0</v>
      </c>
      <c r="K41" s="28">
        <v>0</v>
      </c>
      <c r="L41" s="28">
        <v>6.6000000000000005</v>
      </c>
      <c r="M41" s="28">
        <v>15.400000000000002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</row>
    <row r="42" spans="3:61" x14ac:dyDescent="0.2">
      <c r="C42" t="str">
        <v>Civil Works</v>
      </c>
      <c r="D42" s="8" t="str">
        <v>AUD M</v>
      </c>
      <c r="I42" s="86">
        <v>16.5</v>
      </c>
      <c r="J42" s="28">
        <v>0</v>
      </c>
      <c r="K42" s="28">
        <v>8.25</v>
      </c>
      <c r="L42" s="28">
        <v>4.125</v>
      </c>
      <c r="M42" s="28">
        <v>4.125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</row>
    <row r="43" spans="3:61" x14ac:dyDescent="0.2">
      <c r="C43" t="str">
        <v>Spare</v>
      </c>
      <c r="D43" s="8" t="str">
        <v>AUD M</v>
      </c>
      <c r="I43" s="86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</row>
    <row r="44" spans="3:61" x14ac:dyDescent="0.2">
      <c r="C44" t="str">
        <v>Spare</v>
      </c>
      <c r="D44" s="8" t="str">
        <v>AUD M</v>
      </c>
      <c r="I44" s="86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</row>
    <row r="45" spans="3:61" x14ac:dyDescent="0.2">
      <c r="C45" s="58" t="s">
        <v>57</v>
      </c>
      <c r="D45" s="8" t="str">
        <v>AUD M</v>
      </c>
      <c r="I45" s="86">
        <f>SUM(_xlfn.ANCHORARRAY(J45))</f>
        <v>170.5</v>
      </c>
      <c r="J45" s="83" cm="1">
        <f t="array" ref="J45:BI45">_xlfn.BYCOL(_xlfn.ANCHORARRAY(J38),_xlfn.LAMBDA(_xlpm.a,SUM(_xlpm.a)))</f>
        <v>8.25</v>
      </c>
      <c r="K45" s="83">
        <v>20.625</v>
      </c>
      <c r="L45" s="83">
        <v>64.349999999999994</v>
      </c>
      <c r="M45" s="83">
        <v>77.275000000000006</v>
      </c>
      <c r="N45" s="83">
        <v>0</v>
      </c>
      <c r="O45" s="83">
        <v>0</v>
      </c>
      <c r="P45" s="83">
        <v>0</v>
      </c>
      <c r="Q45" s="83">
        <v>0</v>
      </c>
      <c r="R45" s="83">
        <v>0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3">
        <v>0</v>
      </c>
      <c r="AC45" s="83">
        <v>0</v>
      </c>
      <c r="AD45" s="83">
        <v>0</v>
      </c>
      <c r="AE45" s="83">
        <v>0</v>
      </c>
      <c r="AF45" s="83">
        <v>0</v>
      </c>
      <c r="AG45" s="83">
        <v>0</v>
      </c>
      <c r="AH45" s="83">
        <v>0</v>
      </c>
      <c r="AI45" s="83">
        <v>0</v>
      </c>
      <c r="AJ45" s="83">
        <v>0</v>
      </c>
      <c r="AK45" s="83">
        <v>0</v>
      </c>
      <c r="AL45" s="83">
        <v>0</v>
      </c>
      <c r="AM45" s="83">
        <v>0</v>
      </c>
      <c r="AN45" s="83">
        <v>0</v>
      </c>
      <c r="AO45" s="83">
        <v>0</v>
      </c>
      <c r="AP45" s="83">
        <v>0</v>
      </c>
      <c r="AQ45" s="83">
        <v>0</v>
      </c>
      <c r="AR45" s="83">
        <v>0</v>
      </c>
      <c r="AS45" s="83">
        <v>0</v>
      </c>
      <c r="AT45" s="83">
        <v>0</v>
      </c>
      <c r="AU45" s="83">
        <v>0</v>
      </c>
      <c r="AV45" s="83">
        <v>0</v>
      </c>
      <c r="AW45" s="83">
        <v>0</v>
      </c>
      <c r="AX45" s="83">
        <v>0</v>
      </c>
      <c r="AY45" s="83">
        <v>0</v>
      </c>
      <c r="AZ45" s="83">
        <v>0</v>
      </c>
      <c r="BA45" s="83">
        <v>0</v>
      </c>
      <c r="BB45" s="83">
        <v>0</v>
      </c>
      <c r="BC45" s="83">
        <v>0</v>
      </c>
      <c r="BD45" s="83">
        <v>0</v>
      </c>
      <c r="BE45" s="83">
        <v>0</v>
      </c>
      <c r="BF45" s="83">
        <v>0</v>
      </c>
      <c r="BG45" s="83">
        <v>0</v>
      </c>
      <c r="BH45" s="83">
        <v>0</v>
      </c>
      <c r="BI45" s="83">
        <v>0</v>
      </c>
    </row>
    <row r="47" spans="3:61" ht="20.25" x14ac:dyDescent="0.3">
      <c r="C47" s="7" t="s">
        <v>107</v>
      </c>
    </row>
    <row r="48" spans="3:61" ht="15" x14ac:dyDescent="0.25">
      <c r="C48" s="4" t="s">
        <v>173</v>
      </c>
    </row>
    <row r="49" spans="3:61" x14ac:dyDescent="0.2">
      <c r="C49" s="58" t="s">
        <v>174</v>
      </c>
      <c r="D49" s="8" t="s">
        <v>73</v>
      </c>
      <c r="I49" s="86">
        <f t="shared" ref="I49" si="1">SUM(_xlfn.ANCHORARRAY(J49))</f>
        <v>170.5</v>
      </c>
      <c r="J49" s="28" cm="1">
        <f t="array" ref="J49:BI49">_xlfn.ANCHORARRAY(J45)</f>
        <v>8.25</v>
      </c>
      <c r="K49" s="28">
        <v>20.625</v>
      </c>
      <c r="L49" s="28">
        <v>64.349999999999994</v>
      </c>
      <c r="M49" s="28">
        <v>77.275000000000006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</row>
    <row r="50" spans="3:61" x14ac:dyDescent="0.2">
      <c r="C50" s="58" t="s">
        <v>175</v>
      </c>
      <c r="D50" s="8" t="s">
        <v>73</v>
      </c>
    </row>
    <row r="51" spans="3:61" x14ac:dyDescent="0.2">
      <c r="C51" s="58"/>
      <c r="D51" s="8" t="s">
        <v>73</v>
      </c>
    </row>
    <row r="52" spans="3:61" x14ac:dyDescent="0.2">
      <c r="D52" s="8" t="s">
        <v>73</v>
      </c>
    </row>
    <row r="53" spans="3:61" x14ac:dyDescent="0.2">
      <c r="C53" t="s">
        <v>179</v>
      </c>
      <c r="D53" s="8" t="s">
        <v>73</v>
      </c>
      <c r="I53" s="86">
        <f t="shared" ref="I53" si="2">SUM(_xlfn.ANCHORARRAY(J53))</f>
        <v>170.5</v>
      </c>
      <c r="J53" s="83" cm="1">
        <f t="array" ref="J53:BI53">_xlfn.ANCHORARRAY(J49)</f>
        <v>8.25</v>
      </c>
      <c r="K53" s="83">
        <v>20.625</v>
      </c>
      <c r="L53" s="83">
        <v>64.349999999999994</v>
      </c>
      <c r="M53" s="83">
        <v>77.275000000000006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3">
        <v>0</v>
      </c>
      <c r="AH53" s="83">
        <v>0</v>
      </c>
      <c r="AI53" s="83">
        <v>0</v>
      </c>
      <c r="AJ53" s="83">
        <v>0</v>
      </c>
      <c r="AK53" s="83">
        <v>0</v>
      </c>
      <c r="AL53" s="83">
        <v>0</v>
      </c>
      <c r="AM53" s="83">
        <v>0</v>
      </c>
      <c r="AN53" s="83">
        <v>0</v>
      </c>
      <c r="AO53" s="83">
        <v>0</v>
      </c>
      <c r="AP53" s="83">
        <v>0</v>
      </c>
      <c r="AQ53" s="83">
        <v>0</v>
      </c>
      <c r="AR53" s="83">
        <v>0</v>
      </c>
      <c r="AS53" s="83">
        <v>0</v>
      </c>
      <c r="AT53" s="83">
        <v>0</v>
      </c>
      <c r="AU53" s="83">
        <v>0</v>
      </c>
      <c r="AV53" s="83">
        <v>0</v>
      </c>
      <c r="AW53" s="83">
        <v>0</v>
      </c>
      <c r="AX53" s="83">
        <v>0</v>
      </c>
      <c r="AY53" s="83">
        <v>0</v>
      </c>
      <c r="AZ53" s="83">
        <v>0</v>
      </c>
      <c r="BA53" s="83">
        <v>0</v>
      </c>
      <c r="BB53" s="83">
        <v>0</v>
      </c>
      <c r="BC53" s="83">
        <v>0</v>
      </c>
      <c r="BD53" s="83">
        <v>0</v>
      </c>
      <c r="BE53" s="83">
        <v>0</v>
      </c>
      <c r="BF53" s="83">
        <v>0</v>
      </c>
      <c r="BG53" s="83">
        <v>0</v>
      </c>
      <c r="BH53" s="83">
        <v>0</v>
      </c>
      <c r="BI53" s="83">
        <v>0</v>
      </c>
    </row>
    <row r="55" spans="3:61" x14ac:dyDescent="0.2">
      <c r="J55" t="e" cm="1" vm="1">
        <f t="array" ref="J55">_xlfn.SCAN(0,I57,_xlfn.LAMBDA(_xlpm.a,_xlpm.a))</f>
        <v>#VALUE!</v>
      </c>
    </row>
    <row r="58" spans="3:61" ht="15" x14ac:dyDescent="0.25">
      <c r="C58" s="4" t="s">
        <v>176</v>
      </c>
    </row>
    <row r="59" spans="3:61" x14ac:dyDescent="0.2">
      <c r="C59" s="58" t="s">
        <v>65</v>
      </c>
      <c r="D59" s="8" t="s">
        <v>73</v>
      </c>
      <c r="F59">
        <f>I59/(I59+I61)</f>
        <v>1</v>
      </c>
      <c r="I59">
        <f>SUM(J59:L59)</f>
        <v>38.879999999999995</v>
      </c>
      <c r="J59">
        <v>8.25</v>
      </c>
      <c r="K59">
        <v>20.63</v>
      </c>
      <c r="L59">
        <v>10</v>
      </c>
    </row>
    <row r="60" spans="3:61" x14ac:dyDescent="0.2">
      <c r="C60" s="58" t="s">
        <v>177</v>
      </c>
      <c r="D60" s="8" t="s">
        <v>73</v>
      </c>
    </row>
    <row r="61" spans="3:61" x14ac:dyDescent="0.2">
      <c r="C61" s="58" t="s">
        <v>165</v>
      </c>
      <c r="D61" s="8" t="s">
        <v>73</v>
      </c>
      <c r="J61">
        <v>10</v>
      </c>
      <c r="K61">
        <v>10</v>
      </c>
      <c r="L61">
        <v>10</v>
      </c>
      <c r="M61">
        <v>10</v>
      </c>
    </row>
    <row r="62" spans="3:61" x14ac:dyDescent="0.2">
      <c r="C62" s="58" t="s">
        <v>178</v>
      </c>
      <c r="D62" s="8" t="s">
        <v>73</v>
      </c>
    </row>
    <row r="65" spans="3:61" ht="20.25" x14ac:dyDescent="0.3">
      <c r="C65" s="7" t="s">
        <v>181</v>
      </c>
    </row>
    <row r="66" spans="3:61" ht="15" x14ac:dyDescent="0.25">
      <c r="C66" s="4" t="s">
        <v>182</v>
      </c>
    </row>
    <row r="67" spans="3:61" x14ac:dyDescent="0.2">
      <c r="C67" s="58" t="s">
        <v>183</v>
      </c>
      <c r="D67" s="8" t="s">
        <v>62</v>
      </c>
      <c r="E67" s="36" t="s">
        <v>60</v>
      </c>
      <c r="J67" s="81" cm="1">
        <f t="array" ref="J67:BI67">_xlfn.XLOOKUP(_xlfn.ANCHORARRAY(J13),Inputs!$F$85:$I$85,Inputs!$F$86:$I$86,0,-1)</f>
        <v>0.03</v>
      </c>
      <c r="K67" s="81">
        <v>0.03</v>
      </c>
      <c r="L67" s="81">
        <v>0.03</v>
      </c>
      <c r="M67" s="81">
        <v>0.03</v>
      </c>
      <c r="N67" s="81">
        <v>2.9000000000000001E-2</v>
      </c>
      <c r="O67" s="81">
        <v>2.9000000000000001E-2</v>
      </c>
      <c r="P67" s="81">
        <v>2.9000000000000001E-2</v>
      </c>
      <c r="Q67" s="81">
        <v>2.9000000000000001E-2</v>
      </c>
      <c r="R67" s="81">
        <v>0.03</v>
      </c>
      <c r="S67" s="81">
        <v>0.03</v>
      </c>
      <c r="T67" s="81">
        <v>0.03</v>
      </c>
      <c r="U67" s="81">
        <v>0.03</v>
      </c>
      <c r="V67" s="81">
        <v>0.03</v>
      </c>
      <c r="W67" s="81">
        <v>0.03</v>
      </c>
      <c r="X67" s="81">
        <v>0.03</v>
      </c>
      <c r="Y67" s="81">
        <v>0.03</v>
      </c>
      <c r="Z67" s="81">
        <v>0.03</v>
      </c>
      <c r="AA67" s="81">
        <v>0.03</v>
      </c>
      <c r="AB67" s="81">
        <v>0.03</v>
      </c>
      <c r="AC67" s="81">
        <v>0.03</v>
      </c>
      <c r="AD67" s="81">
        <v>0.03</v>
      </c>
      <c r="AE67" s="81">
        <v>0.03</v>
      </c>
      <c r="AF67" s="81">
        <v>0.03</v>
      </c>
      <c r="AG67" s="81">
        <v>0.03</v>
      </c>
      <c r="AH67" s="81">
        <v>0.03</v>
      </c>
      <c r="AI67" s="81">
        <v>0.03</v>
      </c>
      <c r="AJ67" s="81">
        <v>0.03</v>
      </c>
      <c r="AK67" s="81">
        <v>0.03</v>
      </c>
      <c r="AL67" s="81">
        <v>0.03</v>
      </c>
      <c r="AM67" s="81">
        <v>0.03</v>
      </c>
      <c r="AN67" s="81">
        <v>0.03</v>
      </c>
      <c r="AO67" s="81">
        <v>0.03</v>
      </c>
      <c r="AP67" s="81">
        <v>0.03</v>
      </c>
      <c r="AQ67" s="81">
        <v>0.03</v>
      </c>
      <c r="AR67" s="81">
        <v>0.03</v>
      </c>
      <c r="AS67" s="81">
        <v>0.03</v>
      </c>
      <c r="AT67" s="81">
        <v>0.03</v>
      </c>
      <c r="AU67" s="81">
        <v>0.03</v>
      </c>
      <c r="AV67" s="81">
        <v>0.03</v>
      </c>
      <c r="AW67" s="81">
        <v>0.03</v>
      </c>
      <c r="AX67" s="81">
        <v>0.03</v>
      </c>
      <c r="AY67" s="81">
        <v>0.03</v>
      </c>
      <c r="AZ67" s="81">
        <v>0.03</v>
      </c>
      <c r="BA67" s="81">
        <v>0.03</v>
      </c>
      <c r="BB67" s="81">
        <v>0.03</v>
      </c>
      <c r="BC67" s="81">
        <v>0.03</v>
      </c>
      <c r="BD67" s="81">
        <v>0.03</v>
      </c>
      <c r="BE67" s="81">
        <v>0.03</v>
      </c>
      <c r="BF67" s="81">
        <v>0.03</v>
      </c>
      <c r="BG67" s="81">
        <v>0.03</v>
      </c>
      <c r="BH67" s="81">
        <v>0.03</v>
      </c>
      <c r="BI67" s="81">
        <v>0.03</v>
      </c>
    </row>
    <row r="68" spans="3:61" x14ac:dyDescent="0.2">
      <c r="C68" s="58" t="s">
        <v>60</v>
      </c>
      <c r="D68" s="8" t="s">
        <v>62</v>
      </c>
      <c r="E68" s="84">
        <f>Inputs!F74</f>
        <v>3.5000000000000003E-2</v>
      </c>
      <c r="J68" s="81" cm="1">
        <f t="array" ref="J68:BI68">_xlfn.SEQUENCE(1,$D$6,E68,0)</f>
        <v>3.5000000000000003E-2</v>
      </c>
      <c r="K68" s="81">
        <v>3.5000000000000003E-2</v>
      </c>
      <c r="L68" s="81">
        <v>3.5000000000000003E-2</v>
      </c>
      <c r="M68" s="81">
        <v>3.5000000000000003E-2</v>
      </c>
      <c r="N68" s="81">
        <v>3.5000000000000003E-2</v>
      </c>
      <c r="O68" s="81">
        <v>3.5000000000000003E-2</v>
      </c>
      <c r="P68" s="81">
        <v>3.5000000000000003E-2</v>
      </c>
      <c r="Q68" s="81">
        <v>3.5000000000000003E-2</v>
      </c>
      <c r="R68" s="81">
        <v>3.5000000000000003E-2</v>
      </c>
      <c r="S68" s="81">
        <v>3.5000000000000003E-2</v>
      </c>
      <c r="T68" s="81">
        <v>3.5000000000000003E-2</v>
      </c>
      <c r="U68" s="81">
        <v>3.5000000000000003E-2</v>
      </c>
      <c r="V68" s="81">
        <v>3.5000000000000003E-2</v>
      </c>
      <c r="W68" s="81">
        <v>3.5000000000000003E-2</v>
      </c>
      <c r="X68" s="81">
        <v>3.5000000000000003E-2</v>
      </c>
      <c r="Y68" s="81">
        <v>3.5000000000000003E-2</v>
      </c>
      <c r="Z68" s="81">
        <v>3.5000000000000003E-2</v>
      </c>
      <c r="AA68" s="81">
        <v>3.5000000000000003E-2</v>
      </c>
      <c r="AB68" s="81">
        <v>3.5000000000000003E-2</v>
      </c>
      <c r="AC68" s="81">
        <v>3.5000000000000003E-2</v>
      </c>
      <c r="AD68" s="81">
        <v>3.5000000000000003E-2</v>
      </c>
      <c r="AE68" s="81">
        <v>3.5000000000000003E-2</v>
      </c>
      <c r="AF68" s="81">
        <v>3.5000000000000003E-2</v>
      </c>
      <c r="AG68" s="81">
        <v>3.5000000000000003E-2</v>
      </c>
      <c r="AH68" s="81">
        <v>3.5000000000000003E-2</v>
      </c>
      <c r="AI68" s="81">
        <v>3.5000000000000003E-2</v>
      </c>
      <c r="AJ68" s="81">
        <v>3.5000000000000003E-2</v>
      </c>
      <c r="AK68" s="81">
        <v>3.5000000000000003E-2</v>
      </c>
      <c r="AL68" s="81">
        <v>3.5000000000000003E-2</v>
      </c>
      <c r="AM68" s="81">
        <v>3.5000000000000003E-2</v>
      </c>
      <c r="AN68" s="81">
        <v>3.5000000000000003E-2</v>
      </c>
      <c r="AO68" s="81">
        <v>3.5000000000000003E-2</v>
      </c>
      <c r="AP68" s="81">
        <v>3.5000000000000003E-2</v>
      </c>
      <c r="AQ68" s="81">
        <v>3.5000000000000003E-2</v>
      </c>
      <c r="AR68" s="81">
        <v>3.5000000000000003E-2</v>
      </c>
      <c r="AS68" s="81">
        <v>3.5000000000000003E-2</v>
      </c>
      <c r="AT68" s="81">
        <v>3.5000000000000003E-2</v>
      </c>
      <c r="AU68" s="81">
        <v>3.5000000000000003E-2</v>
      </c>
      <c r="AV68" s="81">
        <v>3.5000000000000003E-2</v>
      </c>
      <c r="AW68" s="81">
        <v>3.5000000000000003E-2</v>
      </c>
      <c r="AX68" s="81">
        <v>3.5000000000000003E-2</v>
      </c>
      <c r="AY68" s="81">
        <v>3.5000000000000003E-2</v>
      </c>
      <c r="AZ68" s="81">
        <v>3.5000000000000003E-2</v>
      </c>
      <c r="BA68" s="81">
        <v>3.5000000000000003E-2</v>
      </c>
      <c r="BB68" s="81">
        <v>3.5000000000000003E-2</v>
      </c>
      <c r="BC68" s="81">
        <v>3.5000000000000003E-2</v>
      </c>
      <c r="BD68" s="81">
        <v>3.5000000000000003E-2</v>
      </c>
      <c r="BE68" s="81">
        <v>3.5000000000000003E-2</v>
      </c>
      <c r="BF68" s="81">
        <v>3.5000000000000003E-2</v>
      </c>
      <c r="BG68" s="81">
        <v>3.5000000000000003E-2</v>
      </c>
      <c r="BH68" s="81">
        <v>3.5000000000000003E-2</v>
      </c>
      <c r="BI68" s="81">
        <v>3.5000000000000003E-2</v>
      </c>
    </row>
    <row r="69" spans="3:61" x14ac:dyDescent="0.2">
      <c r="C69" s="58" t="s">
        <v>186</v>
      </c>
      <c r="D69" s="8" t="s">
        <v>62</v>
      </c>
      <c r="J69" s="81" cm="1">
        <f t="array" ref="J69:BI69">_xlfn.ANCHORARRAY(J67)+_xlfn.ANCHORARRAY(J68)</f>
        <v>6.5000000000000002E-2</v>
      </c>
      <c r="K69" s="81">
        <v>6.5000000000000002E-2</v>
      </c>
      <c r="L69" s="81">
        <v>6.5000000000000002E-2</v>
      </c>
      <c r="M69" s="81">
        <v>6.5000000000000002E-2</v>
      </c>
      <c r="N69" s="81">
        <v>6.4000000000000001E-2</v>
      </c>
      <c r="O69" s="81">
        <v>6.4000000000000001E-2</v>
      </c>
      <c r="P69" s="81">
        <v>6.4000000000000001E-2</v>
      </c>
      <c r="Q69" s="81">
        <v>6.4000000000000001E-2</v>
      </c>
      <c r="R69" s="81">
        <v>6.5000000000000002E-2</v>
      </c>
      <c r="S69" s="81">
        <v>6.5000000000000002E-2</v>
      </c>
      <c r="T69" s="81">
        <v>6.5000000000000002E-2</v>
      </c>
      <c r="U69" s="81">
        <v>6.5000000000000002E-2</v>
      </c>
      <c r="V69" s="81">
        <v>6.5000000000000002E-2</v>
      </c>
      <c r="W69" s="81">
        <v>6.5000000000000002E-2</v>
      </c>
      <c r="X69" s="81">
        <v>6.5000000000000002E-2</v>
      </c>
      <c r="Y69" s="81">
        <v>6.5000000000000002E-2</v>
      </c>
      <c r="Z69" s="81">
        <v>6.5000000000000002E-2</v>
      </c>
      <c r="AA69" s="81">
        <v>6.5000000000000002E-2</v>
      </c>
      <c r="AB69" s="81">
        <v>6.5000000000000002E-2</v>
      </c>
      <c r="AC69" s="81">
        <v>6.5000000000000002E-2</v>
      </c>
      <c r="AD69" s="81">
        <v>6.5000000000000002E-2</v>
      </c>
      <c r="AE69" s="81">
        <v>6.5000000000000002E-2</v>
      </c>
      <c r="AF69" s="81">
        <v>6.5000000000000002E-2</v>
      </c>
      <c r="AG69" s="81">
        <v>6.5000000000000002E-2</v>
      </c>
      <c r="AH69" s="81">
        <v>6.5000000000000002E-2</v>
      </c>
      <c r="AI69" s="81">
        <v>6.5000000000000002E-2</v>
      </c>
      <c r="AJ69" s="81">
        <v>6.5000000000000002E-2</v>
      </c>
      <c r="AK69" s="81">
        <v>6.5000000000000002E-2</v>
      </c>
      <c r="AL69" s="81">
        <v>6.5000000000000002E-2</v>
      </c>
      <c r="AM69" s="81">
        <v>6.5000000000000002E-2</v>
      </c>
      <c r="AN69" s="81">
        <v>6.5000000000000002E-2</v>
      </c>
      <c r="AO69" s="81">
        <v>6.5000000000000002E-2</v>
      </c>
      <c r="AP69" s="81">
        <v>6.5000000000000002E-2</v>
      </c>
      <c r="AQ69" s="81">
        <v>6.5000000000000002E-2</v>
      </c>
      <c r="AR69" s="81">
        <v>6.5000000000000002E-2</v>
      </c>
      <c r="AS69" s="81">
        <v>6.5000000000000002E-2</v>
      </c>
      <c r="AT69" s="81">
        <v>6.5000000000000002E-2</v>
      </c>
      <c r="AU69" s="81">
        <v>6.5000000000000002E-2</v>
      </c>
      <c r="AV69" s="81">
        <v>6.5000000000000002E-2</v>
      </c>
      <c r="AW69" s="81">
        <v>6.5000000000000002E-2</v>
      </c>
      <c r="AX69" s="81">
        <v>6.5000000000000002E-2</v>
      </c>
      <c r="AY69" s="81">
        <v>6.5000000000000002E-2</v>
      </c>
      <c r="AZ69" s="81">
        <v>6.5000000000000002E-2</v>
      </c>
      <c r="BA69" s="81">
        <v>6.5000000000000002E-2</v>
      </c>
      <c r="BB69" s="81">
        <v>6.5000000000000002E-2</v>
      </c>
      <c r="BC69" s="81">
        <v>6.5000000000000002E-2</v>
      </c>
      <c r="BD69" s="81">
        <v>6.5000000000000002E-2</v>
      </c>
      <c r="BE69" s="81">
        <v>6.5000000000000002E-2</v>
      </c>
      <c r="BF69" s="81">
        <v>6.5000000000000002E-2</v>
      </c>
      <c r="BG69" s="81">
        <v>6.5000000000000002E-2</v>
      </c>
      <c r="BH69" s="81">
        <v>6.5000000000000002E-2</v>
      </c>
      <c r="BI69" s="81">
        <v>6.5000000000000002E-2</v>
      </c>
    </row>
    <row r="70" spans="3:61" x14ac:dyDescent="0.2">
      <c r="C70" s="58" t="s">
        <v>186</v>
      </c>
      <c r="D70" s="8" t="s">
        <v>187</v>
      </c>
      <c r="J70" s="81" cm="1">
        <f t="array" ref="J70:BI70">_xlfn.ANCHORARRAY(J69)*_xlfn.ANCHORARRAY(J15)/Days_Yr</f>
        <v>1.6205479452054795E-2</v>
      </c>
      <c r="K70" s="81">
        <v>1.6205479452054795E-2</v>
      </c>
      <c r="L70" s="81">
        <v>1.6383561643835618E-2</v>
      </c>
      <c r="M70" s="81">
        <v>1.6383561643835618E-2</v>
      </c>
      <c r="N70" s="81">
        <v>1.5780821917808219E-2</v>
      </c>
      <c r="O70" s="81">
        <v>1.5956164383561643E-2</v>
      </c>
      <c r="P70" s="81">
        <v>1.6131506849315067E-2</v>
      </c>
      <c r="Q70" s="81">
        <v>1.6131506849315067E-2</v>
      </c>
      <c r="R70" s="81">
        <v>1.6027397260273975E-2</v>
      </c>
      <c r="S70" s="81">
        <v>1.6205479452054795E-2</v>
      </c>
      <c r="T70" s="81">
        <v>1.6383561643835618E-2</v>
      </c>
      <c r="U70" s="81">
        <v>1.6383561643835618E-2</v>
      </c>
      <c r="V70" s="81">
        <v>1.6027397260273975E-2</v>
      </c>
      <c r="W70" s="81">
        <v>1.6205479452054795E-2</v>
      </c>
      <c r="X70" s="81">
        <v>1.6383561643835618E-2</v>
      </c>
      <c r="Y70" s="81">
        <v>1.6383561643835618E-2</v>
      </c>
      <c r="Z70" s="81">
        <v>1.6205479452054795E-2</v>
      </c>
      <c r="AA70" s="81">
        <v>1.6205479452054795E-2</v>
      </c>
      <c r="AB70" s="81">
        <v>1.6383561643835618E-2</v>
      </c>
      <c r="AC70" s="81">
        <v>1.6383561643835618E-2</v>
      </c>
      <c r="AD70" s="81">
        <v>1.6027397260273975E-2</v>
      </c>
      <c r="AE70" s="81">
        <v>1.6205479452054795E-2</v>
      </c>
      <c r="AF70" s="81">
        <v>1.6383561643835618E-2</v>
      </c>
      <c r="AG70" s="81">
        <v>1.6383561643835618E-2</v>
      </c>
      <c r="AH70" s="81">
        <v>1.6027397260273975E-2</v>
      </c>
      <c r="AI70" s="81">
        <v>1.6205479452054795E-2</v>
      </c>
      <c r="AJ70" s="81">
        <v>1.6383561643835618E-2</v>
      </c>
      <c r="AK70" s="81">
        <v>1.6383561643835618E-2</v>
      </c>
      <c r="AL70" s="81">
        <v>1.6027397260273975E-2</v>
      </c>
      <c r="AM70" s="81">
        <v>1.6205479452054795E-2</v>
      </c>
      <c r="AN70" s="81">
        <v>1.6383561643835618E-2</v>
      </c>
      <c r="AO70" s="81">
        <v>1.6383561643835618E-2</v>
      </c>
      <c r="AP70" s="81">
        <v>1.6205479452054795E-2</v>
      </c>
      <c r="AQ70" s="81">
        <v>1.6205479452054795E-2</v>
      </c>
      <c r="AR70" s="81">
        <v>1.6383561643835618E-2</v>
      </c>
      <c r="AS70" s="81">
        <v>1.6383561643835618E-2</v>
      </c>
      <c r="AT70" s="81">
        <v>1.6027397260273975E-2</v>
      </c>
      <c r="AU70" s="81">
        <v>1.6205479452054795E-2</v>
      </c>
      <c r="AV70" s="81">
        <v>1.6383561643835618E-2</v>
      </c>
      <c r="AW70" s="81">
        <v>1.6383561643835618E-2</v>
      </c>
      <c r="AX70" s="81">
        <v>1.6027397260273975E-2</v>
      </c>
      <c r="AY70" s="81">
        <v>1.6205479452054795E-2</v>
      </c>
      <c r="AZ70" s="81">
        <v>1.6383561643835618E-2</v>
      </c>
      <c r="BA70" s="81">
        <v>1.6383561643835618E-2</v>
      </c>
      <c r="BB70" s="81">
        <v>1.6027397260273975E-2</v>
      </c>
      <c r="BC70" s="81">
        <v>1.6205479452054795E-2</v>
      </c>
      <c r="BD70" s="81">
        <v>1.6383561643835618E-2</v>
      </c>
      <c r="BE70" s="81">
        <v>1.6383561643835618E-2</v>
      </c>
      <c r="BF70" s="81">
        <v>1.6205479452054795E-2</v>
      </c>
      <c r="BG70" s="81">
        <v>1.6205479452054795E-2</v>
      </c>
      <c r="BH70" s="81">
        <v>1.6383561643835618E-2</v>
      </c>
      <c r="BI70" s="81">
        <v>1.6383561643835618E-2</v>
      </c>
    </row>
    <row r="72" spans="3:61" x14ac:dyDescent="0.2">
      <c r="C72" s="58" t="s">
        <v>190</v>
      </c>
      <c r="D72" s="8" t="s">
        <v>111</v>
      </c>
      <c r="J72" s="28" cm="1">
        <f t="array" ref="J72:BI72">1+_xlfn.ANCHORARRAY(J70)</f>
        <v>1.0162054794520547</v>
      </c>
      <c r="K72" s="28">
        <v>1.0162054794520547</v>
      </c>
      <c r="L72" s="28">
        <v>1.0163835616438357</v>
      </c>
      <c r="M72" s="28">
        <v>1.0163835616438357</v>
      </c>
      <c r="N72" s="28">
        <v>1.0157808219178082</v>
      </c>
      <c r="O72" s="28">
        <v>1.0159561643835617</v>
      </c>
      <c r="P72" s="28">
        <v>1.0161315068493151</v>
      </c>
      <c r="Q72" s="28">
        <v>1.0161315068493151</v>
      </c>
      <c r="R72" s="28">
        <v>1.016027397260274</v>
      </c>
      <c r="S72" s="28">
        <v>1.0162054794520547</v>
      </c>
      <c r="T72" s="28">
        <v>1.0163835616438357</v>
      </c>
      <c r="U72" s="28">
        <v>1.0163835616438357</v>
      </c>
      <c r="V72" s="28">
        <v>1.016027397260274</v>
      </c>
      <c r="W72" s="28">
        <v>1.0162054794520547</v>
      </c>
      <c r="X72" s="28">
        <v>1.0163835616438357</v>
      </c>
      <c r="Y72" s="28">
        <v>1.0163835616438357</v>
      </c>
      <c r="Z72" s="28">
        <v>1.0162054794520547</v>
      </c>
      <c r="AA72" s="28">
        <v>1.0162054794520547</v>
      </c>
      <c r="AB72" s="28">
        <v>1.0163835616438357</v>
      </c>
      <c r="AC72" s="28">
        <v>1.0163835616438357</v>
      </c>
      <c r="AD72" s="28">
        <v>1.016027397260274</v>
      </c>
      <c r="AE72" s="28">
        <v>1.0162054794520547</v>
      </c>
      <c r="AF72" s="28">
        <v>1.0163835616438357</v>
      </c>
      <c r="AG72" s="28">
        <v>1.0163835616438357</v>
      </c>
      <c r="AH72" s="28">
        <v>1.016027397260274</v>
      </c>
      <c r="AI72" s="28">
        <v>1.0162054794520547</v>
      </c>
      <c r="AJ72" s="28">
        <v>1.0163835616438357</v>
      </c>
      <c r="AK72" s="28">
        <v>1.0163835616438357</v>
      </c>
      <c r="AL72" s="28">
        <v>1.016027397260274</v>
      </c>
      <c r="AM72" s="28">
        <v>1.0162054794520547</v>
      </c>
      <c r="AN72" s="28">
        <v>1.0163835616438357</v>
      </c>
      <c r="AO72" s="28">
        <v>1.0163835616438357</v>
      </c>
      <c r="AP72" s="28">
        <v>1.0162054794520547</v>
      </c>
      <c r="AQ72" s="28">
        <v>1.0162054794520547</v>
      </c>
      <c r="AR72" s="28">
        <v>1.0163835616438357</v>
      </c>
      <c r="AS72" s="28">
        <v>1.0163835616438357</v>
      </c>
      <c r="AT72" s="28">
        <v>1.016027397260274</v>
      </c>
      <c r="AU72" s="28">
        <v>1.0162054794520547</v>
      </c>
      <c r="AV72" s="28">
        <v>1.0163835616438357</v>
      </c>
      <c r="AW72" s="28">
        <v>1.0163835616438357</v>
      </c>
      <c r="AX72" s="28">
        <v>1.016027397260274</v>
      </c>
      <c r="AY72" s="28">
        <v>1.0162054794520547</v>
      </c>
      <c r="AZ72" s="28">
        <v>1.0163835616438357</v>
      </c>
      <c r="BA72" s="28">
        <v>1.0163835616438357</v>
      </c>
      <c r="BB72" s="28">
        <v>1.016027397260274</v>
      </c>
      <c r="BC72" s="28">
        <v>1.0162054794520547</v>
      </c>
      <c r="BD72" s="28">
        <v>1.0163835616438357</v>
      </c>
      <c r="BE72" s="28">
        <v>1.0163835616438357</v>
      </c>
      <c r="BF72" s="28">
        <v>1.0162054794520547</v>
      </c>
      <c r="BG72" s="28">
        <v>1.0162054794520547</v>
      </c>
      <c r="BH72" s="28">
        <v>1.0163835616438357</v>
      </c>
      <c r="BI72" s="28">
        <v>1.0163835616438357</v>
      </c>
    </row>
    <row r="74" spans="3:61" x14ac:dyDescent="0.2">
      <c r="C74" s="58" t="s">
        <v>189</v>
      </c>
      <c r="D74" s="8" t="s">
        <v>111</v>
      </c>
      <c r="I74" s="77">
        <v>1</v>
      </c>
      <c r="J74" s="28" cm="1">
        <f t="array" ref="J74:BI74">_xlfn.BYCOL(_xlfn.ANCHORARRAY(J72),_xlfn.LAMBDA(_xlpm.a,PRODUCT(J72:_xlpm.a)))</f>
        <v>1.0162054794520547</v>
      </c>
      <c r="K74" s="28">
        <v>1.0326735764683805</v>
      </c>
      <c r="L74" s="28">
        <v>1.0495924476664105</v>
      </c>
      <c r="M74" s="28">
        <v>1.0667885102336574</v>
      </c>
      <c r="N74" s="28">
        <v>1.0836233097376187</v>
      </c>
      <c r="O74" s="28">
        <v>1.1009137813976513</v>
      </c>
      <c r="P74" s="28">
        <v>1.1186731796027729</v>
      </c>
      <c r="Q74" s="28">
        <v>1.1367190636616802</v>
      </c>
      <c r="R74" s="28">
        <v>1.1549377116683126</v>
      </c>
      <c r="S74" s="28">
        <v>1.1736540310231567</v>
      </c>
      <c r="T74" s="28">
        <v>1.1928826641889607</v>
      </c>
      <c r="U74" s="28">
        <v>1.2124263308515635</v>
      </c>
      <c r="V74" s="28">
        <v>1.2318583693049379</v>
      </c>
      <c r="W74" s="28">
        <v>1.2518212247965508</v>
      </c>
      <c r="X74" s="28">
        <v>1.272330515000067</v>
      </c>
      <c r="Y74" s="28">
        <v>1.2931758204239039</v>
      </c>
      <c r="Z74" s="28">
        <v>1.3141323546096775</v>
      </c>
      <c r="AA74" s="28">
        <v>1.3354284994795849</v>
      </c>
      <c r="AB74" s="28">
        <v>1.3573075746217436</v>
      </c>
      <c r="AC74" s="28">
        <v>1.379545106940204</v>
      </c>
      <c r="AD74" s="28">
        <v>1.4016556244076019</v>
      </c>
      <c r="AE74" s="28">
        <v>1.4243701258277963</v>
      </c>
      <c r="AF74" s="28">
        <v>1.4477063815879341</v>
      </c>
      <c r="AG74" s="28">
        <v>1.4714249683328544</v>
      </c>
      <c r="AH74" s="28">
        <v>1.4950080808390112</v>
      </c>
      <c r="AI74" s="28">
        <v>1.5192354035737035</v>
      </c>
      <c r="AJ74" s="28">
        <v>1.5441258904596509</v>
      </c>
      <c r="AK74" s="28">
        <v>1.5694241721718392</v>
      </c>
      <c r="AL74" s="28">
        <v>1.5945779568491139</v>
      </c>
      <c r="AM74" s="28">
        <v>1.6204188571635316</v>
      </c>
      <c r="AN74" s="28">
        <v>1.6469670893987041</v>
      </c>
      <c r="AO74" s="28">
        <v>1.6739502762332363</v>
      </c>
      <c r="AP74" s="28">
        <v>1.7010774430384954</v>
      </c>
      <c r="AQ74" s="28">
        <v>1.7286442185880095</v>
      </c>
      <c r="AR74" s="28">
        <v>1.7569655677035063</v>
      </c>
      <c r="AS74" s="28">
        <v>1.7857509213880736</v>
      </c>
      <c r="AT74" s="28">
        <v>1.8143718608130606</v>
      </c>
      <c r="AU74" s="28">
        <v>1.8437746267218529</v>
      </c>
      <c r="AV74" s="28">
        <v>1.8739822219760904</v>
      </c>
      <c r="AW74" s="28">
        <v>1.904684725229288</v>
      </c>
      <c r="AX74" s="28">
        <v>1.9352118639761138</v>
      </c>
      <c r="AY74" s="28">
        <v>1.9665729000731513</v>
      </c>
      <c r="AZ74" s="28">
        <v>1.9987923684085966</v>
      </c>
      <c r="BA74" s="28">
        <v>2.0315397063896472</v>
      </c>
      <c r="BB74" s="28">
        <v>2.0641000003139744</v>
      </c>
      <c r="BC74" s="28">
        <v>2.0975497304560489</v>
      </c>
      <c r="BD74" s="28">
        <v>2.1319150657659867</v>
      </c>
      <c r="BE74" s="28">
        <v>2.1668434276653858</v>
      </c>
      <c r="BF74" s="28">
        <v>2.2019581643082371</v>
      </c>
      <c r="BG74" s="28">
        <v>2.2376419520942186</v>
      </c>
      <c r="BH74" s="28">
        <v>2.2743024969531871</v>
      </c>
      <c r="BI74" s="28">
        <v>2.3115636721087491</v>
      </c>
    </row>
    <row r="76" spans="3:61" x14ac:dyDescent="0.2">
      <c r="C76" s="58" t="s">
        <v>179</v>
      </c>
      <c r="D76" s="8" t="s">
        <v>73</v>
      </c>
      <c r="I76" s="86">
        <f>SUM(_xlfn.ANCHORARRAY(J76))</f>
        <v>170.5</v>
      </c>
      <c r="J76" s="28" cm="1">
        <f t="array" ref="J76:BI76">_xlfn.ANCHORARRAY(J49)</f>
        <v>8.25</v>
      </c>
      <c r="K76" s="28">
        <v>20.625</v>
      </c>
      <c r="L76" s="28">
        <v>64.349999999999994</v>
      </c>
      <c r="M76" s="28">
        <v>77.275000000000006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</row>
    <row r="77" spans="3:61" x14ac:dyDescent="0.2">
      <c r="C77" s="58" t="s">
        <v>191</v>
      </c>
      <c r="D77" s="8" t="s">
        <v>73</v>
      </c>
      <c r="I77" s="86">
        <f>SUM(_xlfn.ANCHORARRAY(J77))</f>
        <v>161.83741555044188</v>
      </c>
      <c r="J77" s="28" cm="1">
        <f t="array" ref="J77:BI77">_xlfn.ANCHORARRAY(J76)/_xlfn.ANCHORARRAY(J74)</f>
        <v>8.1184368386287975</v>
      </c>
      <c r="K77" s="28">
        <v>19.972429303880343</v>
      </c>
      <c r="L77" s="28">
        <v>61.309511270847295</v>
      </c>
      <c r="M77" s="28">
        <v>72.437038137085437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</row>
    <row r="78" spans="3:61" x14ac:dyDescent="0.2">
      <c r="E78" s="36" t="s">
        <v>180</v>
      </c>
      <c r="F78" s="36" t="s">
        <v>65</v>
      </c>
    </row>
    <row r="79" spans="3:61" x14ac:dyDescent="0.2">
      <c r="C79" s="58" t="s">
        <v>192</v>
      </c>
      <c r="D79" s="8" t="s">
        <v>18</v>
      </c>
      <c r="E79" s="87">
        <f>Inputs!F70</f>
        <v>0.7</v>
      </c>
      <c r="F79" s="88">
        <f>1-E79</f>
        <v>0.30000000000000004</v>
      </c>
      <c r="I79" s="78">
        <f>I77*F79</f>
        <v>48.551224665132573</v>
      </c>
    </row>
    <row r="81" spans="3:61" x14ac:dyDescent="0.2">
      <c r="C81" s="58" t="s">
        <v>193</v>
      </c>
      <c r="D81" s="8" t="s">
        <v>73</v>
      </c>
      <c r="J81" s="28" cm="1">
        <f t="array" ref="J81:BI81">_xlfn.BYCOL(_xlfn.ANCHORARRAY(J76),_xlfn.LAMBDA(_xlpm.a,SUM(J76:_xlpm.a)))*_xlfn.ANCHORARRAY(J7)</f>
        <v>8.25</v>
      </c>
      <c r="K81" s="28">
        <v>28.875</v>
      </c>
      <c r="L81" s="28">
        <v>93.224999999999994</v>
      </c>
      <c r="M81" s="28">
        <v>170.5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</row>
    <row r="82" spans="3:61" x14ac:dyDescent="0.2">
      <c r="C82" s="58" t="s">
        <v>194</v>
      </c>
      <c r="D82" s="8" t="s">
        <v>73</v>
      </c>
      <c r="J82" s="28" cm="1">
        <f t="array" ref="J82:BI82">IF(_xlfn.ANCHORARRAY(J7)=0,0,_xlfn.BYCOL(_xlfn.ANCHORARRAY(J81),_xlfn.LAMBDA(_xlpm.a,MIN(I79,_xlpm.a))))</f>
        <v>8.25</v>
      </c>
      <c r="K82" s="28">
        <v>28.875</v>
      </c>
      <c r="L82" s="28">
        <v>48.551224665132573</v>
      </c>
      <c r="M82" s="28">
        <v>48.551224665132573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</row>
    <row r="83" spans="3:61" x14ac:dyDescent="0.2">
      <c r="C83" s="58" t="s">
        <v>195</v>
      </c>
      <c r="D83" s="8" t="s">
        <v>73</v>
      </c>
      <c r="I83" s="86">
        <f>SUM(_xlfn.ANCHORARRAY(J83))</f>
        <v>48.551224665132573</v>
      </c>
      <c r="J83" s="28" cm="1">
        <f t="array" ref="J83:BI83">IF(_xlfn.ANCHORARRAY(J6)=1,_xlfn.ANCHORARRAY(J82),_xlfn.ANCHORARRAY(J82)-INDEX(_xlfn.ANCHORARRAY(J82),1,_xlfn.ANCHORARRAY(J6)-1))*_xlfn.ANCHORARRAY(J7)</f>
        <v>8.25</v>
      </c>
      <c r="K83" s="28">
        <v>20.625</v>
      </c>
      <c r="L83" s="28">
        <v>19.676224665132573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</row>
    <row r="84" spans="3:61" x14ac:dyDescent="0.2">
      <c r="I84">
        <f>I83/(I83+I85)</f>
        <v>0.2847579159245312</v>
      </c>
    </row>
    <row r="85" spans="3:61" x14ac:dyDescent="0.2">
      <c r="C85" s="58" t="s">
        <v>196</v>
      </c>
      <c r="D85" s="8" t="s">
        <v>73</v>
      </c>
      <c r="I85" s="86">
        <f>SUM(_xlfn.ANCHORARRAY(J85))</f>
        <v>121.94877533486743</v>
      </c>
      <c r="J85" s="28" cm="1">
        <f t="array" ref="J85:BI85">_xlfn.ANCHORARRAY(J76)-_xlfn.ANCHORARRAY(J83)</f>
        <v>0</v>
      </c>
      <c r="K85" s="28">
        <v>0</v>
      </c>
      <c r="L85" s="28">
        <v>44.673775334867422</v>
      </c>
      <c r="M85" s="28">
        <v>77.275000000000006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0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</row>
    <row r="87" spans="3:61" x14ac:dyDescent="0.2">
      <c r="C87" s="58" t="s">
        <v>197</v>
      </c>
      <c r="D87" s="8" t="s">
        <v>111</v>
      </c>
      <c r="I87" s="78" cm="1">
        <f t="array" ref="I87">_xlfn.XLOOKUP(Con_End,_xlfn.ANCHORARRAY(J5),_xlfn.ANCHORARRAY(J74))</f>
        <v>1.0667885102336574</v>
      </c>
    </row>
    <row r="88" spans="3:61" x14ac:dyDescent="0.2">
      <c r="C88" s="58" t="s">
        <v>198</v>
      </c>
      <c r="D88" s="8" t="s">
        <v>73</v>
      </c>
      <c r="J88" s="28" cm="1">
        <f t="array" ref="J88:BI88">_xlfn.ANCHORARRAY(J85)*I87/_xlfn.ANCHORARRAY(J74)</f>
        <v>0</v>
      </c>
      <c r="K88" s="28">
        <v>0</v>
      </c>
      <c r="L88" s="28">
        <v>45.405690886929087</v>
      </c>
      <c r="M88" s="28">
        <v>77.275000000000006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</row>
    <row r="89" spans="3:61" x14ac:dyDescent="0.2">
      <c r="C89" s="58" t="s">
        <v>199</v>
      </c>
      <c r="D89" s="8" t="s">
        <v>73</v>
      </c>
      <c r="I89" s="85">
        <f>SUM(_xlfn.ANCHORARRAY(J88))</f>
        <v>122.68069088692909</v>
      </c>
    </row>
    <row r="91" spans="3:61" x14ac:dyDescent="0.2">
      <c r="C91" t="s">
        <v>201</v>
      </c>
      <c r="D91" s="8" t="s">
        <v>73</v>
      </c>
      <c r="J91" s="28" cm="1">
        <f t="array" ref="J91:BI91">_xlfn.ANCHORARRAY(J76)*I87/_xlfn.ANCHORARRAY(J74)</f>
        <v>8.6606551405068579</v>
      </c>
      <c r="K91" s="28">
        <v>21.306358102833553</v>
      </c>
      <c r="L91" s="28">
        <v>65.404282191780823</v>
      </c>
      <c r="M91" s="28">
        <v>77.275000000000006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</row>
    <row r="92" spans="3:61" x14ac:dyDescent="0.2">
      <c r="C92" s="58" t="s">
        <v>202</v>
      </c>
      <c r="D92" s="8" t="s">
        <v>73</v>
      </c>
      <c r="I92" s="85">
        <f>SUM(_xlfn.ANCHORARRAY(J91))</f>
        <v>172.64629543512123</v>
      </c>
    </row>
    <row r="94" spans="3:61" x14ac:dyDescent="0.2">
      <c r="C94" s="58" t="s">
        <v>200</v>
      </c>
      <c r="D94" s="8" t="s">
        <v>73</v>
      </c>
      <c r="I94" s="82">
        <f>I79+I89</f>
        <v>171.23191555206165</v>
      </c>
    </row>
    <row r="95" spans="3:61" x14ac:dyDescent="0.2">
      <c r="I95" s="82"/>
    </row>
    <row r="96" spans="3:61" x14ac:dyDescent="0.2">
      <c r="C96" t="s">
        <v>203</v>
      </c>
    </row>
    <row r="97" spans="3:13" x14ac:dyDescent="0.2">
      <c r="C97" s="58" t="s">
        <v>204</v>
      </c>
    </row>
    <row r="99" spans="3:13" x14ac:dyDescent="0.2">
      <c r="L99" s="85"/>
      <c r="M99" s="82"/>
    </row>
    <row r="101" spans="3:13" x14ac:dyDescent="0.2">
      <c r="I101">
        <f>SUM(J101:M101)</f>
        <v>400</v>
      </c>
      <c r="J101">
        <v>100</v>
      </c>
      <c r="K101">
        <v>100</v>
      </c>
      <c r="L101">
        <v>100</v>
      </c>
      <c r="M101">
        <v>100</v>
      </c>
    </row>
    <row r="102" spans="3:13" x14ac:dyDescent="0.2">
      <c r="E102">
        <f>100*(1-0.3)*E68/(0.3*((1+E68)^(4+1)-1))</f>
        <v>43.512320403556657</v>
      </c>
      <c r="F102">
        <f>E102*I101</f>
        <v>17404.928161422664</v>
      </c>
      <c r="J102">
        <f>J101</f>
        <v>100</v>
      </c>
      <c r="K102">
        <f>F102-J102</f>
        <v>17304.928161422664</v>
      </c>
    </row>
    <row r="103" spans="3:13" x14ac:dyDescent="0.2">
      <c r="I103">
        <f>SUM(J103:M103)</f>
        <v>-17004.928161422664</v>
      </c>
      <c r="K103">
        <f>K101-K102</f>
        <v>-17204.928161422664</v>
      </c>
      <c r="L103">
        <v>100</v>
      </c>
      <c r="M103">
        <v>100</v>
      </c>
    </row>
    <row r="104" spans="3:13" x14ac:dyDescent="0.2">
      <c r="C104" t="s">
        <v>205</v>
      </c>
      <c r="E104" s="89" t="s">
        <v>209</v>
      </c>
      <c r="I104">
        <f>SUM(J104:M104)</f>
        <v>-1859.8607292375293</v>
      </c>
      <c r="K104">
        <f>K103*E68</f>
        <v>-602.17248564979332</v>
      </c>
      <c r="L104">
        <f>SUM(K103:K104,L103)*E68</f>
        <v>-619.74852264753611</v>
      </c>
      <c r="M104">
        <f>SUM(K103:L104,M103)*E68</f>
        <v>-637.93972094019978</v>
      </c>
    </row>
    <row r="105" spans="3:13" x14ac:dyDescent="0.2">
      <c r="C105" t="s">
        <v>206</v>
      </c>
      <c r="I105">
        <f>SUM(J105:M105)</f>
        <v>-18864.788890660195</v>
      </c>
      <c r="J105">
        <f>SUM(J103:J104)</f>
        <v>0</v>
      </c>
      <c r="K105">
        <f t="shared" ref="K105:M105" si="3">SUM(K103:K104)</f>
        <v>-17807.100647072457</v>
      </c>
      <c r="L105">
        <f t="shared" si="3"/>
        <v>-519.74852264753611</v>
      </c>
      <c r="M105">
        <f t="shared" si="3"/>
        <v>-537.93972094019978</v>
      </c>
    </row>
    <row r="106" spans="3:13" x14ac:dyDescent="0.2">
      <c r="C106" t="s">
        <v>207</v>
      </c>
    </row>
    <row r="107" spans="3:13" x14ac:dyDescent="0.2">
      <c r="C107" t="s">
        <v>208</v>
      </c>
      <c r="I107">
        <f>F102/I105</f>
        <v>-0.92261452075086325</v>
      </c>
    </row>
    <row r="115" spans="3:13" x14ac:dyDescent="0.2">
      <c r="C115" t="s">
        <v>174</v>
      </c>
      <c r="J115">
        <v>25</v>
      </c>
      <c r="K115">
        <v>25</v>
      </c>
      <c r="L115">
        <v>25</v>
      </c>
      <c r="M115">
        <v>25</v>
      </c>
    </row>
    <row r="116" spans="3:13" x14ac:dyDescent="0.2">
      <c r="C116" t="s">
        <v>210</v>
      </c>
      <c r="J116" s="90">
        <v>0.02</v>
      </c>
      <c r="K116" s="90">
        <v>0.02</v>
      </c>
      <c r="L116" s="90">
        <v>0.02</v>
      </c>
      <c r="M116" s="90">
        <v>0.02</v>
      </c>
    </row>
    <row r="117" spans="3:13" x14ac:dyDescent="0.2">
      <c r="C117" t="s">
        <v>65</v>
      </c>
    </row>
    <row r="118" spans="3:13" x14ac:dyDescent="0.2">
      <c r="C118" t="s">
        <v>165</v>
      </c>
    </row>
  </sheetData>
  <conditionalFormatting sqref="A3">
    <cfRule type="expression" dxfId="5" priority="4" stopIfTrue="1">
      <formula>MMC&lt;&gt;0</formula>
    </cfRule>
  </conditionalFormatting>
  <conditionalFormatting sqref="D3">
    <cfRule type="cellIs" dxfId="4" priority="3" stopIfTrue="1" operator="notEqual">
      <formula>0</formula>
    </cfRule>
  </conditionalFormatting>
  <conditionalFormatting sqref="J7:BI7">
    <cfRule type="cellIs" dxfId="3" priority="2" operator="equal">
      <formula>1</formula>
    </cfRule>
  </conditionalFormatting>
  <conditionalFormatting sqref="J8:BI8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tabColor indexed="22"/>
    <pageSetUpPr fitToPage="1"/>
  </sheetPr>
  <dimension ref="A1:K85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0" customHeight="1" zeroHeight="1" x14ac:dyDescent="0.2"/>
  <cols>
    <col min="1" max="2" width="1.7109375" customWidth="1"/>
    <col min="3" max="3" width="34.5703125" bestFit="1" customWidth="1"/>
    <col min="4" max="4" width="4.140625" customWidth="1"/>
    <col min="5" max="5" width="38.140625" bestFit="1" customWidth="1"/>
    <col min="6" max="6" width="5.28515625" customWidth="1"/>
    <col min="7" max="7" width="17.28515625" bestFit="1" customWidth="1"/>
  </cols>
  <sheetData>
    <row r="1" spans="1:11" ht="23.25" x14ac:dyDescent="0.35">
      <c r="A1" s="44" t="s">
        <v>76</v>
      </c>
      <c r="B1" s="10"/>
      <c r="C1" s="10"/>
      <c r="D1" s="10"/>
      <c r="E1" s="10"/>
      <c r="F1" s="10"/>
      <c r="G1" s="10"/>
      <c r="H1" s="10"/>
      <c r="I1" s="10"/>
      <c r="J1" s="10"/>
      <c r="K1" s="26"/>
    </row>
    <row r="2" spans="1:11" ht="15" x14ac:dyDescent="0.25">
      <c r="A2" s="4"/>
      <c r="K2" s="26"/>
    </row>
    <row r="3" spans="1:11" ht="12.75" x14ac:dyDescent="0.2">
      <c r="K3" s="26"/>
    </row>
    <row r="4" spans="1:11" ht="12.75" customHeight="1" x14ac:dyDescent="0.2"/>
    <row r="5" spans="1:11" ht="12.75" customHeight="1" x14ac:dyDescent="0.2"/>
    <row r="6" spans="1:11" ht="16.5" thickBot="1" x14ac:dyDescent="0.3">
      <c r="C6" s="18" t="s">
        <v>29</v>
      </c>
      <c r="D6" s="15"/>
      <c r="E6" s="15"/>
      <c r="F6" s="15"/>
      <c r="G6" s="15"/>
    </row>
    <row r="7" spans="1:11" ht="12.75" customHeight="1" x14ac:dyDescent="0.2"/>
    <row r="8" spans="1:11" ht="20.25" x14ac:dyDescent="0.3">
      <c r="C8" t="s">
        <v>3</v>
      </c>
      <c r="E8" s="7" t="s">
        <v>3</v>
      </c>
      <c r="G8" s="14" t="s">
        <v>32</v>
      </c>
    </row>
    <row r="9" spans="1:11" ht="15" x14ac:dyDescent="0.25">
      <c r="C9" t="s">
        <v>4</v>
      </c>
      <c r="E9" s="4" t="s">
        <v>4</v>
      </c>
      <c r="G9" s="14" t="s">
        <v>33</v>
      </c>
    </row>
    <row r="10" spans="1:11" ht="14.25" x14ac:dyDescent="0.2">
      <c r="C10" t="s">
        <v>5</v>
      </c>
      <c r="E10" s="3" t="s">
        <v>5</v>
      </c>
      <c r="G10" s="14" t="s">
        <v>34</v>
      </c>
    </row>
    <row r="11" spans="1:11" ht="12.75" customHeight="1" x14ac:dyDescent="0.2">
      <c r="G11" s="14"/>
    </row>
    <row r="12" spans="1:11" ht="12.75" customHeight="1" x14ac:dyDescent="0.2">
      <c r="C12" t="s">
        <v>133</v>
      </c>
      <c r="E12" s="2" t="s">
        <v>77</v>
      </c>
      <c r="G12" s="14" t="s">
        <v>78</v>
      </c>
    </row>
    <row r="13" spans="1:11" ht="12.75" customHeight="1" x14ac:dyDescent="0.2">
      <c r="G13" s="14"/>
    </row>
    <row r="14" spans="1:11" ht="16.5" thickBot="1" x14ac:dyDescent="0.3">
      <c r="C14" s="18" t="s">
        <v>28</v>
      </c>
      <c r="D14" s="15"/>
      <c r="E14" s="15"/>
      <c r="F14" s="15"/>
      <c r="G14" s="15"/>
    </row>
    <row r="15" spans="1:11" ht="12.75" x14ac:dyDescent="0.2">
      <c r="C15" s="16"/>
      <c r="D15" s="16"/>
      <c r="E15" s="16"/>
      <c r="F15" s="16"/>
      <c r="G15" s="16"/>
    </row>
    <row r="16" spans="1:11" ht="12.75" x14ac:dyDescent="0.2">
      <c r="C16" t="s">
        <v>50</v>
      </c>
      <c r="E16" s="32">
        <v>100</v>
      </c>
      <c r="G16" s="14" t="s">
        <v>0</v>
      </c>
    </row>
    <row r="17" spans="3:7" ht="12.75" customHeight="1" x14ac:dyDescent="0.2">
      <c r="G17" s="20"/>
    </row>
    <row r="18" spans="3:7" ht="12.75" x14ac:dyDescent="0.2">
      <c r="C18" t="s">
        <v>41</v>
      </c>
      <c r="E18" s="21">
        <v>100</v>
      </c>
      <c r="F18" s="14"/>
      <c r="G18" s="14" t="s">
        <v>42</v>
      </c>
    </row>
    <row r="19" spans="3:7" ht="12.75" x14ac:dyDescent="0.2">
      <c r="E19" s="14"/>
      <c r="F19" s="14"/>
      <c r="G19" s="14"/>
    </row>
    <row r="20" spans="3:7" ht="12.75" x14ac:dyDescent="0.2">
      <c r="C20" t="s">
        <v>1</v>
      </c>
      <c r="E20">
        <v>100</v>
      </c>
      <c r="G20" s="14" t="s">
        <v>35</v>
      </c>
    </row>
    <row r="21" spans="3:7" ht="12.75" customHeight="1" x14ac:dyDescent="0.2">
      <c r="G21" s="20"/>
    </row>
    <row r="22" spans="3:7" ht="12.75" x14ac:dyDescent="0.2">
      <c r="C22" t="s">
        <v>2</v>
      </c>
      <c r="E22" s="5">
        <v>1000</v>
      </c>
      <c r="G22" s="14" t="s">
        <v>36</v>
      </c>
    </row>
    <row r="23" spans="3:7" ht="12.75" x14ac:dyDescent="0.2">
      <c r="G23" s="14"/>
    </row>
    <row r="24" spans="3:7" ht="12.75" customHeight="1" x14ac:dyDescent="0.2">
      <c r="C24" t="s">
        <v>69</v>
      </c>
      <c r="E24" s="24"/>
      <c r="G24" s="14" t="s">
        <v>47</v>
      </c>
    </row>
    <row r="25" spans="3:7" ht="12.75" customHeight="1" x14ac:dyDescent="0.2">
      <c r="G25" s="14"/>
    </row>
    <row r="26" spans="3:7" ht="12.75" customHeight="1" x14ac:dyDescent="0.2">
      <c r="C26" t="s">
        <v>68</v>
      </c>
      <c r="E26" s="31">
        <v>0</v>
      </c>
      <c r="G26" s="14" t="s">
        <v>68</v>
      </c>
    </row>
    <row r="27" spans="3:7" ht="12.75" customHeight="1" x14ac:dyDescent="0.2">
      <c r="G27" s="14"/>
    </row>
    <row r="28" spans="3:7" ht="16.5" thickBot="1" x14ac:dyDescent="0.3">
      <c r="C28" s="18" t="s">
        <v>6</v>
      </c>
      <c r="D28" s="15"/>
      <c r="E28" s="15"/>
      <c r="F28" s="15"/>
      <c r="G28" s="15"/>
    </row>
    <row r="29" spans="3:7" ht="12.75" x14ac:dyDescent="0.2">
      <c r="C29" s="16"/>
      <c r="D29" s="16"/>
      <c r="E29" s="16"/>
      <c r="F29" s="16"/>
      <c r="G29" s="16"/>
    </row>
    <row r="30" spans="3:7" ht="12.75" x14ac:dyDescent="0.2">
      <c r="C30" t="s">
        <v>48</v>
      </c>
      <c r="E30" s="27">
        <v>100</v>
      </c>
      <c r="G30" s="14" t="s">
        <v>37</v>
      </c>
    </row>
    <row r="31" spans="3:7" ht="12.75" customHeight="1" x14ac:dyDescent="0.2">
      <c r="G31" s="20"/>
    </row>
    <row r="32" spans="3:7" ht="12.75" x14ac:dyDescent="0.2">
      <c r="C32" t="s">
        <v>7</v>
      </c>
      <c r="E32" s="17" t="s">
        <v>8</v>
      </c>
      <c r="G32" s="14" t="s">
        <v>38</v>
      </c>
    </row>
    <row r="33" spans="3:7" ht="12.75" x14ac:dyDescent="0.2">
      <c r="G33" s="14"/>
    </row>
    <row r="34" spans="3:7" ht="12.75" x14ac:dyDescent="0.2">
      <c r="C34" t="s">
        <v>44</v>
      </c>
      <c r="E34" s="22">
        <v>100</v>
      </c>
      <c r="G34" s="14" t="s">
        <v>46</v>
      </c>
    </row>
    <row r="35" spans="3:7" ht="12.75" customHeight="1" x14ac:dyDescent="0.2">
      <c r="E35" s="11"/>
      <c r="G35" s="14"/>
    </row>
    <row r="36" spans="3:7" ht="12.75" customHeight="1" x14ac:dyDescent="0.2">
      <c r="C36" t="s">
        <v>43</v>
      </c>
      <c r="E36" s="23">
        <v>100</v>
      </c>
      <c r="G36" s="14" t="s">
        <v>45</v>
      </c>
    </row>
    <row r="37" spans="3:7" ht="12.75" customHeight="1" x14ac:dyDescent="0.2">
      <c r="G37" s="14"/>
    </row>
    <row r="38" spans="3:7" ht="13.5" thickBot="1" x14ac:dyDescent="0.25">
      <c r="C38" t="s">
        <v>30</v>
      </c>
      <c r="E38" s="12">
        <v>100</v>
      </c>
      <c r="G38" s="14" t="s">
        <v>39</v>
      </c>
    </row>
    <row r="39" spans="3:7" ht="13.5" thickTop="1" x14ac:dyDescent="0.2">
      <c r="G39" s="14"/>
    </row>
    <row r="40" spans="3:7" ht="12.75" customHeight="1" x14ac:dyDescent="0.2">
      <c r="C40" t="s">
        <v>31</v>
      </c>
      <c r="E40" s="13">
        <v>100</v>
      </c>
      <c r="G40" s="14" t="s">
        <v>40</v>
      </c>
    </row>
    <row r="41" spans="3:7" ht="12.75" customHeight="1" x14ac:dyDescent="0.2">
      <c r="G41" s="14"/>
    </row>
    <row r="42" spans="3:7" ht="16.5" thickBot="1" x14ac:dyDescent="0.3">
      <c r="C42" s="18" t="s">
        <v>9</v>
      </c>
      <c r="D42" s="15"/>
      <c r="E42" s="15"/>
      <c r="F42" s="15"/>
      <c r="G42" s="15"/>
    </row>
    <row r="43" spans="3:7" ht="12.75" customHeight="1" x14ac:dyDescent="0.2">
      <c r="G43" s="20"/>
    </row>
    <row r="44" spans="3:7" ht="12.75" x14ac:dyDescent="0.2">
      <c r="C44" t="s">
        <v>10</v>
      </c>
      <c r="E44" s="19" t="s">
        <v>11</v>
      </c>
      <c r="G44" s="14" t="s">
        <v>10</v>
      </c>
    </row>
    <row r="45" spans="3:7" ht="12.75" customHeight="1" x14ac:dyDescent="0.2">
      <c r="G45" s="20"/>
    </row>
    <row r="46" spans="3:7" ht="12.75" customHeight="1" x14ac:dyDescent="0.2"/>
    <row r="47" spans="3:7" ht="12.75" customHeight="1" x14ac:dyDescent="0.2"/>
    <row r="48" spans="3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</sheetData>
  <phoneticPr fontId="5" type="noConversion"/>
  <conditionalFormatting sqref="A3:B3">
    <cfRule type="expression" dxfId="1" priority="1" stopIfTrue="1">
      <formula>MMC&lt;&gt;0</formula>
    </cfRule>
  </conditionalFormatting>
  <pageMargins left="0.75" right="0.75" top="1" bottom="1" header="0.5" footer="0.5"/>
  <pageSetup paperSize="9" scale="63" orientation="portrait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>
    <tabColor indexed="22"/>
  </sheetPr>
  <dimension ref="A1:J21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2" width="1.7109375" customWidth="1"/>
    <col min="3" max="3" width="18.28515625" bestFit="1" customWidth="1"/>
    <col min="4" max="4" width="6.7109375" bestFit="1" customWidth="1"/>
    <col min="5" max="5" width="11.85546875" bestFit="1" customWidth="1"/>
    <col min="6" max="6" width="23.7109375" customWidth="1"/>
  </cols>
  <sheetData>
    <row r="1" spans="1:10" ht="23.25" x14ac:dyDescent="0.35">
      <c r="A1" s="44" t="s">
        <v>75</v>
      </c>
      <c r="B1" s="10"/>
      <c r="C1" s="10"/>
      <c r="D1" s="10"/>
      <c r="E1" s="10"/>
      <c r="F1" s="10"/>
      <c r="G1" s="10"/>
      <c r="H1" s="10"/>
      <c r="I1" s="10"/>
      <c r="J1" s="10"/>
    </row>
    <row r="5" spans="1:10" ht="20.25" x14ac:dyDescent="0.3">
      <c r="C5" s="7" t="s">
        <v>23</v>
      </c>
    </row>
    <row r="6" spans="1:10" x14ac:dyDescent="0.2">
      <c r="C6" t="s">
        <v>25</v>
      </c>
      <c r="D6" s="8" t="s">
        <v>24</v>
      </c>
      <c r="F6" s="93" t="s">
        <v>134</v>
      </c>
      <c r="G6" s="93"/>
    </row>
    <row r="7" spans="1:10" x14ac:dyDescent="0.2">
      <c r="C7" t="s">
        <v>13</v>
      </c>
      <c r="D7" s="8" t="s">
        <v>24</v>
      </c>
      <c r="F7" s="93" t="s">
        <v>162</v>
      </c>
      <c r="G7" s="93"/>
    </row>
    <row r="8" spans="1:10" x14ac:dyDescent="0.2">
      <c r="C8" t="s">
        <v>49</v>
      </c>
      <c r="D8" s="8" t="s">
        <v>24</v>
      </c>
      <c r="F8" s="93" t="s">
        <v>135</v>
      </c>
      <c r="G8" s="93"/>
    </row>
    <row r="10" spans="1:10" ht="20.25" x14ac:dyDescent="0.3">
      <c r="C10" s="7" t="s">
        <v>12</v>
      </c>
    </row>
    <row r="11" spans="1:10" x14ac:dyDescent="0.2">
      <c r="C11" t="s">
        <v>146</v>
      </c>
      <c r="D11" s="8" t="s">
        <v>56</v>
      </c>
      <c r="F11" s="5">
        <v>365</v>
      </c>
    </row>
    <row r="12" spans="1:10" x14ac:dyDescent="0.2">
      <c r="C12" t="s">
        <v>16</v>
      </c>
      <c r="D12" s="8" t="s">
        <v>56</v>
      </c>
      <c r="F12" s="5">
        <v>12</v>
      </c>
    </row>
    <row r="13" spans="1:10" x14ac:dyDescent="0.2">
      <c r="C13" t="s">
        <v>17</v>
      </c>
      <c r="D13" s="8" t="s">
        <v>56</v>
      </c>
      <c r="F13" s="5">
        <v>4</v>
      </c>
    </row>
    <row r="14" spans="1:10" x14ac:dyDescent="0.2">
      <c r="C14" t="s">
        <v>59</v>
      </c>
      <c r="D14" s="8" t="s">
        <v>56</v>
      </c>
      <c r="F14" s="5">
        <v>3</v>
      </c>
    </row>
    <row r="16" spans="1:10" x14ac:dyDescent="0.2">
      <c r="C16" t="s">
        <v>20</v>
      </c>
      <c r="D16" s="8" t="s">
        <v>56</v>
      </c>
      <c r="F16" s="9">
        <v>1000</v>
      </c>
    </row>
    <row r="17" spans="3:6" x14ac:dyDescent="0.2">
      <c r="C17" t="s">
        <v>21</v>
      </c>
      <c r="D17" s="8" t="s">
        <v>56</v>
      </c>
      <c r="F17" s="9">
        <v>1000000</v>
      </c>
    </row>
    <row r="18" spans="3:6" x14ac:dyDescent="0.2">
      <c r="C18" s="58" t="s">
        <v>145</v>
      </c>
      <c r="D18" s="8" t="s">
        <v>56</v>
      </c>
      <c r="F18" s="9">
        <v>1000000000</v>
      </c>
    </row>
    <row r="19" spans="3:6" x14ac:dyDescent="0.2">
      <c r="C19" t="s">
        <v>22</v>
      </c>
      <c r="D19" s="8" t="s">
        <v>56</v>
      </c>
      <c r="F19" s="35">
        <v>9.9999999999999995E-8</v>
      </c>
    </row>
    <row r="21" spans="3:6" x14ac:dyDescent="0.2">
      <c r="C21" t="s">
        <v>91</v>
      </c>
      <c r="D21" s="8" t="s">
        <v>56</v>
      </c>
      <c r="F21" s="34">
        <v>31.103476799999999</v>
      </c>
    </row>
  </sheetData>
  <mergeCells count="3">
    <mergeCell ref="F6:G6"/>
    <mergeCell ref="F7:G7"/>
    <mergeCell ref="F8:G8"/>
  </mergeCells>
  <phoneticPr fontId="5" type="noConversion"/>
  <conditionalFormatting sqref="B3">
    <cfRule type="expression" dxfId="0" priority="1" stopIfTrue="1">
      <formula>MMC&lt;&gt;0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58d06b-05e3-4c65-85ba-22cd93c7683f">
      <Terms xmlns="http://schemas.microsoft.com/office/infopath/2007/PartnerControls"/>
    </lcf76f155ced4ddcb4097134ff3c332f>
    <TaxCatchAll xmlns="ac914b5e-6dd4-4de9-b905-57df3d5402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E75ECA439A049B41314814B7E4B57" ma:contentTypeVersion="19" ma:contentTypeDescription="Create a new document." ma:contentTypeScope="" ma:versionID="da1a99c84e6ca064da3860da31b610ca">
  <xsd:schema xmlns:xsd="http://www.w3.org/2001/XMLSchema" xmlns:xs="http://www.w3.org/2001/XMLSchema" xmlns:p="http://schemas.microsoft.com/office/2006/metadata/properties" xmlns:ns2="ff58d06b-05e3-4c65-85ba-22cd93c7683f" xmlns:ns3="ac914b5e-6dd4-4de9-b905-57df3d54023d" targetNamespace="http://schemas.microsoft.com/office/2006/metadata/properties" ma:root="true" ma:fieldsID="168be74465772cdbbabb929fe3ff3b3c" ns2:_="" ns3:_="">
    <xsd:import namespace="ff58d06b-05e3-4c65-85ba-22cd93c7683f"/>
    <xsd:import namespace="ac914b5e-6dd4-4de9-b905-57df3d540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8d06b-05e3-4c65-85ba-22cd93c76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a3f6a92-6300-485e-b0cc-b70aa89c1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14b5e-6dd4-4de9-b905-57df3d54023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b4198c-4b14-49cc-8beb-9042bcb4eee8}" ma:internalName="TaxCatchAll" ma:showField="CatchAllData" ma:web="ac914b5e-6dd4-4de9-b905-57df3d540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283349-4792-4E4D-AC1D-F81CB92B46D9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ff58d06b-05e3-4c65-85ba-22cd93c7683f"/>
    <ds:schemaRef ds:uri="http://schemas.microsoft.com/office/infopath/2007/PartnerControls"/>
    <ds:schemaRef ds:uri="http://schemas.openxmlformats.org/package/2006/metadata/core-properties"/>
    <ds:schemaRef ds:uri="ac914b5e-6dd4-4de9-b905-57df3d54023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2B916E-15DA-40B0-AE17-F96D5E4C5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A7721F-3847-4404-8978-CCAD806D9D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8d06b-05e3-4c65-85ba-22cd93c7683f"/>
    <ds:schemaRef ds:uri="ac914b5e-6dd4-4de9-b905-57df3d540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</vt:i4>
      </vt:variant>
    </vt:vector>
  </HeadingPairs>
  <TitlesOfParts>
    <vt:vector size="25" baseType="lpstr">
      <vt:lpstr>  </vt:lpstr>
      <vt:lpstr>Corality</vt:lpstr>
      <vt:lpstr>Inputs</vt:lpstr>
      <vt:lpstr>One Line</vt:lpstr>
      <vt:lpstr>Dynamic Array</vt:lpstr>
      <vt:lpstr>L</vt:lpstr>
      <vt:lpstr>N</vt:lpstr>
      <vt:lpstr>Billion</vt:lpstr>
      <vt:lpstr>Con_End</vt:lpstr>
      <vt:lpstr>Con_Start</vt:lpstr>
      <vt:lpstr>Days_Yr</vt:lpstr>
      <vt:lpstr>Grams_Oz</vt:lpstr>
      <vt:lpstr>Master_Integrity</vt:lpstr>
      <vt:lpstr>Million</vt:lpstr>
      <vt:lpstr>Model_Start</vt:lpstr>
      <vt:lpstr>Months_Qtr</vt:lpstr>
      <vt:lpstr>Months_Yr</vt:lpstr>
      <vt:lpstr>Name_Company</vt:lpstr>
      <vt:lpstr>Name_Model</vt:lpstr>
      <vt:lpstr>Name_Project</vt:lpstr>
      <vt:lpstr>Ops_End</vt:lpstr>
      <vt:lpstr>Ops_Start</vt:lpstr>
      <vt:lpstr>Qtrs_Yr</vt:lpstr>
      <vt:lpstr>Thousand</vt:lpstr>
      <vt:lpstr>Verysmallnumber</vt:lpstr>
    </vt:vector>
  </TitlesOfParts>
  <Company>Navigator Project Finance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Model built on a Corality Course</dc:title>
  <dc:creator>Tim Heng</dc:creator>
  <dc:description>Contact Details:-_x000d_
Corality Financial Group_x000d_
www.corality.com</dc:description>
  <cp:lastModifiedBy>Sam Ngo</cp:lastModifiedBy>
  <cp:lastPrinted>2008-11-26T22:22:27Z</cp:lastPrinted>
  <dcterms:created xsi:type="dcterms:W3CDTF">1996-10-14T23:33:28Z</dcterms:created>
  <dcterms:modified xsi:type="dcterms:W3CDTF">2026-02-19T05:58:11Z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0x01010015FE75ECA439A049B41314814B7E4B57</vt:lpwstr>
  </property>
  <property fmtid="{D5CDD505-2E9C-101B-9397-08002B2CF9AE}" pid="3" name="MediaServiceImageTags">
    <vt:lpwstr/>
  </property>
</Properties>
</file>