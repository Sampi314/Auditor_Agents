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Control" sheetId="1" r:id="rId1"/>
    <sheet name="02_Inputs_Sales" sheetId="2" r:id="rId2"/>
    <sheet name="03_Inputs_Ops" sheetId="3" r:id="rId3"/>
    <sheet name="04_Calcs_Volume" sheetId="4" r:id="rId4"/>
    <sheet name="05_Calcs_Revenue" sheetId="5" r:id="rId5"/>
    <sheet name="06_Calcs_COGS" sheetId="6" r:id="rId6"/>
    <sheet name="07_Calcs_OpEx" sheetId="7" r:id="rId7"/>
    <sheet name="08_Calcs_WC_Inv" sheetId="8" r:id="rId8"/>
    <sheet name="09_Calcs_Capex_Tax" sheetId="9" r:id="rId9"/>
    <sheet name="10_Outputs_3Way" sheetId="10" r:id="rId10"/>
    <sheet name="11_Dashboard" sheetId="11" r:id="rId11"/>
    <sheet name="12_Audit_Checks" sheetId="12" r:id="rId12"/>
  </sheets>
  <calcPr calcId="124519" fullCalcOnLoad="1"/>
</workbook>
</file>

<file path=xl/sharedStrings.xml><?xml version="1.0" encoding="utf-8"?>
<sst xmlns="http://schemas.openxmlformats.org/spreadsheetml/2006/main" count="342" uniqueCount="132">
  <si>
    <t>MODEL CONTROL PANEL</t>
  </si>
  <si>
    <t>Model Scenario Selector (1=Base, 2=High Cost, 3=Aggressive)</t>
  </si>
  <si>
    <t>Global Rates &amp; Statutory Assumptions</t>
  </si>
  <si>
    <t>GST Rate</t>
  </si>
  <si>
    <t>Corporate Tax Rate</t>
  </si>
  <si>
    <t>Payroll Tax Rate</t>
  </si>
  <si>
    <t>Superannuation Rate</t>
  </si>
  <si>
    <t>Australian Excise Rates (ATO)</t>
  </si>
  <si>
    <t>Packaged Beer (&gt;1.15% ABV) / LAL</t>
  </si>
  <si>
    <t>Draught Beer (&gt;1.15% ABV) / LAL</t>
  </si>
  <si>
    <t>SALES &amp; PRICING INPUTS</t>
  </si>
  <si>
    <t>Monthly Seasonality Indices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</si>
  <si>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</si>
  <si>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</si>
  <si>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</si>
  <si>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</si>
  <si>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</si>
  <si>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</si>
  <si>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</si>
  <si>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</si>
  <si>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</si>
  <si>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</si>
  <si>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</si>
  <si>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</si>
  <si>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SKU Performance Assumptions</t>
  </si>
  <si>
    <t>SKU Name</t>
  </si>
  <si>
    <t>ABV</t>
  </si>
  <si>
    <t>On-Trade Price/HL</t>
  </si>
  <si>
    <t>Off-Trade Price/HL</t>
  </si>
  <si>
    <t>On-Trade %</t>
  </si>
  <si>
    <t>Base Vol HL/m</t>
  </si>
  <si>
    <t>Lager - Premium</t>
  </si>
  <si>
    <t>Lager - Mid Strength</t>
  </si>
  <si>
    <t>Pale Ale - Pacific</t>
  </si>
  <si>
    <t>Pale Ale - West Coast</t>
  </si>
  <si>
    <t>IPA - Hazy</t>
  </si>
  <si>
    <t>IPA - Double</t>
  </si>
  <si>
    <t>Stout - Oatmeal</t>
  </si>
  <si>
    <t>Summer Ale</t>
  </si>
  <si>
    <t>Winter Porter</t>
  </si>
  <si>
    <t>OPERATIONAL &amp; COGS INPUTS</t>
  </si>
  <si>
    <t>Bill of Materials (per HL)</t>
  </si>
  <si>
    <t>Malt (kg)</t>
  </si>
  <si>
    <t>Hops (g)</t>
  </si>
  <si>
    <t>Packaging Units</t>
  </si>
  <si>
    <t>Water/Utils ($)</t>
  </si>
  <si>
    <t>Unit Cost Inputs</t>
  </si>
  <si>
    <t>Malt ($/kg)</t>
  </si>
  <si>
    <t>Hops ($/kg)</t>
  </si>
  <si>
    <t>Packaging ($/unit)</t>
  </si>
  <si>
    <t>Labor &amp; Salaries</t>
  </si>
  <si>
    <t>Department</t>
  </si>
  <si>
    <t>Headcount</t>
  </si>
  <si>
    <t>Avg Salary ($k)</t>
  </si>
  <si>
    <t>Brewing</t>
  </si>
  <si>
    <t>Packaging</t>
  </si>
  <si>
    <t>Quality/Lab</t>
  </si>
  <si>
    <t>Sales/Marketing</t>
  </si>
  <si>
    <t>Admin/Finance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</si>
  <si>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</si>
  <si>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</si>
  <si>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</si>
  <si>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</si>
  <si>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</si>
  <si>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</si>
  <si>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</si>
  <si>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</si>
  <si>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</si>
  <si>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</si>
  <si>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</si>
  <si>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</si>
  <si>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</si>
  <si>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</si>
  <si>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</si>
  <si>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</si>
  <si>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</si>
  <si>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</si>
  <si>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</si>
  <si>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</si>
  <si>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</si>
  <si>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</si>
  <si>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</si>
  <si>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</si>
  <si>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</si>
  <si>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</si>
  <si>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</si>
  <si>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</si>
  <si>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</si>
  <si>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</si>
  <si>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</si>
  <si>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</si>
  <si>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</si>
  <si>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</si>
  <si>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</si>
  <si>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</si>
  <si>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</si>
  <si>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</si>
  <si>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</si>
  <si>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</si>
  <si>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</si>
  <si>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</si>
  <si>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</si>
  <si>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</si>
  <si>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</si>
  <si>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</si>
  <si>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</si>
  <si>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</si>
  <si>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</si>
  <si>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</si>
  <si>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</si>
  <si>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</si>
  <si>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</si>
  <si>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</si>
  <si>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</si>
  <si>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</si>
  <si>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</si>
  <si>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</si>
  <si>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</si>
  <si>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</si>
  <si>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Total Malt Cost</t>
  </si>
  <si>
    <t>Total Hops Cost</t>
  </si>
  <si>
    <t>Variable OpEx</t>
  </si>
  <si>
    <t>Y2</t>
  </si>
  <si>
    <t>Y3</t>
  </si>
  <si>
    <t>Y4</t>
  </si>
  <si>
    <t>Y5</t>
  </si>
  <si>
    <t>INCOME STATEMENT</t>
  </si>
  <si>
    <t>Net Revenue</t>
  </si>
  <si>
    <t>COGS</t>
  </si>
  <si>
    <t>OpEx</t>
  </si>
  <si>
    <t>CASH FLOW SUMMARY</t>
  </si>
  <si>
    <t>MODEL INTEGRITY AUDIT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</si>
</sst>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#,##0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2" fillId="5" borderId="1" xfId="0" applyNumberFormat="1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0.7109375" customWidth="1"/>
  </cols>
  <sheetData>
    <row r="1" spans="1:2">
      <c r="A1" s="1" t="s">
        <v>0</v>
      </c>
    </row>
    <row r="3" spans="1:2">
      <c r="A3" s="2" t="s">
        <v>1</v>
      </c>
      <c r="B3" s="3">
        <v>1</v>
      </c>
    </row>
    <row r="5" spans="1:2">
      <c r="A5" s="2" t="s">
        <v>2</v>
      </c>
    </row>
    <row r="6" spans="1:2">
      <c r="A6" s="4" t="s">
        <v>3</v>
      </c>
      <c r="B6" s="5">
        <v>0.1</v>
      </c>
    </row>
    <row r="7" spans="1:2">
      <c r="A7" s="4" t="s">
        <v>4</v>
      </c>
      <c r="B7" s="5">
        <v>0.3</v>
      </c>
    </row>
    <row r="8" spans="1:2">
      <c r="A8" s="4" t="s">
        <v>5</v>
      </c>
      <c r="B8" s="5">
        <v>0.0485</v>
      </c>
    </row>
    <row r="9" spans="1:2">
      <c r="A9" s="4" t="s">
        <v>6</v>
      </c>
      <c r="B9" s="5">
        <v>0.115</v>
      </c>
    </row>
    <row r="11" spans="1:2">
      <c r="A11" s="2" t="s">
        <v>7</v>
      </c>
    </row>
    <row r="12" spans="1:2">
      <c r="A12" s="4" t="s">
        <v>8</v>
      </c>
      <c r="B12" s="6">
        <v>60.22</v>
      </c>
    </row>
    <row r="13" spans="1:2">
      <c r="A13" s="4" t="s">
        <v>9</v>
      </c>
      <c r="B13" s="6">
        <v>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25.7109375" customWidth="1"/>
  </cols>
  <sheetData>
    <row r="1" spans="1:13">
      <c r="A1" s="1" t="s">
        <v>10</v>
      </c>
    </row>
    <row r="3" spans="1:13">
      <c r="A3" s="2" t="s">
        <v>11</v>
      </c>
    </row>
    <row r="4" spans="1:13"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>
      <c r="B5" s="3">
        <v>1.2</v>
      </c>
      <c r="C5" s="3">
        <v>1.15</v>
      </c>
      <c r="D5" s="3">
        <v>0.9</v>
      </c>
      <c r="E5" s="3">
        <v>0.8</v>
      </c>
      <c r="F5" s="3">
        <v>0.75</v>
      </c>
      <c r="G5" s="3">
        <v>0.85</v>
      </c>
      <c r="H5" s="3">
        <v>0.95</v>
      </c>
      <c r="I5" s="3">
        <v>1.05</v>
      </c>
      <c r="J5" s="3">
        <v>1.1</v>
      </c>
      <c r="K5" s="3">
        <v>1.25</v>
      </c>
      <c r="L5" s="3">
        <v>1.35</v>
      </c>
      <c r="M5" s="3">
        <v>1.45</v>
      </c>
    </row>
    <row r="6" spans="1:13">
      <c r="A6" s="2" t="s">
        <v>24</v>
      </c>
    </row>
    <row r="8" spans="1:13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13">
      <c r="A9" s="4" t="s">
        <v>31</v>
      </c>
      <c r="B9" s="3">
        <v>0.042</v>
      </c>
      <c r="C9" s="3">
        <v>520</v>
      </c>
      <c r="D9" s="3">
        <v>440</v>
      </c>
      <c r="E9" s="3">
        <v>0.35</v>
      </c>
      <c r="F9" s="3">
        <v>1200</v>
      </c>
    </row>
    <row r="10" spans="1:13">
      <c r="A10" s="4" t="s">
        <v>32</v>
      </c>
      <c r="B10" s="3">
        <v>0.035</v>
      </c>
      <c r="C10" s="3">
        <v>480</v>
      </c>
      <c r="D10" s="3">
        <v>410</v>
      </c>
      <c r="E10" s="3">
        <v>0.25</v>
      </c>
      <c r="F10" s="3">
        <v>1000</v>
      </c>
    </row>
    <row r="11" spans="1:13">
      <c r="A11" s="4" t="s">
        <v>33</v>
      </c>
      <c r="B11" s="3">
        <v>0.048</v>
      </c>
      <c r="C11" s="3">
        <v>560</v>
      </c>
      <c r="D11" s="3">
        <v>480</v>
      </c>
      <c r="E11" s="3">
        <v>0.4</v>
      </c>
      <c r="F11" s="3">
        <v>800</v>
      </c>
    </row>
    <row r="12" spans="1:13">
      <c r="A12" s="4" t="s">
        <v>34</v>
      </c>
      <c r="B12" s="3">
        <v>0.056</v>
      </c>
      <c r="C12" s="3">
        <v>590</v>
      </c>
      <c r="D12" s="3">
        <v>510</v>
      </c>
      <c r="E12" s="3">
        <v>0.45</v>
      </c>
      <c r="F12" s="3">
        <v>600</v>
      </c>
    </row>
    <row r="13" spans="1:13">
      <c r="A13" s="4" t="s">
        <v>35</v>
      </c>
      <c r="B13" s="3">
        <v>0.062</v>
      </c>
      <c r="C13" s="3">
        <v>650</v>
      </c>
      <c r="D13" s="3">
        <v>570</v>
      </c>
      <c r="E13" s="3">
        <v>0.55</v>
      </c>
      <c r="F13" s="3">
        <v>400</v>
      </c>
    </row>
    <row r="14" spans="1:13">
      <c r="A14" s="4" t="s">
        <v>36</v>
      </c>
      <c r="B14" s="3">
        <v>0.075</v>
      </c>
      <c r="C14" s="3">
        <v>850</v>
      </c>
      <c r="D14" s="3">
        <v>750</v>
      </c>
      <c r="E14" s="3">
        <v>0.6</v>
      </c>
      <c r="F14" s="3">
        <v>150</v>
      </c>
    </row>
    <row r="15" spans="1:13">
      <c r="A15" s="4" t="s">
        <v>37</v>
      </c>
      <c r="B15" s="3">
        <v>0.052</v>
      </c>
      <c r="C15" s="3">
        <v>610</v>
      </c>
      <c r="D15" s="3">
        <v>530</v>
      </c>
      <c r="E15" s="3">
        <v>0.3</v>
      </c>
      <c r="F15" s="3">
        <v>250</v>
      </c>
    </row>
    <row r="16" spans="1:13">
      <c r="A16" s="4" t="s">
        <v>38</v>
      </c>
      <c r="B16" s="3">
        <v>0.04</v>
      </c>
      <c r="C16" s="3">
        <v>530</v>
      </c>
      <c r="D16" s="3">
        <v>460</v>
      </c>
      <c r="E16" s="3">
        <v>0.5</v>
      </c>
      <c r="F16" s="3">
        <v>500</v>
      </c>
    </row>
    <row r="17" spans="1:6">
      <c r="A17" s="4" t="s">
        <v>39</v>
      </c>
      <c r="B17" s="3">
        <v>0.06</v>
      </c>
      <c r="C17" s="3">
        <v>620</v>
      </c>
      <c r="D17" s="3">
        <v>540</v>
      </c>
      <c r="E17" s="3">
        <v>0.4</v>
      </c>
      <c r="F17" s="3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25.7109375" customWidth="1"/>
  </cols>
  <sheetData>
    <row r="1" spans="1:5">
      <c r="A1" s="1" t="s">
        <v>40</v>
      </c>
    </row>
    <row r="3" spans="1:5">
      <c r="A3" s="2" t="s">
        <v>41</v>
      </c>
    </row>
    <row r="4" spans="1:5">
      <c r="B4" s="2" t="s">
        <v>42</v>
      </c>
      <c r="C4" s="2" t="s">
        <v>43</v>
      </c>
      <c r="D4" s="2" t="s">
        <v>44</v>
      </c>
      <c r="E4" s="2" t="s">
        <v>45</v>
      </c>
    </row>
    <row r="5" spans="1:5">
      <c r="A5" s="4" t="s">
        <v>31</v>
      </c>
      <c r="B5" s="3">
        <v>16</v>
      </c>
      <c r="C5" s="3">
        <v>150</v>
      </c>
      <c r="D5" s="3">
        <v>303</v>
      </c>
      <c r="E5" s="3">
        <v>12</v>
      </c>
    </row>
    <row r="6" spans="1:5">
      <c r="A6" s="4" t="s">
        <v>32</v>
      </c>
      <c r="B6" s="3">
        <v>14</v>
      </c>
      <c r="C6" s="3">
        <v>120</v>
      </c>
      <c r="D6" s="3">
        <v>303</v>
      </c>
      <c r="E6" s="3">
        <v>11</v>
      </c>
    </row>
    <row r="7" spans="1:5">
      <c r="A7" s="4" t="s">
        <v>33</v>
      </c>
      <c r="B7" s="3">
        <v>19</v>
      </c>
      <c r="C7" s="3">
        <v>450</v>
      </c>
      <c r="D7" s="3">
        <v>303</v>
      </c>
      <c r="E7" s="3">
        <v>14</v>
      </c>
    </row>
    <row r="8" spans="1:5">
      <c r="A8" s="4" t="s">
        <v>34</v>
      </c>
      <c r="B8" s="3">
        <v>21</v>
      </c>
      <c r="C8" s="3">
        <v>600</v>
      </c>
      <c r="D8" s="3">
        <v>303</v>
      </c>
      <c r="E8" s="3">
        <v>15</v>
      </c>
    </row>
    <row r="9" spans="1:5">
      <c r="A9" s="4" t="s">
        <v>35</v>
      </c>
      <c r="B9" s="3">
        <v>24</v>
      </c>
      <c r="C9" s="3">
        <v>900</v>
      </c>
      <c r="D9" s="3">
        <v>303</v>
      </c>
      <c r="E9" s="3">
        <v>18</v>
      </c>
    </row>
    <row r="10" spans="1:5">
      <c r="A10" s="4" t="s">
        <v>36</v>
      </c>
      <c r="B10" s="3">
        <v>28</v>
      </c>
      <c r="C10" s="3">
        <v>1200</v>
      </c>
      <c r="D10" s="3">
        <v>303</v>
      </c>
      <c r="E10" s="3">
        <v>20</v>
      </c>
    </row>
    <row r="11" spans="1:5">
      <c r="A11" s="4" t="s">
        <v>37</v>
      </c>
      <c r="B11" s="3">
        <v>25</v>
      </c>
      <c r="C11" s="3">
        <v>300</v>
      </c>
      <c r="D11" s="3">
        <v>303</v>
      </c>
      <c r="E11" s="3">
        <v>16</v>
      </c>
    </row>
    <row r="12" spans="1:5">
      <c r="A12" s="4" t="s">
        <v>38</v>
      </c>
      <c r="B12" s="3">
        <v>17</v>
      </c>
      <c r="C12" s="3">
        <v>400</v>
      </c>
      <c r="D12" s="3">
        <v>303</v>
      </c>
      <c r="E12" s="3">
        <v>13</v>
      </c>
    </row>
    <row r="13" spans="1:5">
      <c r="A13" s="4" t="s">
        <v>39</v>
      </c>
      <c r="B13" s="3">
        <v>26</v>
      </c>
      <c r="C13" s="3">
        <v>350</v>
      </c>
      <c r="D13" s="3">
        <v>303</v>
      </c>
      <c r="E13" s="3">
        <v>17</v>
      </c>
    </row>
    <row r="15" spans="1:5">
      <c r="A15" s="2" t="s">
        <v>46</v>
      </c>
    </row>
    <row r="16" spans="1:5">
      <c r="A16" s="4" t="s">
        <v>47</v>
      </c>
      <c r="B16" s="3">
        <v>1.35</v>
      </c>
    </row>
    <row r="17" spans="1:3">
      <c r="A17" s="4" t="s">
        <v>48</v>
      </c>
      <c r="B17" s="3">
        <v>52</v>
      </c>
    </row>
    <row r="18" spans="1:3">
      <c r="A18" s="4" t="s">
        <v>49</v>
      </c>
      <c r="B18" s="3">
        <v>0.58</v>
      </c>
    </row>
    <row r="21" spans="1:3">
      <c r="A21" s="2" t="s">
        <v>50</v>
      </c>
    </row>
    <row r="23" spans="1:3">
      <c r="A23" s="2" t="s">
        <v>51</v>
      </c>
      <c r="B23" s="2" t="s">
        <v>52</v>
      </c>
      <c r="C23" s="2" t="s">
        <v>53</v>
      </c>
    </row>
    <row r="24" spans="1:3">
      <c r="A24" s="4" t="s">
        <v>54</v>
      </c>
      <c r="B24" s="3">
        <v>5</v>
      </c>
      <c r="C24" s="3">
        <v>95</v>
      </c>
    </row>
    <row r="25" spans="1:3">
      <c r="A25" s="4" t="s">
        <v>55</v>
      </c>
      <c r="B25" s="3">
        <v>6</v>
      </c>
      <c r="C25" s="3">
        <v>70</v>
      </c>
    </row>
    <row r="26" spans="1:3">
      <c r="A26" s="4" t="s">
        <v>56</v>
      </c>
      <c r="B26" s="3">
        <v>2</v>
      </c>
      <c r="C26" s="3">
        <v>105</v>
      </c>
    </row>
    <row r="27" spans="1:3">
      <c r="A27" s="4" t="s">
        <v>57</v>
      </c>
      <c r="B27" s="3">
        <v>8</v>
      </c>
      <c r="C27" s="3">
        <v>110</v>
      </c>
    </row>
    <row r="28" spans="1:3">
      <c r="A28" s="4" t="s">
        <v>58</v>
      </c>
      <c r="B28" s="3">
        <v>4</v>
      </c>
      <c r="C28" s="3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I15"/>
  <sheetViews>
    <sheetView workbookViewId="0"/>
  </sheetViews>
  <sheetFormatPr defaultRowHeight="15"/>
  <cols>
    <col min="1" max="1" width="30.7109375" customWidth="1"/>
  </cols>
  <sheetData>
    <row r="3" spans="1:61"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 t="s">
        <v>84</v>
      </c>
      <c r="AB3" s="2" t="s">
        <v>85</v>
      </c>
      <c r="AC3" s="2" t="s">
        <v>86</v>
      </c>
      <c r="AD3" s="2" t="s">
        <v>87</v>
      </c>
      <c r="AE3" s="2" t="s">
        <v>88</v>
      </c>
      <c r="AF3" s="2" t="s">
        <v>89</v>
      </c>
      <c r="AG3" s="2" t="s">
        <v>90</v>
      </c>
      <c r="AH3" s="2" t="s">
        <v>91</v>
      </c>
      <c r="AI3" s="2" t="s">
        <v>92</v>
      </c>
      <c r="AJ3" s="2" t="s">
        <v>93</v>
      </c>
      <c r="AK3" s="2" t="s">
        <v>94</v>
      </c>
      <c r="AL3" s="2" t="s">
        <v>95</v>
      </c>
      <c r="AM3" s="2" t="s">
        <v>96</v>
      </c>
      <c r="AN3" s="2" t="s">
        <v>97</v>
      </c>
      <c r="AO3" s="2" t="s">
        <v>98</v>
      </c>
      <c r="AP3" s="2" t="s">
        <v>99</v>
      </c>
      <c r="AQ3" s="2" t="s">
        <v>100</v>
      </c>
      <c r="AR3" s="2" t="s">
        <v>101</v>
      </c>
      <c r="AS3" s="2" t="s">
        <v>102</v>
      </c>
      <c r="AT3" s="2" t="s">
        <v>103</v>
      </c>
      <c r="AU3" s="2" t="s">
        <v>104</v>
      </c>
      <c r="AV3" s="2" t="s">
        <v>105</v>
      </c>
      <c r="AW3" s="2" t="s">
        <v>106</v>
      </c>
      <c r="AX3" s="2" t="s">
        <v>107</v>
      </c>
      <c r="AY3" s="2" t="s">
        <v>108</v>
      </c>
      <c r="AZ3" s="2" t="s">
        <v>109</v>
      </c>
      <c r="BA3" s="2" t="s">
        <v>110</v>
      </c>
      <c r="BB3" s="2" t="s">
        <v>111</v>
      </c>
      <c r="BC3" s="2" t="s">
        <v>112</v>
      </c>
      <c r="BD3" s="2" t="s">
        <v>113</v>
      </c>
      <c r="BE3" s="2" t="s">
        <v>114</v>
      </c>
      <c r="BF3" s="2" t="s">
        <v>115</v>
      </c>
      <c r="BG3" s="2" t="s">
        <v>116</v>
      </c>
      <c r="BH3" s="2" t="s">
        <v>117</v>
      </c>
      <c r="BI3" s="2" t="s">
        <v>118</v>
      </c>
    </row>
    <row r="6" spans="1:61">
      <c r="A6" s="4" t="s">
        <v>31</v>
      </c>
      <c r="B6" s="7">
        <f>'02_Inputs_Sales'!F9 * '02_Inputs_Sales'!B5 * (1.005^0)</f>
        <v>0</v>
      </c>
      <c r="C6" s="7">
        <f>'02_Inputs_Sales'!F9 * '02_Inputs_Sales'!C5 * (1.005^1)</f>
        <v>0</v>
      </c>
      <c r="D6" s="7">
        <f>'02_Inputs_Sales'!F9 * '02_Inputs_Sales'!D5 * (1.005^2)</f>
        <v>0</v>
      </c>
      <c r="E6" s="7">
        <f>'02_Inputs_Sales'!F9 * '02_Inputs_Sales'!E5 * (1.005^3)</f>
        <v>0</v>
      </c>
      <c r="F6" s="7">
        <f>'02_Inputs_Sales'!F9 * '02_Inputs_Sales'!F5 * (1.005^4)</f>
        <v>0</v>
      </c>
      <c r="G6" s="7">
        <f>'02_Inputs_Sales'!F9 * '02_Inputs_Sales'!G5 * (1.005^5)</f>
        <v>0</v>
      </c>
      <c r="H6" s="7">
        <f>'02_Inputs_Sales'!F9 * '02_Inputs_Sales'!H5 * (1.005^6)</f>
        <v>0</v>
      </c>
      <c r="I6" s="7">
        <f>'02_Inputs_Sales'!F9 * '02_Inputs_Sales'!I5 * (1.005^7)</f>
        <v>0</v>
      </c>
      <c r="J6" s="7">
        <f>'02_Inputs_Sales'!F9 * '02_Inputs_Sales'!J5 * (1.005^8)</f>
        <v>0</v>
      </c>
      <c r="K6" s="7">
        <f>'02_Inputs_Sales'!F9 * '02_Inputs_Sales'!K5 * (1.005^9)</f>
        <v>0</v>
      </c>
      <c r="L6" s="7">
        <f>'02_Inputs_Sales'!F9 * '02_Inputs_Sales'!L5 * (1.005^10)</f>
        <v>0</v>
      </c>
      <c r="M6" s="7">
        <f>'02_Inputs_Sales'!F9 * '02_Inputs_Sales'!M5 * (1.005^11)</f>
        <v>0</v>
      </c>
      <c r="N6" s="7">
        <f>'02_Inputs_Sales'!F9 * '02_Inputs_Sales'!B5 * (1.005^12)</f>
        <v>0</v>
      </c>
      <c r="O6" s="7">
        <f>'02_Inputs_Sales'!F9 * '02_Inputs_Sales'!C5 * (1.005^13)</f>
        <v>0</v>
      </c>
      <c r="P6" s="7">
        <f>'02_Inputs_Sales'!F9 * '02_Inputs_Sales'!D5 * (1.005^14)</f>
        <v>0</v>
      </c>
      <c r="Q6" s="7">
        <f>'02_Inputs_Sales'!F9 * '02_Inputs_Sales'!E5 * (1.005^15)</f>
        <v>0</v>
      </c>
      <c r="R6" s="7">
        <f>'02_Inputs_Sales'!F9 * '02_Inputs_Sales'!F5 * (1.005^16)</f>
        <v>0</v>
      </c>
      <c r="S6" s="7">
        <f>'02_Inputs_Sales'!F9 * '02_Inputs_Sales'!G5 * (1.005^17)</f>
        <v>0</v>
      </c>
      <c r="T6" s="7">
        <f>'02_Inputs_Sales'!F9 * '02_Inputs_Sales'!H5 * (1.005^18)</f>
        <v>0</v>
      </c>
      <c r="U6" s="7">
        <f>'02_Inputs_Sales'!F9 * '02_Inputs_Sales'!I5 * (1.005^19)</f>
        <v>0</v>
      </c>
      <c r="V6" s="7">
        <f>'02_Inputs_Sales'!F9 * '02_Inputs_Sales'!J5 * (1.005^20)</f>
        <v>0</v>
      </c>
      <c r="W6" s="7">
        <f>'02_Inputs_Sales'!F9 * '02_Inputs_Sales'!K5 * (1.005^21)</f>
        <v>0</v>
      </c>
      <c r="X6" s="7">
        <f>'02_Inputs_Sales'!F9 * '02_Inputs_Sales'!L5 * (1.005^22)</f>
        <v>0</v>
      </c>
      <c r="Y6" s="7">
        <f>'02_Inputs_Sales'!F9 * '02_Inputs_Sales'!M5 * (1.005^23)</f>
        <v>0</v>
      </c>
      <c r="Z6" s="7">
        <f>'02_Inputs_Sales'!F9 * '02_Inputs_Sales'!B5 * (1.005^24)</f>
        <v>0</v>
      </c>
      <c r="AA6" s="7">
        <f>'02_Inputs_Sales'!F9 * '02_Inputs_Sales'!C5 * (1.005^25)</f>
        <v>0</v>
      </c>
      <c r="AB6" s="7">
        <f>'02_Inputs_Sales'!F9 * '02_Inputs_Sales'!D5 * (1.005^26)</f>
        <v>0</v>
      </c>
      <c r="AC6" s="7">
        <f>'02_Inputs_Sales'!F9 * '02_Inputs_Sales'!E5 * (1.005^27)</f>
        <v>0</v>
      </c>
      <c r="AD6" s="7">
        <f>'02_Inputs_Sales'!F9 * '02_Inputs_Sales'!F5 * (1.005^28)</f>
        <v>0</v>
      </c>
      <c r="AE6" s="7">
        <f>'02_Inputs_Sales'!F9 * '02_Inputs_Sales'!G5 * (1.005^29)</f>
        <v>0</v>
      </c>
      <c r="AF6" s="7">
        <f>'02_Inputs_Sales'!F9 * '02_Inputs_Sales'!H5 * (1.005^30)</f>
        <v>0</v>
      </c>
      <c r="AG6" s="7">
        <f>'02_Inputs_Sales'!F9 * '02_Inputs_Sales'!I5 * (1.005^31)</f>
        <v>0</v>
      </c>
      <c r="AH6" s="7">
        <f>'02_Inputs_Sales'!F9 * '02_Inputs_Sales'!J5 * (1.005^32)</f>
        <v>0</v>
      </c>
      <c r="AI6" s="7">
        <f>'02_Inputs_Sales'!F9 * '02_Inputs_Sales'!K5 * (1.005^33)</f>
        <v>0</v>
      </c>
      <c r="AJ6" s="7">
        <f>'02_Inputs_Sales'!F9 * '02_Inputs_Sales'!L5 * (1.005^34)</f>
        <v>0</v>
      </c>
      <c r="AK6" s="7">
        <f>'02_Inputs_Sales'!F9 * '02_Inputs_Sales'!M5 * (1.005^35)</f>
        <v>0</v>
      </c>
      <c r="AL6" s="7">
        <f>'02_Inputs_Sales'!F9 * '02_Inputs_Sales'!B5 * (1.005^36)</f>
        <v>0</v>
      </c>
      <c r="AM6" s="7">
        <f>'02_Inputs_Sales'!F9 * '02_Inputs_Sales'!C5 * (1.005^37)</f>
        <v>0</v>
      </c>
      <c r="AN6" s="7">
        <f>'02_Inputs_Sales'!F9 * '02_Inputs_Sales'!D5 * (1.005^38)</f>
        <v>0</v>
      </c>
      <c r="AO6" s="7">
        <f>'02_Inputs_Sales'!F9 * '02_Inputs_Sales'!E5 * (1.005^39)</f>
        <v>0</v>
      </c>
      <c r="AP6" s="7">
        <f>'02_Inputs_Sales'!F9 * '02_Inputs_Sales'!F5 * (1.005^40)</f>
        <v>0</v>
      </c>
      <c r="AQ6" s="7">
        <f>'02_Inputs_Sales'!F9 * '02_Inputs_Sales'!G5 * (1.005^41)</f>
        <v>0</v>
      </c>
      <c r="AR6" s="7">
        <f>'02_Inputs_Sales'!F9 * '02_Inputs_Sales'!H5 * (1.005^42)</f>
        <v>0</v>
      </c>
      <c r="AS6" s="7">
        <f>'02_Inputs_Sales'!F9 * '02_Inputs_Sales'!I5 * (1.005^43)</f>
        <v>0</v>
      </c>
      <c r="AT6" s="7">
        <f>'02_Inputs_Sales'!F9 * '02_Inputs_Sales'!J5 * (1.005^44)</f>
        <v>0</v>
      </c>
      <c r="AU6" s="7">
        <f>'02_Inputs_Sales'!F9 * '02_Inputs_Sales'!K5 * (1.005^45)</f>
        <v>0</v>
      </c>
      <c r="AV6" s="7">
        <f>'02_Inputs_Sales'!F9 * '02_Inputs_Sales'!L5 * (1.005^46)</f>
        <v>0</v>
      </c>
      <c r="AW6" s="7">
        <f>'02_Inputs_Sales'!F9 * '02_Inputs_Sales'!M5 * (1.005^47)</f>
        <v>0</v>
      </c>
      <c r="AX6" s="7">
        <f>'02_Inputs_Sales'!F9 * '02_Inputs_Sales'!B5 * (1.005^48)</f>
        <v>0</v>
      </c>
      <c r="AY6" s="7">
        <f>'02_Inputs_Sales'!F9 * '02_Inputs_Sales'!C5 * (1.005^49)</f>
        <v>0</v>
      </c>
      <c r="AZ6" s="7">
        <f>'02_Inputs_Sales'!F9 * '02_Inputs_Sales'!D5 * (1.005^50)</f>
        <v>0</v>
      </c>
      <c r="BA6" s="7">
        <f>'02_Inputs_Sales'!F9 * '02_Inputs_Sales'!E5 * (1.005^51)</f>
        <v>0</v>
      </c>
      <c r="BB6" s="7">
        <f>'02_Inputs_Sales'!F9 * '02_Inputs_Sales'!F5 * (1.005^52)</f>
        <v>0</v>
      </c>
      <c r="BC6" s="7">
        <f>'02_Inputs_Sales'!F9 * '02_Inputs_Sales'!G5 * (1.005^53)</f>
        <v>0</v>
      </c>
      <c r="BD6" s="7">
        <f>'02_Inputs_Sales'!F9 * '02_Inputs_Sales'!H5 * (1.005^54)</f>
        <v>0</v>
      </c>
      <c r="BE6" s="7">
        <f>'02_Inputs_Sales'!F9 * '02_Inputs_Sales'!I5 * (1.005^55)</f>
        <v>0</v>
      </c>
      <c r="BF6" s="7">
        <f>'02_Inputs_Sales'!F9 * '02_Inputs_Sales'!J5 * (1.005^56)</f>
        <v>0</v>
      </c>
      <c r="BG6" s="7">
        <f>'02_Inputs_Sales'!F9 * '02_Inputs_Sales'!K5 * (1.005^57)</f>
        <v>0</v>
      </c>
      <c r="BH6" s="7">
        <f>'02_Inputs_Sales'!F9 * '02_Inputs_Sales'!L5 * (1.005^58)</f>
        <v>0</v>
      </c>
      <c r="BI6" s="7">
        <f>'02_Inputs_Sales'!F9 * '02_Inputs_Sales'!M5 * (1.005^59)</f>
        <v>0</v>
      </c>
    </row>
    <row r="7" spans="1:61">
      <c r="A7" s="4" t="s">
        <v>32</v>
      </c>
      <c r="B7" s="7">
        <f>'02_Inputs_Sales'!F10 * '02_Inputs_Sales'!B5 * (1.005^0)</f>
        <v>0</v>
      </c>
      <c r="C7" s="7">
        <f>'02_Inputs_Sales'!F10 * '02_Inputs_Sales'!C5 * (1.005^1)</f>
        <v>0</v>
      </c>
      <c r="D7" s="7">
        <f>'02_Inputs_Sales'!F10 * '02_Inputs_Sales'!D5 * (1.005^2)</f>
        <v>0</v>
      </c>
      <c r="E7" s="7">
        <f>'02_Inputs_Sales'!F10 * '02_Inputs_Sales'!E5 * (1.005^3)</f>
        <v>0</v>
      </c>
      <c r="F7" s="7">
        <f>'02_Inputs_Sales'!F10 * '02_Inputs_Sales'!F5 * (1.005^4)</f>
        <v>0</v>
      </c>
      <c r="G7" s="7">
        <f>'02_Inputs_Sales'!F10 * '02_Inputs_Sales'!G5 * (1.005^5)</f>
        <v>0</v>
      </c>
      <c r="H7" s="7">
        <f>'02_Inputs_Sales'!F10 * '02_Inputs_Sales'!H5 * (1.005^6)</f>
        <v>0</v>
      </c>
      <c r="I7" s="7">
        <f>'02_Inputs_Sales'!F10 * '02_Inputs_Sales'!I5 * (1.005^7)</f>
        <v>0</v>
      </c>
      <c r="J7" s="7">
        <f>'02_Inputs_Sales'!F10 * '02_Inputs_Sales'!J5 * (1.005^8)</f>
        <v>0</v>
      </c>
      <c r="K7" s="7">
        <f>'02_Inputs_Sales'!F10 * '02_Inputs_Sales'!K5 * (1.005^9)</f>
        <v>0</v>
      </c>
      <c r="L7" s="7">
        <f>'02_Inputs_Sales'!F10 * '02_Inputs_Sales'!L5 * (1.005^10)</f>
        <v>0</v>
      </c>
      <c r="M7" s="7">
        <f>'02_Inputs_Sales'!F10 * '02_Inputs_Sales'!M5 * (1.005^11)</f>
        <v>0</v>
      </c>
      <c r="N7" s="7">
        <f>'02_Inputs_Sales'!F10 * '02_Inputs_Sales'!B5 * (1.005^12)</f>
        <v>0</v>
      </c>
      <c r="O7" s="7">
        <f>'02_Inputs_Sales'!F10 * '02_Inputs_Sales'!C5 * (1.005^13)</f>
        <v>0</v>
      </c>
      <c r="P7" s="7">
        <f>'02_Inputs_Sales'!F10 * '02_Inputs_Sales'!D5 * (1.005^14)</f>
        <v>0</v>
      </c>
      <c r="Q7" s="7">
        <f>'02_Inputs_Sales'!F10 * '02_Inputs_Sales'!E5 * (1.005^15)</f>
        <v>0</v>
      </c>
      <c r="R7" s="7">
        <f>'02_Inputs_Sales'!F10 * '02_Inputs_Sales'!F5 * (1.005^16)</f>
        <v>0</v>
      </c>
      <c r="S7" s="7">
        <f>'02_Inputs_Sales'!F10 * '02_Inputs_Sales'!G5 * (1.005^17)</f>
        <v>0</v>
      </c>
      <c r="T7" s="7">
        <f>'02_Inputs_Sales'!F10 * '02_Inputs_Sales'!H5 * (1.005^18)</f>
        <v>0</v>
      </c>
      <c r="U7" s="7">
        <f>'02_Inputs_Sales'!F10 * '02_Inputs_Sales'!I5 * (1.005^19)</f>
        <v>0</v>
      </c>
      <c r="V7" s="7">
        <f>'02_Inputs_Sales'!F10 * '02_Inputs_Sales'!J5 * (1.005^20)</f>
        <v>0</v>
      </c>
      <c r="W7" s="7">
        <f>'02_Inputs_Sales'!F10 * '02_Inputs_Sales'!K5 * (1.005^21)</f>
        <v>0</v>
      </c>
      <c r="X7" s="7">
        <f>'02_Inputs_Sales'!F10 * '02_Inputs_Sales'!L5 * (1.005^22)</f>
        <v>0</v>
      </c>
      <c r="Y7" s="7">
        <f>'02_Inputs_Sales'!F10 * '02_Inputs_Sales'!M5 * (1.005^23)</f>
        <v>0</v>
      </c>
      <c r="Z7" s="7">
        <f>'02_Inputs_Sales'!F10 * '02_Inputs_Sales'!B5 * (1.005^24)</f>
        <v>0</v>
      </c>
      <c r="AA7" s="7">
        <f>'02_Inputs_Sales'!F10 * '02_Inputs_Sales'!C5 * (1.005^25)</f>
        <v>0</v>
      </c>
      <c r="AB7" s="7">
        <f>'02_Inputs_Sales'!F10 * '02_Inputs_Sales'!D5 * (1.005^26)</f>
        <v>0</v>
      </c>
      <c r="AC7" s="7">
        <f>'02_Inputs_Sales'!F10 * '02_Inputs_Sales'!E5 * (1.005^27)</f>
        <v>0</v>
      </c>
      <c r="AD7" s="7">
        <f>'02_Inputs_Sales'!F10 * '02_Inputs_Sales'!F5 * (1.005^28)</f>
        <v>0</v>
      </c>
      <c r="AE7" s="7">
        <f>'02_Inputs_Sales'!F10 * '02_Inputs_Sales'!G5 * (1.005^29)</f>
        <v>0</v>
      </c>
      <c r="AF7" s="7">
        <f>'02_Inputs_Sales'!F10 * '02_Inputs_Sales'!H5 * (1.005^30)</f>
        <v>0</v>
      </c>
      <c r="AG7" s="7">
        <f>'02_Inputs_Sales'!F10 * '02_Inputs_Sales'!I5 * (1.005^31)</f>
        <v>0</v>
      </c>
      <c r="AH7" s="7">
        <f>'02_Inputs_Sales'!F10 * '02_Inputs_Sales'!J5 * (1.005^32)</f>
        <v>0</v>
      </c>
      <c r="AI7" s="7">
        <f>'02_Inputs_Sales'!F10 * '02_Inputs_Sales'!K5 * (1.005^33)</f>
        <v>0</v>
      </c>
      <c r="AJ7" s="7">
        <f>'02_Inputs_Sales'!F10 * '02_Inputs_Sales'!L5 * (1.005^34)</f>
        <v>0</v>
      </c>
      <c r="AK7" s="7">
        <f>'02_Inputs_Sales'!F10 * '02_Inputs_Sales'!M5 * (1.005^35)</f>
        <v>0</v>
      </c>
      <c r="AL7" s="7">
        <f>'02_Inputs_Sales'!F10 * '02_Inputs_Sales'!B5 * (1.005^36)</f>
        <v>0</v>
      </c>
      <c r="AM7" s="7">
        <f>'02_Inputs_Sales'!F10 * '02_Inputs_Sales'!C5 * (1.005^37)</f>
        <v>0</v>
      </c>
      <c r="AN7" s="7">
        <f>'02_Inputs_Sales'!F10 * '02_Inputs_Sales'!D5 * (1.005^38)</f>
        <v>0</v>
      </c>
      <c r="AO7" s="7">
        <f>'02_Inputs_Sales'!F10 * '02_Inputs_Sales'!E5 * (1.005^39)</f>
        <v>0</v>
      </c>
      <c r="AP7" s="7">
        <f>'02_Inputs_Sales'!F10 * '02_Inputs_Sales'!F5 * (1.005^40)</f>
        <v>0</v>
      </c>
      <c r="AQ7" s="7">
        <f>'02_Inputs_Sales'!F10 * '02_Inputs_Sales'!G5 * (1.005^41)</f>
        <v>0</v>
      </c>
      <c r="AR7" s="7">
        <f>'02_Inputs_Sales'!F10 * '02_Inputs_Sales'!H5 * (1.005^42)</f>
        <v>0</v>
      </c>
      <c r="AS7" s="7">
        <f>'02_Inputs_Sales'!F10 * '02_Inputs_Sales'!I5 * (1.005^43)</f>
        <v>0</v>
      </c>
      <c r="AT7" s="7">
        <f>'02_Inputs_Sales'!F10 * '02_Inputs_Sales'!J5 * (1.005^44)</f>
        <v>0</v>
      </c>
      <c r="AU7" s="7">
        <f>'02_Inputs_Sales'!F10 * '02_Inputs_Sales'!K5 * (1.005^45)</f>
        <v>0</v>
      </c>
      <c r="AV7" s="7">
        <f>'02_Inputs_Sales'!F10 * '02_Inputs_Sales'!L5 * (1.005^46)</f>
        <v>0</v>
      </c>
      <c r="AW7" s="7">
        <f>'02_Inputs_Sales'!F10 * '02_Inputs_Sales'!M5 * (1.005^47)</f>
        <v>0</v>
      </c>
      <c r="AX7" s="7">
        <f>'02_Inputs_Sales'!F10 * '02_Inputs_Sales'!B5 * (1.005^48)</f>
        <v>0</v>
      </c>
      <c r="AY7" s="7">
        <f>'02_Inputs_Sales'!F10 * '02_Inputs_Sales'!C5 * (1.005^49)</f>
        <v>0</v>
      </c>
      <c r="AZ7" s="7">
        <f>'02_Inputs_Sales'!F10 * '02_Inputs_Sales'!D5 * (1.005^50)</f>
        <v>0</v>
      </c>
      <c r="BA7" s="7">
        <f>'02_Inputs_Sales'!F10 * '02_Inputs_Sales'!E5 * (1.005^51)</f>
        <v>0</v>
      </c>
      <c r="BB7" s="7">
        <f>'02_Inputs_Sales'!F10 * '02_Inputs_Sales'!F5 * (1.005^52)</f>
        <v>0</v>
      </c>
      <c r="BC7" s="7">
        <f>'02_Inputs_Sales'!F10 * '02_Inputs_Sales'!G5 * (1.005^53)</f>
        <v>0</v>
      </c>
      <c r="BD7" s="7">
        <f>'02_Inputs_Sales'!F10 * '02_Inputs_Sales'!H5 * (1.005^54)</f>
        <v>0</v>
      </c>
      <c r="BE7" s="7">
        <f>'02_Inputs_Sales'!F10 * '02_Inputs_Sales'!I5 * (1.005^55)</f>
        <v>0</v>
      </c>
      <c r="BF7" s="7">
        <f>'02_Inputs_Sales'!F10 * '02_Inputs_Sales'!J5 * (1.005^56)</f>
        <v>0</v>
      </c>
      <c r="BG7" s="7">
        <f>'02_Inputs_Sales'!F10 * '02_Inputs_Sales'!K5 * (1.005^57)</f>
        <v>0</v>
      </c>
      <c r="BH7" s="7">
        <f>'02_Inputs_Sales'!F10 * '02_Inputs_Sales'!L5 * (1.005^58)</f>
        <v>0</v>
      </c>
      <c r="BI7" s="7">
        <f>'02_Inputs_Sales'!F10 * '02_Inputs_Sales'!M5 * (1.005^59)</f>
        <v>0</v>
      </c>
    </row>
    <row r="8" spans="1:61">
      <c r="A8" s="4" t="s">
        <v>33</v>
      </c>
      <c r="B8" s="7">
        <f>'02_Inputs_Sales'!F11 * '02_Inputs_Sales'!B5 * (1.005^0)</f>
        <v>0</v>
      </c>
      <c r="C8" s="7">
        <f>'02_Inputs_Sales'!F11 * '02_Inputs_Sales'!C5 * (1.005^1)</f>
        <v>0</v>
      </c>
      <c r="D8" s="7">
        <f>'02_Inputs_Sales'!F11 * '02_Inputs_Sales'!D5 * (1.005^2)</f>
        <v>0</v>
      </c>
      <c r="E8" s="7">
        <f>'02_Inputs_Sales'!F11 * '02_Inputs_Sales'!E5 * (1.005^3)</f>
        <v>0</v>
      </c>
      <c r="F8" s="7">
        <f>'02_Inputs_Sales'!F11 * '02_Inputs_Sales'!F5 * (1.005^4)</f>
        <v>0</v>
      </c>
      <c r="G8" s="7">
        <f>'02_Inputs_Sales'!F11 * '02_Inputs_Sales'!G5 * (1.005^5)</f>
        <v>0</v>
      </c>
      <c r="H8" s="7">
        <f>'02_Inputs_Sales'!F11 * '02_Inputs_Sales'!H5 * (1.005^6)</f>
        <v>0</v>
      </c>
      <c r="I8" s="7">
        <f>'02_Inputs_Sales'!F11 * '02_Inputs_Sales'!I5 * (1.005^7)</f>
        <v>0</v>
      </c>
      <c r="J8" s="7">
        <f>'02_Inputs_Sales'!F11 * '02_Inputs_Sales'!J5 * (1.005^8)</f>
        <v>0</v>
      </c>
      <c r="K8" s="7">
        <f>'02_Inputs_Sales'!F11 * '02_Inputs_Sales'!K5 * (1.005^9)</f>
        <v>0</v>
      </c>
      <c r="L8" s="7">
        <f>'02_Inputs_Sales'!F11 * '02_Inputs_Sales'!L5 * (1.005^10)</f>
        <v>0</v>
      </c>
      <c r="M8" s="7">
        <f>'02_Inputs_Sales'!F11 * '02_Inputs_Sales'!M5 * (1.005^11)</f>
        <v>0</v>
      </c>
      <c r="N8" s="7">
        <f>'02_Inputs_Sales'!F11 * '02_Inputs_Sales'!B5 * (1.005^12)</f>
        <v>0</v>
      </c>
      <c r="O8" s="7">
        <f>'02_Inputs_Sales'!F11 * '02_Inputs_Sales'!C5 * (1.005^13)</f>
        <v>0</v>
      </c>
      <c r="P8" s="7">
        <f>'02_Inputs_Sales'!F11 * '02_Inputs_Sales'!D5 * (1.005^14)</f>
        <v>0</v>
      </c>
      <c r="Q8" s="7">
        <f>'02_Inputs_Sales'!F11 * '02_Inputs_Sales'!E5 * (1.005^15)</f>
        <v>0</v>
      </c>
      <c r="R8" s="7">
        <f>'02_Inputs_Sales'!F11 * '02_Inputs_Sales'!F5 * (1.005^16)</f>
        <v>0</v>
      </c>
      <c r="S8" s="7">
        <f>'02_Inputs_Sales'!F11 * '02_Inputs_Sales'!G5 * (1.005^17)</f>
        <v>0</v>
      </c>
      <c r="T8" s="7">
        <f>'02_Inputs_Sales'!F11 * '02_Inputs_Sales'!H5 * (1.005^18)</f>
        <v>0</v>
      </c>
      <c r="U8" s="7">
        <f>'02_Inputs_Sales'!F11 * '02_Inputs_Sales'!I5 * (1.005^19)</f>
        <v>0</v>
      </c>
      <c r="V8" s="7">
        <f>'02_Inputs_Sales'!F11 * '02_Inputs_Sales'!J5 * (1.005^20)</f>
        <v>0</v>
      </c>
      <c r="W8" s="7">
        <f>'02_Inputs_Sales'!F11 * '02_Inputs_Sales'!K5 * (1.005^21)</f>
        <v>0</v>
      </c>
      <c r="X8" s="7">
        <f>'02_Inputs_Sales'!F11 * '02_Inputs_Sales'!L5 * (1.005^22)</f>
        <v>0</v>
      </c>
      <c r="Y8" s="7">
        <f>'02_Inputs_Sales'!F11 * '02_Inputs_Sales'!M5 * (1.005^23)</f>
        <v>0</v>
      </c>
      <c r="Z8" s="7">
        <f>'02_Inputs_Sales'!F11 * '02_Inputs_Sales'!B5 * (1.005^24)</f>
        <v>0</v>
      </c>
      <c r="AA8" s="7">
        <f>'02_Inputs_Sales'!F11 * '02_Inputs_Sales'!C5 * (1.005^25)</f>
        <v>0</v>
      </c>
      <c r="AB8" s="7">
        <f>'02_Inputs_Sales'!F11 * '02_Inputs_Sales'!D5 * (1.005^26)</f>
        <v>0</v>
      </c>
      <c r="AC8" s="7">
        <f>'02_Inputs_Sales'!F11 * '02_Inputs_Sales'!E5 * (1.005^27)</f>
        <v>0</v>
      </c>
      <c r="AD8" s="7">
        <f>'02_Inputs_Sales'!F11 * '02_Inputs_Sales'!F5 * (1.005^28)</f>
        <v>0</v>
      </c>
      <c r="AE8" s="7">
        <f>'02_Inputs_Sales'!F11 * '02_Inputs_Sales'!G5 * (1.005^29)</f>
        <v>0</v>
      </c>
      <c r="AF8" s="7">
        <f>'02_Inputs_Sales'!F11 * '02_Inputs_Sales'!H5 * (1.005^30)</f>
        <v>0</v>
      </c>
      <c r="AG8" s="7">
        <f>'02_Inputs_Sales'!F11 * '02_Inputs_Sales'!I5 * (1.005^31)</f>
        <v>0</v>
      </c>
      <c r="AH8" s="7">
        <f>'02_Inputs_Sales'!F11 * '02_Inputs_Sales'!J5 * (1.005^32)</f>
        <v>0</v>
      </c>
      <c r="AI8" s="7">
        <f>'02_Inputs_Sales'!F11 * '02_Inputs_Sales'!K5 * (1.005^33)</f>
        <v>0</v>
      </c>
      <c r="AJ8" s="7">
        <f>'02_Inputs_Sales'!F11 * '02_Inputs_Sales'!L5 * (1.005^34)</f>
        <v>0</v>
      </c>
      <c r="AK8" s="7">
        <f>'02_Inputs_Sales'!F11 * '02_Inputs_Sales'!M5 * (1.005^35)</f>
        <v>0</v>
      </c>
      <c r="AL8" s="7">
        <f>'02_Inputs_Sales'!F11 * '02_Inputs_Sales'!B5 * (1.005^36)</f>
        <v>0</v>
      </c>
      <c r="AM8" s="7">
        <f>'02_Inputs_Sales'!F11 * '02_Inputs_Sales'!C5 * (1.005^37)</f>
        <v>0</v>
      </c>
      <c r="AN8" s="7">
        <f>'02_Inputs_Sales'!F11 * '02_Inputs_Sales'!D5 * (1.005^38)</f>
        <v>0</v>
      </c>
      <c r="AO8" s="7">
        <f>'02_Inputs_Sales'!F11 * '02_Inputs_Sales'!E5 * (1.005^39)</f>
        <v>0</v>
      </c>
      <c r="AP8" s="7">
        <f>'02_Inputs_Sales'!F11 * '02_Inputs_Sales'!F5 * (1.005^40)</f>
        <v>0</v>
      </c>
      <c r="AQ8" s="7">
        <f>'02_Inputs_Sales'!F11 * '02_Inputs_Sales'!G5 * (1.005^41)</f>
        <v>0</v>
      </c>
      <c r="AR8" s="7">
        <f>'02_Inputs_Sales'!F11 * '02_Inputs_Sales'!H5 * (1.005^42)</f>
        <v>0</v>
      </c>
      <c r="AS8" s="7">
        <f>'02_Inputs_Sales'!F11 * '02_Inputs_Sales'!I5 * (1.005^43)</f>
        <v>0</v>
      </c>
      <c r="AT8" s="7">
        <f>'02_Inputs_Sales'!F11 * '02_Inputs_Sales'!J5 * (1.005^44)</f>
        <v>0</v>
      </c>
      <c r="AU8" s="7">
        <f>'02_Inputs_Sales'!F11 * '02_Inputs_Sales'!K5 * (1.005^45)</f>
        <v>0</v>
      </c>
      <c r="AV8" s="7">
        <f>'02_Inputs_Sales'!F11 * '02_Inputs_Sales'!L5 * (1.005^46)</f>
        <v>0</v>
      </c>
      <c r="AW8" s="7">
        <f>'02_Inputs_Sales'!F11 * '02_Inputs_Sales'!M5 * (1.005^47)</f>
        <v>0</v>
      </c>
      <c r="AX8" s="7">
        <f>'02_Inputs_Sales'!F11 * '02_Inputs_Sales'!B5 * (1.005^48)</f>
        <v>0</v>
      </c>
      <c r="AY8" s="7">
        <f>'02_Inputs_Sales'!F11 * '02_Inputs_Sales'!C5 * (1.005^49)</f>
        <v>0</v>
      </c>
      <c r="AZ8" s="7">
        <f>'02_Inputs_Sales'!F11 * '02_Inputs_Sales'!D5 * (1.005^50)</f>
        <v>0</v>
      </c>
      <c r="BA8" s="7">
        <f>'02_Inputs_Sales'!F11 * '02_Inputs_Sales'!E5 * (1.005^51)</f>
        <v>0</v>
      </c>
      <c r="BB8" s="7">
        <f>'02_Inputs_Sales'!F11 * '02_Inputs_Sales'!F5 * (1.005^52)</f>
        <v>0</v>
      </c>
      <c r="BC8" s="7">
        <f>'02_Inputs_Sales'!F11 * '02_Inputs_Sales'!G5 * (1.005^53)</f>
        <v>0</v>
      </c>
      <c r="BD8" s="7">
        <f>'02_Inputs_Sales'!F11 * '02_Inputs_Sales'!H5 * (1.005^54)</f>
        <v>0</v>
      </c>
      <c r="BE8" s="7">
        <f>'02_Inputs_Sales'!F11 * '02_Inputs_Sales'!I5 * (1.005^55)</f>
        <v>0</v>
      </c>
      <c r="BF8" s="7">
        <f>'02_Inputs_Sales'!F11 * '02_Inputs_Sales'!J5 * (1.005^56)</f>
        <v>0</v>
      </c>
      <c r="BG8" s="7">
        <f>'02_Inputs_Sales'!F11 * '02_Inputs_Sales'!K5 * (1.005^57)</f>
        <v>0</v>
      </c>
      <c r="BH8" s="7">
        <f>'02_Inputs_Sales'!F11 * '02_Inputs_Sales'!L5 * (1.005^58)</f>
        <v>0</v>
      </c>
      <c r="BI8" s="7">
        <f>'02_Inputs_Sales'!F11 * '02_Inputs_Sales'!M5 * (1.005^59)</f>
        <v>0</v>
      </c>
    </row>
    <row r="9" spans="1:61">
      <c r="A9" s="4" t="s">
        <v>34</v>
      </c>
      <c r="B9" s="7">
        <f>'02_Inputs_Sales'!F12 * '02_Inputs_Sales'!B5 * (1.005^0)</f>
        <v>0</v>
      </c>
      <c r="C9" s="7">
        <f>'02_Inputs_Sales'!F12 * '02_Inputs_Sales'!C5 * (1.005^1)</f>
        <v>0</v>
      </c>
      <c r="D9" s="7">
        <f>'02_Inputs_Sales'!F12 * '02_Inputs_Sales'!D5 * (1.005^2)</f>
        <v>0</v>
      </c>
      <c r="E9" s="7">
        <f>'02_Inputs_Sales'!F12 * '02_Inputs_Sales'!E5 * (1.005^3)</f>
        <v>0</v>
      </c>
      <c r="F9" s="7">
        <f>'02_Inputs_Sales'!F12 * '02_Inputs_Sales'!F5 * (1.005^4)</f>
        <v>0</v>
      </c>
      <c r="G9" s="7">
        <f>'02_Inputs_Sales'!F12 * '02_Inputs_Sales'!G5 * (1.005^5)</f>
        <v>0</v>
      </c>
      <c r="H9" s="7">
        <f>'02_Inputs_Sales'!F12 * '02_Inputs_Sales'!H5 * (1.005^6)</f>
        <v>0</v>
      </c>
      <c r="I9" s="7">
        <f>'02_Inputs_Sales'!F12 * '02_Inputs_Sales'!I5 * (1.005^7)</f>
        <v>0</v>
      </c>
      <c r="J9" s="7">
        <f>'02_Inputs_Sales'!F12 * '02_Inputs_Sales'!J5 * (1.005^8)</f>
        <v>0</v>
      </c>
      <c r="K9" s="7">
        <f>'02_Inputs_Sales'!F12 * '02_Inputs_Sales'!K5 * (1.005^9)</f>
        <v>0</v>
      </c>
      <c r="L9" s="7">
        <f>'02_Inputs_Sales'!F12 * '02_Inputs_Sales'!L5 * (1.005^10)</f>
        <v>0</v>
      </c>
      <c r="M9" s="7">
        <f>'02_Inputs_Sales'!F12 * '02_Inputs_Sales'!M5 * (1.005^11)</f>
        <v>0</v>
      </c>
      <c r="N9" s="7">
        <f>'02_Inputs_Sales'!F12 * '02_Inputs_Sales'!B5 * (1.005^12)</f>
        <v>0</v>
      </c>
      <c r="O9" s="7">
        <f>'02_Inputs_Sales'!F12 * '02_Inputs_Sales'!C5 * (1.005^13)</f>
        <v>0</v>
      </c>
      <c r="P9" s="7">
        <f>'02_Inputs_Sales'!F12 * '02_Inputs_Sales'!D5 * (1.005^14)</f>
        <v>0</v>
      </c>
      <c r="Q9" s="7">
        <f>'02_Inputs_Sales'!F12 * '02_Inputs_Sales'!E5 * (1.005^15)</f>
        <v>0</v>
      </c>
      <c r="R9" s="7">
        <f>'02_Inputs_Sales'!F12 * '02_Inputs_Sales'!F5 * (1.005^16)</f>
        <v>0</v>
      </c>
      <c r="S9" s="7">
        <f>'02_Inputs_Sales'!F12 * '02_Inputs_Sales'!G5 * (1.005^17)</f>
        <v>0</v>
      </c>
      <c r="T9" s="7">
        <f>'02_Inputs_Sales'!F12 * '02_Inputs_Sales'!H5 * (1.005^18)</f>
        <v>0</v>
      </c>
      <c r="U9" s="7">
        <f>'02_Inputs_Sales'!F12 * '02_Inputs_Sales'!I5 * (1.005^19)</f>
        <v>0</v>
      </c>
      <c r="V9" s="7">
        <f>'02_Inputs_Sales'!F12 * '02_Inputs_Sales'!J5 * (1.005^20)</f>
        <v>0</v>
      </c>
      <c r="W9" s="7">
        <f>'02_Inputs_Sales'!F12 * '02_Inputs_Sales'!K5 * (1.005^21)</f>
        <v>0</v>
      </c>
      <c r="X9" s="7">
        <f>'02_Inputs_Sales'!F12 * '02_Inputs_Sales'!L5 * (1.005^22)</f>
        <v>0</v>
      </c>
      <c r="Y9" s="7">
        <f>'02_Inputs_Sales'!F12 * '02_Inputs_Sales'!M5 * (1.005^23)</f>
        <v>0</v>
      </c>
      <c r="Z9" s="7">
        <f>'02_Inputs_Sales'!F12 * '02_Inputs_Sales'!B5 * (1.005^24)</f>
        <v>0</v>
      </c>
      <c r="AA9" s="7">
        <f>'02_Inputs_Sales'!F12 * '02_Inputs_Sales'!C5 * (1.005^25)</f>
        <v>0</v>
      </c>
      <c r="AB9" s="7">
        <f>'02_Inputs_Sales'!F12 * '02_Inputs_Sales'!D5 * (1.005^26)</f>
        <v>0</v>
      </c>
      <c r="AC9" s="7">
        <f>'02_Inputs_Sales'!F12 * '02_Inputs_Sales'!E5 * (1.005^27)</f>
        <v>0</v>
      </c>
      <c r="AD9" s="7">
        <f>'02_Inputs_Sales'!F12 * '02_Inputs_Sales'!F5 * (1.005^28)</f>
        <v>0</v>
      </c>
      <c r="AE9" s="7">
        <f>'02_Inputs_Sales'!F12 * '02_Inputs_Sales'!G5 * (1.005^29)</f>
        <v>0</v>
      </c>
      <c r="AF9" s="7">
        <f>'02_Inputs_Sales'!F12 * '02_Inputs_Sales'!H5 * (1.005^30)</f>
        <v>0</v>
      </c>
      <c r="AG9" s="7">
        <f>'02_Inputs_Sales'!F12 * '02_Inputs_Sales'!I5 * (1.005^31)</f>
        <v>0</v>
      </c>
      <c r="AH9" s="7">
        <f>'02_Inputs_Sales'!F12 * '02_Inputs_Sales'!J5 * (1.005^32)</f>
        <v>0</v>
      </c>
      <c r="AI9" s="7">
        <f>'02_Inputs_Sales'!F12 * '02_Inputs_Sales'!K5 * (1.005^33)</f>
        <v>0</v>
      </c>
      <c r="AJ9" s="7">
        <f>'02_Inputs_Sales'!F12 * '02_Inputs_Sales'!L5 * (1.005^34)</f>
        <v>0</v>
      </c>
      <c r="AK9" s="7">
        <f>'02_Inputs_Sales'!F12 * '02_Inputs_Sales'!M5 * (1.005^35)</f>
        <v>0</v>
      </c>
      <c r="AL9" s="7">
        <f>'02_Inputs_Sales'!F12 * '02_Inputs_Sales'!B5 * (1.005^36)</f>
        <v>0</v>
      </c>
      <c r="AM9" s="7">
        <f>'02_Inputs_Sales'!F12 * '02_Inputs_Sales'!C5 * (1.005^37)</f>
        <v>0</v>
      </c>
      <c r="AN9" s="7">
        <f>'02_Inputs_Sales'!F12 * '02_Inputs_Sales'!D5 * (1.005^38)</f>
        <v>0</v>
      </c>
      <c r="AO9" s="7">
        <f>'02_Inputs_Sales'!F12 * '02_Inputs_Sales'!E5 * (1.005^39)</f>
        <v>0</v>
      </c>
      <c r="AP9" s="7">
        <f>'02_Inputs_Sales'!F12 * '02_Inputs_Sales'!F5 * (1.005^40)</f>
        <v>0</v>
      </c>
      <c r="AQ9" s="7">
        <f>'02_Inputs_Sales'!F12 * '02_Inputs_Sales'!G5 * (1.005^41)</f>
        <v>0</v>
      </c>
      <c r="AR9" s="7">
        <f>'02_Inputs_Sales'!F12 * '02_Inputs_Sales'!H5 * (1.005^42)</f>
        <v>0</v>
      </c>
      <c r="AS9" s="7">
        <f>'02_Inputs_Sales'!F12 * '02_Inputs_Sales'!I5 * (1.005^43)</f>
        <v>0</v>
      </c>
      <c r="AT9" s="7">
        <f>'02_Inputs_Sales'!F12 * '02_Inputs_Sales'!J5 * (1.005^44)</f>
        <v>0</v>
      </c>
      <c r="AU9" s="7">
        <f>'02_Inputs_Sales'!F12 * '02_Inputs_Sales'!K5 * (1.005^45)</f>
        <v>0</v>
      </c>
      <c r="AV9" s="7">
        <f>'02_Inputs_Sales'!F12 * '02_Inputs_Sales'!L5 * (1.005^46)</f>
        <v>0</v>
      </c>
      <c r="AW9" s="7">
        <f>'02_Inputs_Sales'!F12 * '02_Inputs_Sales'!M5 * (1.005^47)</f>
        <v>0</v>
      </c>
      <c r="AX9" s="7">
        <f>'02_Inputs_Sales'!F12 * '02_Inputs_Sales'!B5 * (1.005^48)</f>
        <v>0</v>
      </c>
      <c r="AY9" s="7">
        <f>'02_Inputs_Sales'!F12 * '02_Inputs_Sales'!C5 * (1.005^49)</f>
        <v>0</v>
      </c>
      <c r="AZ9" s="7">
        <f>'02_Inputs_Sales'!F12 * '02_Inputs_Sales'!D5 * (1.005^50)</f>
        <v>0</v>
      </c>
      <c r="BA9" s="7">
        <f>'02_Inputs_Sales'!F12 * '02_Inputs_Sales'!E5 * (1.005^51)</f>
        <v>0</v>
      </c>
      <c r="BB9" s="7">
        <f>'02_Inputs_Sales'!F12 * '02_Inputs_Sales'!F5 * (1.005^52)</f>
        <v>0</v>
      </c>
      <c r="BC9" s="7">
        <f>'02_Inputs_Sales'!F12 * '02_Inputs_Sales'!G5 * (1.005^53)</f>
        <v>0</v>
      </c>
      <c r="BD9" s="7">
        <f>'02_Inputs_Sales'!F12 * '02_Inputs_Sales'!H5 * (1.005^54)</f>
        <v>0</v>
      </c>
      <c r="BE9" s="7">
        <f>'02_Inputs_Sales'!F12 * '02_Inputs_Sales'!I5 * (1.005^55)</f>
        <v>0</v>
      </c>
      <c r="BF9" s="7">
        <f>'02_Inputs_Sales'!F12 * '02_Inputs_Sales'!J5 * (1.005^56)</f>
        <v>0</v>
      </c>
      <c r="BG9" s="7">
        <f>'02_Inputs_Sales'!F12 * '02_Inputs_Sales'!K5 * (1.005^57)</f>
        <v>0</v>
      </c>
      <c r="BH9" s="7">
        <f>'02_Inputs_Sales'!F12 * '02_Inputs_Sales'!L5 * (1.005^58)</f>
        <v>0</v>
      </c>
      <c r="BI9" s="7">
        <f>'02_Inputs_Sales'!F12 * '02_Inputs_Sales'!M5 * (1.005^59)</f>
        <v>0</v>
      </c>
    </row>
    <row r="10" spans="1:61">
      <c r="A10" s="4" t="s">
        <v>35</v>
      </c>
      <c r="B10" s="7">
        <f>'02_Inputs_Sales'!F13 * '02_Inputs_Sales'!B5 * (1.005^0)</f>
        <v>0</v>
      </c>
      <c r="C10" s="7">
        <f>'02_Inputs_Sales'!F13 * '02_Inputs_Sales'!C5 * (1.005^1)</f>
        <v>0</v>
      </c>
      <c r="D10" s="7">
        <f>'02_Inputs_Sales'!F13 * '02_Inputs_Sales'!D5 * (1.005^2)</f>
        <v>0</v>
      </c>
      <c r="E10" s="7">
        <f>'02_Inputs_Sales'!F13 * '02_Inputs_Sales'!E5 * (1.005^3)</f>
        <v>0</v>
      </c>
      <c r="F10" s="7">
        <f>'02_Inputs_Sales'!F13 * '02_Inputs_Sales'!F5 * (1.005^4)</f>
        <v>0</v>
      </c>
      <c r="G10" s="7">
        <f>'02_Inputs_Sales'!F13 * '02_Inputs_Sales'!G5 * (1.005^5)</f>
        <v>0</v>
      </c>
      <c r="H10" s="7">
        <f>'02_Inputs_Sales'!F13 * '02_Inputs_Sales'!H5 * (1.005^6)</f>
        <v>0</v>
      </c>
      <c r="I10" s="7">
        <f>'02_Inputs_Sales'!F13 * '02_Inputs_Sales'!I5 * (1.005^7)</f>
        <v>0</v>
      </c>
      <c r="J10" s="7">
        <f>'02_Inputs_Sales'!F13 * '02_Inputs_Sales'!J5 * (1.005^8)</f>
        <v>0</v>
      </c>
      <c r="K10" s="7">
        <f>'02_Inputs_Sales'!F13 * '02_Inputs_Sales'!K5 * (1.005^9)</f>
        <v>0</v>
      </c>
      <c r="L10" s="7">
        <f>'02_Inputs_Sales'!F13 * '02_Inputs_Sales'!L5 * (1.005^10)</f>
        <v>0</v>
      </c>
      <c r="M10" s="7">
        <f>'02_Inputs_Sales'!F13 * '02_Inputs_Sales'!M5 * (1.005^11)</f>
        <v>0</v>
      </c>
      <c r="N10" s="7">
        <f>'02_Inputs_Sales'!F13 * '02_Inputs_Sales'!B5 * (1.005^12)</f>
        <v>0</v>
      </c>
      <c r="O10" s="7">
        <f>'02_Inputs_Sales'!F13 * '02_Inputs_Sales'!C5 * (1.005^13)</f>
        <v>0</v>
      </c>
      <c r="P10" s="7">
        <f>'02_Inputs_Sales'!F13 * '02_Inputs_Sales'!D5 * (1.005^14)</f>
        <v>0</v>
      </c>
      <c r="Q10" s="7">
        <f>'02_Inputs_Sales'!F13 * '02_Inputs_Sales'!E5 * (1.005^15)</f>
        <v>0</v>
      </c>
      <c r="R10" s="7">
        <f>'02_Inputs_Sales'!F13 * '02_Inputs_Sales'!F5 * (1.005^16)</f>
        <v>0</v>
      </c>
      <c r="S10" s="7">
        <f>'02_Inputs_Sales'!F13 * '02_Inputs_Sales'!G5 * (1.005^17)</f>
        <v>0</v>
      </c>
      <c r="T10" s="7">
        <f>'02_Inputs_Sales'!F13 * '02_Inputs_Sales'!H5 * (1.005^18)</f>
        <v>0</v>
      </c>
      <c r="U10" s="7">
        <f>'02_Inputs_Sales'!F13 * '02_Inputs_Sales'!I5 * (1.005^19)</f>
        <v>0</v>
      </c>
      <c r="V10" s="7">
        <f>'02_Inputs_Sales'!F13 * '02_Inputs_Sales'!J5 * (1.005^20)</f>
        <v>0</v>
      </c>
      <c r="W10" s="7">
        <f>'02_Inputs_Sales'!F13 * '02_Inputs_Sales'!K5 * (1.005^21)</f>
        <v>0</v>
      </c>
      <c r="X10" s="7">
        <f>'02_Inputs_Sales'!F13 * '02_Inputs_Sales'!L5 * (1.005^22)</f>
        <v>0</v>
      </c>
      <c r="Y10" s="7">
        <f>'02_Inputs_Sales'!F13 * '02_Inputs_Sales'!M5 * (1.005^23)</f>
        <v>0</v>
      </c>
      <c r="Z10" s="7">
        <f>'02_Inputs_Sales'!F13 * '02_Inputs_Sales'!B5 * (1.005^24)</f>
        <v>0</v>
      </c>
      <c r="AA10" s="7">
        <f>'02_Inputs_Sales'!F13 * '02_Inputs_Sales'!C5 * (1.005^25)</f>
        <v>0</v>
      </c>
      <c r="AB10" s="7">
        <f>'02_Inputs_Sales'!F13 * '02_Inputs_Sales'!D5 * (1.005^26)</f>
        <v>0</v>
      </c>
      <c r="AC10" s="7">
        <f>'02_Inputs_Sales'!F13 * '02_Inputs_Sales'!E5 * (1.005^27)</f>
        <v>0</v>
      </c>
      <c r="AD10" s="7">
        <f>'02_Inputs_Sales'!F13 * '02_Inputs_Sales'!F5 * (1.005^28)</f>
        <v>0</v>
      </c>
      <c r="AE10" s="7">
        <f>'02_Inputs_Sales'!F13 * '02_Inputs_Sales'!G5 * (1.005^29)</f>
        <v>0</v>
      </c>
      <c r="AF10" s="7">
        <f>'02_Inputs_Sales'!F13 * '02_Inputs_Sales'!H5 * (1.005^30)</f>
        <v>0</v>
      </c>
      <c r="AG10" s="7">
        <f>'02_Inputs_Sales'!F13 * '02_Inputs_Sales'!I5 * (1.005^31)</f>
        <v>0</v>
      </c>
      <c r="AH10" s="7">
        <f>'02_Inputs_Sales'!F13 * '02_Inputs_Sales'!J5 * (1.005^32)</f>
        <v>0</v>
      </c>
      <c r="AI10" s="7">
        <f>'02_Inputs_Sales'!F13 * '02_Inputs_Sales'!K5 * (1.005^33)</f>
        <v>0</v>
      </c>
      <c r="AJ10" s="7">
        <f>'02_Inputs_Sales'!F13 * '02_Inputs_Sales'!L5 * (1.005^34)</f>
        <v>0</v>
      </c>
      <c r="AK10" s="7">
        <f>'02_Inputs_Sales'!F13 * '02_Inputs_Sales'!M5 * (1.005^35)</f>
        <v>0</v>
      </c>
      <c r="AL10" s="7">
        <f>'02_Inputs_Sales'!F13 * '02_Inputs_Sales'!B5 * (1.005^36)</f>
        <v>0</v>
      </c>
      <c r="AM10" s="7">
        <f>'02_Inputs_Sales'!F13 * '02_Inputs_Sales'!C5 * (1.005^37)</f>
        <v>0</v>
      </c>
      <c r="AN10" s="7">
        <f>'02_Inputs_Sales'!F13 * '02_Inputs_Sales'!D5 * (1.005^38)</f>
        <v>0</v>
      </c>
      <c r="AO10" s="7">
        <f>'02_Inputs_Sales'!F13 * '02_Inputs_Sales'!E5 * (1.005^39)</f>
        <v>0</v>
      </c>
      <c r="AP10" s="7">
        <f>'02_Inputs_Sales'!F13 * '02_Inputs_Sales'!F5 * (1.005^40)</f>
        <v>0</v>
      </c>
      <c r="AQ10" s="7">
        <f>'02_Inputs_Sales'!F13 * '02_Inputs_Sales'!G5 * (1.005^41)</f>
        <v>0</v>
      </c>
      <c r="AR10" s="7">
        <f>'02_Inputs_Sales'!F13 * '02_Inputs_Sales'!H5 * (1.005^42)</f>
        <v>0</v>
      </c>
      <c r="AS10" s="7">
        <f>'02_Inputs_Sales'!F13 * '02_Inputs_Sales'!I5 * (1.005^43)</f>
        <v>0</v>
      </c>
      <c r="AT10" s="7">
        <f>'02_Inputs_Sales'!F13 * '02_Inputs_Sales'!J5 * (1.005^44)</f>
        <v>0</v>
      </c>
      <c r="AU10" s="7">
        <f>'02_Inputs_Sales'!F13 * '02_Inputs_Sales'!K5 * (1.005^45)</f>
        <v>0</v>
      </c>
      <c r="AV10" s="7">
        <f>'02_Inputs_Sales'!F13 * '02_Inputs_Sales'!L5 * (1.005^46)</f>
        <v>0</v>
      </c>
      <c r="AW10" s="7">
        <f>'02_Inputs_Sales'!F13 * '02_Inputs_Sales'!M5 * (1.005^47)</f>
        <v>0</v>
      </c>
      <c r="AX10" s="7">
        <f>'02_Inputs_Sales'!F13 * '02_Inputs_Sales'!B5 * (1.005^48)</f>
        <v>0</v>
      </c>
      <c r="AY10" s="7">
        <f>'02_Inputs_Sales'!F13 * '02_Inputs_Sales'!C5 * (1.005^49)</f>
        <v>0</v>
      </c>
      <c r="AZ10" s="7">
        <f>'02_Inputs_Sales'!F13 * '02_Inputs_Sales'!D5 * (1.005^50)</f>
        <v>0</v>
      </c>
      <c r="BA10" s="7">
        <f>'02_Inputs_Sales'!F13 * '02_Inputs_Sales'!E5 * (1.005^51)</f>
        <v>0</v>
      </c>
      <c r="BB10" s="7">
        <f>'02_Inputs_Sales'!F13 * '02_Inputs_Sales'!F5 * (1.005^52)</f>
        <v>0</v>
      </c>
      <c r="BC10" s="7">
        <f>'02_Inputs_Sales'!F13 * '02_Inputs_Sales'!G5 * (1.005^53)</f>
        <v>0</v>
      </c>
      <c r="BD10" s="7">
        <f>'02_Inputs_Sales'!F13 * '02_Inputs_Sales'!H5 * (1.005^54)</f>
        <v>0</v>
      </c>
      <c r="BE10" s="7">
        <f>'02_Inputs_Sales'!F13 * '02_Inputs_Sales'!I5 * (1.005^55)</f>
        <v>0</v>
      </c>
      <c r="BF10" s="7">
        <f>'02_Inputs_Sales'!F13 * '02_Inputs_Sales'!J5 * (1.005^56)</f>
        <v>0</v>
      </c>
      <c r="BG10" s="7">
        <f>'02_Inputs_Sales'!F13 * '02_Inputs_Sales'!K5 * (1.005^57)</f>
        <v>0</v>
      </c>
      <c r="BH10" s="7">
        <f>'02_Inputs_Sales'!F13 * '02_Inputs_Sales'!L5 * (1.005^58)</f>
        <v>0</v>
      </c>
      <c r="BI10" s="7">
        <f>'02_Inputs_Sales'!F13 * '02_Inputs_Sales'!M5 * (1.005^59)</f>
        <v>0</v>
      </c>
    </row>
    <row r="11" spans="1:61">
      <c r="A11" s="4" t="s">
        <v>36</v>
      </c>
      <c r="B11" s="7">
        <f>'02_Inputs_Sales'!F14 * '02_Inputs_Sales'!B5 * (1.005^0)</f>
        <v>0</v>
      </c>
      <c r="C11" s="7">
        <f>'02_Inputs_Sales'!F14 * '02_Inputs_Sales'!C5 * (1.005^1)</f>
        <v>0</v>
      </c>
      <c r="D11" s="7">
        <f>'02_Inputs_Sales'!F14 * '02_Inputs_Sales'!D5 * (1.005^2)</f>
        <v>0</v>
      </c>
      <c r="E11" s="7">
        <f>'02_Inputs_Sales'!F14 * '02_Inputs_Sales'!E5 * (1.005^3)</f>
        <v>0</v>
      </c>
      <c r="F11" s="7">
        <f>'02_Inputs_Sales'!F14 * '02_Inputs_Sales'!F5 * (1.005^4)</f>
        <v>0</v>
      </c>
      <c r="G11" s="7">
        <f>'02_Inputs_Sales'!F14 * '02_Inputs_Sales'!G5 * (1.005^5)</f>
        <v>0</v>
      </c>
      <c r="H11" s="7">
        <f>'02_Inputs_Sales'!F14 * '02_Inputs_Sales'!H5 * (1.005^6)</f>
        <v>0</v>
      </c>
      <c r="I11" s="7">
        <f>'02_Inputs_Sales'!F14 * '02_Inputs_Sales'!I5 * (1.005^7)</f>
        <v>0</v>
      </c>
      <c r="J11" s="7">
        <f>'02_Inputs_Sales'!F14 * '02_Inputs_Sales'!J5 * (1.005^8)</f>
        <v>0</v>
      </c>
      <c r="K11" s="7">
        <f>'02_Inputs_Sales'!F14 * '02_Inputs_Sales'!K5 * (1.005^9)</f>
        <v>0</v>
      </c>
      <c r="L11" s="7">
        <f>'02_Inputs_Sales'!F14 * '02_Inputs_Sales'!L5 * (1.005^10)</f>
        <v>0</v>
      </c>
      <c r="M11" s="7">
        <f>'02_Inputs_Sales'!F14 * '02_Inputs_Sales'!M5 * (1.005^11)</f>
        <v>0</v>
      </c>
      <c r="N11" s="7">
        <f>'02_Inputs_Sales'!F14 * '02_Inputs_Sales'!B5 * (1.005^12)</f>
        <v>0</v>
      </c>
      <c r="O11" s="7">
        <f>'02_Inputs_Sales'!F14 * '02_Inputs_Sales'!C5 * (1.005^13)</f>
        <v>0</v>
      </c>
      <c r="P11" s="7">
        <f>'02_Inputs_Sales'!F14 * '02_Inputs_Sales'!D5 * (1.005^14)</f>
        <v>0</v>
      </c>
      <c r="Q11" s="7">
        <f>'02_Inputs_Sales'!F14 * '02_Inputs_Sales'!E5 * (1.005^15)</f>
        <v>0</v>
      </c>
      <c r="R11" s="7">
        <f>'02_Inputs_Sales'!F14 * '02_Inputs_Sales'!F5 * (1.005^16)</f>
        <v>0</v>
      </c>
      <c r="S11" s="7">
        <f>'02_Inputs_Sales'!F14 * '02_Inputs_Sales'!G5 * (1.005^17)</f>
        <v>0</v>
      </c>
      <c r="T11" s="7">
        <f>'02_Inputs_Sales'!F14 * '02_Inputs_Sales'!H5 * (1.005^18)</f>
        <v>0</v>
      </c>
      <c r="U11" s="7">
        <f>'02_Inputs_Sales'!F14 * '02_Inputs_Sales'!I5 * (1.005^19)</f>
        <v>0</v>
      </c>
      <c r="V11" s="7">
        <f>'02_Inputs_Sales'!F14 * '02_Inputs_Sales'!J5 * (1.005^20)</f>
        <v>0</v>
      </c>
      <c r="W11" s="7">
        <f>'02_Inputs_Sales'!F14 * '02_Inputs_Sales'!K5 * (1.005^21)</f>
        <v>0</v>
      </c>
      <c r="X11" s="7">
        <f>'02_Inputs_Sales'!F14 * '02_Inputs_Sales'!L5 * (1.005^22)</f>
        <v>0</v>
      </c>
      <c r="Y11" s="7">
        <f>'02_Inputs_Sales'!F14 * '02_Inputs_Sales'!M5 * (1.005^23)</f>
        <v>0</v>
      </c>
      <c r="Z11" s="7">
        <f>'02_Inputs_Sales'!F14 * '02_Inputs_Sales'!B5 * (1.005^24)</f>
        <v>0</v>
      </c>
      <c r="AA11" s="7">
        <f>'02_Inputs_Sales'!F14 * '02_Inputs_Sales'!C5 * (1.005^25)</f>
        <v>0</v>
      </c>
      <c r="AB11" s="7">
        <f>'02_Inputs_Sales'!F14 * '02_Inputs_Sales'!D5 * (1.005^26)</f>
        <v>0</v>
      </c>
      <c r="AC11" s="7">
        <f>'02_Inputs_Sales'!F14 * '02_Inputs_Sales'!E5 * (1.005^27)</f>
        <v>0</v>
      </c>
      <c r="AD11" s="7">
        <f>'02_Inputs_Sales'!F14 * '02_Inputs_Sales'!F5 * (1.005^28)</f>
        <v>0</v>
      </c>
      <c r="AE11" s="7">
        <f>'02_Inputs_Sales'!F14 * '02_Inputs_Sales'!G5 * (1.005^29)</f>
        <v>0</v>
      </c>
      <c r="AF11" s="7">
        <f>'02_Inputs_Sales'!F14 * '02_Inputs_Sales'!H5 * (1.005^30)</f>
        <v>0</v>
      </c>
      <c r="AG11" s="7">
        <f>'02_Inputs_Sales'!F14 * '02_Inputs_Sales'!I5 * (1.005^31)</f>
        <v>0</v>
      </c>
      <c r="AH11" s="7">
        <f>'02_Inputs_Sales'!F14 * '02_Inputs_Sales'!J5 * (1.005^32)</f>
        <v>0</v>
      </c>
      <c r="AI11" s="7">
        <f>'02_Inputs_Sales'!F14 * '02_Inputs_Sales'!K5 * (1.005^33)</f>
        <v>0</v>
      </c>
      <c r="AJ11" s="7">
        <f>'02_Inputs_Sales'!F14 * '02_Inputs_Sales'!L5 * (1.005^34)</f>
        <v>0</v>
      </c>
      <c r="AK11" s="7">
        <f>'02_Inputs_Sales'!F14 * '02_Inputs_Sales'!M5 * (1.005^35)</f>
        <v>0</v>
      </c>
      <c r="AL11" s="7">
        <f>'02_Inputs_Sales'!F14 * '02_Inputs_Sales'!B5 * (1.005^36)</f>
        <v>0</v>
      </c>
      <c r="AM11" s="7">
        <f>'02_Inputs_Sales'!F14 * '02_Inputs_Sales'!C5 * (1.005^37)</f>
        <v>0</v>
      </c>
      <c r="AN11" s="7">
        <f>'02_Inputs_Sales'!F14 * '02_Inputs_Sales'!D5 * (1.005^38)</f>
        <v>0</v>
      </c>
      <c r="AO11" s="7">
        <f>'02_Inputs_Sales'!F14 * '02_Inputs_Sales'!E5 * (1.005^39)</f>
        <v>0</v>
      </c>
      <c r="AP11" s="7">
        <f>'02_Inputs_Sales'!F14 * '02_Inputs_Sales'!F5 * (1.005^40)</f>
        <v>0</v>
      </c>
      <c r="AQ11" s="7">
        <f>'02_Inputs_Sales'!F14 * '02_Inputs_Sales'!G5 * (1.005^41)</f>
        <v>0</v>
      </c>
      <c r="AR11" s="7">
        <f>'02_Inputs_Sales'!F14 * '02_Inputs_Sales'!H5 * (1.005^42)</f>
        <v>0</v>
      </c>
      <c r="AS11" s="7">
        <f>'02_Inputs_Sales'!F14 * '02_Inputs_Sales'!I5 * (1.005^43)</f>
        <v>0</v>
      </c>
      <c r="AT11" s="7">
        <f>'02_Inputs_Sales'!F14 * '02_Inputs_Sales'!J5 * (1.005^44)</f>
        <v>0</v>
      </c>
      <c r="AU11" s="7">
        <f>'02_Inputs_Sales'!F14 * '02_Inputs_Sales'!K5 * (1.005^45)</f>
        <v>0</v>
      </c>
      <c r="AV11" s="7">
        <f>'02_Inputs_Sales'!F14 * '02_Inputs_Sales'!L5 * (1.005^46)</f>
        <v>0</v>
      </c>
      <c r="AW11" s="7">
        <f>'02_Inputs_Sales'!F14 * '02_Inputs_Sales'!M5 * (1.005^47)</f>
        <v>0</v>
      </c>
      <c r="AX11" s="7">
        <f>'02_Inputs_Sales'!F14 * '02_Inputs_Sales'!B5 * (1.005^48)</f>
        <v>0</v>
      </c>
      <c r="AY11" s="7">
        <f>'02_Inputs_Sales'!F14 * '02_Inputs_Sales'!C5 * (1.005^49)</f>
        <v>0</v>
      </c>
      <c r="AZ11" s="7">
        <f>'02_Inputs_Sales'!F14 * '02_Inputs_Sales'!D5 * (1.005^50)</f>
        <v>0</v>
      </c>
      <c r="BA11" s="7">
        <f>'02_Inputs_Sales'!F14 * '02_Inputs_Sales'!E5 * (1.005^51)</f>
        <v>0</v>
      </c>
      <c r="BB11" s="7">
        <f>'02_Inputs_Sales'!F14 * '02_Inputs_Sales'!F5 * (1.005^52)</f>
        <v>0</v>
      </c>
      <c r="BC11" s="7">
        <f>'02_Inputs_Sales'!F14 * '02_Inputs_Sales'!G5 * (1.005^53)</f>
        <v>0</v>
      </c>
      <c r="BD11" s="7">
        <f>'02_Inputs_Sales'!F14 * '02_Inputs_Sales'!H5 * (1.005^54)</f>
        <v>0</v>
      </c>
      <c r="BE11" s="7">
        <f>'02_Inputs_Sales'!F14 * '02_Inputs_Sales'!I5 * (1.005^55)</f>
        <v>0</v>
      </c>
      <c r="BF11" s="7">
        <f>'02_Inputs_Sales'!F14 * '02_Inputs_Sales'!J5 * (1.005^56)</f>
        <v>0</v>
      </c>
      <c r="BG11" s="7">
        <f>'02_Inputs_Sales'!F14 * '02_Inputs_Sales'!K5 * (1.005^57)</f>
        <v>0</v>
      </c>
      <c r="BH11" s="7">
        <f>'02_Inputs_Sales'!F14 * '02_Inputs_Sales'!L5 * (1.005^58)</f>
        <v>0</v>
      </c>
      <c r="BI11" s="7">
        <f>'02_Inputs_Sales'!F14 * '02_Inputs_Sales'!M5 * (1.005^59)</f>
        <v>0</v>
      </c>
    </row>
    <row r="12" spans="1:61">
      <c r="A12" s="4" t="s">
        <v>37</v>
      </c>
      <c r="B12" s="7">
        <f>'02_Inputs_Sales'!F15 * '02_Inputs_Sales'!B5 * (1.005^0)</f>
        <v>0</v>
      </c>
      <c r="C12" s="7">
        <f>'02_Inputs_Sales'!F15 * '02_Inputs_Sales'!C5 * (1.005^1)</f>
        <v>0</v>
      </c>
      <c r="D12" s="7">
        <f>'02_Inputs_Sales'!F15 * '02_Inputs_Sales'!D5 * (1.005^2)</f>
        <v>0</v>
      </c>
      <c r="E12" s="7">
        <f>'02_Inputs_Sales'!F15 * '02_Inputs_Sales'!E5 * (1.005^3)</f>
        <v>0</v>
      </c>
      <c r="F12" s="7">
        <f>'02_Inputs_Sales'!F15 * '02_Inputs_Sales'!F5 * (1.005^4)</f>
        <v>0</v>
      </c>
      <c r="G12" s="7">
        <f>'02_Inputs_Sales'!F15 * '02_Inputs_Sales'!G5 * (1.005^5)</f>
        <v>0</v>
      </c>
      <c r="H12" s="7">
        <f>'02_Inputs_Sales'!F15 * '02_Inputs_Sales'!H5 * (1.005^6)</f>
        <v>0</v>
      </c>
      <c r="I12" s="7">
        <f>'02_Inputs_Sales'!F15 * '02_Inputs_Sales'!I5 * (1.005^7)</f>
        <v>0</v>
      </c>
      <c r="J12" s="7">
        <f>'02_Inputs_Sales'!F15 * '02_Inputs_Sales'!J5 * (1.005^8)</f>
        <v>0</v>
      </c>
      <c r="K12" s="7">
        <f>'02_Inputs_Sales'!F15 * '02_Inputs_Sales'!K5 * (1.005^9)</f>
        <v>0</v>
      </c>
      <c r="L12" s="7">
        <f>'02_Inputs_Sales'!F15 * '02_Inputs_Sales'!L5 * (1.005^10)</f>
        <v>0</v>
      </c>
      <c r="M12" s="7">
        <f>'02_Inputs_Sales'!F15 * '02_Inputs_Sales'!M5 * (1.005^11)</f>
        <v>0</v>
      </c>
      <c r="N12" s="7">
        <f>'02_Inputs_Sales'!F15 * '02_Inputs_Sales'!B5 * (1.005^12)</f>
        <v>0</v>
      </c>
      <c r="O12" s="7">
        <f>'02_Inputs_Sales'!F15 * '02_Inputs_Sales'!C5 * (1.005^13)</f>
        <v>0</v>
      </c>
      <c r="P12" s="7">
        <f>'02_Inputs_Sales'!F15 * '02_Inputs_Sales'!D5 * (1.005^14)</f>
        <v>0</v>
      </c>
      <c r="Q12" s="7">
        <f>'02_Inputs_Sales'!F15 * '02_Inputs_Sales'!E5 * (1.005^15)</f>
        <v>0</v>
      </c>
      <c r="R12" s="7">
        <f>'02_Inputs_Sales'!F15 * '02_Inputs_Sales'!F5 * (1.005^16)</f>
        <v>0</v>
      </c>
      <c r="S12" s="7">
        <f>'02_Inputs_Sales'!F15 * '02_Inputs_Sales'!G5 * (1.005^17)</f>
        <v>0</v>
      </c>
      <c r="T12" s="7">
        <f>'02_Inputs_Sales'!F15 * '02_Inputs_Sales'!H5 * (1.005^18)</f>
        <v>0</v>
      </c>
      <c r="U12" s="7">
        <f>'02_Inputs_Sales'!F15 * '02_Inputs_Sales'!I5 * (1.005^19)</f>
        <v>0</v>
      </c>
      <c r="V12" s="7">
        <f>'02_Inputs_Sales'!F15 * '02_Inputs_Sales'!J5 * (1.005^20)</f>
        <v>0</v>
      </c>
      <c r="W12" s="7">
        <f>'02_Inputs_Sales'!F15 * '02_Inputs_Sales'!K5 * (1.005^21)</f>
        <v>0</v>
      </c>
      <c r="X12" s="7">
        <f>'02_Inputs_Sales'!F15 * '02_Inputs_Sales'!L5 * (1.005^22)</f>
        <v>0</v>
      </c>
      <c r="Y12" s="7">
        <f>'02_Inputs_Sales'!F15 * '02_Inputs_Sales'!M5 * (1.005^23)</f>
        <v>0</v>
      </c>
      <c r="Z12" s="7">
        <f>'02_Inputs_Sales'!F15 * '02_Inputs_Sales'!B5 * (1.005^24)</f>
        <v>0</v>
      </c>
      <c r="AA12" s="7">
        <f>'02_Inputs_Sales'!F15 * '02_Inputs_Sales'!C5 * (1.005^25)</f>
        <v>0</v>
      </c>
      <c r="AB12" s="7">
        <f>'02_Inputs_Sales'!F15 * '02_Inputs_Sales'!D5 * (1.005^26)</f>
        <v>0</v>
      </c>
      <c r="AC12" s="7">
        <f>'02_Inputs_Sales'!F15 * '02_Inputs_Sales'!E5 * (1.005^27)</f>
        <v>0</v>
      </c>
      <c r="AD12" s="7">
        <f>'02_Inputs_Sales'!F15 * '02_Inputs_Sales'!F5 * (1.005^28)</f>
        <v>0</v>
      </c>
      <c r="AE12" s="7">
        <f>'02_Inputs_Sales'!F15 * '02_Inputs_Sales'!G5 * (1.005^29)</f>
        <v>0</v>
      </c>
      <c r="AF12" s="7">
        <f>'02_Inputs_Sales'!F15 * '02_Inputs_Sales'!H5 * (1.005^30)</f>
        <v>0</v>
      </c>
      <c r="AG12" s="7">
        <f>'02_Inputs_Sales'!F15 * '02_Inputs_Sales'!I5 * (1.005^31)</f>
        <v>0</v>
      </c>
      <c r="AH12" s="7">
        <f>'02_Inputs_Sales'!F15 * '02_Inputs_Sales'!J5 * (1.005^32)</f>
        <v>0</v>
      </c>
      <c r="AI12" s="7">
        <f>'02_Inputs_Sales'!F15 * '02_Inputs_Sales'!K5 * (1.005^33)</f>
        <v>0</v>
      </c>
      <c r="AJ12" s="7">
        <f>'02_Inputs_Sales'!F15 * '02_Inputs_Sales'!L5 * (1.005^34)</f>
        <v>0</v>
      </c>
      <c r="AK12" s="7">
        <f>'02_Inputs_Sales'!F15 * '02_Inputs_Sales'!M5 * (1.005^35)</f>
        <v>0</v>
      </c>
      <c r="AL12" s="7">
        <f>'02_Inputs_Sales'!F15 * '02_Inputs_Sales'!B5 * (1.005^36)</f>
        <v>0</v>
      </c>
      <c r="AM12" s="7">
        <f>'02_Inputs_Sales'!F15 * '02_Inputs_Sales'!C5 * (1.005^37)</f>
        <v>0</v>
      </c>
      <c r="AN12" s="7">
        <f>'02_Inputs_Sales'!F15 * '02_Inputs_Sales'!D5 * (1.005^38)</f>
        <v>0</v>
      </c>
      <c r="AO12" s="7">
        <f>'02_Inputs_Sales'!F15 * '02_Inputs_Sales'!E5 * (1.005^39)</f>
        <v>0</v>
      </c>
      <c r="AP12" s="7">
        <f>'02_Inputs_Sales'!F15 * '02_Inputs_Sales'!F5 * (1.005^40)</f>
        <v>0</v>
      </c>
      <c r="AQ12" s="7">
        <f>'02_Inputs_Sales'!F15 * '02_Inputs_Sales'!G5 * (1.005^41)</f>
        <v>0</v>
      </c>
      <c r="AR12" s="7">
        <f>'02_Inputs_Sales'!F15 * '02_Inputs_Sales'!H5 * (1.005^42)</f>
        <v>0</v>
      </c>
      <c r="AS12" s="7">
        <f>'02_Inputs_Sales'!F15 * '02_Inputs_Sales'!I5 * (1.005^43)</f>
        <v>0</v>
      </c>
      <c r="AT12" s="7">
        <f>'02_Inputs_Sales'!F15 * '02_Inputs_Sales'!J5 * (1.005^44)</f>
        <v>0</v>
      </c>
      <c r="AU12" s="7">
        <f>'02_Inputs_Sales'!F15 * '02_Inputs_Sales'!K5 * (1.005^45)</f>
        <v>0</v>
      </c>
      <c r="AV12" s="7">
        <f>'02_Inputs_Sales'!F15 * '02_Inputs_Sales'!L5 * (1.005^46)</f>
        <v>0</v>
      </c>
      <c r="AW12" s="7">
        <f>'02_Inputs_Sales'!F15 * '02_Inputs_Sales'!M5 * (1.005^47)</f>
        <v>0</v>
      </c>
      <c r="AX12" s="7">
        <f>'02_Inputs_Sales'!F15 * '02_Inputs_Sales'!B5 * (1.005^48)</f>
        <v>0</v>
      </c>
      <c r="AY12" s="7">
        <f>'02_Inputs_Sales'!F15 * '02_Inputs_Sales'!C5 * (1.005^49)</f>
        <v>0</v>
      </c>
      <c r="AZ12" s="7">
        <f>'02_Inputs_Sales'!F15 * '02_Inputs_Sales'!D5 * (1.005^50)</f>
        <v>0</v>
      </c>
      <c r="BA12" s="7">
        <f>'02_Inputs_Sales'!F15 * '02_Inputs_Sales'!E5 * (1.005^51)</f>
        <v>0</v>
      </c>
      <c r="BB12" s="7">
        <f>'02_Inputs_Sales'!F15 * '02_Inputs_Sales'!F5 * (1.005^52)</f>
        <v>0</v>
      </c>
      <c r="BC12" s="7">
        <f>'02_Inputs_Sales'!F15 * '02_Inputs_Sales'!G5 * (1.005^53)</f>
        <v>0</v>
      </c>
      <c r="BD12" s="7">
        <f>'02_Inputs_Sales'!F15 * '02_Inputs_Sales'!H5 * (1.005^54)</f>
        <v>0</v>
      </c>
      <c r="BE12" s="7">
        <f>'02_Inputs_Sales'!F15 * '02_Inputs_Sales'!I5 * (1.005^55)</f>
        <v>0</v>
      </c>
      <c r="BF12" s="7">
        <f>'02_Inputs_Sales'!F15 * '02_Inputs_Sales'!J5 * (1.005^56)</f>
        <v>0</v>
      </c>
      <c r="BG12" s="7">
        <f>'02_Inputs_Sales'!F15 * '02_Inputs_Sales'!K5 * (1.005^57)</f>
        <v>0</v>
      </c>
      <c r="BH12" s="7">
        <f>'02_Inputs_Sales'!F15 * '02_Inputs_Sales'!L5 * (1.005^58)</f>
        <v>0</v>
      </c>
      <c r="BI12" s="7">
        <f>'02_Inputs_Sales'!F15 * '02_Inputs_Sales'!M5 * (1.005^59)</f>
        <v>0</v>
      </c>
    </row>
    <row r="13" spans="1:61">
      <c r="A13" s="4" t="s">
        <v>38</v>
      </c>
      <c r="B13" s="7">
        <f>'02_Inputs_Sales'!F16 * '02_Inputs_Sales'!B5 * (1.005^0)</f>
        <v>0</v>
      </c>
      <c r="C13" s="7">
        <f>'02_Inputs_Sales'!F16 * '02_Inputs_Sales'!C5 * (1.005^1)</f>
        <v>0</v>
      </c>
      <c r="D13" s="7">
        <f>'02_Inputs_Sales'!F16 * '02_Inputs_Sales'!D5 * (1.005^2)</f>
        <v>0</v>
      </c>
      <c r="E13" s="7">
        <f>'02_Inputs_Sales'!F16 * '02_Inputs_Sales'!E5 * (1.005^3)</f>
        <v>0</v>
      </c>
      <c r="F13" s="7">
        <f>'02_Inputs_Sales'!F16 * '02_Inputs_Sales'!F5 * (1.005^4)</f>
        <v>0</v>
      </c>
      <c r="G13" s="7">
        <f>'02_Inputs_Sales'!F16 * '02_Inputs_Sales'!G5 * (1.005^5)</f>
        <v>0</v>
      </c>
      <c r="H13" s="7">
        <f>'02_Inputs_Sales'!F16 * '02_Inputs_Sales'!H5 * (1.005^6)</f>
        <v>0</v>
      </c>
      <c r="I13" s="7">
        <f>'02_Inputs_Sales'!F16 * '02_Inputs_Sales'!I5 * (1.005^7)</f>
        <v>0</v>
      </c>
      <c r="J13" s="7">
        <f>'02_Inputs_Sales'!F16 * '02_Inputs_Sales'!J5 * (1.005^8)</f>
        <v>0</v>
      </c>
      <c r="K13" s="7">
        <f>'02_Inputs_Sales'!F16 * '02_Inputs_Sales'!K5 * (1.005^9)</f>
        <v>0</v>
      </c>
      <c r="L13" s="7">
        <f>'02_Inputs_Sales'!F16 * '02_Inputs_Sales'!L5 * (1.005^10)</f>
        <v>0</v>
      </c>
      <c r="M13" s="7">
        <f>'02_Inputs_Sales'!F16 * '02_Inputs_Sales'!M5 * (1.005^11)</f>
        <v>0</v>
      </c>
      <c r="N13" s="7">
        <f>'02_Inputs_Sales'!F16 * '02_Inputs_Sales'!B5 * (1.005^12)</f>
        <v>0</v>
      </c>
      <c r="O13" s="7">
        <f>'02_Inputs_Sales'!F16 * '02_Inputs_Sales'!C5 * (1.005^13)</f>
        <v>0</v>
      </c>
      <c r="P13" s="7">
        <f>'02_Inputs_Sales'!F16 * '02_Inputs_Sales'!D5 * (1.005^14)</f>
        <v>0</v>
      </c>
      <c r="Q13" s="7">
        <f>'02_Inputs_Sales'!F16 * '02_Inputs_Sales'!E5 * (1.005^15)</f>
        <v>0</v>
      </c>
      <c r="R13" s="7">
        <f>'02_Inputs_Sales'!F16 * '02_Inputs_Sales'!F5 * (1.005^16)</f>
        <v>0</v>
      </c>
      <c r="S13" s="7">
        <f>'02_Inputs_Sales'!F16 * '02_Inputs_Sales'!G5 * (1.005^17)</f>
        <v>0</v>
      </c>
      <c r="T13" s="7">
        <f>'02_Inputs_Sales'!F16 * '02_Inputs_Sales'!H5 * (1.005^18)</f>
        <v>0</v>
      </c>
      <c r="U13" s="7">
        <f>'02_Inputs_Sales'!F16 * '02_Inputs_Sales'!I5 * (1.005^19)</f>
        <v>0</v>
      </c>
      <c r="V13" s="7">
        <f>'02_Inputs_Sales'!F16 * '02_Inputs_Sales'!J5 * (1.005^20)</f>
        <v>0</v>
      </c>
      <c r="W13" s="7">
        <f>'02_Inputs_Sales'!F16 * '02_Inputs_Sales'!K5 * (1.005^21)</f>
        <v>0</v>
      </c>
      <c r="X13" s="7">
        <f>'02_Inputs_Sales'!F16 * '02_Inputs_Sales'!L5 * (1.005^22)</f>
        <v>0</v>
      </c>
      <c r="Y13" s="7">
        <f>'02_Inputs_Sales'!F16 * '02_Inputs_Sales'!M5 * (1.005^23)</f>
        <v>0</v>
      </c>
      <c r="Z13" s="7">
        <f>'02_Inputs_Sales'!F16 * '02_Inputs_Sales'!B5 * (1.005^24)</f>
        <v>0</v>
      </c>
      <c r="AA13" s="7">
        <f>'02_Inputs_Sales'!F16 * '02_Inputs_Sales'!C5 * (1.005^25)</f>
        <v>0</v>
      </c>
      <c r="AB13" s="7">
        <f>'02_Inputs_Sales'!F16 * '02_Inputs_Sales'!D5 * (1.005^26)</f>
        <v>0</v>
      </c>
      <c r="AC13" s="7">
        <f>'02_Inputs_Sales'!F16 * '02_Inputs_Sales'!E5 * (1.005^27)</f>
        <v>0</v>
      </c>
      <c r="AD13" s="7">
        <f>'02_Inputs_Sales'!F16 * '02_Inputs_Sales'!F5 * (1.005^28)</f>
        <v>0</v>
      </c>
      <c r="AE13" s="7">
        <f>'02_Inputs_Sales'!F16 * '02_Inputs_Sales'!G5 * (1.005^29)</f>
        <v>0</v>
      </c>
      <c r="AF13" s="7">
        <f>'02_Inputs_Sales'!F16 * '02_Inputs_Sales'!H5 * (1.005^30)</f>
        <v>0</v>
      </c>
      <c r="AG13" s="7">
        <f>'02_Inputs_Sales'!F16 * '02_Inputs_Sales'!I5 * (1.005^31)</f>
        <v>0</v>
      </c>
      <c r="AH13" s="7">
        <f>'02_Inputs_Sales'!F16 * '02_Inputs_Sales'!J5 * (1.005^32)</f>
        <v>0</v>
      </c>
      <c r="AI13" s="7">
        <f>'02_Inputs_Sales'!F16 * '02_Inputs_Sales'!K5 * (1.005^33)</f>
        <v>0</v>
      </c>
      <c r="AJ13" s="7">
        <f>'02_Inputs_Sales'!F16 * '02_Inputs_Sales'!L5 * (1.005^34)</f>
        <v>0</v>
      </c>
      <c r="AK13" s="7">
        <f>'02_Inputs_Sales'!F16 * '02_Inputs_Sales'!M5 * (1.005^35)</f>
        <v>0</v>
      </c>
      <c r="AL13" s="7">
        <f>'02_Inputs_Sales'!F16 * '02_Inputs_Sales'!B5 * (1.005^36)</f>
        <v>0</v>
      </c>
      <c r="AM13" s="7">
        <f>'02_Inputs_Sales'!F16 * '02_Inputs_Sales'!C5 * (1.005^37)</f>
        <v>0</v>
      </c>
      <c r="AN13" s="7">
        <f>'02_Inputs_Sales'!F16 * '02_Inputs_Sales'!D5 * (1.005^38)</f>
        <v>0</v>
      </c>
      <c r="AO13" s="7">
        <f>'02_Inputs_Sales'!F16 * '02_Inputs_Sales'!E5 * (1.005^39)</f>
        <v>0</v>
      </c>
      <c r="AP13" s="7">
        <f>'02_Inputs_Sales'!F16 * '02_Inputs_Sales'!F5 * (1.005^40)</f>
        <v>0</v>
      </c>
      <c r="AQ13" s="7">
        <f>'02_Inputs_Sales'!F16 * '02_Inputs_Sales'!G5 * (1.005^41)</f>
        <v>0</v>
      </c>
      <c r="AR13" s="7">
        <f>'02_Inputs_Sales'!F16 * '02_Inputs_Sales'!H5 * (1.005^42)</f>
        <v>0</v>
      </c>
      <c r="AS13" s="7">
        <f>'02_Inputs_Sales'!F16 * '02_Inputs_Sales'!I5 * (1.005^43)</f>
        <v>0</v>
      </c>
      <c r="AT13" s="7">
        <f>'02_Inputs_Sales'!F16 * '02_Inputs_Sales'!J5 * (1.005^44)</f>
        <v>0</v>
      </c>
      <c r="AU13" s="7">
        <f>'02_Inputs_Sales'!F16 * '02_Inputs_Sales'!K5 * (1.005^45)</f>
        <v>0</v>
      </c>
      <c r="AV13" s="7">
        <f>'02_Inputs_Sales'!F16 * '02_Inputs_Sales'!L5 * (1.005^46)</f>
        <v>0</v>
      </c>
      <c r="AW13" s="7">
        <f>'02_Inputs_Sales'!F16 * '02_Inputs_Sales'!M5 * (1.005^47)</f>
        <v>0</v>
      </c>
      <c r="AX13" s="7">
        <f>'02_Inputs_Sales'!F16 * '02_Inputs_Sales'!B5 * (1.005^48)</f>
        <v>0</v>
      </c>
      <c r="AY13" s="7">
        <f>'02_Inputs_Sales'!F16 * '02_Inputs_Sales'!C5 * (1.005^49)</f>
        <v>0</v>
      </c>
      <c r="AZ13" s="7">
        <f>'02_Inputs_Sales'!F16 * '02_Inputs_Sales'!D5 * (1.005^50)</f>
        <v>0</v>
      </c>
      <c r="BA13" s="7">
        <f>'02_Inputs_Sales'!F16 * '02_Inputs_Sales'!E5 * (1.005^51)</f>
        <v>0</v>
      </c>
      <c r="BB13" s="7">
        <f>'02_Inputs_Sales'!F16 * '02_Inputs_Sales'!F5 * (1.005^52)</f>
        <v>0</v>
      </c>
      <c r="BC13" s="7">
        <f>'02_Inputs_Sales'!F16 * '02_Inputs_Sales'!G5 * (1.005^53)</f>
        <v>0</v>
      </c>
      <c r="BD13" s="7">
        <f>'02_Inputs_Sales'!F16 * '02_Inputs_Sales'!H5 * (1.005^54)</f>
        <v>0</v>
      </c>
      <c r="BE13" s="7">
        <f>'02_Inputs_Sales'!F16 * '02_Inputs_Sales'!I5 * (1.005^55)</f>
        <v>0</v>
      </c>
      <c r="BF13" s="7">
        <f>'02_Inputs_Sales'!F16 * '02_Inputs_Sales'!J5 * (1.005^56)</f>
        <v>0</v>
      </c>
      <c r="BG13" s="7">
        <f>'02_Inputs_Sales'!F16 * '02_Inputs_Sales'!K5 * (1.005^57)</f>
        <v>0</v>
      </c>
      <c r="BH13" s="7">
        <f>'02_Inputs_Sales'!F16 * '02_Inputs_Sales'!L5 * (1.005^58)</f>
        <v>0</v>
      </c>
      <c r="BI13" s="7">
        <f>'02_Inputs_Sales'!F16 * '02_Inputs_Sales'!M5 * (1.005^59)</f>
        <v>0</v>
      </c>
    </row>
    <row r="14" spans="1:61">
      <c r="A14" s="4" t="s">
        <v>39</v>
      </c>
      <c r="B14" s="7">
        <f>'02_Inputs_Sales'!F17 * '02_Inputs_Sales'!B5 * (1.005^0)</f>
        <v>0</v>
      </c>
      <c r="C14" s="7">
        <f>'02_Inputs_Sales'!F17 * '02_Inputs_Sales'!C5 * (1.005^1)</f>
        <v>0</v>
      </c>
      <c r="D14" s="7">
        <f>'02_Inputs_Sales'!F17 * '02_Inputs_Sales'!D5 * (1.005^2)</f>
        <v>0</v>
      </c>
      <c r="E14" s="7">
        <f>'02_Inputs_Sales'!F17 * '02_Inputs_Sales'!E5 * (1.005^3)</f>
        <v>0</v>
      </c>
      <c r="F14" s="7">
        <f>'02_Inputs_Sales'!F17 * '02_Inputs_Sales'!F5 * (1.005^4)</f>
        <v>0</v>
      </c>
      <c r="G14" s="7">
        <f>'02_Inputs_Sales'!F17 * '02_Inputs_Sales'!G5 * (1.005^5)</f>
        <v>0</v>
      </c>
      <c r="H14" s="7">
        <f>'02_Inputs_Sales'!F17 * '02_Inputs_Sales'!H5 * (1.005^6)</f>
        <v>0</v>
      </c>
      <c r="I14" s="7">
        <f>'02_Inputs_Sales'!F17 * '02_Inputs_Sales'!I5 * (1.005^7)</f>
        <v>0</v>
      </c>
      <c r="J14" s="7">
        <f>'02_Inputs_Sales'!F17 * '02_Inputs_Sales'!J5 * (1.005^8)</f>
        <v>0</v>
      </c>
      <c r="K14" s="7">
        <f>'02_Inputs_Sales'!F17 * '02_Inputs_Sales'!K5 * (1.005^9)</f>
        <v>0</v>
      </c>
      <c r="L14" s="7">
        <f>'02_Inputs_Sales'!F17 * '02_Inputs_Sales'!L5 * (1.005^10)</f>
        <v>0</v>
      </c>
      <c r="M14" s="7">
        <f>'02_Inputs_Sales'!F17 * '02_Inputs_Sales'!M5 * (1.005^11)</f>
        <v>0</v>
      </c>
      <c r="N14" s="7">
        <f>'02_Inputs_Sales'!F17 * '02_Inputs_Sales'!B5 * (1.005^12)</f>
        <v>0</v>
      </c>
      <c r="O14" s="7">
        <f>'02_Inputs_Sales'!F17 * '02_Inputs_Sales'!C5 * (1.005^13)</f>
        <v>0</v>
      </c>
      <c r="P14" s="7">
        <f>'02_Inputs_Sales'!F17 * '02_Inputs_Sales'!D5 * (1.005^14)</f>
        <v>0</v>
      </c>
      <c r="Q14" s="7">
        <f>'02_Inputs_Sales'!F17 * '02_Inputs_Sales'!E5 * (1.005^15)</f>
        <v>0</v>
      </c>
      <c r="R14" s="7">
        <f>'02_Inputs_Sales'!F17 * '02_Inputs_Sales'!F5 * (1.005^16)</f>
        <v>0</v>
      </c>
      <c r="S14" s="7">
        <f>'02_Inputs_Sales'!F17 * '02_Inputs_Sales'!G5 * (1.005^17)</f>
        <v>0</v>
      </c>
      <c r="T14" s="7">
        <f>'02_Inputs_Sales'!F17 * '02_Inputs_Sales'!H5 * (1.005^18)</f>
        <v>0</v>
      </c>
      <c r="U14" s="7">
        <f>'02_Inputs_Sales'!F17 * '02_Inputs_Sales'!I5 * (1.005^19)</f>
        <v>0</v>
      </c>
      <c r="V14" s="7">
        <f>'02_Inputs_Sales'!F17 * '02_Inputs_Sales'!J5 * (1.005^20)</f>
        <v>0</v>
      </c>
      <c r="W14" s="7">
        <f>'02_Inputs_Sales'!F17 * '02_Inputs_Sales'!K5 * (1.005^21)</f>
        <v>0</v>
      </c>
      <c r="X14" s="7">
        <f>'02_Inputs_Sales'!F17 * '02_Inputs_Sales'!L5 * (1.005^22)</f>
        <v>0</v>
      </c>
      <c r="Y14" s="7">
        <f>'02_Inputs_Sales'!F17 * '02_Inputs_Sales'!M5 * (1.005^23)</f>
        <v>0</v>
      </c>
      <c r="Z14" s="7">
        <f>'02_Inputs_Sales'!F17 * '02_Inputs_Sales'!B5 * (1.005^24)</f>
        <v>0</v>
      </c>
      <c r="AA14" s="7">
        <f>'02_Inputs_Sales'!F17 * '02_Inputs_Sales'!C5 * (1.005^25)</f>
        <v>0</v>
      </c>
      <c r="AB14" s="7">
        <f>'02_Inputs_Sales'!F17 * '02_Inputs_Sales'!D5 * (1.005^26)</f>
        <v>0</v>
      </c>
      <c r="AC14" s="7">
        <f>'02_Inputs_Sales'!F17 * '02_Inputs_Sales'!E5 * (1.005^27)</f>
        <v>0</v>
      </c>
      <c r="AD14" s="7">
        <f>'02_Inputs_Sales'!F17 * '02_Inputs_Sales'!F5 * (1.005^28)</f>
        <v>0</v>
      </c>
      <c r="AE14" s="7">
        <f>'02_Inputs_Sales'!F17 * '02_Inputs_Sales'!G5 * (1.005^29)</f>
        <v>0</v>
      </c>
      <c r="AF14" s="7">
        <f>'02_Inputs_Sales'!F17 * '02_Inputs_Sales'!H5 * (1.005^30)</f>
        <v>0</v>
      </c>
      <c r="AG14" s="7">
        <f>'02_Inputs_Sales'!F17 * '02_Inputs_Sales'!I5 * (1.005^31)</f>
        <v>0</v>
      </c>
      <c r="AH14" s="7">
        <f>'02_Inputs_Sales'!F17 * '02_Inputs_Sales'!J5 * (1.005^32)</f>
        <v>0</v>
      </c>
      <c r="AI14" s="7">
        <f>'02_Inputs_Sales'!F17 * '02_Inputs_Sales'!K5 * (1.005^33)</f>
        <v>0</v>
      </c>
      <c r="AJ14" s="7">
        <f>'02_Inputs_Sales'!F17 * '02_Inputs_Sales'!L5 * (1.005^34)</f>
        <v>0</v>
      </c>
      <c r="AK14" s="7">
        <f>'02_Inputs_Sales'!F17 * '02_Inputs_Sales'!M5 * (1.005^35)</f>
        <v>0</v>
      </c>
      <c r="AL14" s="7">
        <f>'02_Inputs_Sales'!F17 * '02_Inputs_Sales'!B5 * (1.005^36)</f>
        <v>0</v>
      </c>
      <c r="AM14" s="7">
        <f>'02_Inputs_Sales'!F17 * '02_Inputs_Sales'!C5 * (1.005^37)</f>
        <v>0</v>
      </c>
      <c r="AN14" s="7">
        <f>'02_Inputs_Sales'!F17 * '02_Inputs_Sales'!D5 * (1.005^38)</f>
        <v>0</v>
      </c>
      <c r="AO14" s="7">
        <f>'02_Inputs_Sales'!F17 * '02_Inputs_Sales'!E5 * (1.005^39)</f>
        <v>0</v>
      </c>
      <c r="AP14" s="7">
        <f>'02_Inputs_Sales'!F17 * '02_Inputs_Sales'!F5 * (1.005^40)</f>
        <v>0</v>
      </c>
      <c r="AQ14" s="7">
        <f>'02_Inputs_Sales'!F17 * '02_Inputs_Sales'!G5 * (1.005^41)</f>
        <v>0</v>
      </c>
      <c r="AR14" s="7">
        <f>'02_Inputs_Sales'!F17 * '02_Inputs_Sales'!H5 * (1.005^42)</f>
        <v>0</v>
      </c>
      <c r="AS14" s="7">
        <f>'02_Inputs_Sales'!F17 * '02_Inputs_Sales'!I5 * (1.005^43)</f>
        <v>0</v>
      </c>
      <c r="AT14" s="7">
        <f>'02_Inputs_Sales'!F17 * '02_Inputs_Sales'!J5 * (1.005^44)</f>
        <v>0</v>
      </c>
      <c r="AU14" s="7">
        <f>'02_Inputs_Sales'!F17 * '02_Inputs_Sales'!K5 * (1.005^45)</f>
        <v>0</v>
      </c>
      <c r="AV14" s="7">
        <f>'02_Inputs_Sales'!F17 * '02_Inputs_Sales'!L5 * (1.005^46)</f>
        <v>0</v>
      </c>
      <c r="AW14" s="7">
        <f>'02_Inputs_Sales'!F17 * '02_Inputs_Sales'!M5 * (1.005^47)</f>
        <v>0</v>
      </c>
      <c r="AX14" s="7">
        <f>'02_Inputs_Sales'!F17 * '02_Inputs_Sales'!B5 * (1.005^48)</f>
        <v>0</v>
      </c>
      <c r="AY14" s="7">
        <f>'02_Inputs_Sales'!F17 * '02_Inputs_Sales'!C5 * (1.005^49)</f>
        <v>0</v>
      </c>
      <c r="AZ14" s="7">
        <f>'02_Inputs_Sales'!F17 * '02_Inputs_Sales'!D5 * (1.005^50)</f>
        <v>0</v>
      </c>
      <c r="BA14" s="7">
        <f>'02_Inputs_Sales'!F17 * '02_Inputs_Sales'!E5 * (1.005^51)</f>
        <v>0</v>
      </c>
      <c r="BB14" s="7">
        <f>'02_Inputs_Sales'!F17 * '02_Inputs_Sales'!F5 * (1.005^52)</f>
        <v>0</v>
      </c>
      <c r="BC14" s="7">
        <f>'02_Inputs_Sales'!F17 * '02_Inputs_Sales'!G5 * (1.005^53)</f>
        <v>0</v>
      </c>
      <c r="BD14" s="7">
        <f>'02_Inputs_Sales'!F17 * '02_Inputs_Sales'!H5 * (1.005^54)</f>
        <v>0</v>
      </c>
      <c r="BE14" s="7">
        <f>'02_Inputs_Sales'!F17 * '02_Inputs_Sales'!I5 * (1.005^55)</f>
        <v>0</v>
      </c>
      <c r="BF14" s="7">
        <f>'02_Inputs_Sales'!F17 * '02_Inputs_Sales'!J5 * (1.005^56)</f>
        <v>0</v>
      </c>
      <c r="BG14" s="7">
        <f>'02_Inputs_Sales'!F17 * '02_Inputs_Sales'!K5 * (1.005^57)</f>
        <v>0</v>
      </c>
      <c r="BH14" s="7">
        <f>'02_Inputs_Sales'!F17 * '02_Inputs_Sales'!L5 * (1.005^58)</f>
        <v>0</v>
      </c>
      <c r="BI14" s="7">
        <f>'02_Inputs_Sales'!F17 * '02_Inputs_Sales'!M5 * (1.005^59)</f>
        <v>0</v>
      </c>
    </row>
    <row r="15" spans="1:61">
      <c r="B15" s="7">
        <f>SUM(B6:B14)</f>
        <v>0</v>
      </c>
      <c r="C15" s="7">
        <f>SUM(C6:C14)</f>
        <v>0</v>
      </c>
      <c r="D15" s="7">
        <f>SUM(D6:D14)</f>
        <v>0</v>
      </c>
      <c r="E15" s="7">
        <f>SUM(E6:E14)</f>
        <v>0</v>
      </c>
      <c r="F15" s="7">
        <f>SUM(F6:F14)</f>
        <v>0</v>
      </c>
      <c r="G15" s="7">
        <f>SUM(G6:G14)</f>
        <v>0</v>
      </c>
      <c r="H15" s="7">
        <f>SUM(H6:H14)</f>
        <v>0</v>
      </c>
      <c r="I15" s="7">
        <f>SUM(I6:I14)</f>
        <v>0</v>
      </c>
      <c r="J15" s="7">
        <f>SUM(J6:J14)</f>
        <v>0</v>
      </c>
      <c r="K15" s="7">
        <f>SUM(K6:K14)</f>
        <v>0</v>
      </c>
      <c r="L15" s="7">
        <f>SUM(L6:L14)</f>
        <v>0</v>
      </c>
      <c r="M15" s="7">
        <f>SUM(M6:M14)</f>
        <v>0</v>
      </c>
      <c r="N15" s="7">
        <f>SUM(N6:N14)</f>
        <v>0</v>
      </c>
      <c r="O15" s="7">
        <f>SUM(O6:O14)</f>
        <v>0</v>
      </c>
      <c r="P15" s="7">
        <f>SUM(P6:P14)</f>
        <v>0</v>
      </c>
      <c r="Q15" s="7">
        <f>SUM(Q6:Q14)</f>
        <v>0</v>
      </c>
      <c r="R15" s="7">
        <f>SUM(R6:R14)</f>
        <v>0</v>
      </c>
      <c r="S15" s="7">
        <f>SUM(S6:S14)</f>
        <v>0</v>
      </c>
      <c r="T15" s="7">
        <f>SUM(T6:T14)</f>
        <v>0</v>
      </c>
      <c r="U15" s="7">
        <f>SUM(U6:U14)</f>
        <v>0</v>
      </c>
      <c r="V15" s="7">
        <f>SUM(V6:V14)</f>
        <v>0</v>
      </c>
      <c r="W15" s="7">
        <f>SUM(W6:W14)</f>
        <v>0</v>
      </c>
      <c r="X15" s="7">
        <f>SUM(X6:X14)</f>
        <v>0</v>
      </c>
      <c r="Y15" s="7">
        <f>SUM(Y6:Y14)</f>
        <v>0</v>
      </c>
      <c r="Z15" s="7">
        <f>SUM(Z6:Z14)</f>
        <v>0</v>
      </c>
      <c r="AA15" s="7">
        <f>SUM(AA6:AA14)</f>
        <v>0</v>
      </c>
      <c r="AB15" s="7">
        <f>SUM(AB6:AB14)</f>
        <v>0</v>
      </c>
      <c r="AC15" s="7">
        <f>SUM(AC6:AC14)</f>
        <v>0</v>
      </c>
      <c r="AD15" s="7">
        <f>SUM(AD6:AD14)</f>
        <v>0</v>
      </c>
      <c r="AE15" s="7">
        <f>SUM(AE6:AE14)</f>
        <v>0</v>
      </c>
      <c r="AF15" s="7">
        <f>SUM(AF6:AF14)</f>
        <v>0</v>
      </c>
      <c r="AG15" s="7">
        <f>SUM(AG6:AG14)</f>
        <v>0</v>
      </c>
      <c r="AH15" s="7">
        <f>SUM(AH6:AH14)</f>
        <v>0</v>
      </c>
      <c r="AI15" s="7">
        <f>SUM(AI6:AI14)</f>
        <v>0</v>
      </c>
      <c r="AJ15" s="7">
        <f>SUM(AJ6:AJ14)</f>
        <v>0</v>
      </c>
      <c r="AK15" s="7">
        <f>SUM(AK6:AK14)</f>
        <v>0</v>
      </c>
      <c r="AL15" s="7">
        <f>SUM(AL6:AL14)</f>
        <v>0</v>
      </c>
      <c r="AM15" s="7">
        <f>SUM(AM6:AM14)</f>
        <v>0</v>
      </c>
      <c r="AN15" s="7">
        <f>SUM(AN6:AN14)</f>
        <v>0</v>
      </c>
      <c r="AO15" s="7">
        <f>SUM(AO6:AO14)</f>
        <v>0</v>
      </c>
      <c r="AP15" s="7">
        <f>SUM(AP6:AP14)</f>
        <v>0</v>
      </c>
      <c r="AQ15" s="7">
        <f>SUM(AQ6:AQ14)</f>
        <v>0</v>
      </c>
      <c r="AR15" s="7">
        <f>SUM(AR6:AR14)</f>
        <v>0</v>
      </c>
      <c r="AS15" s="7">
        <f>SUM(AS6:AS14)</f>
        <v>0</v>
      </c>
      <c r="AT15" s="7">
        <f>SUM(AT6:AT14)</f>
        <v>0</v>
      </c>
      <c r="AU15" s="7">
        <f>SUM(AU6:AU14)</f>
        <v>0</v>
      </c>
      <c r="AV15" s="7">
        <f>SUM(AV6:AV14)</f>
        <v>0</v>
      </c>
      <c r="AW15" s="7">
        <f>SUM(AW6:AW14)</f>
        <v>0</v>
      </c>
      <c r="AX15" s="7">
        <f>SUM(AX6:AX14)</f>
        <v>0</v>
      </c>
      <c r="AY15" s="7">
        <f>SUM(AY6:AY14)</f>
        <v>0</v>
      </c>
      <c r="AZ15" s="7">
        <f>SUM(AZ6:AZ14)</f>
        <v>0</v>
      </c>
      <c r="BA15" s="7">
        <f>SUM(BA6:BA14)</f>
        <v>0</v>
      </c>
      <c r="BB15" s="7">
        <f>SUM(BB6:BB14)</f>
        <v>0</v>
      </c>
      <c r="BC15" s="7">
        <f>SUM(BC6:BC14)</f>
        <v>0</v>
      </c>
      <c r="BD15" s="7">
        <f>SUM(BD6:BD14)</f>
        <v>0</v>
      </c>
      <c r="BE15" s="7">
        <f>SUM(BE6:BE14)</f>
        <v>0</v>
      </c>
      <c r="BF15" s="7">
        <f>SUM(BF6:BF14)</f>
        <v>0</v>
      </c>
      <c r="BG15" s="7">
        <f>SUM(BG6:BG14)</f>
        <v>0</v>
      </c>
      <c r="BH15" s="7">
        <f>SUM(BH6:BH14)</f>
        <v>0</v>
      </c>
      <c r="BI15" s="7">
        <f>SUM(BI6:BI14)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3:BI12"/>
  <sheetViews>
    <sheetView workbookViewId="0"/>
  </sheetViews>
  <sheetFormatPr defaultRowHeight="15"/>
  <cols>
    <col min="1" max="1" width="30.7109375" customWidth="1"/>
  </cols>
  <sheetData>
    <row r="3" spans="2:61"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 t="s">
        <v>84</v>
      </c>
      <c r="AB3" s="2" t="s">
        <v>85</v>
      </c>
      <c r="AC3" s="2" t="s">
        <v>86</v>
      </c>
      <c r="AD3" s="2" t="s">
        <v>87</v>
      </c>
      <c r="AE3" s="2" t="s">
        <v>88</v>
      </c>
      <c r="AF3" s="2" t="s">
        <v>89</v>
      </c>
      <c r="AG3" s="2" t="s">
        <v>90</v>
      </c>
      <c r="AH3" s="2" t="s">
        <v>91</v>
      </c>
      <c r="AI3" s="2" t="s">
        <v>92</v>
      </c>
      <c r="AJ3" s="2" t="s">
        <v>93</v>
      </c>
      <c r="AK3" s="2" t="s">
        <v>94</v>
      </c>
      <c r="AL3" s="2" t="s">
        <v>95</v>
      </c>
      <c r="AM3" s="2" t="s">
        <v>96</v>
      </c>
      <c r="AN3" s="2" t="s">
        <v>97</v>
      </c>
      <c r="AO3" s="2" t="s">
        <v>98</v>
      </c>
      <c r="AP3" s="2" t="s">
        <v>99</v>
      </c>
      <c r="AQ3" s="2" t="s">
        <v>100</v>
      </c>
      <c r="AR3" s="2" t="s">
        <v>101</v>
      </c>
      <c r="AS3" s="2" t="s">
        <v>102</v>
      </c>
      <c r="AT3" s="2" t="s">
        <v>103</v>
      </c>
      <c r="AU3" s="2" t="s">
        <v>104</v>
      </c>
      <c r="AV3" s="2" t="s">
        <v>105</v>
      </c>
      <c r="AW3" s="2" t="s">
        <v>106</v>
      </c>
      <c r="AX3" s="2" t="s">
        <v>107</v>
      </c>
      <c r="AY3" s="2" t="s">
        <v>108</v>
      </c>
      <c r="AZ3" s="2" t="s">
        <v>109</v>
      </c>
      <c r="BA3" s="2" t="s">
        <v>110</v>
      </c>
      <c r="BB3" s="2" t="s">
        <v>111</v>
      </c>
      <c r="BC3" s="2" t="s">
        <v>112</v>
      </c>
      <c r="BD3" s="2" t="s">
        <v>113</v>
      </c>
      <c r="BE3" s="2" t="s">
        <v>114</v>
      </c>
      <c r="BF3" s="2" t="s">
        <v>115</v>
      </c>
      <c r="BG3" s="2" t="s">
        <v>116</v>
      </c>
      <c r="BH3" s="2" t="s">
        <v>117</v>
      </c>
      <c r="BI3" s="2" t="s">
        <v>118</v>
      </c>
    </row>
    <row r="6" spans="2:61">
      <c r="B6" s="6">
        <f>'04_Calcs_Volume'!B6 * ('02_Inputs_Sales'!E9*'02_Inputs_Sales'!C9 + (1-'02_Inputs_Sales'!E9)*'02_Inputs_Sales'!D9) + '04_Calcs_Volume'!B7 * ('02_Inputs_Sales'!E10*'02_Inputs_Sales'!C10 + (1-'02_Inputs_Sales'!E10)*'02_Inputs_Sales'!D10) + '04_Calcs_Volume'!B8 * ('02_Inputs_Sales'!E11*'02_Inputs_Sales'!C11 + (1-'02_Inputs_Sales'!E11)*'02_Inputs_Sales'!D11) + '04_Calcs_Volume'!B9 * ('02_Inputs_Sales'!E12*'02_Inputs_Sales'!C12 + (1-'02_Inputs_Sales'!E12)*'02_Inputs_Sales'!D12) + '04_Calcs_Volume'!B10 * ('02_Inputs_Sales'!E13*'02_Inputs_Sales'!C13 + (1-'02_Inputs_Sales'!E13)*'02_Inputs_Sales'!D13) + '04_Calcs_Volume'!B11 * ('02_Inputs_Sales'!E14*'02_Inputs_Sales'!C14 + (1-'02_Inputs_Sales'!E14)*'02_Inputs_Sales'!D14) + '04_Calcs_Volume'!B12 * ('02_Inputs_Sales'!E15*'02_Inputs_Sales'!C15 + (1-'02_Inputs_Sales'!E15)*'02_Inputs_Sales'!D15) + '04_Calcs_Volume'!B13 * ('02_Inputs_Sales'!E16*'02_Inputs_Sales'!C16 + (1-'02_Inputs_Sales'!E16)*'02_Inputs_Sales'!D16) + '04_Calcs_Volume'!B14 * ('02_Inputs_Sales'!E17*'02_Inputs_Sales'!C17 + (1-'02_Inputs_Sales'!E17)*'02_Inputs_Sales'!D17)</f>
        <v>0</v>
      </c>
      <c r="C6" s="6">
        <f>'04_Calcs_Volume'!C6 * ('02_Inputs_Sales'!E9*'02_Inputs_Sales'!C9 + (1-'02_Inputs_Sales'!E9)*'02_Inputs_Sales'!D9) + '04_Calcs_Volume'!C7 * ('02_Inputs_Sales'!E10*'02_Inputs_Sales'!C10 + (1-'02_Inputs_Sales'!E10)*'02_Inputs_Sales'!D10) + '04_Calcs_Volume'!C8 * ('02_Inputs_Sales'!E11*'02_Inputs_Sales'!C11 + (1-'02_Inputs_Sales'!E11)*'02_Inputs_Sales'!D11) + '04_Calcs_Volume'!C9 * ('02_Inputs_Sales'!E12*'02_Inputs_Sales'!C12 + (1-'02_Inputs_Sales'!E12)*'02_Inputs_Sales'!D12) + '04_Calcs_Volume'!C10 * ('02_Inputs_Sales'!E13*'02_Inputs_Sales'!C13 + (1-'02_Inputs_Sales'!E13)*'02_Inputs_Sales'!D13) + '04_Calcs_Volume'!C11 * ('02_Inputs_Sales'!E14*'02_Inputs_Sales'!C14 + (1-'02_Inputs_Sales'!E14)*'02_Inputs_Sales'!D14) + '04_Calcs_Volume'!C12 * ('02_Inputs_Sales'!E15*'02_Inputs_Sales'!C15 + (1-'02_Inputs_Sales'!E15)*'02_Inputs_Sales'!D15) + '04_Calcs_Volume'!C13 * ('02_Inputs_Sales'!E16*'02_Inputs_Sales'!C16 + (1-'02_Inputs_Sales'!E16)*'02_Inputs_Sales'!D16) + '04_Calcs_Volume'!C14 * ('02_Inputs_Sales'!E17*'02_Inputs_Sales'!C17 + (1-'02_Inputs_Sales'!E17)*'02_Inputs_Sales'!D17)</f>
        <v>0</v>
      </c>
      <c r="D6" s="6">
        <f>'04_Calcs_Volume'!D6 * ('02_Inputs_Sales'!E9*'02_Inputs_Sales'!C9 + (1-'02_Inputs_Sales'!E9)*'02_Inputs_Sales'!D9) + '04_Calcs_Volume'!D7 * ('02_Inputs_Sales'!E10*'02_Inputs_Sales'!C10 + (1-'02_Inputs_Sales'!E10)*'02_Inputs_Sales'!D10) + '04_Calcs_Volume'!D8 * ('02_Inputs_Sales'!E11*'02_Inputs_Sales'!C11 + (1-'02_Inputs_Sales'!E11)*'02_Inputs_Sales'!D11) + '04_Calcs_Volume'!D9 * ('02_Inputs_Sales'!E12*'02_Inputs_Sales'!C12 + (1-'02_Inputs_Sales'!E12)*'02_Inputs_Sales'!D12) + '04_Calcs_Volume'!D10 * ('02_Inputs_Sales'!E13*'02_Inputs_Sales'!C13 + (1-'02_Inputs_Sales'!E13)*'02_Inputs_Sales'!D13) + '04_Calcs_Volume'!D11 * ('02_Inputs_Sales'!E14*'02_Inputs_Sales'!C14 + (1-'02_Inputs_Sales'!E14)*'02_Inputs_Sales'!D14) + '04_Calcs_Volume'!D12 * ('02_Inputs_Sales'!E15*'02_Inputs_Sales'!C15 + (1-'02_Inputs_Sales'!E15)*'02_Inputs_Sales'!D15) + '04_Calcs_Volume'!D13 * ('02_Inputs_Sales'!E16*'02_Inputs_Sales'!C16 + (1-'02_Inputs_Sales'!E16)*'02_Inputs_Sales'!D16) + '04_Calcs_Volume'!D14 * ('02_Inputs_Sales'!E17*'02_Inputs_Sales'!C17 + (1-'02_Inputs_Sales'!E17)*'02_Inputs_Sales'!D17)</f>
        <v>0</v>
      </c>
      <c r="E6" s="6">
        <f>'04_Calcs_Volume'!E6 * ('02_Inputs_Sales'!E9*'02_Inputs_Sales'!C9 + (1-'02_Inputs_Sales'!E9)*'02_Inputs_Sales'!D9) + '04_Calcs_Volume'!E7 * ('02_Inputs_Sales'!E10*'02_Inputs_Sales'!C10 + (1-'02_Inputs_Sales'!E10)*'02_Inputs_Sales'!D10) + '04_Calcs_Volume'!E8 * ('02_Inputs_Sales'!E11*'02_Inputs_Sales'!C11 + (1-'02_Inputs_Sales'!E11)*'02_Inputs_Sales'!D11) + '04_Calcs_Volume'!E9 * ('02_Inputs_Sales'!E12*'02_Inputs_Sales'!C12 + (1-'02_Inputs_Sales'!E12)*'02_Inputs_Sales'!D12) + '04_Calcs_Volume'!E10 * ('02_Inputs_Sales'!E13*'02_Inputs_Sales'!C13 + (1-'02_Inputs_Sales'!E13)*'02_Inputs_Sales'!D13) + '04_Calcs_Volume'!E11 * ('02_Inputs_Sales'!E14*'02_Inputs_Sales'!C14 + (1-'02_Inputs_Sales'!E14)*'02_Inputs_Sales'!D14) + '04_Calcs_Volume'!E12 * ('02_Inputs_Sales'!E15*'02_Inputs_Sales'!C15 + (1-'02_Inputs_Sales'!E15)*'02_Inputs_Sales'!D15) + '04_Calcs_Volume'!E13 * ('02_Inputs_Sales'!E16*'02_Inputs_Sales'!C16 + (1-'02_Inputs_Sales'!E16)*'02_Inputs_Sales'!D16) + '04_Calcs_Volume'!E14 * ('02_Inputs_Sales'!E17*'02_Inputs_Sales'!C17 + (1-'02_Inputs_Sales'!E17)*'02_Inputs_Sales'!D17)</f>
        <v>0</v>
      </c>
      <c r="F6" s="6">
        <f>'04_Calcs_Volume'!F6 * ('02_Inputs_Sales'!E9*'02_Inputs_Sales'!C9 + (1-'02_Inputs_Sales'!E9)*'02_Inputs_Sales'!D9) + '04_Calcs_Volume'!F7 * ('02_Inputs_Sales'!E10*'02_Inputs_Sales'!C10 + (1-'02_Inputs_Sales'!E10)*'02_Inputs_Sales'!D10) + '04_Calcs_Volume'!F8 * ('02_Inputs_Sales'!E11*'02_Inputs_Sales'!C11 + (1-'02_Inputs_Sales'!E11)*'02_Inputs_Sales'!D11) + '04_Calcs_Volume'!F9 * ('02_Inputs_Sales'!E12*'02_Inputs_Sales'!C12 + (1-'02_Inputs_Sales'!E12)*'02_Inputs_Sales'!D12) + '04_Calcs_Volume'!F10 * ('02_Inputs_Sales'!E13*'02_Inputs_Sales'!C13 + (1-'02_Inputs_Sales'!E13)*'02_Inputs_Sales'!D13) + '04_Calcs_Volume'!F11 * ('02_Inputs_Sales'!E14*'02_Inputs_Sales'!C14 + (1-'02_Inputs_Sales'!E14)*'02_Inputs_Sales'!D14) + '04_Calcs_Volume'!F12 * ('02_Inputs_Sales'!E15*'02_Inputs_Sales'!C15 + (1-'02_Inputs_Sales'!E15)*'02_Inputs_Sales'!D15) + '04_Calcs_Volume'!F13 * ('02_Inputs_Sales'!E16*'02_Inputs_Sales'!C16 + (1-'02_Inputs_Sales'!E16)*'02_Inputs_Sales'!D16) + '04_Calcs_Volume'!F14 * ('02_Inputs_Sales'!E17*'02_Inputs_Sales'!C17 + (1-'02_Inputs_Sales'!E17)*'02_Inputs_Sales'!D17)</f>
        <v>0</v>
      </c>
      <c r="G6" s="6">
        <f>'04_Calcs_Volume'!G6 * ('02_Inputs_Sales'!E9*'02_Inputs_Sales'!C9 + (1-'02_Inputs_Sales'!E9)*'02_Inputs_Sales'!D9) + '04_Calcs_Volume'!G7 * ('02_Inputs_Sales'!E10*'02_Inputs_Sales'!C10 + (1-'02_Inputs_Sales'!E10)*'02_Inputs_Sales'!D10) + '04_Calcs_Volume'!G8 * ('02_Inputs_Sales'!E11*'02_Inputs_Sales'!C11 + (1-'02_Inputs_Sales'!E11)*'02_Inputs_Sales'!D11) + '04_Calcs_Volume'!G9 * ('02_Inputs_Sales'!E12*'02_Inputs_Sales'!C12 + (1-'02_Inputs_Sales'!E12)*'02_Inputs_Sales'!D12) + '04_Calcs_Volume'!G10 * ('02_Inputs_Sales'!E13*'02_Inputs_Sales'!C13 + (1-'02_Inputs_Sales'!E13)*'02_Inputs_Sales'!D13) + '04_Calcs_Volume'!G11 * ('02_Inputs_Sales'!E14*'02_Inputs_Sales'!C14 + (1-'02_Inputs_Sales'!E14)*'02_Inputs_Sales'!D14) + '04_Calcs_Volume'!G12 * ('02_Inputs_Sales'!E15*'02_Inputs_Sales'!C15 + (1-'02_Inputs_Sales'!E15)*'02_Inputs_Sales'!D15) + '04_Calcs_Volume'!G13 * ('02_Inputs_Sales'!E16*'02_Inputs_Sales'!C16 + (1-'02_Inputs_Sales'!E16)*'02_Inputs_Sales'!D16) + '04_Calcs_Volume'!G14 * ('02_Inputs_Sales'!E17*'02_Inputs_Sales'!C17 + (1-'02_Inputs_Sales'!E17)*'02_Inputs_Sales'!D17)</f>
        <v>0</v>
      </c>
      <c r="H6" s="6">
        <f>'04_Calcs_Volume'!H6 * ('02_Inputs_Sales'!E9*'02_Inputs_Sales'!C9 + (1-'02_Inputs_Sales'!E9)*'02_Inputs_Sales'!D9) + '04_Calcs_Volume'!H7 * ('02_Inputs_Sales'!E10*'02_Inputs_Sales'!C10 + (1-'02_Inputs_Sales'!E10)*'02_Inputs_Sales'!D10) + '04_Calcs_Volume'!H8 * ('02_Inputs_Sales'!E11*'02_Inputs_Sales'!C11 + (1-'02_Inputs_Sales'!E11)*'02_Inputs_Sales'!D11) + '04_Calcs_Volume'!H9 * ('02_Inputs_Sales'!E12*'02_Inputs_Sales'!C12 + (1-'02_Inputs_Sales'!E12)*'02_Inputs_Sales'!D12) + '04_Calcs_Volume'!H10 * ('02_Inputs_Sales'!E13*'02_Inputs_Sales'!C13 + (1-'02_Inputs_Sales'!E13)*'02_Inputs_Sales'!D13) + '04_Calcs_Volume'!H11 * ('02_Inputs_Sales'!E14*'02_Inputs_Sales'!C14 + (1-'02_Inputs_Sales'!E14)*'02_Inputs_Sales'!D14) + '04_Calcs_Volume'!H12 * ('02_Inputs_Sales'!E15*'02_Inputs_Sales'!C15 + (1-'02_Inputs_Sales'!E15)*'02_Inputs_Sales'!D15) + '04_Calcs_Volume'!H13 * ('02_Inputs_Sales'!E16*'02_Inputs_Sales'!C16 + (1-'02_Inputs_Sales'!E16)*'02_Inputs_Sales'!D16) + '04_Calcs_Volume'!H14 * ('02_Inputs_Sales'!E17*'02_Inputs_Sales'!C17 + (1-'02_Inputs_Sales'!E17)*'02_Inputs_Sales'!D17)</f>
        <v>0</v>
      </c>
      <c r="I6" s="6">
        <f>'04_Calcs_Volume'!I6 * ('02_Inputs_Sales'!E9*'02_Inputs_Sales'!C9 + (1-'02_Inputs_Sales'!E9)*'02_Inputs_Sales'!D9) + '04_Calcs_Volume'!I7 * ('02_Inputs_Sales'!E10*'02_Inputs_Sales'!C10 + (1-'02_Inputs_Sales'!E10)*'02_Inputs_Sales'!D10) + '04_Calcs_Volume'!I8 * ('02_Inputs_Sales'!E11*'02_Inputs_Sales'!C11 + (1-'02_Inputs_Sales'!E11)*'02_Inputs_Sales'!D11) + '04_Calcs_Volume'!I9 * ('02_Inputs_Sales'!E12*'02_Inputs_Sales'!C12 + (1-'02_Inputs_Sales'!E12)*'02_Inputs_Sales'!D12) + '04_Calcs_Volume'!I10 * ('02_Inputs_Sales'!E13*'02_Inputs_Sales'!C13 + (1-'02_Inputs_Sales'!E13)*'02_Inputs_Sales'!D13) + '04_Calcs_Volume'!I11 * ('02_Inputs_Sales'!E14*'02_Inputs_Sales'!C14 + (1-'02_Inputs_Sales'!E14)*'02_Inputs_Sales'!D14) + '04_Calcs_Volume'!I12 * ('02_Inputs_Sales'!E15*'02_Inputs_Sales'!C15 + (1-'02_Inputs_Sales'!E15)*'02_Inputs_Sales'!D15) + '04_Calcs_Volume'!I13 * ('02_Inputs_Sales'!E16*'02_Inputs_Sales'!C16 + (1-'02_Inputs_Sales'!E16)*'02_Inputs_Sales'!D16) + '04_Calcs_Volume'!I14 * ('02_Inputs_Sales'!E17*'02_Inputs_Sales'!C17 + (1-'02_Inputs_Sales'!E17)*'02_Inputs_Sales'!D17)</f>
        <v>0</v>
      </c>
      <c r="J6" s="6">
        <f>'04_Calcs_Volume'!J6 * ('02_Inputs_Sales'!E9*'02_Inputs_Sales'!C9 + (1-'02_Inputs_Sales'!E9)*'02_Inputs_Sales'!D9) + '04_Calcs_Volume'!J7 * ('02_Inputs_Sales'!E10*'02_Inputs_Sales'!C10 + (1-'02_Inputs_Sales'!E10)*'02_Inputs_Sales'!D10) + '04_Calcs_Volume'!J8 * ('02_Inputs_Sales'!E11*'02_Inputs_Sales'!C11 + (1-'02_Inputs_Sales'!E11)*'02_Inputs_Sales'!D11) + '04_Calcs_Volume'!J9 * ('02_Inputs_Sales'!E12*'02_Inputs_Sales'!C12 + (1-'02_Inputs_Sales'!E12)*'02_Inputs_Sales'!D12) + '04_Calcs_Volume'!J10 * ('02_Inputs_Sales'!E13*'02_Inputs_Sales'!C13 + (1-'02_Inputs_Sales'!E13)*'02_Inputs_Sales'!D13) + '04_Calcs_Volume'!J11 * ('02_Inputs_Sales'!E14*'02_Inputs_Sales'!C14 + (1-'02_Inputs_Sales'!E14)*'02_Inputs_Sales'!D14) + '04_Calcs_Volume'!J12 * ('02_Inputs_Sales'!E15*'02_Inputs_Sales'!C15 + (1-'02_Inputs_Sales'!E15)*'02_Inputs_Sales'!D15) + '04_Calcs_Volume'!J13 * ('02_Inputs_Sales'!E16*'02_Inputs_Sales'!C16 + (1-'02_Inputs_Sales'!E16)*'02_Inputs_Sales'!D16) + '04_Calcs_Volume'!J14 * ('02_Inputs_Sales'!E17*'02_Inputs_Sales'!C17 + (1-'02_Inputs_Sales'!E17)*'02_Inputs_Sales'!D17)</f>
        <v>0</v>
      </c>
      <c r="K6" s="6">
        <f>'04_Calcs_Volume'!K6 * ('02_Inputs_Sales'!E9*'02_Inputs_Sales'!C9 + (1-'02_Inputs_Sales'!E9)*'02_Inputs_Sales'!D9) + '04_Calcs_Volume'!K7 * ('02_Inputs_Sales'!E10*'02_Inputs_Sales'!C10 + (1-'02_Inputs_Sales'!E10)*'02_Inputs_Sales'!D10) + '04_Calcs_Volume'!K8 * ('02_Inputs_Sales'!E11*'02_Inputs_Sales'!C11 + (1-'02_Inputs_Sales'!E11)*'02_Inputs_Sales'!D11) + '04_Calcs_Volume'!K9 * ('02_Inputs_Sales'!E12*'02_Inputs_Sales'!C12 + (1-'02_Inputs_Sales'!E12)*'02_Inputs_Sales'!D12) + '04_Calcs_Volume'!K10 * ('02_Inputs_Sales'!E13*'02_Inputs_Sales'!C13 + (1-'02_Inputs_Sales'!E13)*'02_Inputs_Sales'!D13) + '04_Calcs_Volume'!K11 * ('02_Inputs_Sales'!E14*'02_Inputs_Sales'!C14 + (1-'02_Inputs_Sales'!E14)*'02_Inputs_Sales'!D14) + '04_Calcs_Volume'!K12 * ('02_Inputs_Sales'!E15*'02_Inputs_Sales'!C15 + (1-'02_Inputs_Sales'!E15)*'02_Inputs_Sales'!D15) + '04_Calcs_Volume'!K13 * ('02_Inputs_Sales'!E16*'02_Inputs_Sales'!C16 + (1-'02_Inputs_Sales'!E16)*'02_Inputs_Sales'!D16) + '04_Calcs_Volume'!K14 * ('02_Inputs_Sales'!E17*'02_Inputs_Sales'!C17 + (1-'02_Inputs_Sales'!E17)*'02_Inputs_Sales'!D17)</f>
        <v>0</v>
      </c>
      <c r="L6" s="6">
        <f>'04_Calcs_Volume'!L6 * ('02_Inputs_Sales'!E9*'02_Inputs_Sales'!C9 + (1-'02_Inputs_Sales'!E9)*'02_Inputs_Sales'!D9) + '04_Calcs_Volume'!L7 * ('02_Inputs_Sales'!E10*'02_Inputs_Sales'!C10 + (1-'02_Inputs_Sales'!E10)*'02_Inputs_Sales'!D10) + '04_Calcs_Volume'!L8 * ('02_Inputs_Sales'!E11*'02_Inputs_Sales'!C11 + (1-'02_Inputs_Sales'!E11)*'02_Inputs_Sales'!D11) + '04_Calcs_Volume'!L9 * ('02_Inputs_Sales'!E12*'02_Inputs_Sales'!C12 + (1-'02_Inputs_Sales'!E12)*'02_Inputs_Sales'!D12) + '04_Calcs_Volume'!L10 * ('02_Inputs_Sales'!E13*'02_Inputs_Sales'!C13 + (1-'02_Inputs_Sales'!E13)*'02_Inputs_Sales'!D13) + '04_Calcs_Volume'!L11 * ('02_Inputs_Sales'!E14*'02_Inputs_Sales'!C14 + (1-'02_Inputs_Sales'!E14)*'02_Inputs_Sales'!D14) + '04_Calcs_Volume'!L12 * ('02_Inputs_Sales'!E15*'02_Inputs_Sales'!C15 + (1-'02_Inputs_Sales'!E15)*'02_Inputs_Sales'!D15) + '04_Calcs_Volume'!L13 * ('02_Inputs_Sales'!E16*'02_Inputs_Sales'!C16 + (1-'02_Inputs_Sales'!E16)*'02_Inputs_Sales'!D16) + '04_Calcs_Volume'!L14 * ('02_Inputs_Sales'!E17*'02_Inputs_Sales'!C17 + (1-'02_Inputs_Sales'!E17)*'02_Inputs_Sales'!D17)</f>
        <v>0</v>
      </c>
      <c r="M6" s="6">
        <f>'04_Calcs_Volume'!M6 * ('02_Inputs_Sales'!E9*'02_Inputs_Sales'!C9 + (1-'02_Inputs_Sales'!E9)*'02_Inputs_Sales'!D9) + '04_Calcs_Volume'!M7 * ('02_Inputs_Sales'!E10*'02_Inputs_Sales'!C10 + (1-'02_Inputs_Sales'!E10)*'02_Inputs_Sales'!D10) + '04_Calcs_Volume'!M8 * ('02_Inputs_Sales'!E11*'02_Inputs_Sales'!C11 + (1-'02_Inputs_Sales'!E11)*'02_Inputs_Sales'!D11) + '04_Calcs_Volume'!M9 * ('02_Inputs_Sales'!E12*'02_Inputs_Sales'!C12 + (1-'02_Inputs_Sales'!E12)*'02_Inputs_Sales'!D12) + '04_Calcs_Volume'!M10 * ('02_Inputs_Sales'!E13*'02_Inputs_Sales'!C13 + (1-'02_Inputs_Sales'!E13)*'02_Inputs_Sales'!D13) + '04_Calcs_Volume'!M11 * ('02_Inputs_Sales'!E14*'02_Inputs_Sales'!C14 + (1-'02_Inputs_Sales'!E14)*'02_Inputs_Sales'!D14) + '04_Calcs_Volume'!M12 * ('02_Inputs_Sales'!E15*'02_Inputs_Sales'!C15 + (1-'02_Inputs_Sales'!E15)*'02_Inputs_Sales'!D15) + '04_Calcs_Volume'!M13 * ('02_Inputs_Sales'!E16*'02_Inputs_Sales'!C16 + (1-'02_Inputs_Sales'!E16)*'02_Inputs_Sales'!D16) + '04_Calcs_Volume'!M14 * ('02_Inputs_Sales'!E17*'02_Inputs_Sales'!C17 + (1-'02_Inputs_Sales'!E17)*'02_Inputs_Sales'!D17)</f>
        <v>0</v>
      </c>
      <c r="N6" s="6">
        <f>'04_Calcs_Volume'!N6 * ('02_Inputs_Sales'!E9*'02_Inputs_Sales'!C9 + (1-'02_Inputs_Sales'!E9)*'02_Inputs_Sales'!D9) + '04_Calcs_Volume'!N7 * ('02_Inputs_Sales'!E10*'02_Inputs_Sales'!C10 + (1-'02_Inputs_Sales'!E10)*'02_Inputs_Sales'!D10) + '04_Calcs_Volume'!N8 * ('02_Inputs_Sales'!E11*'02_Inputs_Sales'!C11 + (1-'02_Inputs_Sales'!E11)*'02_Inputs_Sales'!D11) + '04_Calcs_Volume'!N9 * ('02_Inputs_Sales'!E12*'02_Inputs_Sales'!C12 + (1-'02_Inputs_Sales'!E12)*'02_Inputs_Sales'!D12) + '04_Calcs_Volume'!N10 * ('02_Inputs_Sales'!E13*'02_Inputs_Sales'!C13 + (1-'02_Inputs_Sales'!E13)*'02_Inputs_Sales'!D13) + '04_Calcs_Volume'!N11 * ('02_Inputs_Sales'!E14*'02_Inputs_Sales'!C14 + (1-'02_Inputs_Sales'!E14)*'02_Inputs_Sales'!D14) + '04_Calcs_Volume'!N12 * ('02_Inputs_Sales'!E15*'02_Inputs_Sales'!C15 + (1-'02_Inputs_Sales'!E15)*'02_Inputs_Sales'!D15) + '04_Calcs_Volume'!N13 * ('02_Inputs_Sales'!E16*'02_Inputs_Sales'!C16 + (1-'02_Inputs_Sales'!E16)*'02_Inputs_Sales'!D16) + '04_Calcs_Volume'!N14 * ('02_Inputs_Sales'!E17*'02_Inputs_Sales'!C17 + (1-'02_Inputs_Sales'!E17)*'02_Inputs_Sales'!D17)</f>
        <v>0</v>
      </c>
      <c r="O6" s="6">
        <f>'04_Calcs_Volume'!O6 * ('02_Inputs_Sales'!E9*'02_Inputs_Sales'!C9 + (1-'02_Inputs_Sales'!E9)*'02_Inputs_Sales'!D9) + '04_Calcs_Volume'!O7 * ('02_Inputs_Sales'!E10*'02_Inputs_Sales'!C10 + (1-'02_Inputs_Sales'!E10)*'02_Inputs_Sales'!D10) + '04_Calcs_Volume'!O8 * ('02_Inputs_Sales'!E11*'02_Inputs_Sales'!C11 + (1-'02_Inputs_Sales'!E11)*'02_Inputs_Sales'!D11) + '04_Calcs_Volume'!O9 * ('02_Inputs_Sales'!E12*'02_Inputs_Sales'!C12 + (1-'02_Inputs_Sales'!E12)*'02_Inputs_Sales'!D12) + '04_Calcs_Volume'!O10 * ('02_Inputs_Sales'!E13*'02_Inputs_Sales'!C13 + (1-'02_Inputs_Sales'!E13)*'02_Inputs_Sales'!D13) + '04_Calcs_Volume'!O11 * ('02_Inputs_Sales'!E14*'02_Inputs_Sales'!C14 + (1-'02_Inputs_Sales'!E14)*'02_Inputs_Sales'!D14) + '04_Calcs_Volume'!O12 * ('02_Inputs_Sales'!E15*'02_Inputs_Sales'!C15 + (1-'02_Inputs_Sales'!E15)*'02_Inputs_Sales'!D15) + '04_Calcs_Volume'!O13 * ('02_Inputs_Sales'!E16*'02_Inputs_Sales'!C16 + (1-'02_Inputs_Sales'!E16)*'02_Inputs_Sales'!D16) + '04_Calcs_Volume'!O14 * ('02_Inputs_Sales'!E17*'02_Inputs_Sales'!C17 + (1-'02_Inputs_Sales'!E17)*'02_Inputs_Sales'!D17)</f>
        <v>0</v>
      </c>
      <c r="P6" s="6">
        <f>'04_Calcs_Volume'!P6 * ('02_Inputs_Sales'!E9*'02_Inputs_Sales'!C9 + (1-'02_Inputs_Sales'!E9)*'02_Inputs_Sales'!D9) + '04_Calcs_Volume'!P7 * ('02_Inputs_Sales'!E10*'02_Inputs_Sales'!C10 + (1-'02_Inputs_Sales'!E10)*'02_Inputs_Sales'!D10) + '04_Calcs_Volume'!P8 * ('02_Inputs_Sales'!E11*'02_Inputs_Sales'!C11 + (1-'02_Inputs_Sales'!E11)*'02_Inputs_Sales'!D11) + '04_Calcs_Volume'!P9 * ('02_Inputs_Sales'!E12*'02_Inputs_Sales'!C12 + (1-'02_Inputs_Sales'!E12)*'02_Inputs_Sales'!D12) + '04_Calcs_Volume'!P10 * ('02_Inputs_Sales'!E13*'02_Inputs_Sales'!C13 + (1-'02_Inputs_Sales'!E13)*'02_Inputs_Sales'!D13) + '04_Calcs_Volume'!P11 * ('02_Inputs_Sales'!E14*'02_Inputs_Sales'!C14 + (1-'02_Inputs_Sales'!E14)*'02_Inputs_Sales'!D14) + '04_Calcs_Volume'!P12 * ('02_Inputs_Sales'!E15*'02_Inputs_Sales'!C15 + (1-'02_Inputs_Sales'!E15)*'02_Inputs_Sales'!D15) + '04_Calcs_Volume'!P13 * ('02_Inputs_Sales'!E16*'02_Inputs_Sales'!C16 + (1-'02_Inputs_Sales'!E16)*'02_Inputs_Sales'!D16) + '04_Calcs_Volume'!P14 * ('02_Inputs_Sales'!E17*'02_Inputs_Sales'!C17 + (1-'02_Inputs_Sales'!E17)*'02_Inputs_Sales'!D17)</f>
        <v>0</v>
      </c>
      <c r="Q6" s="6">
        <f>'04_Calcs_Volume'!Q6 * ('02_Inputs_Sales'!E9*'02_Inputs_Sales'!C9 + (1-'02_Inputs_Sales'!E9)*'02_Inputs_Sales'!D9) + '04_Calcs_Volume'!Q7 * ('02_Inputs_Sales'!E10*'02_Inputs_Sales'!C10 + (1-'02_Inputs_Sales'!E10)*'02_Inputs_Sales'!D10) + '04_Calcs_Volume'!Q8 * ('02_Inputs_Sales'!E11*'02_Inputs_Sales'!C11 + (1-'02_Inputs_Sales'!E11)*'02_Inputs_Sales'!D11) + '04_Calcs_Volume'!Q9 * ('02_Inputs_Sales'!E12*'02_Inputs_Sales'!C12 + (1-'02_Inputs_Sales'!E12)*'02_Inputs_Sales'!D12) + '04_Calcs_Volume'!Q10 * ('02_Inputs_Sales'!E13*'02_Inputs_Sales'!C13 + (1-'02_Inputs_Sales'!E13)*'02_Inputs_Sales'!D13) + '04_Calcs_Volume'!Q11 * ('02_Inputs_Sales'!E14*'02_Inputs_Sales'!C14 + (1-'02_Inputs_Sales'!E14)*'02_Inputs_Sales'!D14) + '04_Calcs_Volume'!Q12 * ('02_Inputs_Sales'!E15*'02_Inputs_Sales'!C15 + (1-'02_Inputs_Sales'!E15)*'02_Inputs_Sales'!D15) + '04_Calcs_Volume'!Q13 * ('02_Inputs_Sales'!E16*'02_Inputs_Sales'!C16 + (1-'02_Inputs_Sales'!E16)*'02_Inputs_Sales'!D16) + '04_Calcs_Volume'!Q14 * ('02_Inputs_Sales'!E17*'02_Inputs_Sales'!C17 + (1-'02_Inputs_Sales'!E17)*'02_Inputs_Sales'!D17)</f>
        <v>0</v>
      </c>
      <c r="R6" s="6">
        <f>'04_Calcs_Volume'!R6 * ('02_Inputs_Sales'!E9*'02_Inputs_Sales'!C9 + (1-'02_Inputs_Sales'!E9)*'02_Inputs_Sales'!D9) + '04_Calcs_Volume'!R7 * ('02_Inputs_Sales'!E10*'02_Inputs_Sales'!C10 + (1-'02_Inputs_Sales'!E10)*'02_Inputs_Sales'!D10) + '04_Calcs_Volume'!R8 * ('02_Inputs_Sales'!E11*'02_Inputs_Sales'!C11 + (1-'02_Inputs_Sales'!E11)*'02_Inputs_Sales'!D11) + '04_Calcs_Volume'!R9 * ('02_Inputs_Sales'!E12*'02_Inputs_Sales'!C12 + (1-'02_Inputs_Sales'!E12)*'02_Inputs_Sales'!D12) + '04_Calcs_Volume'!R10 * ('02_Inputs_Sales'!E13*'02_Inputs_Sales'!C13 + (1-'02_Inputs_Sales'!E13)*'02_Inputs_Sales'!D13) + '04_Calcs_Volume'!R11 * ('02_Inputs_Sales'!E14*'02_Inputs_Sales'!C14 + (1-'02_Inputs_Sales'!E14)*'02_Inputs_Sales'!D14) + '04_Calcs_Volume'!R12 * ('02_Inputs_Sales'!E15*'02_Inputs_Sales'!C15 + (1-'02_Inputs_Sales'!E15)*'02_Inputs_Sales'!D15) + '04_Calcs_Volume'!R13 * ('02_Inputs_Sales'!E16*'02_Inputs_Sales'!C16 + (1-'02_Inputs_Sales'!E16)*'02_Inputs_Sales'!D16) + '04_Calcs_Volume'!R14 * ('02_Inputs_Sales'!E17*'02_Inputs_Sales'!C17 + (1-'02_Inputs_Sales'!E17)*'02_Inputs_Sales'!D17)</f>
        <v>0</v>
      </c>
      <c r="S6" s="6">
        <f>'04_Calcs_Volume'!S6 * ('02_Inputs_Sales'!E9*'02_Inputs_Sales'!C9 + (1-'02_Inputs_Sales'!E9)*'02_Inputs_Sales'!D9) + '04_Calcs_Volume'!S7 * ('02_Inputs_Sales'!E10*'02_Inputs_Sales'!C10 + (1-'02_Inputs_Sales'!E10)*'02_Inputs_Sales'!D10) + '04_Calcs_Volume'!S8 * ('02_Inputs_Sales'!E11*'02_Inputs_Sales'!C11 + (1-'02_Inputs_Sales'!E11)*'02_Inputs_Sales'!D11) + '04_Calcs_Volume'!S9 * ('02_Inputs_Sales'!E12*'02_Inputs_Sales'!C12 + (1-'02_Inputs_Sales'!E12)*'02_Inputs_Sales'!D12) + '04_Calcs_Volume'!S10 * ('02_Inputs_Sales'!E13*'02_Inputs_Sales'!C13 + (1-'02_Inputs_Sales'!E13)*'02_Inputs_Sales'!D13) + '04_Calcs_Volume'!S11 * ('02_Inputs_Sales'!E14*'02_Inputs_Sales'!C14 + (1-'02_Inputs_Sales'!E14)*'02_Inputs_Sales'!D14) + '04_Calcs_Volume'!S12 * ('02_Inputs_Sales'!E15*'02_Inputs_Sales'!C15 + (1-'02_Inputs_Sales'!E15)*'02_Inputs_Sales'!D15) + '04_Calcs_Volume'!S13 * ('02_Inputs_Sales'!E16*'02_Inputs_Sales'!C16 + (1-'02_Inputs_Sales'!E16)*'02_Inputs_Sales'!D16) + '04_Calcs_Volume'!S14 * ('02_Inputs_Sales'!E17*'02_Inputs_Sales'!C17 + (1-'02_Inputs_Sales'!E17)*'02_Inputs_Sales'!D17)</f>
        <v>0</v>
      </c>
      <c r="T6" s="6">
        <f>'04_Calcs_Volume'!T6 * ('02_Inputs_Sales'!E9*'02_Inputs_Sales'!C9 + (1-'02_Inputs_Sales'!E9)*'02_Inputs_Sales'!D9) + '04_Calcs_Volume'!T7 * ('02_Inputs_Sales'!E10*'02_Inputs_Sales'!C10 + (1-'02_Inputs_Sales'!E10)*'02_Inputs_Sales'!D10) + '04_Calcs_Volume'!T8 * ('02_Inputs_Sales'!E11*'02_Inputs_Sales'!C11 + (1-'02_Inputs_Sales'!E11)*'02_Inputs_Sales'!D11) + '04_Calcs_Volume'!T9 * ('02_Inputs_Sales'!E12*'02_Inputs_Sales'!C12 + (1-'02_Inputs_Sales'!E12)*'02_Inputs_Sales'!D12) + '04_Calcs_Volume'!T10 * ('02_Inputs_Sales'!E13*'02_Inputs_Sales'!C13 + (1-'02_Inputs_Sales'!E13)*'02_Inputs_Sales'!D13) + '04_Calcs_Volume'!T11 * ('02_Inputs_Sales'!E14*'02_Inputs_Sales'!C14 + (1-'02_Inputs_Sales'!E14)*'02_Inputs_Sales'!D14) + '04_Calcs_Volume'!T12 * ('02_Inputs_Sales'!E15*'02_Inputs_Sales'!C15 + (1-'02_Inputs_Sales'!E15)*'02_Inputs_Sales'!D15) + '04_Calcs_Volume'!T13 * ('02_Inputs_Sales'!E16*'02_Inputs_Sales'!C16 + (1-'02_Inputs_Sales'!E16)*'02_Inputs_Sales'!D16) + '04_Calcs_Volume'!T14 * ('02_Inputs_Sales'!E17*'02_Inputs_Sales'!C17 + (1-'02_Inputs_Sales'!E17)*'02_Inputs_Sales'!D17)</f>
        <v>0</v>
      </c>
      <c r="U6" s="6">
        <f>'04_Calcs_Volume'!U6 * ('02_Inputs_Sales'!E9*'02_Inputs_Sales'!C9 + (1-'02_Inputs_Sales'!E9)*'02_Inputs_Sales'!D9) + '04_Calcs_Volume'!U7 * ('02_Inputs_Sales'!E10*'02_Inputs_Sales'!C10 + (1-'02_Inputs_Sales'!E10)*'02_Inputs_Sales'!D10) + '04_Calcs_Volume'!U8 * ('02_Inputs_Sales'!E11*'02_Inputs_Sales'!C11 + (1-'02_Inputs_Sales'!E11)*'02_Inputs_Sales'!D11) + '04_Calcs_Volume'!U9 * ('02_Inputs_Sales'!E12*'02_Inputs_Sales'!C12 + (1-'02_Inputs_Sales'!E12)*'02_Inputs_Sales'!D12) + '04_Calcs_Volume'!U10 * ('02_Inputs_Sales'!E13*'02_Inputs_Sales'!C13 + (1-'02_Inputs_Sales'!E13)*'02_Inputs_Sales'!D13) + '04_Calcs_Volume'!U11 * ('02_Inputs_Sales'!E14*'02_Inputs_Sales'!C14 + (1-'02_Inputs_Sales'!E14)*'02_Inputs_Sales'!D14) + '04_Calcs_Volume'!U12 * ('02_Inputs_Sales'!E15*'02_Inputs_Sales'!C15 + (1-'02_Inputs_Sales'!E15)*'02_Inputs_Sales'!D15) + '04_Calcs_Volume'!U13 * ('02_Inputs_Sales'!E16*'02_Inputs_Sales'!C16 + (1-'02_Inputs_Sales'!E16)*'02_Inputs_Sales'!D16) + '04_Calcs_Volume'!U14 * ('02_Inputs_Sales'!E17*'02_Inputs_Sales'!C17 + (1-'02_Inputs_Sales'!E17)*'02_Inputs_Sales'!D17)</f>
        <v>0</v>
      </c>
      <c r="V6" s="6">
        <f>'04_Calcs_Volume'!V6 * ('02_Inputs_Sales'!E9*'02_Inputs_Sales'!C9 + (1-'02_Inputs_Sales'!E9)*'02_Inputs_Sales'!D9) + '04_Calcs_Volume'!V7 * ('02_Inputs_Sales'!E10*'02_Inputs_Sales'!C10 + (1-'02_Inputs_Sales'!E10)*'02_Inputs_Sales'!D10) + '04_Calcs_Volume'!V8 * ('02_Inputs_Sales'!E11*'02_Inputs_Sales'!C11 + (1-'02_Inputs_Sales'!E11)*'02_Inputs_Sales'!D11) + '04_Calcs_Volume'!V9 * ('02_Inputs_Sales'!E12*'02_Inputs_Sales'!C12 + (1-'02_Inputs_Sales'!E12)*'02_Inputs_Sales'!D12) + '04_Calcs_Volume'!V10 * ('02_Inputs_Sales'!E13*'02_Inputs_Sales'!C13 + (1-'02_Inputs_Sales'!E13)*'02_Inputs_Sales'!D13) + '04_Calcs_Volume'!V11 * ('02_Inputs_Sales'!E14*'02_Inputs_Sales'!C14 + (1-'02_Inputs_Sales'!E14)*'02_Inputs_Sales'!D14) + '04_Calcs_Volume'!V12 * ('02_Inputs_Sales'!E15*'02_Inputs_Sales'!C15 + (1-'02_Inputs_Sales'!E15)*'02_Inputs_Sales'!D15) + '04_Calcs_Volume'!V13 * ('02_Inputs_Sales'!E16*'02_Inputs_Sales'!C16 + (1-'02_Inputs_Sales'!E16)*'02_Inputs_Sales'!D16) + '04_Calcs_Volume'!V14 * ('02_Inputs_Sales'!E17*'02_Inputs_Sales'!C17 + (1-'02_Inputs_Sales'!E17)*'02_Inputs_Sales'!D17)</f>
        <v>0</v>
      </c>
      <c r="W6" s="6">
        <f>'04_Calcs_Volume'!W6 * ('02_Inputs_Sales'!E9*'02_Inputs_Sales'!C9 + (1-'02_Inputs_Sales'!E9)*'02_Inputs_Sales'!D9) + '04_Calcs_Volume'!W7 * ('02_Inputs_Sales'!E10*'02_Inputs_Sales'!C10 + (1-'02_Inputs_Sales'!E10)*'02_Inputs_Sales'!D10) + '04_Calcs_Volume'!W8 * ('02_Inputs_Sales'!E11*'02_Inputs_Sales'!C11 + (1-'02_Inputs_Sales'!E11)*'02_Inputs_Sales'!D11) + '04_Calcs_Volume'!W9 * ('02_Inputs_Sales'!E12*'02_Inputs_Sales'!C12 + (1-'02_Inputs_Sales'!E12)*'02_Inputs_Sales'!D12) + '04_Calcs_Volume'!W10 * ('02_Inputs_Sales'!E13*'02_Inputs_Sales'!C13 + (1-'02_Inputs_Sales'!E13)*'02_Inputs_Sales'!D13) + '04_Calcs_Volume'!W11 * ('02_Inputs_Sales'!E14*'02_Inputs_Sales'!C14 + (1-'02_Inputs_Sales'!E14)*'02_Inputs_Sales'!D14) + '04_Calcs_Volume'!W12 * ('02_Inputs_Sales'!E15*'02_Inputs_Sales'!C15 + (1-'02_Inputs_Sales'!E15)*'02_Inputs_Sales'!D15) + '04_Calcs_Volume'!W13 * ('02_Inputs_Sales'!E16*'02_Inputs_Sales'!C16 + (1-'02_Inputs_Sales'!E16)*'02_Inputs_Sales'!D16) + '04_Calcs_Volume'!W14 * ('02_Inputs_Sales'!E17*'02_Inputs_Sales'!C17 + (1-'02_Inputs_Sales'!E17)*'02_Inputs_Sales'!D17)</f>
        <v>0</v>
      </c>
      <c r="X6" s="6">
        <f>'04_Calcs_Volume'!X6 * ('02_Inputs_Sales'!E9*'02_Inputs_Sales'!C9 + (1-'02_Inputs_Sales'!E9)*'02_Inputs_Sales'!D9) + '04_Calcs_Volume'!X7 * ('02_Inputs_Sales'!E10*'02_Inputs_Sales'!C10 + (1-'02_Inputs_Sales'!E10)*'02_Inputs_Sales'!D10) + '04_Calcs_Volume'!X8 * ('02_Inputs_Sales'!E11*'02_Inputs_Sales'!C11 + (1-'02_Inputs_Sales'!E11)*'02_Inputs_Sales'!D11) + '04_Calcs_Volume'!X9 * ('02_Inputs_Sales'!E12*'02_Inputs_Sales'!C12 + (1-'02_Inputs_Sales'!E12)*'02_Inputs_Sales'!D12) + '04_Calcs_Volume'!X10 * ('02_Inputs_Sales'!E13*'02_Inputs_Sales'!C13 + (1-'02_Inputs_Sales'!E13)*'02_Inputs_Sales'!D13) + '04_Calcs_Volume'!X11 * ('02_Inputs_Sales'!E14*'02_Inputs_Sales'!C14 + (1-'02_Inputs_Sales'!E14)*'02_Inputs_Sales'!D14) + '04_Calcs_Volume'!X12 * ('02_Inputs_Sales'!E15*'02_Inputs_Sales'!C15 + (1-'02_Inputs_Sales'!E15)*'02_Inputs_Sales'!D15) + '04_Calcs_Volume'!X13 * ('02_Inputs_Sales'!E16*'02_Inputs_Sales'!C16 + (1-'02_Inputs_Sales'!E16)*'02_Inputs_Sales'!D16) + '04_Calcs_Volume'!X14 * ('02_Inputs_Sales'!E17*'02_Inputs_Sales'!C17 + (1-'02_Inputs_Sales'!E17)*'02_Inputs_Sales'!D17)</f>
        <v>0</v>
      </c>
      <c r="Y6" s="6">
        <f>'04_Calcs_Volume'!Y6 * ('02_Inputs_Sales'!E9*'02_Inputs_Sales'!C9 + (1-'02_Inputs_Sales'!E9)*'02_Inputs_Sales'!D9) + '04_Calcs_Volume'!Y7 * ('02_Inputs_Sales'!E10*'02_Inputs_Sales'!C10 + (1-'02_Inputs_Sales'!E10)*'02_Inputs_Sales'!D10) + '04_Calcs_Volume'!Y8 * ('02_Inputs_Sales'!E11*'02_Inputs_Sales'!C11 + (1-'02_Inputs_Sales'!E11)*'02_Inputs_Sales'!D11) + '04_Calcs_Volume'!Y9 * ('02_Inputs_Sales'!E12*'02_Inputs_Sales'!C12 + (1-'02_Inputs_Sales'!E12)*'02_Inputs_Sales'!D12) + '04_Calcs_Volume'!Y10 * ('02_Inputs_Sales'!E13*'02_Inputs_Sales'!C13 + (1-'02_Inputs_Sales'!E13)*'02_Inputs_Sales'!D13) + '04_Calcs_Volume'!Y11 * ('02_Inputs_Sales'!E14*'02_Inputs_Sales'!C14 + (1-'02_Inputs_Sales'!E14)*'02_Inputs_Sales'!D14) + '04_Calcs_Volume'!Y12 * ('02_Inputs_Sales'!E15*'02_Inputs_Sales'!C15 + (1-'02_Inputs_Sales'!E15)*'02_Inputs_Sales'!D15) + '04_Calcs_Volume'!Y13 * ('02_Inputs_Sales'!E16*'02_Inputs_Sales'!C16 + (1-'02_Inputs_Sales'!E16)*'02_Inputs_Sales'!D16) + '04_Calcs_Volume'!Y14 * ('02_Inputs_Sales'!E17*'02_Inputs_Sales'!C17 + (1-'02_Inputs_Sales'!E17)*'02_Inputs_Sales'!D17)</f>
        <v>0</v>
      </c>
      <c r="Z6" s="6">
        <f>'04_Calcs_Volume'!Z6 * ('02_Inputs_Sales'!E9*'02_Inputs_Sales'!C9 + (1-'02_Inputs_Sales'!E9)*'02_Inputs_Sales'!D9) + '04_Calcs_Volume'!Z7 * ('02_Inputs_Sales'!E10*'02_Inputs_Sales'!C10 + (1-'02_Inputs_Sales'!E10)*'02_Inputs_Sales'!D10) + '04_Calcs_Volume'!Z8 * ('02_Inputs_Sales'!E11*'02_Inputs_Sales'!C11 + (1-'02_Inputs_Sales'!E11)*'02_Inputs_Sales'!D11) + '04_Calcs_Volume'!Z9 * ('02_Inputs_Sales'!E12*'02_Inputs_Sales'!C12 + (1-'02_Inputs_Sales'!E12)*'02_Inputs_Sales'!D12) + '04_Calcs_Volume'!Z10 * ('02_Inputs_Sales'!E13*'02_Inputs_Sales'!C13 + (1-'02_Inputs_Sales'!E13)*'02_Inputs_Sales'!D13) + '04_Calcs_Volume'!Z11 * ('02_Inputs_Sales'!E14*'02_Inputs_Sales'!C14 + (1-'02_Inputs_Sales'!E14)*'02_Inputs_Sales'!D14) + '04_Calcs_Volume'!Z12 * ('02_Inputs_Sales'!E15*'02_Inputs_Sales'!C15 + (1-'02_Inputs_Sales'!E15)*'02_Inputs_Sales'!D15) + '04_Calcs_Volume'!Z13 * ('02_Inputs_Sales'!E16*'02_Inputs_Sales'!C16 + (1-'02_Inputs_Sales'!E16)*'02_Inputs_Sales'!D16) + '04_Calcs_Volume'!Z14 * ('02_Inputs_Sales'!E17*'02_Inputs_Sales'!C17 + (1-'02_Inputs_Sales'!E17)*'02_Inputs_Sales'!D17)</f>
        <v>0</v>
      </c>
      <c r="AA6" s="6">
        <f>'04_Calcs_Volume'!AA6 * ('02_Inputs_Sales'!E9*'02_Inputs_Sales'!C9 + (1-'02_Inputs_Sales'!E9)*'02_Inputs_Sales'!D9) + '04_Calcs_Volume'!AA7 * ('02_Inputs_Sales'!E10*'02_Inputs_Sales'!C10 + (1-'02_Inputs_Sales'!E10)*'02_Inputs_Sales'!D10) + '04_Calcs_Volume'!AA8 * ('02_Inputs_Sales'!E11*'02_Inputs_Sales'!C11 + (1-'02_Inputs_Sales'!E11)*'02_Inputs_Sales'!D11) + '04_Calcs_Volume'!AA9 * ('02_Inputs_Sales'!E12*'02_Inputs_Sales'!C12 + (1-'02_Inputs_Sales'!E12)*'02_Inputs_Sales'!D12) + '04_Calcs_Volume'!AA10 * ('02_Inputs_Sales'!E13*'02_Inputs_Sales'!C13 + (1-'02_Inputs_Sales'!E13)*'02_Inputs_Sales'!D13) + '04_Calcs_Volume'!AA11 * ('02_Inputs_Sales'!E14*'02_Inputs_Sales'!C14 + (1-'02_Inputs_Sales'!E14)*'02_Inputs_Sales'!D14) + '04_Calcs_Volume'!AA12 * ('02_Inputs_Sales'!E15*'02_Inputs_Sales'!C15 + (1-'02_Inputs_Sales'!E15)*'02_Inputs_Sales'!D15) + '04_Calcs_Volume'!AA13 * ('02_Inputs_Sales'!E16*'02_Inputs_Sales'!C16 + (1-'02_Inputs_Sales'!E16)*'02_Inputs_Sales'!D16) + '04_Calcs_Volume'!AA14 * ('02_Inputs_Sales'!E17*'02_Inputs_Sales'!C17 + (1-'02_Inputs_Sales'!E17)*'02_Inputs_Sales'!D17)</f>
        <v>0</v>
      </c>
      <c r="AB6" s="6">
        <f>'04_Calcs_Volume'!AB6 * ('02_Inputs_Sales'!E9*'02_Inputs_Sales'!C9 + (1-'02_Inputs_Sales'!E9)*'02_Inputs_Sales'!D9) + '04_Calcs_Volume'!AB7 * ('02_Inputs_Sales'!E10*'02_Inputs_Sales'!C10 + (1-'02_Inputs_Sales'!E10)*'02_Inputs_Sales'!D10) + '04_Calcs_Volume'!AB8 * ('02_Inputs_Sales'!E11*'02_Inputs_Sales'!C11 + (1-'02_Inputs_Sales'!E11)*'02_Inputs_Sales'!D11) + '04_Calcs_Volume'!AB9 * ('02_Inputs_Sales'!E12*'02_Inputs_Sales'!C12 + (1-'02_Inputs_Sales'!E12)*'02_Inputs_Sales'!D12) + '04_Calcs_Volume'!AB10 * ('02_Inputs_Sales'!E13*'02_Inputs_Sales'!C13 + (1-'02_Inputs_Sales'!E13)*'02_Inputs_Sales'!D13) + '04_Calcs_Volume'!AB11 * ('02_Inputs_Sales'!E14*'02_Inputs_Sales'!C14 + (1-'02_Inputs_Sales'!E14)*'02_Inputs_Sales'!D14) + '04_Calcs_Volume'!AB12 * ('02_Inputs_Sales'!E15*'02_Inputs_Sales'!C15 + (1-'02_Inputs_Sales'!E15)*'02_Inputs_Sales'!D15) + '04_Calcs_Volume'!AB13 * ('02_Inputs_Sales'!E16*'02_Inputs_Sales'!C16 + (1-'02_Inputs_Sales'!E16)*'02_Inputs_Sales'!D16) + '04_Calcs_Volume'!AB14 * ('02_Inputs_Sales'!E17*'02_Inputs_Sales'!C17 + (1-'02_Inputs_Sales'!E17)*'02_Inputs_Sales'!D17)</f>
        <v>0</v>
      </c>
      <c r="AC6" s="6">
        <f>'04_Calcs_Volume'!AC6 * ('02_Inputs_Sales'!E9*'02_Inputs_Sales'!C9 + (1-'02_Inputs_Sales'!E9)*'02_Inputs_Sales'!D9) + '04_Calcs_Volume'!AC7 * ('02_Inputs_Sales'!E10*'02_Inputs_Sales'!C10 + (1-'02_Inputs_Sales'!E10)*'02_Inputs_Sales'!D10) + '04_Calcs_Volume'!AC8 * ('02_Inputs_Sales'!E11*'02_Inputs_Sales'!C11 + (1-'02_Inputs_Sales'!E11)*'02_Inputs_Sales'!D11) + '04_Calcs_Volume'!AC9 * ('02_Inputs_Sales'!E12*'02_Inputs_Sales'!C12 + (1-'02_Inputs_Sales'!E12)*'02_Inputs_Sales'!D12) + '04_Calcs_Volume'!AC10 * ('02_Inputs_Sales'!E13*'02_Inputs_Sales'!C13 + (1-'02_Inputs_Sales'!E13)*'02_Inputs_Sales'!D13) + '04_Calcs_Volume'!AC11 * ('02_Inputs_Sales'!E14*'02_Inputs_Sales'!C14 + (1-'02_Inputs_Sales'!E14)*'02_Inputs_Sales'!D14) + '04_Calcs_Volume'!AC12 * ('02_Inputs_Sales'!E15*'02_Inputs_Sales'!C15 + (1-'02_Inputs_Sales'!E15)*'02_Inputs_Sales'!D15) + '04_Calcs_Volume'!AC13 * ('02_Inputs_Sales'!E16*'02_Inputs_Sales'!C16 + (1-'02_Inputs_Sales'!E16)*'02_Inputs_Sales'!D16) + '04_Calcs_Volume'!AC14 * ('02_Inputs_Sales'!E17*'02_Inputs_Sales'!C17 + (1-'02_Inputs_Sales'!E17)*'02_Inputs_Sales'!D17)</f>
        <v>0</v>
      </c>
      <c r="AD6" s="6">
        <f>'04_Calcs_Volume'!AD6 * ('02_Inputs_Sales'!E9*'02_Inputs_Sales'!C9 + (1-'02_Inputs_Sales'!E9)*'02_Inputs_Sales'!D9) + '04_Calcs_Volume'!AD7 * ('02_Inputs_Sales'!E10*'02_Inputs_Sales'!C10 + (1-'02_Inputs_Sales'!E10)*'02_Inputs_Sales'!D10) + '04_Calcs_Volume'!AD8 * ('02_Inputs_Sales'!E11*'02_Inputs_Sales'!C11 + (1-'02_Inputs_Sales'!E11)*'02_Inputs_Sales'!D11) + '04_Calcs_Volume'!AD9 * ('02_Inputs_Sales'!E12*'02_Inputs_Sales'!C12 + (1-'02_Inputs_Sales'!E12)*'02_Inputs_Sales'!D12) + '04_Calcs_Volume'!AD10 * ('02_Inputs_Sales'!E13*'02_Inputs_Sales'!C13 + (1-'02_Inputs_Sales'!E13)*'02_Inputs_Sales'!D13) + '04_Calcs_Volume'!AD11 * ('02_Inputs_Sales'!E14*'02_Inputs_Sales'!C14 + (1-'02_Inputs_Sales'!E14)*'02_Inputs_Sales'!D14) + '04_Calcs_Volume'!AD12 * ('02_Inputs_Sales'!E15*'02_Inputs_Sales'!C15 + (1-'02_Inputs_Sales'!E15)*'02_Inputs_Sales'!D15) + '04_Calcs_Volume'!AD13 * ('02_Inputs_Sales'!E16*'02_Inputs_Sales'!C16 + (1-'02_Inputs_Sales'!E16)*'02_Inputs_Sales'!D16) + '04_Calcs_Volume'!AD14 * ('02_Inputs_Sales'!E17*'02_Inputs_Sales'!C17 + (1-'02_Inputs_Sales'!E17)*'02_Inputs_Sales'!D17)</f>
        <v>0</v>
      </c>
      <c r="AE6" s="6">
        <f>'04_Calcs_Volume'!AE6 * ('02_Inputs_Sales'!E9*'02_Inputs_Sales'!C9 + (1-'02_Inputs_Sales'!E9)*'02_Inputs_Sales'!D9) + '04_Calcs_Volume'!AE7 * ('02_Inputs_Sales'!E10*'02_Inputs_Sales'!C10 + (1-'02_Inputs_Sales'!E10)*'02_Inputs_Sales'!D10) + '04_Calcs_Volume'!AE8 * ('02_Inputs_Sales'!E11*'02_Inputs_Sales'!C11 + (1-'02_Inputs_Sales'!E11)*'02_Inputs_Sales'!D11) + '04_Calcs_Volume'!AE9 * ('02_Inputs_Sales'!E12*'02_Inputs_Sales'!C12 + (1-'02_Inputs_Sales'!E12)*'02_Inputs_Sales'!D12) + '04_Calcs_Volume'!AE10 * ('02_Inputs_Sales'!E13*'02_Inputs_Sales'!C13 + (1-'02_Inputs_Sales'!E13)*'02_Inputs_Sales'!D13) + '04_Calcs_Volume'!AE11 * ('02_Inputs_Sales'!E14*'02_Inputs_Sales'!C14 + (1-'02_Inputs_Sales'!E14)*'02_Inputs_Sales'!D14) + '04_Calcs_Volume'!AE12 * ('02_Inputs_Sales'!E15*'02_Inputs_Sales'!C15 + (1-'02_Inputs_Sales'!E15)*'02_Inputs_Sales'!D15) + '04_Calcs_Volume'!AE13 * ('02_Inputs_Sales'!E16*'02_Inputs_Sales'!C16 + (1-'02_Inputs_Sales'!E16)*'02_Inputs_Sales'!D16) + '04_Calcs_Volume'!AE14 * ('02_Inputs_Sales'!E17*'02_Inputs_Sales'!C17 + (1-'02_Inputs_Sales'!E17)*'02_Inputs_Sales'!D17)</f>
        <v>0</v>
      </c>
      <c r="AF6" s="6">
        <f>'04_Calcs_Volume'!AF6 * ('02_Inputs_Sales'!E9*'02_Inputs_Sales'!C9 + (1-'02_Inputs_Sales'!E9)*'02_Inputs_Sales'!D9) + '04_Calcs_Volume'!AF7 * ('02_Inputs_Sales'!E10*'02_Inputs_Sales'!C10 + (1-'02_Inputs_Sales'!E10)*'02_Inputs_Sales'!D10) + '04_Calcs_Volume'!AF8 * ('02_Inputs_Sales'!E11*'02_Inputs_Sales'!C11 + (1-'02_Inputs_Sales'!E11)*'02_Inputs_Sales'!D11) + '04_Calcs_Volume'!AF9 * ('02_Inputs_Sales'!E12*'02_Inputs_Sales'!C12 + (1-'02_Inputs_Sales'!E12)*'02_Inputs_Sales'!D12) + '04_Calcs_Volume'!AF10 * ('02_Inputs_Sales'!E13*'02_Inputs_Sales'!C13 + (1-'02_Inputs_Sales'!E13)*'02_Inputs_Sales'!D13) + '04_Calcs_Volume'!AF11 * ('02_Inputs_Sales'!E14*'02_Inputs_Sales'!C14 + (1-'02_Inputs_Sales'!E14)*'02_Inputs_Sales'!D14) + '04_Calcs_Volume'!AF12 * ('02_Inputs_Sales'!E15*'02_Inputs_Sales'!C15 + (1-'02_Inputs_Sales'!E15)*'02_Inputs_Sales'!D15) + '04_Calcs_Volume'!AF13 * ('02_Inputs_Sales'!E16*'02_Inputs_Sales'!C16 + (1-'02_Inputs_Sales'!E16)*'02_Inputs_Sales'!D16) + '04_Calcs_Volume'!AF14 * ('02_Inputs_Sales'!E17*'02_Inputs_Sales'!C17 + (1-'02_Inputs_Sales'!E17)*'02_Inputs_Sales'!D17)</f>
        <v>0</v>
      </c>
      <c r="AG6" s="6">
        <f>'04_Calcs_Volume'!AG6 * ('02_Inputs_Sales'!E9*'02_Inputs_Sales'!C9 + (1-'02_Inputs_Sales'!E9)*'02_Inputs_Sales'!D9) + '04_Calcs_Volume'!AG7 * ('02_Inputs_Sales'!E10*'02_Inputs_Sales'!C10 + (1-'02_Inputs_Sales'!E10)*'02_Inputs_Sales'!D10) + '04_Calcs_Volume'!AG8 * ('02_Inputs_Sales'!E11*'02_Inputs_Sales'!C11 + (1-'02_Inputs_Sales'!E11)*'02_Inputs_Sales'!D11) + '04_Calcs_Volume'!AG9 * ('02_Inputs_Sales'!E12*'02_Inputs_Sales'!C12 + (1-'02_Inputs_Sales'!E12)*'02_Inputs_Sales'!D12) + '04_Calcs_Volume'!AG10 * ('02_Inputs_Sales'!E13*'02_Inputs_Sales'!C13 + (1-'02_Inputs_Sales'!E13)*'02_Inputs_Sales'!D13) + '04_Calcs_Volume'!AG11 * ('02_Inputs_Sales'!E14*'02_Inputs_Sales'!C14 + (1-'02_Inputs_Sales'!E14)*'02_Inputs_Sales'!D14) + '04_Calcs_Volume'!AG12 * ('02_Inputs_Sales'!E15*'02_Inputs_Sales'!C15 + (1-'02_Inputs_Sales'!E15)*'02_Inputs_Sales'!D15) + '04_Calcs_Volume'!AG13 * ('02_Inputs_Sales'!E16*'02_Inputs_Sales'!C16 + (1-'02_Inputs_Sales'!E16)*'02_Inputs_Sales'!D16) + '04_Calcs_Volume'!AG14 * ('02_Inputs_Sales'!E17*'02_Inputs_Sales'!C17 + (1-'02_Inputs_Sales'!E17)*'02_Inputs_Sales'!D17)</f>
        <v>0</v>
      </c>
      <c r="AH6" s="6">
        <f>'04_Calcs_Volume'!AH6 * ('02_Inputs_Sales'!E9*'02_Inputs_Sales'!C9 + (1-'02_Inputs_Sales'!E9)*'02_Inputs_Sales'!D9) + '04_Calcs_Volume'!AH7 * ('02_Inputs_Sales'!E10*'02_Inputs_Sales'!C10 + (1-'02_Inputs_Sales'!E10)*'02_Inputs_Sales'!D10) + '04_Calcs_Volume'!AH8 * ('02_Inputs_Sales'!E11*'02_Inputs_Sales'!C11 + (1-'02_Inputs_Sales'!E11)*'02_Inputs_Sales'!D11) + '04_Calcs_Volume'!AH9 * ('02_Inputs_Sales'!E12*'02_Inputs_Sales'!C12 + (1-'02_Inputs_Sales'!E12)*'02_Inputs_Sales'!D12) + '04_Calcs_Volume'!AH10 * ('02_Inputs_Sales'!E13*'02_Inputs_Sales'!C13 + (1-'02_Inputs_Sales'!E13)*'02_Inputs_Sales'!D13) + '04_Calcs_Volume'!AH11 * ('02_Inputs_Sales'!E14*'02_Inputs_Sales'!C14 + (1-'02_Inputs_Sales'!E14)*'02_Inputs_Sales'!D14) + '04_Calcs_Volume'!AH12 * ('02_Inputs_Sales'!E15*'02_Inputs_Sales'!C15 + (1-'02_Inputs_Sales'!E15)*'02_Inputs_Sales'!D15) + '04_Calcs_Volume'!AH13 * ('02_Inputs_Sales'!E16*'02_Inputs_Sales'!C16 + (1-'02_Inputs_Sales'!E16)*'02_Inputs_Sales'!D16) + '04_Calcs_Volume'!AH14 * ('02_Inputs_Sales'!E17*'02_Inputs_Sales'!C17 + (1-'02_Inputs_Sales'!E17)*'02_Inputs_Sales'!D17)</f>
        <v>0</v>
      </c>
      <c r="AI6" s="6">
        <f>'04_Calcs_Volume'!AI6 * ('02_Inputs_Sales'!E9*'02_Inputs_Sales'!C9 + (1-'02_Inputs_Sales'!E9)*'02_Inputs_Sales'!D9) + '04_Calcs_Volume'!AI7 * ('02_Inputs_Sales'!E10*'02_Inputs_Sales'!C10 + (1-'02_Inputs_Sales'!E10)*'02_Inputs_Sales'!D10) + '04_Calcs_Volume'!AI8 * ('02_Inputs_Sales'!E11*'02_Inputs_Sales'!C11 + (1-'02_Inputs_Sales'!E11)*'02_Inputs_Sales'!D11) + '04_Calcs_Volume'!AI9 * ('02_Inputs_Sales'!E12*'02_Inputs_Sales'!C12 + (1-'02_Inputs_Sales'!E12)*'02_Inputs_Sales'!D12) + '04_Calcs_Volume'!AI10 * ('02_Inputs_Sales'!E13*'02_Inputs_Sales'!C13 + (1-'02_Inputs_Sales'!E13)*'02_Inputs_Sales'!D13) + '04_Calcs_Volume'!AI11 * ('02_Inputs_Sales'!E14*'02_Inputs_Sales'!C14 + (1-'02_Inputs_Sales'!E14)*'02_Inputs_Sales'!D14) + '04_Calcs_Volume'!AI12 * ('02_Inputs_Sales'!E15*'02_Inputs_Sales'!C15 + (1-'02_Inputs_Sales'!E15)*'02_Inputs_Sales'!D15) + '04_Calcs_Volume'!AI13 * ('02_Inputs_Sales'!E16*'02_Inputs_Sales'!C16 + (1-'02_Inputs_Sales'!E16)*'02_Inputs_Sales'!D16) + '04_Calcs_Volume'!AI14 * ('02_Inputs_Sales'!E17*'02_Inputs_Sales'!C17 + (1-'02_Inputs_Sales'!E17)*'02_Inputs_Sales'!D17)</f>
        <v>0</v>
      </c>
      <c r="AJ6" s="6">
        <f>'04_Calcs_Volume'!AJ6 * ('02_Inputs_Sales'!E9*'02_Inputs_Sales'!C9 + (1-'02_Inputs_Sales'!E9)*'02_Inputs_Sales'!D9) + '04_Calcs_Volume'!AJ7 * ('02_Inputs_Sales'!E10*'02_Inputs_Sales'!C10 + (1-'02_Inputs_Sales'!E10)*'02_Inputs_Sales'!D10) + '04_Calcs_Volume'!AJ8 * ('02_Inputs_Sales'!E11*'02_Inputs_Sales'!C11 + (1-'02_Inputs_Sales'!E11)*'02_Inputs_Sales'!D11) + '04_Calcs_Volume'!AJ9 * ('02_Inputs_Sales'!E12*'02_Inputs_Sales'!C12 + (1-'02_Inputs_Sales'!E12)*'02_Inputs_Sales'!D12) + '04_Calcs_Volume'!AJ10 * ('02_Inputs_Sales'!E13*'02_Inputs_Sales'!C13 + (1-'02_Inputs_Sales'!E13)*'02_Inputs_Sales'!D13) + '04_Calcs_Volume'!AJ11 * ('02_Inputs_Sales'!E14*'02_Inputs_Sales'!C14 + (1-'02_Inputs_Sales'!E14)*'02_Inputs_Sales'!D14) + '04_Calcs_Volume'!AJ12 * ('02_Inputs_Sales'!E15*'02_Inputs_Sales'!C15 + (1-'02_Inputs_Sales'!E15)*'02_Inputs_Sales'!D15) + '04_Calcs_Volume'!AJ13 * ('02_Inputs_Sales'!E16*'02_Inputs_Sales'!C16 + (1-'02_Inputs_Sales'!E16)*'02_Inputs_Sales'!D16) + '04_Calcs_Volume'!AJ14 * ('02_Inputs_Sales'!E17*'02_Inputs_Sales'!C17 + (1-'02_Inputs_Sales'!E17)*'02_Inputs_Sales'!D17)</f>
        <v>0</v>
      </c>
      <c r="AK6" s="6">
        <f>'04_Calcs_Volume'!AK6 * ('02_Inputs_Sales'!E9*'02_Inputs_Sales'!C9 + (1-'02_Inputs_Sales'!E9)*'02_Inputs_Sales'!D9) + '04_Calcs_Volume'!AK7 * ('02_Inputs_Sales'!E10*'02_Inputs_Sales'!C10 + (1-'02_Inputs_Sales'!E10)*'02_Inputs_Sales'!D10) + '04_Calcs_Volume'!AK8 * ('02_Inputs_Sales'!E11*'02_Inputs_Sales'!C11 + (1-'02_Inputs_Sales'!E11)*'02_Inputs_Sales'!D11) + '04_Calcs_Volume'!AK9 * ('02_Inputs_Sales'!E12*'02_Inputs_Sales'!C12 + (1-'02_Inputs_Sales'!E12)*'02_Inputs_Sales'!D12) + '04_Calcs_Volume'!AK10 * ('02_Inputs_Sales'!E13*'02_Inputs_Sales'!C13 + (1-'02_Inputs_Sales'!E13)*'02_Inputs_Sales'!D13) + '04_Calcs_Volume'!AK11 * ('02_Inputs_Sales'!E14*'02_Inputs_Sales'!C14 + (1-'02_Inputs_Sales'!E14)*'02_Inputs_Sales'!D14) + '04_Calcs_Volume'!AK12 * ('02_Inputs_Sales'!E15*'02_Inputs_Sales'!C15 + (1-'02_Inputs_Sales'!E15)*'02_Inputs_Sales'!D15) + '04_Calcs_Volume'!AK13 * ('02_Inputs_Sales'!E16*'02_Inputs_Sales'!C16 + (1-'02_Inputs_Sales'!E16)*'02_Inputs_Sales'!D16) + '04_Calcs_Volume'!AK14 * ('02_Inputs_Sales'!E17*'02_Inputs_Sales'!C17 + (1-'02_Inputs_Sales'!E17)*'02_Inputs_Sales'!D17)</f>
        <v>0</v>
      </c>
      <c r="AL6" s="6">
        <f>'04_Calcs_Volume'!AL6 * ('02_Inputs_Sales'!E9*'02_Inputs_Sales'!C9 + (1-'02_Inputs_Sales'!E9)*'02_Inputs_Sales'!D9) + '04_Calcs_Volume'!AL7 * ('02_Inputs_Sales'!E10*'02_Inputs_Sales'!C10 + (1-'02_Inputs_Sales'!E10)*'02_Inputs_Sales'!D10) + '04_Calcs_Volume'!AL8 * ('02_Inputs_Sales'!E11*'02_Inputs_Sales'!C11 + (1-'02_Inputs_Sales'!E11)*'02_Inputs_Sales'!D11) + '04_Calcs_Volume'!AL9 * ('02_Inputs_Sales'!E12*'02_Inputs_Sales'!C12 + (1-'02_Inputs_Sales'!E12)*'02_Inputs_Sales'!D12) + '04_Calcs_Volume'!AL10 * ('02_Inputs_Sales'!E13*'02_Inputs_Sales'!C13 + (1-'02_Inputs_Sales'!E13)*'02_Inputs_Sales'!D13) + '04_Calcs_Volume'!AL11 * ('02_Inputs_Sales'!E14*'02_Inputs_Sales'!C14 + (1-'02_Inputs_Sales'!E14)*'02_Inputs_Sales'!D14) + '04_Calcs_Volume'!AL12 * ('02_Inputs_Sales'!E15*'02_Inputs_Sales'!C15 + (1-'02_Inputs_Sales'!E15)*'02_Inputs_Sales'!D15) + '04_Calcs_Volume'!AL13 * ('02_Inputs_Sales'!E16*'02_Inputs_Sales'!C16 + (1-'02_Inputs_Sales'!E16)*'02_Inputs_Sales'!D16) + '04_Calcs_Volume'!AL14 * ('02_Inputs_Sales'!E17*'02_Inputs_Sales'!C17 + (1-'02_Inputs_Sales'!E17)*'02_Inputs_Sales'!D17)</f>
        <v>0</v>
      </c>
      <c r="AM6" s="6">
        <f>'04_Calcs_Volume'!AM6 * ('02_Inputs_Sales'!E9*'02_Inputs_Sales'!C9 + (1-'02_Inputs_Sales'!E9)*'02_Inputs_Sales'!D9) + '04_Calcs_Volume'!AM7 * ('02_Inputs_Sales'!E10*'02_Inputs_Sales'!C10 + (1-'02_Inputs_Sales'!E10)*'02_Inputs_Sales'!D10) + '04_Calcs_Volume'!AM8 * ('02_Inputs_Sales'!E11*'02_Inputs_Sales'!C11 + (1-'02_Inputs_Sales'!E11)*'02_Inputs_Sales'!D11) + '04_Calcs_Volume'!AM9 * ('02_Inputs_Sales'!E12*'02_Inputs_Sales'!C12 + (1-'02_Inputs_Sales'!E12)*'02_Inputs_Sales'!D12) + '04_Calcs_Volume'!AM10 * ('02_Inputs_Sales'!E13*'02_Inputs_Sales'!C13 + (1-'02_Inputs_Sales'!E13)*'02_Inputs_Sales'!D13) + '04_Calcs_Volume'!AM11 * ('02_Inputs_Sales'!E14*'02_Inputs_Sales'!C14 + (1-'02_Inputs_Sales'!E14)*'02_Inputs_Sales'!D14) + '04_Calcs_Volume'!AM12 * ('02_Inputs_Sales'!E15*'02_Inputs_Sales'!C15 + (1-'02_Inputs_Sales'!E15)*'02_Inputs_Sales'!D15) + '04_Calcs_Volume'!AM13 * ('02_Inputs_Sales'!E16*'02_Inputs_Sales'!C16 + (1-'02_Inputs_Sales'!E16)*'02_Inputs_Sales'!D16) + '04_Calcs_Volume'!AM14 * ('02_Inputs_Sales'!E17*'02_Inputs_Sales'!C17 + (1-'02_Inputs_Sales'!E17)*'02_Inputs_Sales'!D17)</f>
        <v>0</v>
      </c>
      <c r="AN6" s="6">
        <f>'04_Calcs_Volume'!AN6 * ('02_Inputs_Sales'!E9*'02_Inputs_Sales'!C9 + (1-'02_Inputs_Sales'!E9)*'02_Inputs_Sales'!D9) + '04_Calcs_Volume'!AN7 * ('02_Inputs_Sales'!E10*'02_Inputs_Sales'!C10 + (1-'02_Inputs_Sales'!E10)*'02_Inputs_Sales'!D10) + '04_Calcs_Volume'!AN8 * ('02_Inputs_Sales'!E11*'02_Inputs_Sales'!C11 + (1-'02_Inputs_Sales'!E11)*'02_Inputs_Sales'!D11) + '04_Calcs_Volume'!AN9 * ('02_Inputs_Sales'!E12*'02_Inputs_Sales'!C12 + (1-'02_Inputs_Sales'!E12)*'02_Inputs_Sales'!D12) + '04_Calcs_Volume'!AN10 * ('02_Inputs_Sales'!E13*'02_Inputs_Sales'!C13 + (1-'02_Inputs_Sales'!E13)*'02_Inputs_Sales'!D13) + '04_Calcs_Volume'!AN11 * ('02_Inputs_Sales'!E14*'02_Inputs_Sales'!C14 + (1-'02_Inputs_Sales'!E14)*'02_Inputs_Sales'!D14) + '04_Calcs_Volume'!AN12 * ('02_Inputs_Sales'!E15*'02_Inputs_Sales'!C15 + (1-'02_Inputs_Sales'!E15)*'02_Inputs_Sales'!D15) + '04_Calcs_Volume'!AN13 * ('02_Inputs_Sales'!E16*'02_Inputs_Sales'!C16 + (1-'02_Inputs_Sales'!E16)*'02_Inputs_Sales'!D16) + '04_Calcs_Volume'!AN14 * ('02_Inputs_Sales'!E17*'02_Inputs_Sales'!C17 + (1-'02_Inputs_Sales'!E17)*'02_Inputs_Sales'!D17)</f>
        <v>0</v>
      </c>
      <c r="AO6" s="6">
        <f>'04_Calcs_Volume'!AO6 * ('02_Inputs_Sales'!E9*'02_Inputs_Sales'!C9 + (1-'02_Inputs_Sales'!E9)*'02_Inputs_Sales'!D9) + '04_Calcs_Volume'!AO7 * ('02_Inputs_Sales'!E10*'02_Inputs_Sales'!C10 + (1-'02_Inputs_Sales'!E10)*'02_Inputs_Sales'!D10) + '04_Calcs_Volume'!AO8 * ('02_Inputs_Sales'!E11*'02_Inputs_Sales'!C11 + (1-'02_Inputs_Sales'!E11)*'02_Inputs_Sales'!D11) + '04_Calcs_Volume'!AO9 * ('02_Inputs_Sales'!E12*'02_Inputs_Sales'!C12 + (1-'02_Inputs_Sales'!E12)*'02_Inputs_Sales'!D12) + '04_Calcs_Volume'!AO10 * ('02_Inputs_Sales'!E13*'02_Inputs_Sales'!C13 + (1-'02_Inputs_Sales'!E13)*'02_Inputs_Sales'!D13) + '04_Calcs_Volume'!AO11 * ('02_Inputs_Sales'!E14*'02_Inputs_Sales'!C14 + (1-'02_Inputs_Sales'!E14)*'02_Inputs_Sales'!D14) + '04_Calcs_Volume'!AO12 * ('02_Inputs_Sales'!E15*'02_Inputs_Sales'!C15 + (1-'02_Inputs_Sales'!E15)*'02_Inputs_Sales'!D15) + '04_Calcs_Volume'!AO13 * ('02_Inputs_Sales'!E16*'02_Inputs_Sales'!C16 + (1-'02_Inputs_Sales'!E16)*'02_Inputs_Sales'!D16) + '04_Calcs_Volume'!AO14 * ('02_Inputs_Sales'!E17*'02_Inputs_Sales'!C17 + (1-'02_Inputs_Sales'!E17)*'02_Inputs_Sales'!D17)</f>
        <v>0</v>
      </c>
      <c r="AP6" s="6">
        <f>'04_Calcs_Volume'!AP6 * ('02_Inputs_Sales'!E9*'02_Inputs_Sales'!C9 + (1-'02_Inputs_Sales'!E9)*'02_Inputs_Sales'!D9) + '04_Calcs_Volume'!AP7 * ('02_Inputs_Sales'!E10*'02_Inputs_Sales'!C10 + (1-'02_Inputs_Sales'!E10)*'02_Inputs_Sales'!D10) + '04_Calcs_Volume'!AP8 * ('02_Inputs_Sales'!E11*'02_Inputs_Sales'!C11 + (1-'02_Inputs_Sales'!E11)*'02_Inputs_Sales'!D11) + '04_Calcs_Volume'!AP9 * ('02_Inputs_Sales'!E12*'02_Inputs_Sales'!C12 + (1-'02_Inputs_Sales'!E12)*'02_Inputs_Sales'!D12) + '04_Calcs_Volume'!AP10 * ('02_Inputs_Sales'!E13*'02_Inputs_Sales'!C13 + (1-'02_Inputs_Sales'!E13)*'02_Inputs_Sales'!D13) + '04_Calcs_Volume'!AP11 * ('02_Inputs_Sales'!E14*'02_Inputs_Sales'!C14 + (1-'02_Inputs_Sales'!E14)*'02_Inputs_Sales'!D14) + '04_Calcs_Volume'!AP12 * ('02_Inputs_Sales'!E15*'02_Inputs_Sales'!C15 + (1-'02_Inputs_Sales'!E15)*'02_Inputs_Sales'!D15) + '04_Calcs_Volume'!AP13 * ('02_Inputs_Sales'!E16*'02_Inputs_Sales'!C16 + (1-'02_Inputs_Sales'!E16)*'02_Inputs_Sales'!D16) + '04_Calcs_Volume'!AP14 * ('02_Inputs_Sales'!E17*'02_Inputs_Sales'!C17 + (1-'02_Inputs_Sales'!E17)*'02_Inputs_Sales'!D17)</f>
        <v>0</v>
      </c>
      <c r="AQ6" s="6">
        <f>'04_Calcs_Volume'!AQ6 * ('02_Inputs_Sales'!E9*'02_Inputs_Sales'!C9 + (1-'02_Inputs_Sales'!E9)*'02_Inputs_Sales'!D9) + '04_Calcs_Volume'!AQ7 * ('02_Inputs_Sales'!E10*'02_Inputs_Sales'!C10 + (1-'02_Inputs_Sales'!E10)*'02_Inputs_Sales'!D10) + '04_Calcs_Volume'!AQ8 * ('02_Inputs_Sales'!E11*'02_Inputs_Sales'!C11 + (1-'02_Inputs_Sales'!E11)*'02_Inputs_Sales'!D11) + '04_Calcs_Volume'!AQ9 * ('02_Inputs_Sales'!E12*'02_Inputs_Sales'!C12 + (1-'02_Inputs_Sales'!E12)*'02_Inputs_Sales'!D12) + '04_Calcs_Volume'!AQ10 * ('02_Inputs_Sales'!E13*'02_Inputs_Sales'!C13 + (1-'02_Inputs_Sales'!E13)*'02_Inputs_Sales'!D13) + '04_Calcs_Volume'!AQ11 * ('02_Inputs_Sales'!E14*'02_Inputs_Sales'!C14 + (1-'02_Inputs_Sales'!E14)*'02_Inputs_Sales'!D14) + '04_Calcs_Volume'!AQ12 * ('02_Inputs_Sales'!E15*'02_Inputs_Sales'!C15 + (1-'02_Inputs_Sales'!E15)*'02_Inputs_Sales'!D15) + '04_Calcs_Volume'!AQ13 * ('02_Inputs_Sales'!E16*'02_Inputs_Sales'!C16 + (1-'02_Inputs_Sales'!E16)*'02_Inputs_Sales'!D16) + '04_Calcs_Volume'!AQ14 * ('02_Inputs_Sales'!E17*'02_Inputs_Sales'!C17 + (1-'02_Inputs_Sales'!E17)*'02_Inputs_Sales'!D17)</f>
        <v>0</v>
      </c>
      <c r="AR6" s="6">
        <f>'04_Calcs_Volume'!AR6 * ('02_Inputs_Sales'!E9*'02_Inputs_Sales'!C9 + (1-'02_Inputs_Sales'!E9)*'02_Inputs_Sales'!D9) + '04_Calcs_Volume'!AR7 * ('02_Inputs_Sales'!E10*'02_Inputs_Sales'!C10 + (1-'02_Inputs_Sales'!E10)*'02_Inputs_Sales'!D10) + '04_Calcs_Volume'!AR8 * ('02_Inputs_Sales'!E11*'02_Inputs_Sales'!C11 + (1-'02_Inputs_Sales'!E11)*'02_Inputs_Sales'!D11) + '04_Calcs_Volume'!AR9 * ('02_Inputs_Sales'!E12*'02_Inputs_Sales'!C12 + (1-'02_Inputs_Sales'!E12)*'02_Inputs_Sales'!D12) + '04_Calcs_Volume'!AR10 * ('02_Inputs_Sales'!E13*'02_Inputs_Sales'!C13 + (1-'02_Inputs_Sales'!E13)*'02_Inputs_Sales'!D13) + '04_Calcs_Volume'!AR11 * ('02_Inputs_Sales'!E14*'02_Inputs_Sales'!C14 + (1-'02_Inputs_Sales'!E14)*'02_Inputs_Sales'!D14) + '04_Calcs_Volume'!AR12 * ('02_Inputs_Sales'!E15*'02_Inputs_Sales'!C15 + (1-'02_Inputs_Sales'!E15)*'02_Inputs_Sales'!D15) + '04_Calcs_Volume'!AR13 * ('02_Inputs_Sales'!E16*'02_Inputs_Sales'!C16 + (1-'02_Inputs_Sales'!E16)*'02_Inputs_Sales'!D16) + '04_Calcs_Volume'!AR14 * ('02_Inputs_Sales'!E17*'02_Inputs_Sales'!C17 + (1-'02_Inputs_Sales'!E17)*'02_Inputs_Sales'!D17)</f>
        <v>0</v>
      </c>
      <c r="AS6" s="6">
        <f>'04_Calcs_Volume'!AS6 * ('02_Inputs_Sales'!E9*'02_Inputs_Sales'!C9 + (1-'02_Inputs_Sales'!E9)*'02_Inputs_Sales'!D9) + '04_Calcs_Volume'!AS7 * ('02_Inputs_Sales'!E10*'02_Inputs_Sales'!C10 + (1-'02_Inputs_Sales'!E10)*'02_Inputs_Sales'!D10) + '04_Calcs_Volume'!AS8 * ('02_Inputs_Sales'!E11*'02_Inputs_Sales'!C11 + (1-'02_Inputs_Sales'!E11)*'02_Inputs_Sales'!D11) + '04_Calcs_Volume'!AS9 * ('02_Inputs_Sales'!E12*'02_Inputs_Sales'!C12 + (1-'02_Inputs_Sales'!E12)*'02_Inputs_Sales'!D12) + '04_Calcs_Volume'!AS10 * ('02_Inputs_Sales'!E13*'02_Inputs_Sales'!C13 + (1-'02_Inputs_Sales'!E13)*'02_Inputs_Sales'!D13) + '04_Calcs_Volume'!AS11 * ('02_Inputs_Sales'!E14*'02_Inputs_Sales'!C14 + (1-'02_Inputs_Sales'!E14)*'02_Inputs_Sales'!D14) + '04_Calcs_Volume'!AS12 * ('02_Inputs_Sales'!E15*'02_Inputs_Sales'!C15 + (1-'02_Inputs_Sales'!E15)*'02_Inputs_Sales'!D15) + '04_Calcs_Volume'!AS13 * ('02_Inputs_Sales'!E16*'02_Inputs_Sales'!C16 + (1-'02_Inputs_Sales'!E16)*'02_Inputs_Sales'!D16) + '04_Calcs_Volume'!AS14 * ('02_Inputs_Sales'!E17*'02_Inputs_Sales'!C17 + (1-'02_Inputs_Sales'!E17)*'02_Inputs_Sales'!D17)</f>
        <v>0</v>
      </c>
      <c r="AT6" s="6">
        <f>'04_Calcs_Volume'!AT6 * ('02_Inputs_Sales'!E9*'02_Inputs_Sales'!C9 + (1-'02_Inputs_Sales'!E9)*'02_Inputs_Sales'!D9) + '04_Calcs_Volume'!AT7 * ('02_Inputs_Sales'!E10*'02_Inputs_Sales'!C10 + (1-'02_Inputs_Sales'!E10)*'02_Inputs_Sales'!D10) + '04_Calcs_Volume'!AT8 * ('02_Inputs_Sales'!E11*'02_Inputs_Sales'!C11 + (1-'02_Inputs_Sales'!E11)*'02_Inputs_Sales'!D11) + '04_Calcs_Volume'!AT9 * ('02_Inputs_Sales'!E12*'02_Inputs_Sales'!C12 + (1-'02_Inputs_Sales'!E12)*'02_Inputs_Sales'!D12) + '04_Calcs_Volume'!AT10 * ('02_Inputs_Sales'!E13*'02_Inputs_Sales'!C13 + (1-'02_Inputs_Sales'!E13)*'02_Inputs_Sales'!D13) + '04_Calcs_Volume'!AT11 * ('02_Inputs_Sales'!E14*'02_Inputs_Sales'!C14 + (1-'02_Inputs_Sales'!E14)*'02_Inputs_Sales'!D14) + '04_Calcs_Volume'!AT12 * ('02_Inputs_Sales'!E15*'02_Inputs_Sales'!C15 + (1-'02_Inputs_Sales'!E15)*'02_Inputs_Sales'!D15) + '04_Calcs_Volume'!AT13 * ('02_Inputs_Sales'!E16*'02_Inputs_Sales'!C16 + (1-'02_Inputs_Sales'!E16)*'02_Inputs_Sales'!D16) + '04_Calcs_Volume'!AT14 * ('02_Inputs_Sales'!E17*'02_Inputs_Sales'!C17 + (1-'02_Inputs_Sales'!E17)*'02_Inputs_Sales'!D17)</f>
        <v>0</v>
      </c>
      <c r="AU6" s="6">
        <f>'04_Calcs_Volume'!AU6 * ('02_Inputs_Sales'!E9*'02_Inputs_Sales'!C9 + (1-'02_Inputs_Sales'!E9)*'02_Inputs_Sales'!D9) + '04_Calcs_Volume'!AU7 * ('02_Inputs_Sales'!E10*'02_Inputs_Sales'!C10 + (1-'02_Inputs_Sales'!E10)*'02_Inputs_Sales'!D10) + '04_Calcs_Volume'!AU8 * ('02_Inputs_Sales'!E11*'02_Inputs_Sales'!C11 + (1-'02_Inputs_Sales'!E11)*'02_Inputs_Sales'!D11) + '04_Calcs_Volume'!AU9 * ('02_Inputs_Sales'!E12*'02_Inputs_Sales'!C12 + (1-'02_Inputs_Sales'!E12)*'02_Inputs_Sales'!D12) + '04_Calcs_Volume'!AU10 * ('02_Inputs_Sales'!E13*'02_Inputs_Sales'!C13 + (1-'02_Inputs_Sales'!E13)*'02_Inputs_Sales'!D13) + '04_Calcs_Volume'!AU11 * ('02_Inputs_Sales'!E14*'02_Inputs_Sales'!C14 + (1-'02_Inputs_Sales'!E14)*'02_Inputs_Sales'!D14) + '04_Calcs_Volume'!AU12 * ('02_Inputs_Sales'!E15*'02_Inputs_Sales'!C15 + (1-'02_Inputs_Sales'!E15)*'02_Inputs_Sales'!D15) + '04_Calcs_Volume'!AU13 * ('02_Inputs_Sales'!E16*'02_Inputs_Sales'!C16 + (1-'02_Inputs_Sales'!E16)*'02_Inputs_Sales'!D16) + '04_Calcs_Volume'!AU14 * ('02_Inputs_Sales'!E17*'02_Inputs_Sales'!C17 + (1-'02_Inputs_Sales'!E17)*'02_Inputs_Sales'!D17)</f>
        <v>0</v>
      </c>
      <c r="AV6" s="6">
        <f>'04_Calcs_Volume'!AV6 * ('02_Inputs_Sales'!E9*'02_Inputs_Sales'!C9 + (1-'02_Inputs_Sales'!E9)*'02_Inputs_Sales'!D9) + '04_Calcs_Volume'!AV7 * ('02_Inputs_Sales'!E10*'02_Inputs_Sales'!C10 + (1-'02_Inputs_Sales'!E10)*'02_Inputs_Sales'!D10) + '04_Calcs_Volume'!AV8 * ('02_Inputs_Sales'!E11*'02_Inputs_Sales'!C11 + (1-'02_Inputs_Sales'!E11)*'02_Inputs_Sales'!D11) + '04_Calcs_Volume'!AV9 * ('02_Inputs_Sales'!E12*'02_Inputs_Sales'!C12 + (1-'02_Inputs_Sales'!E12)*'02_Inputs_Sales'!D12) + '04_Calcs_Volume'!AV10 * ('02_Inputs_Sales'!E13*'02_Inputs_Sales'!C13 + (1-'02_Inputs_Sales'!E13)*'02_Inputs_Sales'!D13) + '04_Calcs_Volume'!AV11 * ('02_Inputs_Sales'!E14*'02_Inputs_Sales'!C14 + (1-'02_Inputs_Sales'!E14)*'02_Inputs_Sales'!D14) + '04_Calcs_Volume'!AV12 * ('02_Inputs_Sales'!E15*'02_Inputs_Sales'!C15 + (1-'02_Inputs_Sales'!E15)*'02_Inputs_Sales'!D15) + '04_Calcs_Volume'!AV13 * ('02_Inputs_Sales'!E16*'02_Inputs_Sales'!C16 + (1-'02_Inputs_Sales'!E16)*'02_Inputs_Sales'!D16) + '04_Calcs_Volume'!AV14 * ('02_Inputs_Sales'!E17*'02_Inputs_Sales'!C17 + (1-'02_Inputs_Sales'!E17)*'02_Inputs_Sales'!D17)</f>
        <v>0</v>
      </c>
      <c r="AW6" s="6">
        <f>'04_Calcs_Volume'!AW6 * ('02_Inputs_Sales'!E9*'02_Inputs_Sales'!C9 + (1-'02_Inputs_Sales'!E9)*'02_Inputs_Sales'!D9) + '04_Calcs_Volume'!AW7 * ('02_Inputs_Sales'!E10*'02_Inputs_Sales'!C10 + (1-'02_Inputs_Sales'!E10)*'02_Inputs_Sales'!D10) + '04_Calcs_Volume'!AW8 * ('02_Inputs_Sales'!E11*'02_Inputs_Sales'!C11 + (1-'02_Inputs_Sales'!E11)*'02_Inputs_Sales'!D11) + '04_Calcs_Volume'!AW9 * ('02_Inputs_Sales'!E12*'02_Inputs_Sales'!C12 + (1-'02_Inputs_Sales'!E12)*'02_Inputs_Sales'!D12) + '04_Calcs_Volume'!AW10 * ('02_Inputs_Sales'!E13*'02_Inputs_Sales'!C13 + (1-'02_Inputs_Sales'!E13)*'02_Inputs_Sales'!D13) + '04_Calcs_Volume'!AW11 * ('02_Inputs_Sales'!E14*'02_Inputs_Sales'!C14 + (1-'02_Inputs_Sales'!E14)*'02_Inputs_Sales'!D14) + '04_Calcs_Volume'!AW12 * ('02_Inputs_Sales'!E15*'02_Inputs_Sales'!C15 + (1-'02_Inputs_Sales'!E15)*'02_Inputs_Sales'!D15) + '04_Calcs_Volume'!AW13 * ('02_Inputs_Sales'!E16*'02_Inputs_Sales'!C16 + (1-'02_Inputs_Sales'!E16)*'02_Inputs_Sales'!D16) + '04_Calcs_Volume'!AW14 * ('02_Inputs_Sales'!E17*'02_Inputs_Sales'!C17 + (1-'02_Inputs_Sales'!E17)*'02_Inputs_Sales'!D17)</f>
        <v>0</v>
      </c>
      <c r="AX6" s="6">
        <f>'04_Calcs_Volume'!AX6 * ('02_Inputs_Sales'!E9*'02_Inputs_Sales'!C9 + (1-'02_Inputs_Sales'!E9)*'02_Inputs_Sales'!D9) + '04_Calcs_Volume'!AX7 * ('02_Inputs_Sales'!E10*'02_Inputs_Sales'!C10 + (1-'02_Inputs_Sales'!E10)*'02_Inputs_Sales'!D10) + '04_Calcs_Volume'!AX8 * ('02_Inputs_Sales'!E11*'02_Inputs_Sales'!C11 + (1-'02_Inputs_Sales'!E11)*'02_Inputs_Sales'!D11) + '04_Calcs_Volume'!AX9 * ('02_Inputs_Sales'!E12*'02_Inputs_Sales'!C12 + (1-'02_Inputs_Sales'!E12)*'02_Inputs_Sales'!D12) + '04_Calcs_Volume'!AX10 * ('02_Inputs_Sales'!E13*'02_Inputs_Sales'!C13 + (1-'02_Inputs_Sales'!E13)*'02_Inputs_Sales'!D13) + '04_Calcs_Volume'!AX11 * ('02_Inputs_Sales'!E14*'02_Inputs_Sales'!C14 + (1-'02_Inputs_Sales'!E14)*'02_Inputs_Sales'!D14) + '04_Calcs_Volume'!AX12 * ('02_Inputs_Sales'!E15*'02_Inputs_Sales'!C15 + (1-'02_Inputs_Sales'!E15)*'02_Inputs_Sales'!D15) + '04_Calcs_Volume'!AX13 * ('02_Inputs_Sales'!E16*'02_Inputs_Sales'!C16 + (1-'02_Inputs_Sales'!E16)*'02_Inputs_Sales'!D16) + '04_Calcs_Volume'!AX14 * ('02_Inputs_Sales'!E17*'02_Inputs_Sales'!C17 + (1-'02_Inputs_Sales'!E17)*'02_Inputs_Sales'!D17)</f>
        <v>0</v>
      </c>
      <c r="AY6" s="6">
        <f>'04_Calcs_Volume'!AY6 * ('02_Inputs_Sales'!E9*'02_Inputs_Sales'!C9 + (1-'02_Inputs_Sales'!E9)*'02_Inputs_Sales'!D9) + '04_Calcs_Volume'!AY7 * ('02_Inputs_Sales'!E10*'02_Inputs_Sales'!C10 + (1-'02_Inputs_Sales'!E10)*'02_Inputs_Sales'!D10) + '04_Calcs_Volume'!AY8 * ('02_Inputs_Sales'!E11*'02_Inputs_Sales'!C11 + (1-'02_Inputs_Sales'!E11)*'02_Inputs_Sales'!D11) + '04_Calcs_Volume'!AY9 * ('02_Inputs_Sales'!E12*'02_Inputs_Sales'!C12 + (1-'02_Inputs_Sales'!E12)*'02_Inputs_Sales'!D12) + '04_Calcs_Volume'!AY10 * ('02_Inputs_Sales'!E13*'02_Inputs_Sales'!C13 + (1-'02_Inputs_Sales'!E13)*'02_Inputs_Sales'!D13) + '04_Calcs_Volume'!AY11 * ('02_Inputs_Sales'!E14*'02_Inputs_Sales'!C14 + (1-'02_Inputs_Sales'!E14)*'02_Inputs_Sales'!D14) + '04_Calcs_Volume'!AY12 * ('02_Inputs_Sales'!E15*'02_Inputs_Sales'!C15 + (1-'02_Inputs_Sales'!E15)*'02_Inputs_Sales'!D15) + '04_Calcs_Volume'!AY13 * ('02_Inputs_Sales'!E16*'02_Inputs_Sales'!C16 + (1-'02_Inputs_Sales'!E16)*'02_Inputs_Sales'!D16) + '04_Calcs_Volume'!AY14 * ('02_Inputs_Sales'!E17*'02_Inputs_Sales'!C17 + (1-'02_Inputs_Sales'!E17)*'02_Inputs_Sales'!D17)</f>
        <v>0</v>
      </c>
      <c r="AZ6" s="6">
        <f>'04_Calcs_Volume'!AZ6 * ('02_Inputs_Sales'!E9*'02_Inputs_Sales'!C9 + (1-'02_Inputs_Sales'!E9)*'02_Inputs_Sales'!D9) + '04_Calcs_Volume'!AZ7 * ('02_Inputs_Sales'!E10*'02_Inputs_Sales'!C10 + (1-'02_Inputs_Sales'!E10)*'02_Inputs_Sales'!D10) + '04_Calcs_Volume'!AZ8 * ('02_Inputs_Sales'!E11*'02_Inputs_Sales'!C11 + (1-'02_Inputs_Sales'!E11)*'02_Inputs_Sales'!D11) + '04_Calcs_Volume'!AZ9 * ('02_Inputs_Sales'!E12*'02_Inputs_Sales'!C12 + (1-'02_Inputs_Sales'!E12)*'02_Inputs_Sales'!D12) + '04_Calcs_Volume'!AZ10 * ('02_Inputs_Sales'!E13*'02_Inputs_Sales'!C13 + (1-'02_Inputs_Sales'!E13)*'02_Inputs_Sales'!D13) + '04_Calcs_Volume'!AZ11 * ('02_Inputs_Sales'!E14*'02_Inputs_Sales'!C14 + (1-'02_Inputs_Sales'!E14)*'02_Inputs_Sales'!D14) + '04_Calcs_Volume'!AZ12 * ('02_Inputs_Sales'!E15*'02_Inputs_Sales'!C15 + (1-'02_Inputs_Sales'!E15)*'02_Inputs_Sales'!D15) + '04_Calcs_Volume'!AZ13 * ('02_Inputs_Sales'!E16*'02_Inputs_Sales'!C16 + (1-'02_Inputs_Sales'!E16)*'02_Inputs_Sales'!D16) + '04_Calcs_Volume'!AZ14 * ('02_Inputs_Sales'!E17*'02_Inputs_Sales'!C17 + (1-'02_Inputs_Sales'!E17)*'02_Inputs_Sales'!D17)</f>
        <v>0</v>
      </c>
      <c r="BA6" s="6">
        <f>'04_Calcs_Volume'!BA6 * ('02_Inputs_Sales'!E9*'02_Inputs_Sales'!C9 + (1-'02_Inputs_Sales'!E9)*'02_Inputs_Sales'!D9) + '04_Calcs_Volume'!BA7 * ('02_Inputs_Sales'!E10*'02_Inputs_Sales'!C10 + (1-'02_Inputs_Sales'!E10)*'02_Inputs_Sales'!D10) + '04_Calcs_Volume'!BA8 * ('02_Inputs_Sales'!E11*'02_Inputs_Sales'!C11 + (1-'02_Inputs_Sales'!E11)*'02_Inputs_Sales'!D11) + '04_Calcs_Volume'!BA9 * ('02_Inputs_Sales'!E12*'02_Inputs_Sales'!C12 + (1-'02_Inputs_Sales'!E12)*'02_Inputs_Sales'!D12) + '04_Calcs_Volume'!BA10 * ('02_Inputs_Sales'!E13*'02_Inputs_Sales'!C13 + (1-'02_Inputs_Sales'!E13)*'02_Inputs_Sales'!D13) + '04_Calcs_Volume'!BA11 * ('02_Inputs_Sales'!E14*'02_Inputs_Sales'!C14 + (1-'02_Inputs_Sales'!E14)*'02_Inputs_Sales'!D14) + '04_Calcs_Volume'!BA12 * ('02_Inputs_Sales'!E15*'02_Inputs_Sales'!C15 + (1-'02_Inputs_Sales'!E15)*'02_Inputs_Sales'!D15) + '04_Calcs_Volume'!BA13 * ('02_Inputs_Sales'!E16*'02_Inputs_Sales'!C16 + (1-'02_Inputs_Sales'!E16)*'02_Inputs_Sales'!D16) + '04_Calcs_Volume'!BA14 * ('02_Inputs_Sales'!E17*'02_Inputs_Sales'!C17 + (1-'02_Inputs_Sales'!E17)*'02_Inputs_Sales'!D17)</f>
        <v>0</v>
      </c>
      <c r="BB6" s="6">
        <f>'04_Calcs_Volume'!BB6 * ('02_Inputs_Sales'!E9*'02_Inputs_Sales'!C9 + (1-'02_Inputs_Sales'!E9)*'02_Inputs_Sales'!D9) + '04_Calcs_Volume'!BB7 * ('02_Inputs_Sales'!E10*'02_Inputs_Sales'!C10 + (1-'02_Inputs_Sales'!E10)*'02_Inputs_Sales'!D10) + '04_Calcs_Volume'!BB8 * ('02_Inputs_Sales'!E11*'02_Inputs_Sales'!C11 + (1-'02_Inputs_Sales'!E11)*'02_Inputs_Sales'!D11) + '04_Calcs_Volume'!BB9 * ('02_Inputs_Sales'!E12*'02_Inputs_Sales'!C12 + (1-'02_Inputs_Sales'!E12)*'02_Inputs_Sales'!D12) + '04_Calcs_Volume'!BB10 * ('02_Inputs_Sales'!E13*'02_Inputs_Sales'!C13 + (1-'02_Inputs_Sales'!E13)*'02_Inputs_Sales'!D13) + '04_Calcs_Volume'!BB11 * ('02_Inputs_Sales'!E14*'02_Inputs_Sales'!C14 + (1-'02_Inputs_Sales'!E14)*'02_Inputs_Sales'!D14) + '04_Calcs_Volume'!BB12 * ('02_Inputs_Sales'!E15*'02_Inputs_Sales'!C15 + (1-'02_Inputs_Sales'!E15)*'02_Inputs_Sales'!D15) + '04_Calcs_Volume'!BB13 * ('02_Inputs_Sales'!E16*'02_Inputs_Sales'!C16 + (1-'02_Inputs_Sales'!E16)*'02_Inputs_Sales'!D16) + '04_Calcs_Volume'!BB14 * ('02_Inputs_Sales'!E17*'02_Inputs_Sales'!C17 + (1-'02_Inputs_Sales'!E17)*'02_Inputs_Sales'!D17)</f>
        <v>0</v>
      </c>
      <c r="BC6" s="6">
        <f>'04_Calcs_Volume'!BC6 * ('02_Inputs_Sales'!E9*'02_Inputs_Sales'!C9 + (1-'02_Inputs_Sales'!E9)*'02_Inputs_Sales'!D9) + '04_Calcs_Volume'!BC7 * ('02_Inputs_Sales'!E10*'02_Inputs_Sales'!C10 + (1-'02_Inputs_Sales'!E10)*'02_Inputs_Sales'!D10) + '04_Calcs_Volume'!BC8 * ('02_Inputs_Sales'!E11*'02_Inputs_Sales'!C11 + (1-'02_Inputs_Sales'!E11)*'02_Inputs_Sales'!D11) + '04_Calcs_Volume'!BC9 * ('02_Inputs_Sales'!E12*'02_Inputs_Sales'!C12 + (1-'02_Inputs_Sales'!E12)*'02_Inputs_Sales'!D12) + '04_Calcs_Volume'!BC10 * ('02_Inputs_Sales'!E13*'02_Inputs_Sales'!C13 + (1-'02_Inputs_Sales'!E13)*'02_Inputs_Sales'!D13) + '04_Calcs_Volume'!BC11 * ('02_Inputs_Sales'!E14*'02_Inputs_Sales'!C14 + (1-'02_Inputs_Sales'!E14)*'02_Inputs_Sales'!D14) + '04_Calcs_Volume'!BC12 * ('02_Inputs_Sales'!E15*'02_Inputs_Sales'!C15 + (1-'02_Inputs_Sales'!E15)*'02_Inputs_Sales'!D15) + '04_Calcs_Volume'!BC13 * ('02_Inputs_Sales'!E16*'02_Inputs_Sales'!C16 + (1-'02_Inputs_Sales'!E16)*'02_Inputs_Sales'!D16) + '04_Calcs_Volume'!BC14 * ('02_Inputs_Sales'!E17*'02_Inputs_Sales'!C17 + (1-'02_Inputs_Sales'!E17)*'02_Inputs_Sales'!D17)</f>
        <v>0</v>
      </c>
      <c r="BD6" s="6">
        <f>'04_Calcs_Volume'!BD6 * ('02_Inputs_Sales'!E9*'02_Inputs_Sales'!C9 + (1-'02_Inputs_Sales'!E9)*'02_Inputs_Sales'!D9) + '04_Calcs_Volume'!BD7 * ('02_Inputs_Sales'!E10*'02_Inputs_Sales'!C10 + (1-'02_Inputs_Sales'!E10)*'02_Inputs_Sales'!D10) + '04_Calcs_Volume'!BD8 * ('02_Inputs_Sales'!E11*'02_Inputs_Sales'!C11 + (1-'02_Inputs_Sales'!E11)*'02_Inputs_Sales'!D11) + '04_Calcs_Volume'!BD9 * ('02_Inputs_Sales'!E12*'02_Inputs_Sales'!C12 + (1-'02_Inputs_Sales'!E12)*'02_Inputs_Sales'!D12) + '04_Calcs_Volume'!BD10 * ('02_Inputs_Sales'!E13*'02_Inputs_Sales'!C13 + (1-'02_Inputs_Sales'!E13)*'02_Inputs_Sales'!D13) + '04_Calcs_Volume'!BD11 * ('02_Inputs_Sales'!E14*'02_Inputs_Sales'!C14 + (1-'02_Inputs_Sales'!E14)*'02_Inputs_Sales'!D14) + '04_Calcs_Volume'!BD12 * ('02_Inputs_Sales'!E15*'02_Inputs_Sales'!C15 + (1-'02_Inputs_Sales'!E15)*'02_Inputs_Sales'!D15) + '04_Calcs_Volume'!BD13 * ('02_Inputs_Sales'!E16*'02_Inputs_Sales'!C16 + (1-'02_Inputs_Sales'!E16)*'02_Inputs_Sales'!D16) + '04_Calcs_Volume'!BD14 * ('02_Inputs_Sales'!E17*'02_Inputs_Sales'!C17 + (1-'02_Inputs_Sales'!E17)*'02_Inputs_Sales'!D17)</f>
        <v>0</v>
      </c>
      <c r="BE6" s="6">
        <f>'04_Calcs_Volume'!BE6 * ('02_Inputs_Sales'!E9*'02_Inputs_Sales'!C9 + (1-'02_Inputs_Sales'!E9)*'02_Inputs_Sales'!D9) + '04_Calcs_Volume'!BE7 * ('02_Inputs_Sales'!E10*'02_Inputs_Sales'!C10 + (1-'02_Inputs_Sales'!E10)*'02_Inputs_Sales'!D10) + '04_Calcs_Volume'!BE8 * ('02_Inputs_Sales'!E11*'02_Inputs_Sales'!C11 + (1-'02_Inputs_Sales'!E11)*'02_Inputs_Sales'!D11) + '04_Calcs_Volume'!BE9 * ('02_Inputs_Sales'!E12*'02_Inputs_Sales'!C12 + (1-'02_Inputs_Sales'!E12)*'02_Inputs_Sales'!D12) + '04_Calcs_Volume'!BE10 * ('02_Inputs_Sales'!E13*'02_Inputs_Sales'!C13 + (1-'02_Inputs_Sales'!E13)*'02_Inputs_Sales'!D13) + '04_Calcs_Volume'!BE11 * ('02_Inputs_Sales'!E14*'02_Inputs_Sales'!C14 + (1-'02_Inputs_Sales'!E14)*'02_Inputs_Sales'!D14) + '04_Calcs_Volume'!BE12 * ('02_Inputs_Sales'!E15*'02_Inputs_Sales'!C15 + (1-'02_Inputs_Sales'!E15)*'02_Inputs_Sales'!D15) + '04_Calcs_Volume'!BE13 * ('02_Inputs_Sales'!E16*'02_Inputs_Sales'!C16 + (1-'02_Inputs_Sales'!E16)*'02_Inputs_Sales'!D16) + '04_Calcs_Volume'!BE14 * ('02_Inputs_Sales'!E17*'02_Inputs_Sales'!C17 + (1-'02_Inputs_Sales'!E17)*'02_Inputs_Sales'!D17)</f>
        <v>0</v>
      </c>
      <c r="BF6" s="6">
        <f>'04_Calcs_Volume'!BF6 * ('02_Inputs_Sales'!E9*'02_Inputs_Sales'!C9 + (1-'02_Inputs_Sales'!E9)*'02_Inputs_Sales'!D9) + '04_Calcs_Volume'!BF7 * ('02_Inputs_Sales'!E10*'02_Inputs_Sales'!C10 + (1-'02_Inputs_Sales'!E10)*'02_Inputs_Sales'!D10) + '04_Calcs_Volume'!BF8 * ('02_Inputs_Sales'!E11*'02_Inputs_Sales'!C11 + (1-'02_Inputs_Sales'!E11)*'02_Inputs_Sales'!D11) + '04_Calcs_Volume'!BF9 * ('02_Inputs_Sales'!E12*'02_Inputs_Sales'!C12 + (1-'02_Inputs_Sales'!E12)*'02_Inputs_Sales'!D12) + '04_Calcs_Volume'!BF10 * ('02_Inputs_Sales'!E13*'02_Inputs_Sales'!C13 + (1-'02_Inputs_Sales'!E13)*'02_Inputs_Sales'!D13) + '04_Calcs_Volume'!BF11 * ('02_Inputs_Sales'!E14*'02_Inputs_Sales'!C14 + (1-'02_Inputs_Sales'!E14)*'02_Inputs_Sales'!D14) + '04_Calcs_Volume'!BF12 * ('02_Inputs_Sales'!E15*'02_Inputs_Sales'!C15 + (1-'02_Inputs_Sales'!E15)*'02_Inputs_Sales'!D15) + '04_Calcs_Volume'!BF13 * ('02_Inputs_Sales'!E16*'02_Inputs_Sales'!C16 + (1-'02_Inputs_Sales'!E16)*'02_Inputs_Sales'!D16) + '04_Calcs_Volume'!BF14 * ('02_Inputs_Sales'!E17*'02_Inputs_Sales'!C17 + (1-'02_Inputs_Sales'!E17)*'02_Inputs_Sales'!D17)</f>
        <v>0</v>
      </c>
      <c r="BG6" s="6">
        <f>'04_Calcs_Volume'!BG6 * ('02_Inputs_Sales'!E9*'02_Inputs_Sales'!C9 + (1-'02_Inputs_Sales'!E9)*'02_Inputs_Sales'!D9) + '04_Calcs_Volume'!BG7 * ('02_Inputs_Sales'!E10*'02_Inputs_Sales'!C10 + (1-'02_Inputs_Sales'!E10)*'02_Inputs_Sales'!D10) + '04_Calcs_Volume'!BG8 * ('02_Inputs_Sales'!E11*'02_Inputs_Sales'!C11 + (1-'02_Inputs_Sales'!E11)*'02_Inputs_Sales'!D11) + '04_Calcs_Volume'!BG9 * ('02_Inputs_Sales'!E12*'02_Inputs_Sales'!C12 + (1-'02_Inputs_Sales'!E12)*'02_Inputs_Sales'!D12) + '04_Calcs_Volume'!BG10 * ('02_Inputs_Sales'!E13*'02_Inputs_Sales'!C13 + (1-'02_Inputs_Sales'!E13)*'02_Inputs_Sales'!D13) + '04_Calcs_Volume'!BG11 * ('02_Inputs_Sales'!E14*'02_Inputs_Sales'!C14 + (1-'02_Inputs_Sales'!E14)*'02_Inputs_Sales'!D14) + '04_Calcs_Volume'!BG12 * ('02_Inputs_Sales'!E15*'02_Inputs_Sales'!C15 + (1-'02_Inputs_Sales'!E15)*'02_Inputs_Sales'!D15) + '04_Calcs_Volume'!BG13 * ('02_Inputs_Sales'!E16*'02_Inputs_Sales'!C16 + (1-'02_Inputs_Sales'!E16)*'02_Inputs_Sales'!D16) + '04_Calcs_Volume'!BG14 * ('02_Inputs_Sales'!E17*'02_Inputs_Sales'!C17 + (1-'02_Inputs_Sales'!E17)*'02_Inputs_Sales'!D17)</f>
        <v>0</v>
      </c>
      <c r="BH6" s="6">
        <f>'04_Calcs_Volume'!BH6 * ('02_Inputs_Sales'!E9*'02_Inputs_Sales'!C9 + (1-'02_Inputs_Sales'!E9)*'02_Inputs_Sales'!D9) + '04_Calcs_Volume'!BH7 * ('02_Inputs_Sales'!E10*'02_Inputs_Sales'!C10 + (1-'02_Inputs_Sales'!E10)*'02_Inputs_Sales'!D10) + '04_Calcs_Volume'!BH8 * ('02_Inputs_Sales'!E11*'02_Inputs_Sales'!C11 + (1-'02_Inputs_Sales'!E11)*'02_Inputs_Sales'!D11) + '04_Calcs_Volume'!BH9 * ('02_Inputs_Sales'!E12*'02_Inputs_Sales'!C12 + (1-'02_Inputs_Sales'!E12)*'02_Inputs_Sales'!D12) + '04_Calcs_Volume'!BH10 * ('02_Inputs_Sales'!E13*'02_Inputs_Sales'!C13 + (1-'02_Inputs_Sales'!E13)*'02_Inputs_Sales'!D13) + '04_Calcs_Volume'!BH11 * ('02_Inputs_Sales'!E14*'02_Inputs_Sales'!C14 + (1-'02_Inputs_Sales'!E14)*'02_Inputs_Sales'!D14) + '04_Calcs_Volume'!BH12 * ('02_Inputs_Sales'!E15*'02_Inputs_Sales'!C15 + (1-'02_Inputs_Sales'!E15)*'02_Inputs_Sales'!D15) + '04_Calcs_Volume'!BH13 * ('02_Inputs_Sales'!E16*'02_Inputs_Sales'!C16 + (1-'02_Inputs_Sales'!E16)*'02_Inputs_Sales'!D16) + '04_Calcs_Volume'!BH14 * ('02_Inputs_Sales'!E17*'02_Inputs_Sales'!C17 + (1-'02_Inputs_Sales'!E17)*'02_Inputs_Sales'!D17)</f>
        <v>0</v>
      </c>
      <c r="BI6" s="6">
        <f>'04_Calcs_Volume'!BI6 * ('02_Inputs_Sales'!E9*'02_Inputs_Sales'!C9 + (1-'02_Inputs_Sales'!E9)*'02_Inputs_Sales'!D9) + '04_Calcs_Volume'!BI7 * ('02_Inputs_Sales'!E10*'02_Inputs_Sales'!C10 + (1-'02_Inputs_Sales'!E10)*'02_Inputs_Sales'!D10) + '04_Calcs_Volume'!BI8 * ('02_Inputs_Sales'!E11*'02_Inputs_Sales'!C11 + (1-'02_Inputs_Sales'!E11)*'02_Inputs_Sales'!D11) + '04_Calcs_Volume'!BI9 * ('02_Inputs_Sales'!E12*'02_Inputs_Sales'!C12 + (1-'02_Inputs_Sales'!E12)*'02_Inputs_Sales'!D12) + '04_Calcs_Volume'!BI10 * ('02_Inputs_Sales'!E13*'02_Inputs_Sales'!C13 + (1-'02_Inputs_Sales'!E13)*'02_Inputs_Sales'!D13) + '04_Calcs_Volume'!BI11 * ('02_Inputs_Sales'!E14*'02_Inputs_Sales'!C14 + (1-'02_Inputs_Sales'!E14)*'02_Inputs_Sales'!D14) + '04_Calcs_Volume'!BI12 * ('02_Inputs_Sales'!E15*'02_Inputs_Sales'!C15 + (1-'02_Inputs_Sales'!E15)*'02_Inputs_Sales'!D15) + '04_Calcs_Volume'!BI13 * ('02_Inputs_Sales'!E16*'02_Inputs_Sales'!C16 + (1-'02_Inputs_Sales'!E16)*'02_Inputs_Sales'!D16) + '04_Calcs_Volume'!BI14 * ('02_Inputs_Sales'!E17*'02_Inputs_Sales'!C17 + (1-'02_Inputs_Sales'!E17)*'02_Inputs_Sales'!D17)</f>
        <v>0</v>
      </c>
    </row>
    <row r="9" spans="2:61">
      <c r="B9" s="6">
        <f>-(MAX(0, ('04_Calcs_Volume'!B6*100*(0.042-0.0115))*('02_Inputs_Sales'!E9*'01_Control'!$B$13 + (1-'02_Inputs_Sales'!E9)*'01_Control'!$B$12)) + MAX(0, ('04_Calcs_Volume'!B7*100*(0.035-0.0115))*('02_Inputs_Sales'!E10*'01_Control'!$B$13 + (1-'02_Inputs_Sales'!E10)*'01_Control'!$B$12)) + MAX(0, ('04_Calcs_Volume'!B8*100*(0.048-0.0115))*('02_Inputs_Sales'!E11*'01_Control'!$B$13 + (1-'02_Inputs_Sales'!E11)*'01_Control'!$B$12)) + MAX(0, ('04_Calcs_Volume'!B9*100*(0.056-0.0115))*('02_Inputs_Sales'!E12*'01_Control'!$B$13 + (1-'02_Inputs_Sales'!E12)*'01_Control'!$B$12)) + MAX(0, ('04_Calcs_Volume'!B10*100*(0.062-0.0115))*('02_Inputs_Sales'!E13*'01_Control'!$B$13 + (1-'02_Inputs_Sales'!E13)*'01_Control'!$B$12)) + MAX(0, ('04_Calcs_Volume'!B11*100*(0.075-0.0115))*('02_Inputs_Sales'!E14*'01_Control'!$B$13 + (1-'02_Inputs_Sales'!E14)*'01_Control'!$B$12)) + MAX(0, ('04_Calcs_Volume'!B12*100*(0.052-0.0115))*('02_Inputs_Sales'!E15*'01_Control'!$B$13 + (1-'02_Inputs_Sales'!E15)*'01_Control'!$B$12)) + MAX(0, ('04_Calcs_Volume'!B13*100*(0.04-0.0115))*('02_Inputs_Sales'!E16*'01_Control'!$B$13 + (1-'02_Inputs_Sales'!E16)*'01_Control'!$B$12)) + MAX(0, ('04_Calcs_Volume'!B14*100*(0.06-0.0115))*('02_Inputs_Sales'!E17*'01_Control'!$B$13 + (1-'02_Inputs_Sales'!E17)*'01_Control'!$B$12)))</f>
        <v>0</v>
      </c>
      <c r="C9" s="6">
        <f>-(MAX(0, ('04_Calcs_Volume'!C6*100*(0.042-0.0115))*('02_Inputs_Sales'!E9*'01_Control'!$B$13 + (1-'02_Inputs_Sales'!E9)*'01_Control'!$B$12)) + MAX(0, ('04_Calcs_Volume'!C7*100*(0.035-0.0115))*('02_Inputs_Sales'!E10*'01_Control'!$B$13 + (1-'02_Inputs_Sales'!E10)*'01_Control'!$B$12)) + MAX(0, ('04_Calcs_Volume'!C8*100*(0.048-0.0115))*('02_Inputs_Sales'!E11*'01_Control'!$B$13 + (1-'02_Inputs_Sales'!E11)*'01_Control'!$B$12)) + MAX(0, ('04_Calcs_Volume'!C9*100*(0.056-0.0115))*('02_Inputs_Sales'!E12*'01_Control'!$B$13 + (1-'02_Inputs_Sales'!E12)*'01_Control'!$B$12)) + MAX(0, ('04_Calcs_Volume'!C10*100*(0.062-0.0115))*('02_Inputs_Sales'!E13*'01_Control'!$B$13 + (1-'02_Inputs_Sales'!E13)*'01_Control'!$B$12)) + MAX(0, ('04_Calcs_Volume'!C11*100*(0.075-0.0115))*('02_Inputs_Sales'!E14*'01_Control'!$B$13 + (1-'02_Inputs_Sales'!E14)*'01_Control'!$B$12)) + MAX(0, ('04_Calcs_Volume'!C12*100*(0.052-0.0115))*('02_Inputs_Sales'!E15*'01_Control'!$B$13 + (1-'02_Inputs_Sales'!E15)*'01_Control'!$B$12)) + MAX(0, ('04_Calcs_Volume'!C13*100*(0.04-0.0115))*('02_Inputs_Sales'!E16*'01_Control'!$B$13 + (1-'02_Inputs_Sales'!E16)*'01_Control'!$B$12)) + MAX(0, ('04_Calcs_Volume'!C14*100*(0.06-0.0115))*('02_Inputs_Sales'!E17*'01_Control'!$B$13 + (1-'02_Inputs_Sales'!E17)*'01_Control'!$B$12)))</f>
        <v>0</v>
      </c>
      <c r="D9" s="6">
        <f>-(MAX(0, ('04_Calcs_Volume'!D6*100*(0.042-0.0115))*('02_Inputs_Sales'!E9*'01_Control'!$B$13 + (1-'02_Inputs_Sales'!E9)*'01_Control'!$B$12)) + MAX(0, ('04_Calcs_Volume'!D7*100*(0.035-0.0115))*('02_Inputs_Sales'!E10*'01_Control'!$B$13 + (1-'02_Inputs_Sales'!E10)*'01_Control'!$B$12)) + MAX(0, ('04_Calcs_Volume'!D8*100*(0.048-0.0115))*('02_Inputs_Sales'!E11*'01_Control'!$B$13 + (1-'02_Inputs_Sales'!E11)*'01_Control'!$B$12)) + MAX(0, ('04_Calcs_Volume'!D9*100*(0.056-0.0115))*('02_Inputs_Sales'!E12*'01_Control'!$B$13 + (1-'02_Inputs_Sales'!E12)*'01_Control'!$B$12)) + MAX(0, ('04_Calcs_Volume'!D10*100*(0.062-0.0115))*('02_Inputs_Sales'!E13*'01_Control'!$B$13 + (1-'02_Inputs_Sales'!E13)*'01_Control'!$B$12)) + MAX(0, ('04_Calcs_Volume'!D11*100*(0.075-0.0115))*('02_Inputs_Sales'!E14*'01_Control'!$B$13 + (1-'02_Inputs_Sales'!E14)*'01_Control'!$B$12)) + MAX(0, ('04_Calcs_Volume'!D12*100*(0.052-0.0115))*('02_Inputs_Sales'!E15*'01_Control'!$B$13 + (1-'02_Inputs_Sales'!E15)*'01_Control'!$B$12)) + MAX(0, ('04_Calcs_Volume'!D13*100*(0.04-0.0115))*('02_Inputs_Sales'!E16*'01_Control'!$B$13 + (1-'02_Inputs_Sales'!E16)*'01_Control'!$B$12)) + MAX(0, ('04_Calcs_Volume'!D14*100*(0.06-0.0115))*('02_Inputs_Sales'!E17*'01_Control'!$B$13 + (1-'02_Inputs_Sales'!E17)*'01_Control'!$B$12)))</f>
        <v>0</v>
      </c>
      <c r="E9" s="6">
        <f>-(MAX(0, ('04_Calcs_Volume'!E6*100*(0.042-0.0115))*('02_Inputs_Sales'!E9*'01_Control'!$B$13 + (1-'02_Inputs_Sales'!E9)*'01_Control'!$B$12)) + MAX(0, ('04_Calcs_Volume'!E7*100*(0.035-0.0115))*('02_Inputs_Sales'!E10*'01_Control'!$B$13 + (1-'02_Inputs_Sales'!E10)*'01_Control'!$B$12)) + MAX(0, ('04_Calcs_Volume'!E8*100*(0.048-0.0115))*('02_Inputs_Sales'!E11*'01_Control'!$B$13 + (1-'02_Inputs_Sales'!E11)*'01_Control'!$B$12)) + MAX(0, ('04_Calcs_Volume'!E9*100*(0.056-0.0115))*('02_Inputs_Sales'!E12*'01_Control'!$B$13 + (1-'02_Inputs_Sales'!E12)*'01_Control'!$B$12)) + MAX(0, ('04_Calcs_Volume'!E10*100*(0.062-0.0115))*('02_Inputs_Sales'!E13*'01_Control'!$B$13 + (1-'02_Inputs_Sales'!E13)*'01_Control'!$B$12)) + MAX(0, ('04_Calcs_Volume'!E11*100*(0.075-0.0115))*('02_Inputs_Sales'!E14*'01_Control'!$B$13 + (1-'02_Inputs_Sales'!E14)*'01_Control'!$B$12)) + MAX(0, ('04_Calcs_Volume'!E12*100*(0.052-0.0115))*('02_Inputs_Sales'!E15*'01_Control'!$B$13 + (1-'02_Inputs_Sales'!E15)*'01_Control'!$B$12)) + MAX(0, ('04_Calcs_Volume'!E13*100*(0.04-0.0115))*('02_Inputs_Sales'!E16*'01_Control'!$B$13 + (1-'02_Inputs_Sales'!E16)*'01_Control'!$B$12)) + MAX(0, ('04_Calcs_Volume'!E14*100*(0.06-0.0115))*('02_Inputs_Sales'!E17*'01_Control'!$B$13 + (1-'02_Inputs_Sales'!E17)*'01_Control'!$B$12)))</f>
        <v>0</v>
      </c>
      <c r="F9" s="6">
        <f>-(MAX(0, ('04_Calcs_Volume'!F6*100*(0.042-0.0115))*('02_Inputs_Sales'!E9*'01_Control'!$B$13 + (1-'02_Inputs_Sales'!E9)*'01_Control'!$B$12)) + MAX(0, ('04_Calcs_Volume'!F7*100*(0.035-0.0115))*('02_Inputs_Sales'!E10*'01_Control'!$B$13 + (1-'02_Inputs_Sales'!E10)*'01_Control'!$B$12)) + MAX(0, ('04_Calcs_Volume'!F8*100*(0.048-0.0115))*('02_Inputs_Sales'!E11*'01_Control'!$B$13 + (1-'02_Inputs_Sales'!E11)*'01_Control'!$B$12)) + MAX(0, ('04_Calcs_Volume'!F9*100*(0.056-0.0115))*('02_Inputs_Sales'!E12*'01_Control'!$B$13 + (1-'02_Inputs_Sales'!E12)*'01_Control'!$B$12)) + MAX(0, ('04_Calcs_Volume'!F10*100*(0.062-0.0115))*('02_Inputs_Sales'!E13*'01_Control'!$B$13 + (1-'02_Inputs_Sales'!E13)*'01_Control'!$B$12)) + MAX(0, ('04_Calcs_Volume'!F11*100*(0.075-0.0115))*('02_Inputs_Sales'!E14*'01_Control'!$B$13 + (1-'02_Inputs_Sales'!E14)*'01_Control'!$B$12)) + MAX(0, ('04_Calcs_Volume'!F12*100*(0.052-0.0115))*('02_Inputs_Sales'!E15*'01_Control'!$B$13 + (1-'02_Inputs_Sales'!E15)*'01_Control'!$B$12)) + MAX(0, ('04_Calcs_Volume'!F13*100*(0.04-0.0115))*('02_Inputs_Sales'!E16*'01_Control'!$B$13 + (1-'02_Inputs_Sales'!E16)*'01_Control'!$B$12)) + MAX(0, ('04_Calcs_Volume'!F14*100*(0.06-0.0115))*('02_Inputs_Sales'!E17*'01_Control'!$B$13 + (1-'02_Inputs_Sales'!E17)*'01_Control'!$B$12)))</f>
        <v>0</v>
      </c>
      <c r="G9" s="6">
        <f>-(MAX(0, ('04_Calcs_Volume'!G6*100*(0.042-0.0115))*('02_Inputs_Sales'!E9*'01_Control'!$B$13 + (1-'02_Inputs_Sales'!E9)*'01_Control'!$B$12)) + MAX(0, ('04_Calcs_Volume'!G7*100*(0.035-0.0115))*('02_Inputs_Sales'!E10*'01_Control'!$B$13 + (1-'02_Inputs_Sales'!E10)*'01_Control'!$B$12)) + MAX(0, ('04_Calcs_Volume'!G8*100*(0.048-0.0115))*('02_Inputs_Sales'!E11*'01_Control'!$B$13 + (1-'02_Inputs_Sales'!E11)*'01_Control'!$B$12)) + MAX(0, ('04_Calcs_Volume'!G9*100*(0.056-0.0115))*('02_Inputs_Sales'!E12*'01_Control'!$B$13 + (1-'02_Inputs_Sales'!E12)*'01_Control'!$B$12)) + MAX(0, ('04_Calcs_Volume'!G10*100*(0.062-0.0115))*('02_Inputs_Sales'!E13*'01_Control'!$B$13 + (1-'02_Inputs_Sales'!E13)*'01_Control'!$B$12)) + MAX(0, ('04_Calcs_Volume'!G11*100*(0.075-0.0115))*('02_Inputs_Sales'!E14*'01_Control'!$B$13 + (1-'02_Inputs_Sales'!E14)*'01_Control'!$B$12)) + MAX(0, ('04_Calcs_Volume'!G12*100*(0.052-0.0115))*('02_Inputs_Sales'!E15*'01_Control'!$B$13 + (1-'02_Inputs_Sales'!E15)*'01_Control'!$B$12)) + MAX(0, ('04_Calcs_Volume'!G13*100*(0.04-0.0115))*('02_Inputs_Sales'!E16*'01_Control'!$B$13 + (1-'02_Inputs_Sales'!E16)*'01_Control'!$B$12)) + MAX(0, ('04_Calcs_Volume'!G14*100*(0.06-0.0115))*('02_Inputs_Sales'!E17*'01_Control'!$B$13 + (1-'02_Inputs_Sales'!E17)*'01_Control'!$B$12)))</f>
        <v>0</v>
      </c>
      <c r="H9" s="6">
        <f>-(MAX(0, ('04_Calcs_Volume'!H6*100*(0.042-0.0115))*('02_Inputs_Sales'!E9*'01_Control'!$B$13 + (1-'02_Inputs_Sales'!E9)*'01_Control'!$B$12)) + MAX(0, ('04_Calcs_Volume'!H7*100*(0.035-0.0115))*('02_Inputs_Sales'!E10*'01_Control'!$B$13 + (1-'02_Inputs_Sales'!E10)*'01_Control'!$B$12)) + MAX(0, ('04_Calcs_Volume'!H8*100*(0.048-0.0115))*('02_Inputs_Sales'!E11*'01_Control'!$B$13 + (1-'02_Inputs_Sales'!E11)*'01_Control'!$B$12)) + MAX(0, ('04_Calcs_Volume'!H9*100*(0.056-0.0115))*('02_Inputs_Sales'!E12*'01_Control'!$B$13 + (1-'02_Inputs_Sales'!E12)*'01_Control'!$B$12)) + MAX(0, ('04_Calcs_Volume'!H10*100*(0.062-0.0115))*('02_Inputs_Sales'!E13*'01_Control'!$B$13 + (1-'02_Inputs_Sales'!E13)*'01_Control'!$B$12)) + MAX(0, ('04_Calcs_Volume'!H11*100*(0.075-0.0115))*('02_Inputs_Sales'!E14*'01_Control'!$B$13 + (1-'02_Inputs_Sales'!E14)*'01_Control'!$B$12)) + MAX(0, ('04_Calcs_Volume'!H12*100*(0.052-0.0115))*('02_Inputs_Sales'!E15*'01_Control'!$B$13 + (1-'02_Inputs_Sales'!E15)*'01_Control'!$B$12)) + MAX(0, ('04_Calcs_Volume'!H13*100*(0.04-0.0115))*('02_Inputs_Sales'!E16*'01_Control'!$B$13 + (1-'02_Inputs_Sales'!E16)*'01_Control'!$B$12)) + MAX(0, ('04_Calcs_Volume'!H14*100*(0.06-0.0115))*('02_Inputs_Sales'!E17*'01_Control'!$B$13 + (1-'02_Inputs_Sales'!E17)*'01_Control'!$B$12)))</f>
        <v>0</v>
      </c>
      <c r="I9" s="6">
        <f>-(MAX(0, ('04_Calcs_Volume'!I6*100*(0.042-0.0115))*('02_Inputs_Sales'!E9*'01_Control'!$B$13 + (1-'02_Inputs_Sales'!E9)*'01_Control'!$B$12)) + MAX(0, ('04_Calcs_Volume'!I7*100*(0.035-0.0115))*('02_Inputs_Sales'!E10*'01_Control'!$B$13 + (1-'02_Inputs_Sales'!E10)*'01_Control'!$B$12)) + MAX(0, ('04_Calcs_Volume'!I8*100*(0.048-0.0115))*('02_Inputs_Sales'!E11*'01_Control'!$B$13 + (1-'02_Inputs_Sales'!E11)*'01_Control'!$B$12)) + MAX(0, ('04_Calcs_Volume'!I9*100*(0.056-0.0115))*('02_Inputs_Sales'!E12*'01_Control'!$B$13 + (1-'02_Inputs_Sales'!E12)*'01_Control'!$B$12)) + MAX(0, ('04_Calcs_Volume'!I10*100*(0.062-0.0115))*('02_Inputs_Sales'!E13*'01_Control'!$B$13 + (1-'02_Inputs_Sales'!E13)*'01_Control'!$B$12)) + MAX(0, ('04_Calcs_Volume'!I11*100*(0.075-0.0115))*('02_Inputs_Sales'!E14*'01_Control'!$B$13 + (1-'02_Inputs_Sales'!E14)*'01_Control'!$B$12)) + MAX(0, ('04_Calcs_Volume'!I12*100*(0.052-0.0115))*('02_Inputs_Sales'!E15*'01_Control'!$B$13 + (1-'02_Inputs_Sales'!E15)*'01_Control'!$B$12)) + MAX(0, ('04_Calcs_Volume'!I13*100*(0.04-0.0115))*('02_Inputs_Sales'!E16*'01_Control'!$B$13 + (1-'02_Inputs_Sales'!E16)*'01_Control'!$B$12)) + MAX(0, ('04_Calcs_Volume'!I14*100*(0.06-0.0115))*('02_Inputs_Sales'!E17*'01_Control'!$B$13 + (1-'02_Inputs_Sales'!E17)*'01_Control'!$B$12)))</f>
        <v>0</v>
      </c>
      <c r="J9" s="6">
        <f>-(MAX(0, ('04_Calcs_Volume'!J6*100*(0.042-0.0115))*('02_Inputs_Sales'!E9*'01_Control'!$B$13 + (1-'02_Inputs_Sales'!E9)*'01_Control'!$B$12)) + MAX(0, ('04_Calcs_Volume'!J7*100*(0.035-0.0115))*('02_Inputs_Sales'!E10*'01_Control'!$B$13 + (1-'02_Inputs_Sales'!E10)*'01_Control'!$B$12)) + MAX(0, ('04_Calcs_Volume'!J8*100*(0.048-0.0115))*('02_Inputs_Sales'!E11*'01_Control'!$B$13 + (1-'02_Inputs_Sales'!E11)*'01_Control'!$B$12)) + MAX(0, ('04_Calcs_Volume'!J9*100*(0.056-0.0115))*('02_Inputs_Sales'!E12*'01_Control'!$B$13 + (1-'02_Inputs_Sales'!E12)*'01_Control'!$B$12)) + MAX(0, ('04_Calcs_Volume'!J10*100*(0.062-0.0115))*('02_Inputs_Sales'!E13*'01_Control'!$B$13 + (1-'02_Inputs_Sales'!E13)*'01_Control'!$B$12)) + MAX(0, ('04_Calcs_Volume'!J11*100*(0.075-0.0115))*('02_Inputs_Sales'!E14*'01_Control'!$B$13 + (1-'02_Inputs_Sales'!E14)*'01_Control'!$B$12)) + MAX(0, ('04_Calcs_Volume'!J12*100*(0.052-0.0115))*('02_Inputs_Sales'!E15*'01_Control'!$B$13 + (1-'02_Inputs_Sales'!E15)*'01_Control'!$B$12)) + MAX(0, ('04_Calcs_Volume'!J13*100*(0.04-0.0115))*('02_Inputs_Sales'!E16*'01_Control'!$B$13 + (1-'02_Inputs_Sales'!E16)*'01_Control'!$B$12)) + MAX(0, ('04_Calcs_Volume'!J14*100*(0.06-0.0115))*('02_Inputs_Sales'!E17*'01_Control'!$B$13 + (1-'02_Inputs_Sales'!E17)*'01_Control'!$B$12)))</f>
        <v>0</v>
      </c>
      <c r="K9" s="6">
        <f>-(MAX(0, ('04_Calcs_Volume'!K6*100*(0.042-0.0115))*('02_Inputs_Sales'!E9*'01_Control'!$B$13 + (1-'02_Inputs_Sales'!E9)*'01_Control'!$B$12)) + MAX(0, ('04_Calcs_Volume'!K7*100*(0.035-0.0115))*('02_Inputs_Sales'!E10*'01_Control'!$B$13 + (1-'02_Inputs_Sales'!E10)*'01_Control'!$B$12)) + MAX(0, ('04_Calcs_Volume'!K8*100*(0.048-0.0115))*('02_Inputs_Sales'!E11*'01_Control'!$B$13 + (1-'02_Inputs_Sales'!E11)*'01_Control'!$B$12)) + MAX(0, ('04_Calcs_Volume'!K9*100*(0.056-0.0115))*('02_Inputs_Sales'!E12*'01_Control'!$B$13 + (1-'02_Inputs_Sales'!E12)*'01_Control'!$B$12)) + MAX(0, ('04_Calcs_Volume'!K10*100*(0.062-0.0115))*('02_Inputs_Sales'!E13*'01_Control'!$B$13 + (1-'02_Inputs_Sales'!E13)*'01_Control'!$B$12)) + MAX(0, ('04_Calcs_Volume'!K11*100*(0.075-0.0115))*('02_Inputs_Sales'!E14*'01_Control'!$B$13 + (1-'02_Inputs_Sales'!E14)*'01_Control'!$B$12)) + MAX(0, ('04_Calcs_Volume'!K12*100*(0.052-0.0115))*('02_Inputs_Sales'!E15*'01_Control'!$B$13 + (1-'02_Inputs_Sales'!E15)*'01_Control'!$B$12)) + MAX(0, ('04_Calcs_Volume'!K13*100*(0.04-0.0115))*('02_Inputs_Sales'!E16*'01_Control'!$B$13 + (1-'02_Inputs_Sales'!E16)*'01_Control'!$B$12)) + MAX(0, ('04_Calcs_Volume'!K14*100*(0.06-0.0115))*('02_Inputs_Sales'!E17*'01_Control'!$B$13 + (1-'02_Inputs_Sales'!E17)*'01_Control'!$B$12)))</f>
        <v>0</v>
      </c>
      <c r="L9" s="6">
        <f>-(MAX(0, ('04_Calcs_Volume'!L6*100*(0.042-0.0115))*('02_Inputs_Sales'!E9*'01_Control'!$B$13 + (1-'02_Inputs_Sales'!E9)*'01_Control'!$B$12)) + MAX(0, ('04_Calcs_Volume'!L7*100*(0.035-0.0115))*('02_Inputs_Sales'!E10*'01_Control'!$B$13 + (1-'02_Inputs_Sales'!E10)*'01_Control'!$B$12)) + MAX(0, ('04_Calcs_Volume'!L8*100*(0.048-0.0115))*('02_Inputs_Sales'!E11*'01_Control'!$B$13 + (1-'02_Inputs_Sales'!E11)*'01_Control'!$B$12)) + MAX(0, ('04_Calcs_Volume'!L9*100*(0.056-0.0115))*('02_Inputs_Sales'!E12*'01_Control'!$B$13 + (1-'02_Inputs_Sales'!E12)*'01_Control'!$B$12)) + MAX(0, ('04_Calcs_Volume'!L10*100*(0.062-0.0115))*('02_Inputs_Sales'!E13*'01_Control'!$B$13 + (1-'02_Inputs_Sales'!E13)*'01_Control'!$B$12)) + MAX(0, ('04_Calcs_Volume'!L11*100*(0.075-0.0115))*('02_Inputs_Sales'!E14*'01_Control'!$B$13 + (1-'02_Inputs_Sales'!E14)*'01_Control'!$B$12)) + MAX(0, ('04_Calcs_Volume'!L12*100*(0.052-0.0115))*('02_Inputs_Sales'!E15*'01_Control'!$B$13 + (1-'02_Inputs_Sales'!E15)*'01_Control'!$B$12)) + MAX(0, ('04_Calcs_Volume'!L13*100*(0.04-0.0115))*('02_Inputs_Sales'!E16*'01_Control'!$B$13 + (1-'02_Inputs_Sales'!E16)*'01_Control'!$B$12)) + MAX(0, ('04_Calcs_Volume'!L14*100*(0.06-0.0115))*('02_Inputs_Sales'!E17*'01_Control'!$B$13 + (1-'02_Inputs_Sales'!E17)*'01_Control'!$B$12)))</f>
        <v>0</v>
      </c>
      <c r="M9" s="6">
        <f>-(MAX(0, ('04_Calcs_Volume'!M6*100*(0.042-0.0115))*('02_Inputs_Sales'!E9*'01_Control'!$B$13 + (1-'02_Inputs_Sales'!E9)*'01_Control'!$B$12)) + MAX(0, ('04_Calcs_Volume'!M7*100*(0.035-0.0115))*('02_Inputs_Sales'!E10*'01_Control'!$B$13 + (1-'02_Inputs_Sales'!E10)*'01_Control'!$B$12)) + MAX(0, ('04_Calcs_Volume'!M8*100*(0.048-0.0115))*('02_Inputs_Sales'!E11*'01_Control'!$B$13 + (1-'02_Inputs_Sales'!E11)*'01_Control'!$B$12)) + MAX(0, ('04_Calcs_Volume'!M9*100*(0.056-0.0115))*('02_Inputs_Sales'!E12*'01_Control'!$B$13 + (1-'02_Inputs_Sales'!E12)*'01_Control'!$B$12)) + MAX(0, ('04_Calcs_Volume'!M10*100*(0.062-0.0115))*('02_Inputs_Sales'!E13*'01_Control'!$B$13 + (1-'02_Inputs_Sales'!E13)*'01_Control'!$B$12)) + MAX(0, ('04_Calcs_Volume'!M11*100*(0.075-0.0115))*('02_Inputs_Sales'!E14*'01_Control'!$B$13 + (1-'02_Inputs_Sales'!E14)*'01_Control'!$B$12)) + MAX(0, ('04_Calcs_Volume'!M12*100*(0.052-0.0115))*('02_Inputs_Sales'!E15*'01_Control'!$B$13 + (1-'02_Inputs_Sales'!E15)*'01_Control'!$B$12)) + MAX(0, ('04_Calcs_Volume'!M13*100*(0.04-0.0115))*('02_Inputs_Sales'!E16*'01_Control'!$B$13 + (1-'02_Inputs_Sales'!E16)*'01_Control'!$B$12)) + MAX(0, ('04_Calcs_Volume'!M14*100*(0.06-0.0115))*('02_Inputs_Sales'!E17*'01_Control'!$B$13 + (1-'02_Inputs_Sales'!E17)*'01_Control'!$B$12)))</f>
        <v>0</v>
      </c>
      <c r="N9" s="6">
        <f>-(MAX(0, ('04_Calcs_Volume'!N6*100*(0.042-0.0115))*('02_Inputs_Sales'!E9*'01_Control'!$B$13 + (1-'02_Inputs_Sales'!E9)*'01_Control'!$B$12)) + MAX(0, ('04_Calcs_Volume'!N7*100*(0.035-0.0115))*('02_Inputs_Sales'!E10*'01_Control'!$B$13 + (1-'02_Inputs_Sales'!E10)*'01_Control'!$B$12)) + MAX(0, ('04_Calcs_Volume'!N8*100*(0.048-0.0115))*('02_Inputs_Sales'!E11*'01_Control'!$B$13 + (1-'02_Inputs_Sales'!E11)*'01_Control'!$B$12)) + MAX(0, ('04_Calcs_Volume'!N9*100*(0.056-0.0115))*('02_Inputs_Sales'!E12*'01_Control'!$B$13 + (1-'02_Inputs_Sales'!E12)*'01_Control'!$B$12)) + MAX(0, ('04_Calcs_Volume'!N10*100*(0.062-0.0115))*('02_Inputs_Sales'!E13*'01_Control'!$B$13 + (1-'02_Inputs_Sales'!E13)*'01_Control'!$B$12)) + MAX(0, ('04_Calcs_Volume'!N11*100*(0.075-0.0115))*('02_Inputs_Sales'!E14*'01_Control'!$B$13 + (1-'02_Inputs_Sales'!E14)*'01_Control'!$B$12)) + MAX(0, ('04_Calcs_Volume'!N12*100*(0.052-0.0115))*('02_Inputs_Sales'!E15*'01_Control'!$B$13 + (1-'02_Inputs_Sales'!E15)*'01_Control'!$B$12)) + MAX(0, ('04_Calcs_Volume'!N13*100*(0.04-0.0115))*('02_Inputs_Sales'!E16*'01_Control'!$B$13 + (1-'02_Inputs_Sales'!E16)*'01_Control'!$B$12)) + MAX(0, ('04_Calcs_Volume'!N14*100*(0.06-0.0115))*('02_Inputs_Sales'!E17*'01_Control'!$B$13 + (1-'02_Inputs_Sales'!E17)*'01_Control'!$B$12)))</f>
        <v>0</v>
      </c>
      <c r="O9" s="6">
        <f>-(MAX(0, ('04_Calcs_Volume'!O6*100*(0.042-0.0115))*('02_Inputs_Sales'!E9*'01_Control'!$B$13 + (1-'02_Inputs_Sales'!E9)*'01_Control'!$B$12)) + MAX(0, ('04_Calcs_Volume'!O7*100*(0.035-0.0115))*('02_Inputs_Sales'!E10*'01_Control'!$B$13 + (1-'02_Inputs_Sales'!E10)*'01_Control'!$B$12)) + MAX(0, ('04_Calcs_Volume'!O8*100*(0.048-0.0115))*('02_Inputs_Sales'!E11*'01_Control'!$B$13 + (1-'02_Inputs_Sales'!E11)*'01_Control'!$B$12)) + MAX(0, ('04_Calcs_Volume'!O9*100*(0.056-0.0115))*('02_Inputs_Sales'!E12*'01_Control'!$B$13 + (1-'02_Inputs_Sales'!E12)*'01_Control'!$B$12)) + MAX(0, ('04_Calcs_Volume'!O10*100*(0.062-0.0115))*('02_Inputs_Sales'!E13*'01_Control'!$B$13 + (1-'02_Inputs_Sales'!E13)*'01_Control'!$B$12)) + MAX(0, ('04_Calcs_Volume'!O11*100*(0.075-0.0115))*('02_Inputs_Sales'!E14*'01_Control'!$B$13 + (1-'02_Inputs_Sales'!E14)*'01_Control'!$B$12)) + MAX(0, ('04_Calcs_Volume'!O12*100*(0.052-0.0115))*('02_Inputs_Sales'!E15*'01_Control'!$B$13 + (1-'02_Inputs_Sales'!E15)*'01_Control'!$B$12)) + MAX(0, ('04_Calcs_Volume'!O13*100*(0.04-0.0115))*('02_Inputs_Sales'!E16*'01_Control'!$B$13 + (1-'02_Inputs_Sales'!E16)*'01_Control'!$B$12)) + MAX(0, ('04_Calcs_Volume'!O14*100*(0.06-0.0115))*('02_Inputs_Sales'!E17*'01_Control'!$B$13 + (1-'02_Inputs_Sales'!E17)*'01_Control'!$B$12)))</f>
        <v>0</v>
      </c>
      <c r="P9" s="6">
        <f>-(MAX(0, ('04_Calcs_Volume'!P6*100*(0.042-0.0115))*('02_Inputs_Sales'!E9*'01_Control'!$B$13 + (1-'02_Inputs_Sales'!E9)*'01_Control'!$B$12)) + MAX(0, ('04_Calcs_Volume'!P7*100*(0.035-0.0115))*('02_Inputs_Sales'!E10*'01_Control'!$B$13 + (1-'02_Inputs_Sales'!E10)*'01_Control'!$B$12)) + MAX(0, ('04_Calcs_Volume'!P8*100*(0.048-0.0115))*('02_Inputs_Sales'!E11*'01_Control'!$B$13 + (1-'02_Inputs_Sales'!E11)*'01_Control'!$B$12)) + MAX(0, ('04_Calcs_Volume'!P9*100*(0.056-0.0115))*('02_Inputs_Sales'!E12*'01_Control'!$B$13 + (1-'02_Inputs_Sales'!E12)*'01_Control'!$B$12)) + MAX(0, ('04_Calcs_Volume'!P10*100*(0.062-0.0115))*('02_Inputs_Sales'!E13*'01_Control'!$B$13 + (1-'02_Inputs_Sales'!E13)*'01_Control'!$B$12)) + MAX(0, ('04_Calcs_Volume'!P11*100*(0.075-0.0115))*('02_Inputs_Sales'!E14*'01_Control'!$B$13 + (1-'02_Inputs_Sales'!E14)*'01_Control'!$B$12)) + MAX(0, ('04_Calcs_Volume'!P12*100*(0.052-0.0115))*('02_Inputs_Sales'!E15*'01_Control'!$B$13 + (1-'02_Inputs_Sales'!E15)*'01_Control'!$B$12)) + MAX(0, ('04_Calcs_Volume'!P13*100*(0.04-0.0115))*('02_Inputs_Sales'!E16*'01_Control'!$B$13 + (1-'02_Inputs_Sales'!E16)*'01_Control'!$B$12)) + MAX(0, ('04_Calcs_Volume'!P14*100*(0.06-0.0115))*('02_Inputs_Sales'!E17*'01_Control'!$B$13 + (1-'02_Inputs_Sales'!E17)*'01_Control'!$B$12)))</f>
        <v>0</v>
      </c>
      <c r="Q9" s="6">
        <f>-(MAX(0, ('04_Calcs_Volume'!Q6*100*(0.042-0.0115))*('02_Inputs_Sales'!E9*'01_Control'!$B$13 + (1-'02_Inputs_Sales'!E9)*'01_Control'!$B$12)) + MAX(0, ('04_Calcs_Volume'!Q7*100*(0.035-0.0115))*('02_Inputs_Sales'!E10*'01_Control'!$B$13 + (1-'02_Inputs_Sales'!E10)*'01_Control'!$B$12)) + MAX(0, ('04_Calcs_Volume'!Q8*100*(0.048-0.0115))*('02_Inputs_Sales'!E11*'01_Control'!$B$13 + (1-'02_Inputs_Sales'!E11)*'01_Control'!$B$12)) + MAX(0, ('04_Calcs_Volume'!Q9*100*(0.056-0.0115))*('02_Inputs_Sales'!E12*'01_Control'!$B$13 + (1-'02_Inputs_Sales'!E12)*'01_Control'!$B$12)) + MAX(0, ('04_Calcs_Volume'!Q10*100*(0.062-0.0115))*('02_Inputs_Sales'!E13*'01_Control'!$B$13 + (1-'02_Inputs_Sales'!E13)*'01_Control'!$B$12)) + MAX(0, ('04_Calcs_Volume'!Q11*100*(0.075-0.0115))*('02_Inputs_Sales'!E14*'01_Control'!$B$13 + (1-'02_Inputs_Sales'!E14)*'01_Control'!$B$12)) + MAX(0, ('04_Calcs_Volume'!Q12*100*(0.052-0.0115))*('02_Inputs_Sales'!E15*'01_Control'!$B$13 + (1-'02_Inputs_Sales'!E15)*'01_Control'!$B$12)) + MAX(0, ('04_Calcs_Volume'!Q13*100*(0.04-0.0115))*('02_Inputs_Sales'!E16*'01_Control'!$B$13 + (1-'02_Inputs_Sales'!E16)*'01_Control'!$B$12)) + MAX(0, ('04_Calcs_Volume'!Q14*100*(0.06-0.0115))*('02_Inputs_Sales'!E17*'01_Control'!$B$13 + (1-'02_Inputs_Sales'!E17)*'01_Control'!$B$12)))</f>
        <v>0</v>
      </c>
      <c r="R9" s="6">
        <f>-(MAX(0, ('04_Calcs_Volume'!R6*100*(0.042-0.0115))*('02_Inputs_Sales'!E9*'01_Control'!$B$13 + (1-'02_Inputs_Sales'!E9)*'01_Control'!$B$12)) + MAX(0, ('04_Calcs_Volume'!R7*100*(0.035-0.0115))*('02_Inputs_Sales'!E10*'01_Control'!$B$13 + (1-'02_Inputs_Sales'!E10)*'01_Control'!$B$12)) + MAX(0, ('04_Calcs_Volume'!R8*100*(0.048-0.0115))*('02_Inputs_Sales'!E11*'01_Control'!$B$13 + (1-'02_Inputs_Sales'!E11)*'01_Control'!$B$12)) + MAX(0, ('04_Calcs_Volume'!R9*100*(0.056-0.0115))*('02_Inputs_Sales'!E12*'01_Control'!$B$13 + (1-'02_Inputs_Sales'!E12)*'01_Control'!$B$12)) + MAX(0, ('04_Calcs_Volume'!R10*100*(0.062-0.0115))*('02_Inputs_Sales'!E13*'01_Control'!$B$13 + (1-'02_Inputs_Sales'!E13)*'01_Control'!$B$12)) + MAX(0, ('04_Calcs_Volume'!R11*100*(0.075-0.0115))*('02_Inputs_Sales'!E14*'01_Control'!$B$13 + (1-'02_Inputs_Sales'!E14)*'01_Control'!$B$12)) + MAX(0, ('04_Calcs_Volume'!R12*100*(0.052-0.0115))*('02_Inputs_Sales'!E15*'01_Control'!$B$13 + (1-'02_Inputs_Sales'!E15)*'01_Control'!$B$12)) + MAX(0, ('04_Calcs_Volume'!R13*100*(0.04-0.0115))*('02_Inputs_Sales'!E16*'01_Control'!$B$13 + (1-'02_Inputs_Sales'!E16)*'01_Control'!$B$12)) + MAX(0, ('04_Calcs_Volume'!R14*100*(0.06-0.0115))*('02_Inputs_Sales'!E17*'01_Control'!$B$13 + (1-'02_Inputs_Sales'!E17)*'01_Control'!$B$12)))</f>
        <v>0</v>
      </c>
      <c r="S9" s="6">
        <f>-(MAX(0, ('04_Calcs_Volume'!S6*100*(0.042-0.0115))*('02_Inputs_Sales'!E9*'01_Control'!$B$13 + (1-'02_Inputs_Sales'!E9)*'01_Control'!$B$12)) + MAX(0, ('04_Calcs_Volume'!S7*100*(0.035-0.0115))*('02_Inputs_Sales'!E10*'01_Control'!$B$13 + (1-'02_Inputs_Sales'!E10)*'01_Control'!$B$12)) + MAX(0, ('04_Calcs_Volume'!S8*100*(0.048-0.0115))*('02_Inputs_Sales'!E11*'01_Control'!$B$13 + (1-'02_Inputs_Sales'!E11)*'01_Control'!$B$12)) + MAX(0, ('04_Calcs_Volume'!S9*100*(0.056-0.0115))*('02_Inputs_Sales'!E12*'01_Control'!$B$13 + (1-'02_Inputs_Sales'!E12)*'01_Control'!$B$12)) + MAX(0, ('04_Calcs_Volume'!S10*100*(0.062-0.0115))*('02_Inputs_Sales'!E13*'01_Control'!$B$13 + (1-'02_Inputs_Sales'!E13)*'01_Control'!$B$12)) + MAX(0, ('04_Calcs_Volume'!S11*100*(0.075-0.0115))*('02_Inputs_Sales'!E14*'01_Control'!$B$13 + (1-'02_Inputs_Sales'!E14)*'01_Control'!$B$12)) + MAX(0, ('04_Calcs_Volume'!S12*100*(0.052-0.0115))*('02_Inputs_Sales'!E15*'01_Control'!$B$13 + (1-'02_Inputs_Sales'!E15)*'01_Control'!$B$12)) + MAX(0, ('04_Calcs_Volume'!S13*100*(0.04-0.0115))*('02_Inputs_Sales'!E16*'01_Control'!$B$13 + (1-'02_Inputs_Sales'!E16)*'01_Control'!$B$12)) + MAX(0, ('04_Calcs_Volume'!S14*100*(0.06-0.0115))*('02_Inputs_Sales'!E17*'01_Control'!$B$13 + (1-'02_Inputs_Sales'!E17)*'01_Control'!$B$12)))</f>
        <v>0</v>
      </c>
      <c r="T9" s="6">
        <f>-(MAX(0, ('04_Calcs_Volume'!T6*100*(0.042-0.0115))*('02_Inputs_Sales'!E9*'01_Control'!$B$13 + (1-'02_Inputs_Sales'!E9)*'01_Control'!$B$12)) + MAX(0, ('04_Calcs_Volume'!T7*100*(0.035-0.0115))*('02_Inputs_Sales'!E10*'01_Control'!$B$13 + (1-'02_Inputs_Sales'!E10)*'01_Control'!$B$12)) + MAX(0, ('04_Calcs_Volume'!T8*100*(0.048-0.0115))*('02_Inputs_Sales'!E11*'01_Control'!$B$13 + (1-'02_Inputs_Sales'!E11)*'01_Control'!$B$12)) + MAX(0, ('04_Calcs_Volume'!T9*100*(0.056-0.0115))*('02_Inputs_Sales'!E12*'01_Control'!$B$13 + (1-'02_Inputs_Sales'!E12)*'01_Control'!$B$12)) + MAX(0, ('04_Calcs_Volume'!T10*100*(0.062-0.0115))*('02_Inputs_Sales'!E13*'01_Control'!$B$13 + (1-'02_Inputs_Sales'!E13)*'01_Control'!$B$12)) + MAX(0, ('04_Calcs_Volume'!T11*100*(0.075-0.0115))*('02_Inputs_Sales'!E14*'01_Control'!$B$13 + (1-'02_Inputs_Sales'!E14)*'01_Control'!$B$12)) + MAX(0, ('04_Calcs_Volume'!T12*100*(0.052-0.0115))*('02_Inputs_Sales'!E15*'01_Control'!$B$13 + (1-'02_Inputs_Sales'!E15)*'01_Control'!$B$12)) + MAX(0, ('04_Calcs_Volume'!T13*100*(0.04-0.0115))*('02_Inputs_Sales'!E16*'01_Control'!$B$13 + (1-'02_Inputs_Sales'!E16)*'01_Control'!$B$12)) + MAX(0, ('04_Calcs_Volume'!T14*100*(0.06-0.0115))*('02_Inputs_Sales'!E17*'01_Control'!$B$13 + (1-'02_Inputs_Sales'!E17)*'01_Control'!$B$12)))</f>
        <v>0</v>
      </c>
      <c r="U9" s="6">
        <f>-(MAX(0, ('04_Calcs_Volume'!U6*100*(0.042-0.0115))*('02_Inputs_Sales'!E9*'01_Control'!$B$13 + (1-'02_Inputs_Sales'!E9)*'01_Control'!$B$12)) + MAX(0, ('04_Calcs_Volume'!U7*100*(0.035-0.0115))*('02_Inputs_Sales'!E10*'01_Control'!$B$13 + (1-'02_Inputs_Sales'!E10)*'01_Control'!$B$12)) + MAX(0, ('04_Calcs_Volume'!U8*100*(0.048-0.0115))*('02_Inputs_Sales'!E11*'01_Control'!$B$13 + (1-'02_Inputs_Sales'!E11)*'01_Control'!$B$12)) + MAX(0, ('04_Calcs_Volume'!U9*100*(0.056-0.0115))*('02_Inputs_Sales'!E12*'01_Control'!$B$13 + (1-'02_Inputs_Sales'!E12)*'01_Control'!$B$12)) + MAX(0, ('04_Calcs_Volume'!U10*100*(0.062-0.0115))*('02_Inputs_Sales'!E13*'01_Control'!$B$13 + (1-'02_Inputs_Sales'!E13)*'01_Control'!$B$12)) + MAX(0, ('04_Calcs_Volume'!U11*100*(0.075-0.0115))*('02_Inputs_Sales'!E14*'01_Control'!$B$13 + (1-'02_Inputs_Sales'!E14)*'01_Control'!$B$12)) + MAX(0, ('04_Calcs_Volume'!U12*100*(0.052-0.0115))*('02_Inputs_Sales'!E15*'01_Control'!$B$13 + (1-'02_Inputs_Sales'!E15)*'01_Control'!$B$12)) + MAX(0, ('04_Calcs_Volume'!U13*100*(0.04-0.0115))*('02_Inputs_Sales'!E16*'01_Control'!$B$13 + (1-'02_Inputs_Sales'!E16)*'01_Control'!$B$12)) + MAX(0, ('04_Calcs_Volume'!U14*100*(0.06-0.0115))*('02_Inputs_Sales'!E17*'01_Control'!$B$13 + (1-'02_Inputs_Sales'!E17)*'01_Control'!$B$12)))</f>
        <v>0</v>
      </c>
      <c r="V9" s="6">
        <f>-(MAX(0, ('04_Calcs_Volume'!V6*100*(0.042-0.0115))*('02_Inputs_Sales'!E9*'01_Control'!$B$13 + (1-'02_Inputs_Sales'!E9)*'01_Control'!$B$12)) + MAX(0, ('04_Calcs_Volume'!V7*100*(0.035-0.0115))*('02_Inputs_Sales'!E10*'01_Control'!$B$13 + (1-'02_Inputs_Sales'!E10)*'01_Control'!$B$12)) + MAX(0, ('04_Calcs_Volume'!V8*100*(0.048-0.0115))*('02_Inputs_Sales'!E11*'01_Control'!$B$13 + (1-'02_Inputs_Sales'!E11)*'01_Control'!$B$12)) + MAX(0, ('04_Calcs_Volume'!V9*100*(0.056-0.0115))*('02_Inputs_Sales'!E12*'01_Control'!$B$13 + (1-'02_Inputs_Sales'!E12)*'01_Control'!$B$12)) + MAX(0, ('04_Calcs_Volume'!V10*100*(0.062-0.0115))*('02_Inputs_Sales'!E13*'01_Control'!$B$13 + (1-'02_Inputs_Sales'!E13)*'01_Control'!$B$12)) + MAX(0, ('04_Calcs_Volume'!V11*100*(0.075-0.0115))*('02_Inputs_Sales'!E14*'01_Control'!$B$13 + (1-'02_Inputs_Sales'!E14)*'01_Control'!$B$12)) + MAX(0, ('04_Calcs_Volume'!V12*100*(0.052-0.0115))*('02_Inputs_Sales'!E15*'01_Control'!$B$13 + (1-'02_Inputs_Sales'!E15)*'01_Control'!$B$12)) + MAX(0, ('04_Calcs_Volume'!V13*100*(0.04-0.0115))*('02_Inputs_Sales'!E16*'01_Control'!$B$13 + (1-'02_Inputs_Sales'!E16)*'01_Control'!$B$12)) + MAX(0, ('04_Calcs_Volume'!V14*100*(0.06-0.0115))*('02_Inputs_Sales'!E17*'01_Control'!$B$13 + (1-'02_Inputs_Sales'!E17)*'01_Control'!$B$12)))</f>
        <v>0</v>
      </c>
      <c r="W9" s="6">
        <f>-(MAX(0, ('04_Calcs_Volume'!W6*100*(0.042-0.0115))*('02_Inputs_Sales'!E9*'01_Control'!$B$13 + (1-'02_Inputs_Sales'!E9)*'01_Control'!$B$12)) + MAX(0, ('04_Calcs_Volume'!W7*100*(0.035-0.0115))*('02_Inputs_Sales'!E10*'01_Control'!$B$13 + (1-'02_Inputs_Sales'!E10)*'01_Control'!$B$12)) + MAX(0, ('04_Calcs_Volume'!W8*100*(0.048-0.0115))*('02_Inputs_Sales'!E11*'01_Control'!$B$13 + (1-'02_Inputs_Sales'!E11)*'01_Control'!$B$12)) + MAX(0, ('04_Calcs_Volume'!W9*100*(0.056-0.0115))*('02_Inputs_Sales'!E12*'01_Control'!$B$13 + (1-'02_Inputs_Sales'!E12)*'01_Control'!$B$12)) + MAX(0, ('04_Calcs_Volume'!W10*100*(0.062-0.0115))*('02_Inputs_Sales'!E13*'01_Control'!$B$13 + (1-'02_Inputs_Sales'!E13)*'01_Control'!$B$12)) + MAX(0, ('04_Calcs_Volume'!W11*100*(0.075-0.0115))*('02_Inputs_Sales'!E14*'01_Control'!$B$13 + (1-'02_Inputs_Sales'!E14)*'01_Control'!$B$12)) + MAX(0, ('04_Calcs_Volume'!W12*100*(0.052-0.0115))*('02_Inputs_Sales'!E15*'01_Control'!$B$13 + (1-'02_Inputs_Sales'!E15)*'01_Control'!$B$12)) + MAX(0, ('04_Calcs_Volume'!W13*100*(0.04-0.0115))*('02_Inputs_Sales'!E16*'01_Control'!$B$13 + (1-'02_Inputs_Sales'!E16)*'01_Control'!$B$12)) + MAX(0, ('04_Calcs_Volume'!W14*100*(0.06-0.0115))*('02_Inputs_Sales'!E17*'01_Control'!$B$13 + (1-'02_Inputs_Sales'!E17)*'01_Control'!$B$12)))</f>
        <v>0</v>
      </c>
      <c r="X9" s="6">
        <f>-(MAX(0, ('04_Calcs_Volume'!X6*100*(0.042-0.0115))*('02_Inputs_Sales'!E9*'01_Control'!$B$13 + (1-'02_Inputs_Sales'!E9)*'01_Control'!$B$12)) + MAX(0, ('04_Calcs_Volume'!X7*100*(0.035-0.0115))*('02_Inputs_Sales'!E10*'01_Control'!$B$13 + (1-'02_Inputs_Sales'!E10)*'01_Control'!$B$12)) + MAX(0, ('04_Calcs_Volume'!X8*100*(0.048-0.0115))*('02_Inputs_Sales'!E11*'01_Control'!$B$13 + (1-'02_Inputs_Sales'!E11)*'01_Control'!$B$12)) + MAX(0, ('04_Calcs_Volume'!X9*100*(0.056-0.0115))*('02_Inputs_Sales'!E12*'01_Control'!$B$13 + (1-'02_Inputs_Sales'!E12)*'01_Control'!$B$12)) + MAX(0, ('04_Calcs_Volume'!X10*100*(0.062-0.0115))*('02_Inputs_Sales'!E13*'01_Control'!$B$13 + (1-'02_Inputs_Sales'!E13)*'01_Control'!$B$12)) + MAX(0, ('04_Calcs_Volume'!X11*100*(0.075-0.0115))*('02_Inputs_Sales'!E14*'01_Control'!$B$13 + (1-'02_Inputs_Sales'!E14)*'01_Control'!$B$12)) + MAX(0, ('04_Calcs_Volume'!X12*100*(0.052-0.0115))*('02_Inputs_Sales'!E15*'01_Control'!$B$13 + (1-'02_Inputs_Sales'!E15)*'01_Control'!$B$12)) + MAX(0, ('04_Calcs_Volume'!X13*100*(0.04-0.0115))*('02_Inputs_Sales'!E16*'01_Control'!$B$13 + (1-'02_Inputs_Sales'!E16)*'01_Control'!$B$12)) + MAX(0, ('04_Calcs_Volume'!X14*100*(0.06-0.0115))*('02_Inputs_Sales'!E17*'01_Control'!$B$13 + (1-'02_Inputs_Sales'!E17)*'01_Control'!$B$12)))</f>
        <v>0</v>
      </c>
      <c r="Y9" s="6">
        <f>-(MAX(0, ('04_Calcs_Volume'!Y6*100*(0.042-0.0115))*('02_Inputs_Sales'!E9*'01_Control'!$B$13 + (1-'02_Inputs_Sales'!E9)*'01_Control'!$B$12)) + MAX(0, ('04_Calcs_Volume'!Y7*100*(0.035-0.0115))*('02_Inputs_Sales'!E10*'01_Control'!$B$13 + (1-'02_Inputs_Sales'!E10)*'01_Control'!$B$12)) + MAX(0, ('04_Calcs_Volume'!Y8*100*(0.048-0.0115))*('02_Inputs_Sales'!E11*'01_Control'!$B$13 + (1-'02_Inputs_Sales'!E11)*'01_Control'!$B$12)) + MAX(0, ('04_Calcs_Volume'!Y9*100*(0.056-0.0115))*('02_Inputs_Sales'!E12*'01_Control'!$B$13 + (1-'02_Inputs_Sales'!E12)*'01_Control'!$B$12)) + MAX(0, ('04_Calcs_Volume'!Y10*100*(0.062-0.0115))*('02_Inputs_Sales'!E13*'01_Control'!$B$13 + (1-'02_Inputs_Sales'!E13)*'01_Control'!$B$12)) + MAX(0, ('04_Calcs_Volume'!Y11*100*(0.075-0.0115))*('02_Inputs_Sales'!E14*'01_Control'!$B$13 + (1-'02_Inputs_Sales'!E14)*'01_Control'!$B$12)) + MAX(0, ('04_Calcs_Volume'!Y12*100*(0.052-0.0115))*('02_Inputs_Sales'!E15*'01_Control'!$B$13 + (1-'02_Inputs_Sales'!E15)*'01_Control'!$B$12)) + MAX(0, ('04_Calcs_Volume'!Y13*100*(0.04-0.0115))*('02_Inputs_Sales'!E16*'01_Control'!$B$13 + (1-'02_Inputs_Sales'!E16)*'01_Control'!$B$12)) + MAX(0, ('04_Calcs_Volume'!Y14*100*(0.06-0.0115))*('02_Inputs_Sales'!E17*'01_Control'!$B$13 + (1-'02_Inputs_Sales'!E17)*'01_Control'!$B$12)))</f>
        <v>0</v>
      </c>
      <c r="Z9" s="6">
        <f>-(MAX(0, ('04_Calcs_Volume'!Z6*100*(0.042-0.0115))*('02_Inputs_Sales'!E9*'01_Control'!$B$13 + (1-'02_Inputs_Sales'!E9)*'01_Control'!$B$12)) + MAX(0, ('04_Calcs_Volume'!Z7*100*(0.035-0.0115))*('02_Inputs_Sales'!E10*'01_Control'!$B$13 + (1-'02_Inputs_Sales'!E10)*'01_Control'!$B$12)) + MAX(0, ('04_Calcs_Volume'!Z8*100*(0.048-0.0115))*('02_Inputs_Sales'!E11*'01_Control'!$B$13 + (1-'02_Inputs_Sales'!E11)*'01_Control'!$B$12)) + MAX(0, ('04_Calcs_Volume'!Z9*100*(0.056-0.0115))*('02_Inputs_Sales'!E12*'01_Control'!$B$13 + (1-'02_Inputs_Sales'!E12)*'01_Control'!$B$12)) + MAX(0, ('04_Calcs_Volume'!Z10*100*(0.062-0.0115))*('02_Inputs_Sales'!E13*'01_Control'!$B$13 + (1-'02_Inputs_Sales'!E13)*'01_Control'!$B$12)) + MAX(0, ('04_Calcs_Volume'!Z11*100*(0.075-0.0115))*('02_Inputs_Sales'!E14*'01_Control'!$B$13 + (1-'02_Inputs_Sales'!E14)*'01_Control'!$B$12)) + MAX(0, ('04_Calcs_Volume'!Z12*100*(0.052-0.0115))*('02_Inputs_Sales'!E15*'01_Control'!$B$13 + (1-'02_Inputs_Sales'!E15)*'01_Control'!$B$12)) + MAX(0, ('04_Calcs_Volume'!Z13*100*(0.04-0.0115))*('02_Inputs_Sales'!E16*'01_Control'!$B$13 + (1-'02_Inputs_Sales'!E16)*'01_Control'!$B$12)) + MAX(0, ('04_Calcs_Volume'!Z14*100*(0.06-0.0115))*('02_Inputs_Sales'!E17*'01_Control'!$B$13 + (1-'02_Inputs_Sales'!E17)*'01_Control'!$B$12)))</f>
        <v>0</v>
      </c>
      <c r="AA9" s="6">
        <f>-(MAX(0, ('04_Calcs_Volume'!AA6*100*(0.042-0.0115))*('02_Inputs_Sales'!E9*'01_Control'!$B$13 + (1-'02_Inputs_Sales'!E9)*'01_Control'!$B$12)) + MAX(0, ('04_Calcs_Volume'!AA7*100*(0.035-0.0115))*('02_Inputs_Sales'!E10*'01_Control'!$B$13 + (1-'02_Inputs_Sales'!E10)*'01_Control'!$B$12)) + MAX(0, ('04_Calcs_Volume'!AA8*100*(0.048-0.0115))*('02_Inputs_Sales'!E11*'01_Control'!$B$13 + (1-'02_Inputs_Sales'!E11)*'01_Control'!$B$12)) + MAX(0, ('04_Calcs_Volume'!AA9*100*(0.056-0.0115))*('02_Inputs_Sales'!E12*'01_Control'!$B$13 + (1-'02_Inputs_Sales'!E12)*'01_Control'!$B$12)) + MAX(0, ('04_Calcs_Volume'!AA10*100*(0.062-0.0115))*('02_Inputs_Sales'!E13*'01_Control'!$B$13 + (1-'02_Inputs_Sales'!E13)*'01_Control'!$B$12)) + MAX(0, ('04_Calcs_Volume'!AA11*100*(0.075-0.0115))*('02_Inputs_Sales'!E14*'01_Control'!$B$13 + (1-'02_Inputs_Sales'!E14)*'01_Control'!$B$12)) + MAX(0, ('04_Calcs_Volume'!AA12*100*(0.052-0.0115))*('02_Inputs_Sales'!E15*'01_Control'!$B$13 + (1-'02_Inputs_Sales'!E15)*'01_Control'!$B$12)) + MAX(0, ('04_Calcs_Volume'!AA13*100*(0.04-0.0115))*('02_Inputs_Sales'!E16*'01_Control'!$B$13 + (1-'02_Inputs_Sales'!E16)*'01_Control'!$B$12)) + MAX(0, ('04_Calcs_Volume'!AA14*100*(0.06-0.0115))*('02_Inputs_Sales'!E17*'01_Control'!$B$13 + (1-'02_Inputs_Sales'!E17)*'01_Control'!$B$12)))</f>
        <v>0</v>
      </c>
      <c r="AB9" s="6">
        <f>-(MAX(0, ('04_Calcs_Volume'!AB6*100*(0.042-0.0115))*('02_Inputs_Sales'!E9*'01_Control'!$B$13 + (1-'02_Inputs_Sales'!E9)*'01_Control'!$B$12)) + MAX(0, ('04_Calcs_Volume'!AB7*100*(0.035-0.0115))*('02_Inputs_Sales'!E10*'01_Control'!$B$13 + (1-'02_Inputs_Sales'!E10)*'01_Control'!$B$12)) + MAX(0, ('04_Calcs_Volume'!AB8*100*(0.048-0.0115))*('02_Inputs_Sales'!E11*'01_Control'!$B$13 + (1-'02_Inputs_Sales'!E11)*'01_Control'!$B$12)) + MAX(0, ('04_Calcs_Volume'!AB9*100*(0.056-0.0115))*('02_Inputs_Sales'!E12*'01_Control'!$B$13 + (1-'02_Inputs_Sales'!E12)*'01_Control'!$B$12)) + MAX(0, ('04_Calcs_Volume'!AB10*100*(0.062-0.0115))*('02_Inputs_Sales'!E13*'01_Control'!$B$13 + (1-'02_Inputs_Sales'!E13)*'01_Control'!$B$12)) + MAX(0, ('04_Calcs_Volume'!AB11*100*(0.075-0.0115))*('02_Inputs_Sales'!E14*'01_Control'!$B$13 + (1-'02_Inputs_Sales'!E14)*'01_Control'!$B$12)) + MAX(0, ('04_Calcs_Volume'!AB12*100*(0.052-0.0115))*('02_Inputs_Sales'!E15*'01_Control'!$B$13 + (1-'02_Inputs_Sales'!E15)*'01_Control'!$B$12)) + MAX(0, ('04_Calcs_Volume'!AB13*100*(0.04-0.0115))*('02_Inputs_Sales'!E16*'01_Control'!$B$13 + (1-'02_Inputs_Sales'!E16)*'01_Control'!$B$12)) + MAX(0, ('04_Calcs_Volume'!AB14*100*(0.06-0.0115))*('02_Inputs_Sales'!E17*'01_Control'!$B$13 + (1-'02_Inputs_Sales'!E17)*'01_Control'!$B$12)))</f>
        <v>0</v>
      </c>
      <c r="AC9" s="6">
        <f>-(MAX(0, ('04_Calcs_Volume'!AC6*100*(0.042-0.0115))*('02_Inputs_Sales'!E9*'01_Control'!$B$13 + (1-'02_Inputs_Sales'!E9)*'01_Control'!$B$12)) + MAX(0, ('04_Calcs_Volume'!AC7*100*(0.035-0.0115))*('02_Inputs_Sales'!E10*'01_Control'!$B$13 + (1-'02_Inputs_Sales'!E10)*'01_Control'!$B$12)) + MAX(0, ('04_Calcs_Volume'!AC8*100*(0.048-0.0115))*('02_Inputs_Sales'!E11*'01_Control'!$B$13 + (1-'02_Inputs_Sales'!E11)*'01_Control'!$B$12)) + MAX(0, ('04_Calcs_Volume'!AC9*100*(0.056-0.0115))*('02_Inputs_Sales'!E12*'01_Control'!$B$13 + (1-'02_Inputs_Sales'!E12)*'01_Control'!$B$12)) + MAX(0, ('04_Calcs_Volume'!AC10*100*(0.062-0.0115))*('02_Inputs_Sales'!E13*'01_Control'!$B$13 + (1-'02_Inputs_Sales'!E13)*'01_Control'!$B$12)) + MAX(0, ('04_Calcs_Volume'!AC11*100*(0.075-0.0115))*('02_Inputs_Sales'!E14*'01_Control'!$B$13 + (1-'02_Inputs_Sales'!E14)*'01_Control'!$B$12)) + MAX(0, ('04_Calcs_Volume'!AC12*100*(0.052-0.0115))*('02_Inputs_Sales'!E15*'01_Control'!$B$13 + (1-'02_Inputs_Sales'!E15)*'01_Control'!$B$12)) + MAX(0, ('04_Calcs_Volume'!AC13*100*(0.04-0.0115))*('02_Inputs_Sales'!E16*'01_Control'!$B$13 + (1-'02_Inputs_Sales'!E16)*'01_Control'!$B$12)) + MAX(0, ('04_Calcs_Volume'!AC14*100*(0.06-0.0115))*('02_Inputs_Sales'!E17*'01_Control'!$B$13 + (1-'02_Inputs_Sales'!E17)*'01_Control'!$B$12)))</f>
        <v>0</v>
      </c>
      <c r="AD9" s="6">
        <f>-(MAX(0, ('04_Calcs_Volume'!AD6*100*(0.042-0.0115))*('02_Inputs_Sales'!E9*'01_Control'!$B$13 + (1-'02_Inputs_Sales'!E9)*'01_Control'!$B$12)) + MAX(0, ('04_Calcs_Volume'!AD7*100*(0.035-0.0115))*('02_Inputs_Sales'!E10*'01_Control'!$B$13 + (1-'02_Inputs_Sales'!E10)*'01_Control'!$B$12)) + MAX(0, ('04_Calcs_Volume'!AD8*100*(0.048-0.0115))*('02_Inputs_Sales'!E11*'01_Control'!$B$13 + (1-'02_Inputs_Sales'!E11)*'01_Control'!$B$12)) + MAX(0, ('04_Calcs_Volume'!AD9*100*(0.056-0.0115))*('02_Inputs_Sales'!E12*'01_Control'!$B$13 + (1-'02_Inputs_Sales'!E12)*'01_Control'!$B$12)) + MAX(0, ('04_Calcs_Volume'!AD10*100*(0.062-0.0115))*('02_Inputs_Sales'!E13*'01_Control'!$B$13 + (1-'02_Inputs_Sales'!E13)*'01_Control'!$B$12)) + MAX(0, ('04_Calcs_Volume'!AD11*100*(0.075-0.0115))*('02_Inputs_Sales'!E14*'01_Control'!$B$13 + (1-'02_Inputs_Sales'!E14)*'01_Control'!$B$12)) + MAX(0, ('04_Calcs_Volume'!AD12*100*(0.052-0.0115))*('02_Inputs_Sales'!E15*'01_Control'!$B$13 + (1-'02_Inputs_Sales'!E15)*'01_Control'!$B$12)) + MAX(0, ('04_Calcs_Volume'!AD13*100*(0.04-0.0115))*('02_Inputs_Sales'!E16*'01_Control'!$B$13 + (1-'02_Inputs_Sales'!E16)*'01_Control'!$B$12)) + MAX(0, ('04_Calcs_Volume'!AD14*100*(0.06-0.0115))*('02_Inputs_Sales'!E17*'01_Control'!$B$13 + (1-'02_Inputs_Sales'!E17)*'01_Control'!$B$12)))</f>
        <v>0</v>
      </c>
      <c r="AE9" s="6">
        <f>-(MAX(0, ('04_Calcs_Volume'!AE6*100*(0.042-0.0115))*('02_Inputs_Sales'!E9*'01_Control'!$B$13 + (1-'02_Inputs_Sales'!E9)*'01_Control'!$B$12)) + MAX(0, ('04_Calcs_Volume'!AE7*100*(0.035-0.0115))*('02_Inputs_Sales'!E10*'01_Control'!$B$13 + (1-'02_Inputs_Sales'!E10)*'01_Control'!$B$12)) + MAX(0, ('04_Calcs_Volume'!AE8*100*(0.048-0.0115))*('02_Inputs_Sales'!E11*'01_Control'!$B$13 + (1-'02_Inputs_Sales'!E11)*'01_Control'!$B$12)) + MAX(0, ('04_Calcs_Volume'!AE9*100*(0.056-0.0115))*('02_Inputs_Sales'!E12*'01_Control'!$B$13 + (1-'02_Inputs_Sales'!E12)*'01_Control'!$B$12)) + MAX(0, ('04_Calcs_Volume'!AE10*100*(0.062-0.0115))*('02_Inputs_Sales'!E13*'01_Control'!$B$13 + (1-'02_Inputs_Sales'!E13)*'01_Control'!$B$12)) + MAX(0, ('04_Calcs_Volume'!AE11*100*(0.075-0.0115))*('02_Inputs_Sales'!E14*'01_Control'!$B$13 + (1-'02_Inputs_Sales'!E14)*'01_Control'!$B$12)) + MAX(0, ('04_Calcs_Volume'!AE12*100*(0.052-0.0115))*('02_Inputs_Sales'!E15*'01_Control'!$B$13 + (1-'02_Inputs_Sales'!E15)*'01_Control'!$B$12)) + MAX(0, ('04_Calcs_Volume'!AE13*100*(0.04-0.0115))*('02_Inputs_Sales'!E16*'01_Control'!$B$13 + (1-'02_Inputs_Sales'!E16)*'01_Control'!$B$12)) + MAX(0, ('04_Calcs_Volume'!AE14*100*(0.06-0.0115))*('02_Inputs_Sales'!E17*'01_Control'!$B$13 + (1-'02_Inputs_Sales'!E17)*'01_Control'!$B$12)))</f>
        <v>0</v>
      </c>
      <c r="AF9" s="6">
        <f>-(MAX(0, ('04_Calcs_Volume'!AF6*100*(0.042-0.0115))*('02_Inputs_Sales'!E9*'01_Control'!$B$13 + (1-'02_Inputs_Sales'!E9)*'01_Control'!$B$12)) + MAX(0, ('04_Calcs_Volume'!AF7*100*(0.035-0.0115))*('02_Inputs_Sales'!E10*'01_Control'!$B$13 + (1-'02_Inputs_Sales'!E10)*'01_Control'!$B$12)) + MAX(0, ('04_Calcs_Volume'!AF8*100*(0.048-0.0115))*('02_Inputs_Sales'!E11*'01_Control'!$B$13 + (1-'02_Inputs_Sales'!E11)*'01_Control'!$B$12)) + MAX(0, ('04_Calcs_Volume'!AF9*100*(0.056-0.0115))*('02_Inputs_Sales'!E12*'01_Control'!$B$13 + (1-'02_Inputs_Sales'!E12)*'01_Control'!$B$12)) + MAX(0, ('04_Calcs_Volume'!AF10*100*(0.062-0.0115))*('02_Inputs_Sales'!E13*'01_Control'!$B$13 + (1-'02_Inputs_Sales'!E13)*'01_Control'!$B$12)) + MAX(0, ('04_Calcs_Volume'!AF11*100*(0.075-0.0115))*('02_Inputs_Sales'!E14*'01_Control'!$B$13 + (1-'02_Inputs_Sales'!E14)*'01_Control'!$B$12)) + MAX(0, ('04_Calcs_Volume'!AF12*100*(0.052-0.0115))*('02_Inputs_Sales'!E15*'01_Control'!$B$13 + (1-'02_Inputs_Sales'!E15)*'01_Control'!$B$12)) + MAX(0, ('04_Calcs_Volume'!AF13*100*(0.04-0.0115))*('02_Inputs_Sales'!E16*'01_Control'!$B$13 + (1-'02_Inputs_Sales'!E16)*'01_Control'!$B$12)) + MAX(0, ('04_Calcs_Volume'!AF14*100*(0.06-0.0115))*('02_Inputs_Sales'!E17*'01_Control'!$B$13 + (1-'02_Inputs_Sales'!E17)*'01_Control'!$B$12)))</f>
        <v>0</v>
      </c>
      <c r="AG9" s="6">
        <f>-(MAX(0, ('04_Calcs_Volume'!AG6*100*(0.042-0.0115))*('02_Inputs_Sales'!E9*'01_Control'!$B$13 + (1-'02_Inputs_Sales'!E9)*'01_Control'!$B$12)) + MAX(0, ('04_Calcs_Volume'!AG7*100*(0.035-0.0115))*('02_Inputs_Sales'!E10*'01_Control'!$B$13 + (1-'02_Inputs_Sales'!E10)*'01_Control'!$B$12)) + MAX(0, ('04_Calcs_Volume'!AG8*100*(0.048-0.0115))*('02_Inputs_Sales'!E11*'01_Control'!$B$13 + (1-'02_Inputs_Sales'!E11)*'01_Control'!$B$12)) + MAX(0, ('04_Calcs_Volume'!AG9*100*(0.056-0.0115))*('02_Inputs_Sales'!E12*'01_Control'!$B$13 + (1-'02_Inputs_Sales'!E12)*'01_Control'!$B$12)) + MAX(0, ('04_Calcs_Volume'!AG10*100*(0.062-0.0115))*('02_Inputs_Sales'!E13*'01_Control'!$B$13 + (1-'02_Inputs_Sales'!E13)*'01_Control'!$B$12)) + MAX(0, ('04_Calcs_Volume'!AG11*100*(0.075-0.0115))*('02_Inputs_Sales'!E14*'01_Control'!$B$13 + (1-'02_Inputs_Sales'!E14)*'01_Control'!$B$12)) + MAX(0, ('04_Calcs_Volume'!AG12*100*(0.052-0.0115))*('02_Inputs_Sales'!E15*'01_Control'!$B$13 + (1-'02_Inputs_Sales'!E15)*'01_Control'!$B$12)) + MAX(0, ('04_Calcs_Volume'!AG13*100*(0.04-0.0115))*('02_Inputs_Sales'!E16*'01_Control'!$B$13 + (1-'02_Inputs_Sales'!E16)*'01_Control'!$B$12)) + MAX(0, ('04_Calcs_Volume'!AG14*100*(0.06-0.0115))*('02_Inputs_Sales'!E17*'01_Control'!$B$13 + (1-'02_Inputs_Sales'!E17)*'01_Control'!$B$12)))</f>
        <v>0</v>
      </c>
      <c r="AH9" s="6">
        <f>-(MAX(0, ('04_Calcs_Volume'!AH6*100*(0.042-0.0115))*('02_Inputs_Sales'!E9*'01_Control'!$B$13 + (1-'02_Inputs_Sales'!E9)*'01_Control'!$B$12)) + MAX(0, ('04_Calcs_Volume'!AH7*100*(0.035-0.0115))*('02_Inputs_Sales'!E10*'01_Control'!$B$13 + (1-'02_Inputs_Sales'!E10)*'01_Control'!$B$12)) + MAX(0, ('04_Calcs_Volume'!AH8*100*(0.048-0.0115))*('02_Inputs_Sales'!E11*'01_Control'!$B$13 + (1-'02_Inputs_Sales'!E11)*'01_Control'!$B$12)) + MAX(0, ('04_Calcs_Volume'!AH9*100*(0.056-0.0115))*('02_Inputs_Sales'!E12*'01_Control'!$B$13 + (1-'02_Inputs_Sales'!E12)*'01_Control'!$B$12)) + MAX(0, ('04_Calcs_Volume'!AH10*100*(0.062-0.0115))*('02_Inputs_Sales'!E13*'01_Control'!$B$13 + (1-'02_Inputs_Sales'!E13)*'01_Control'!$B$12)) + MAX(0, ('04_Calcs_Volume'!AH11*100*(0.075-0.0115))*('02_Inputs_Sales'!E14*'01_Control'!$B$13 + (1-'02_Inputs_Sales'!E14)*'01_Control'!$B$12)) + MAX(0, ('04_Calcs_Volume'!AH12*100*(0.052-0.0115))*('02_Inputs_Sales'!E15*'01_Control'!$B$13 + (1-'02_Inputs_Sales'!E15)*'01_Control'!$B$12)) + MAX(0, ('04_Calcs_Volume'!AH13*100*(0.04-0.0115))*('02_Inputs_Sales'!E16*'01_Control'!$B$13 + (1-'02_Inputs_Sales'!E16)*'01_Control'!$B$12)) + MAX(0, ('04_Calcs_Volume'!AH14*100*(0.06-0.0115))*('02_Inputs_Sales'!E17*'01_Control'!$B$13 + (1-'02_Inputs_Sales'!E17)*'01_Control'!$B$12)))</f>
        <v>0</v>
      </c>
      <c r="AI9" s="6">
        <f>-(MAX(0, ('04_Calcs_Volume'!AI6*100*(0.042-0.0115))*('02_Inputs_Sales'!E9*'01_Control'!$B$13 + (1-'02_Inputs_Sales'!E9)*'01_Control'!$B$12)) + MAX(0, ('04_Calcs_Volume'!AI7*100*(0.035-0.0115))*('02_Inputs_Sales'!E10*'01_Control'!$B$13 + (1-'02_Inputs_Sales'!E10)*'01_Control'!$B$12)) + MAX(0, ('04_Calcs_Volume'!AI8*100*(0.048-0.0115))*('02_Inputs_Sales'!E11*'01_Control'!$B$13 + (1-'02_Inputs_Sales'!E11)*'01_Control'!$B$12)) + MAX(0, ('04_Calcs_Volume'!AI9*100*(0.056-0.0115))*('02_Inputs_Sales'!E12*'01_Control'!$B$13 + (1-'02_Inputs_Sales'!E12)*'01_Control'!$B$12)) + MAX(0, ('04_Calcs_Volume'!AI10*100*(0.062-0.0115))*('02_Inputs_Sales'!E13*'01_Control'!$B$13 + (1-'02_Inputs_Sales'!E13)*'01_Control'!$B$12)) + MAX(0, ('04_Calcs_Volume'!AI11*100*(0.075-0.0115))*('02_Inputs_Sales'!E14*'01_Control'!$B$13 + (1-'02_Inputs_Sales'!E14)*'01_Control'!$B$12)) + MAX(0, ('04_Calcs_Volume'!AI12*100*(0.052-0.0115))*('02_Inputs_Sales'!E15*'01_Control'!$B$13 + (1-'02_Inputs_Sales'!E15)*'01_Control'!$B$12)) + MAX(0, ('04_Calcs_Volume'!AI13*100*(0.04-0.0115))*('02_Inputs_Sales'!E16*'01_Control'!$B$13 + (1-'02_Inputs_Sales'!E16)*'01_Control'!$B$12)) + MAX(0, ('04_Calcs_Volume'!AI14*100*(0.06-0.0115))*('02_Inputs_Sales'!E17*'01_Control'!$B$13 + (1-'02_Inputs_Sales'!E17)*'01_Control'!$B$12)))</f>
        <v>0</v>
      </c>
      <c r="AJ9" s="6">
        <f>-(MAX(0, ('04_Calcs_Volume'!AJ6*100*(0.042-0.0115))*('02_Inputs_Sales'!E9*'01_Control'!$B$13 + (1-'02_Inputs_Sales'!E9)*'01_Control'!$B$12)) + MAX(0, ('04_Calcs_Volume'!AJ7*100*(0.035-0.0115))*('02_Inputs_Sales'!E10*'01_Control'!$B$13 + (1-'02_Inputs_Sales'!E10)*'01_Control'!$B$12)) + MAX(0, ('04_Calcs_Volume'!AJ8*100*(0.048-0.0115))*('02_Inputs_Sales'!E11*'01_Control'!$B$13 + (1-'02_Inputs_Sales'!E11)*'01_Control'!$B$12)) + MAX(0, ('04_Calcs_Volume'!AJ9*100*(0.056-0.0115))*('02_Inputs_Sales'!E12*'01_Control'!$B$13 + (1-'02_Inputs_Sales'!E12)*'01_Control'!$B$12)) + MAX(0, ('04_Calcs_Volume'!AJ10*100*(0.062-0.0115))*('02_Inputs_Sales'!E13*'01_Control'!$B$13 + (1-'02_Inputs_Sales'!E13)*'01_Control'!$B$12)) + MAX(0, ('04_Calcs_Volume'!AJ11*100*(0.075-0.0115))*('02_Inputs_Sales'!E14*'01_Control'!$B$13 + (1-'02_Inputs_Sales'!E14)*'01_Control'!$B$12)) + MAX(0, ('04_Calcs_Volume'!AJ12*100*(0.052-0.0115))*('02_Inputs_Sales'!E15*'01_Control'!$B$13 + (1-'02_Inputs_Sales'!E15)*'01_Control'!$B$12)) + MAX(0, ('04_Calcs_Volume'!AJ13*100*(0.04-0.0115))*('02_Inputs_Sales'!E16*'01_Control'!$B$13 + (1-'02_Inputs_Sales'!E16)*'01_Control'!$B$12)) + MAX(0, ('04_Calcs_Volume'!AJ14*100*(0.06-0.0115))*('02_Inputs_Sales'!E17*'01_Control'!$B$13 + (1-'02_Inputs_Sales'!E17)*'01_Control'!$B$12)))</f>
        <v>0</v>
      </c>
      <c r="AK9" s="6">
        <f>-(MAX(0, ('04_Calcs_Volume'!AK6*100*(0.042-0.0115))*('02_Inputs_Sales'!E9*'01_Control'!$B$13 + (1-'02_Inputs_Sales'!E9)*'01_Control'!$B$12)) + MAX(0, ('04_Calcs_Volume'!AK7*100*(0.035-0.0115))*('02_Inputs_Sales'!E10*'01_Control'!$B$13 + (1-'02_Inputs_Sales'!E10)*'01_Control'!$B$12)) + MAX(0, ('04_Calcs_Volume'!AK8*100*(0.048-0.0115))*('02_Inputs_Sales'!E11*'01_Control'!$B$13 + (1-'02_Inputs_Sales'!E11)*'01_Control'!$B$12)) + MAX(0, ('04_Calcs_Volume'!AK9*100*(0.056-0.0115))*('02_Inputs_Sales'!E12*'01_Control'!$B$13 + (1-'02_Inputs_Sales'!E12)*'01_Control'!$B$12)) + MAX(0, ('04_Calcs_Volume'!AK10*100*(0.062-0.0115))*('02_Inputs_Sales'!E13*'01_Control'!$B$13 + (1-'02_Inputs_Sales'!E13)*'01_Control'!$B$12)) + MAX(0, ('04_Calcs_Volume'!AK11*100*(0.075-0.0115))*('02_Inputs_Sales'!E14*'01_Control'!$B$13 + (1-'02_Inputs_Sales'!E14)*'01_Control'!$B$12)) + MAX(0, ('04_Calcs_Volume'!AK12*100*(0.052-0.0115))*('02_Inputs_Sales'!E15*'01_Control'!$B$13 + (1-'02_Inputs_Sales'!E15)*'01_Control'!$B$12)) + MAX(0, ('04_Calcs_Volume'!AK13*100*(0.04-0.0115))*('02_Inputs_Sales'!E16*'01_Control'!$B$13 + (1-'02_Inputs_Sales'!E16)*'01_Control'!$B$12)) + MAX(0, ('04_Calcs_Volume'!AK14*100*(0.06-0.0115))*('02_Inputs_Sales'!E17*'01_Control'!$B$13 + (1-'02_Inputs_Sales'!E17)*'01_Control'!$B$12)))</f>
        <v>0</v>
      </c>
      <c r="AL9" s="6">
        <f>-(MAX(0, ('04_Calcs_Volume'!AL6*100*(0.042-0.0115))*('02_Inputs_Sales'!E9*'01_Control'!$B$13 + (1-'02_Inputs_Sales'!E9)*'01_Control'!$B$12)) + MAX(0, ('04_Calcs_Volume'!AL7*100*(0.035-0.0115))*('02_Inputs_Sales'!E10*'01_Control'!$B$13 + (1-'02_Inputs_Sales'!E10)*'01_Control'!$B$12)) + MAX(0, ('04_Calcs_Volume'!AL8*100*(0.048-0.0115))*('02_Inputs_Sales'!E11*'01_Control'!$B$13 + (1-'02_Inputs_Sales'!E11)*'01_Control'!$B$12)) + MAX(0, ('04_Calcs_Volume'!AL9*100*(0.056-0.0115))*('02_Inputs_Sales'!E12*'01_Control'!$B$13 + (1-'02_Inputs_Sales'!E12)*'01_Control'!$B$12)) + MAX(0, ('04_Calcs_Volume'!AL10*100*(0.062-0.0115))*('02_Inputs_Sales'!E13*'01_Control'!$B$13 + (1-'02_Inputs_Sales'!E13)*'01_Control'!$B$12)) + MAX(0, ('04_Calcs_Volume'!AL11*100*(0.075-0.0115))*('02_Inputs_Sales'!E14*'01_Control'!$B$13 + (1-'02_Inputs_Sales'!E14)*'01_Control'!$B$12)) + MAX(0, ('04_Calcs_Volume'!AL12*100*(0.052-0.0115))*('02_Inputs_Sales'!E15*'01_Control'!$B$13 + (1-'02_Inputs_Sales'!E15)*'01_Control'!$B$12)) + MAX(0, ('04_Calcs_Volume'!AL13*100*(0.04-0.0115))*('02_Inputs_Sales'!E16*'01_Control'!$B$13 + (1-'02_Inputs_Sales'!E16)*'01_Control'!$B$12)) + MAX(0, ('04_Calcs_Volume'!AL14*100*(0.06-0.0115))*('02_Inputs_Sales'!E17*'01_Control'!$B$13 + (1-'02_Inputs_Sales'!E17)*'01_Control'!$B$12)))</f>
        <v>0</v>
      </c>
      <c r="AM9" s="6">
        <f>-(MAX(0, ('04_Calcs_Volume'!AM6*100*(0.042-0.0115))*('02_Inputs_Sales'!E9*'01_Control'!$B$13 + (1-'02_Inputs_Sales'!E9)*'01_Control'!$B$12)) + MAX(0, ('04_Calcs_Volume'!AM7*100*(0.035-0.0115))*('02_Inputs_Sales'!E10*'01_Control'!$B$13 + (1-'02_Inputs_Sales'!E10)*'01_Control'!$B$12)) + MAX(0, ('04_Calcs_Volume'!AM8*100*(0.048-0.0115))*('02_Inputs_Sales'!E11*'01_Control'!$B$13 + (1-'02_Inputs_Sales'!E11)*'01_Control'!$B$12)) + MAX(0, ('04_Calcs_Volume'!AM9*100*(0.056-0.0115))*('02_Inputs_Sales'!E12*'01_Control'!$B$13 + (1-'02_Inputs_Sales'!E12)*'01_Control'!$B$12)) + MAX(0, ('04_Calcs_Volume'!AM10*100*(0.062-0.0115))*('02_Inputs_Sales'!E13*'01_Control'!$B$13 + (1-'02_Inputs_Sales'!E13)*'01_Control'!$B$12)) + MAX(0, ('04_Calcs_Volume'!AM11*100*(0.075-0.0115))*('02_Inputs_Sales'!E14*'01_Control'!$B$13 + (1-'02_Inputs_Sales'!E14)*'01_Control'!$B$12)) + MAX(0, ('04_Calcs_Volume'!AM12*100*(0.052-0.0115))*('02_Inputs_Sales'!E15*'01_Control'!$B$13 + (1-'02_Inputs_Sales'!E15)*'01_Control'!$B$12)) + MAX(0, ('04_Calcs_Volume'!AM13*100*(0.04-0.0115))*('02_Inputs_Sales'!E16*'01_Control'!$B$13 + (1-'02_Inputs_Sales'!E16)*'01_Control'!$B$12)) + MAX(0, ('04_Calcs_Volume'!AM14*100*(0.06-0.0115))*('02_Inputs_Sales'!E17*'01_Control'!$B$13 + (1-'02_Inputs_Sales'!E17)*'01_Control'!$B$12)))</f>
        <v>0</v>
      </c>
      <c r="AN9" s="6">
        <f>-(MAX(0, ('04_Calcs_Volume'!AN6*100*(0.042-0.0115))*('02_Inputs_Sales'!E9*'01_Control'!$B$13 + (1-'02_Inputs_Sales'!E9)*'01_Control'!$B$12)) + MAX(0, ('04_Calcs_Volume'!AN7*100*(0.035-0.0115))*('02_Inputs_Sales'!E10*'01_Control'!$B$13 + (1-'02_Inputs_Sales'!E10)*'01_Control'!$B$12)) + MAX(0, ('04_Calcs_Volume'!AN8*100*(0.048-0.0115))*('02_Inputs_Sales'!E11*'01_Control'!$B$13 + (1-'02_Inputs_Sales'!E11)*'01_Control'!$B$12)) + MAX(0, ('04_Calcs_Volume'!AN9*100*(0.056-0.0115))*('02_Inputs_Sales'!E12*'01_Control'!$B$13 + (1-'02_Inputs_Sales'!E12)*'01_Control'!$B$12)) + MAX(0, ('04_Calcs_Volume'!AN10*100*(0.062-0.0115))*('02_Inputs_Sales'!E13*'01_Control'!$B$13 + (1-'02_Inputs_Sales'!E13)*'01_Control'!$B$12)) + MAX(0, ('04_Calcs_Volume'!AN11*100*(0.075-0.0115))*('02_Inputs_Sales'!E14*'01_Control'!$B$13 + (1-'02_Inputs_Sales'!E14)*'01_Control'!$B$12)) + MAX(0, ('04_Calcs_Volume'!AN12*100*(0.052-0.0115))*('02_Inputs_Sales'!E15*'01_Control'!$B$13 + (1-'02_Inputs_Sales'!E15)*'01_Control'!$B$12)) + MAX(0, ('04_Calcs_Volume'!AN13*100*(0.04-0.0115))*('02_Inputs_Sales'!E16*'01_Control'!$B$13 + (1-'02_Inputs_Sales'!E16)*'01_Control'!$B$12)) + MAX(0, ('04_Calcs_Volume'!AN14*100*(0.06-0.0115))*('02_Inputs_Sales'!E17*'01_Control'!$B$13 + (1-'02_Inputs_Sales'!E17)*'01_Control'!$B$12)))</f>
        <v>0</v>
      </c>
      <c r="AO9" s="6">
        <f>-(MAX(0, ('04_Calcs_Volume'!AO6*100*(0.042-0.0115))*('02_Inputs_Sales'!E9*'01_Control'!$B$13 + (1-'02_Inputs_Sales'!E9)*'01_Control'!$B$12)) + MAX(0, ('04_Calcs_Volume'!AO7*100*(0.035-0.0115))*('02_Inputs_Sales'!E10*'01_Control'!$B$13 + (1-'02_Inputs_Sales'!E10)*'01_Control'!$B$12)) + MAX(0, ('04_Calcs_Volume'!AO8*100*(0.048-0.0115))*('02_Inputs_Sales'!E11*'01_Control'!$B$13 + (1-'02_Inputs_Sales'!E11)*'01_Control'!$B$12)) + MAX(0, ('04_Calcs_Volume'!AO9*100*(0.056-0.0115))*('02_Inputs_Sales'!E12*'01_Control'!$B$13 + (1-'02_Inputs_Sales'!E12)*'01_Control'!$B$12)) + MAX(0, ('04_Calcs_Volume'!AO10*100*(0.062-0.0115))*('02_Inputs_Sales'!E13*'01_Control'!$B$13 + (1-'02_Inputs_Sales'!E13)*'01_Control'!$B$12)) + MAX(0, ('04_Calcs_Volume'!AO11*100*(0.075-0.0115))*('02_Inputs_Sales'!E14*'01_Control'!$B$13 + (1-'02_Inputs_Sales'!E14)*'01_Control'!$B$12)) + MAX(0, ('04_Calcs_Volume'!AO12*100*(0.052-0.0115))*('02_Inputs_Sales'!E15*'01_Control'!$B$13 + (1-'02_Inputs_Sales'!E15)*'01_Control'!$B$12)) + MAX(0, ('04_Calcs_Volume'!AO13*100*(0.04-0.0115))*('02_Inputs_Sales'!E16*'01_Control'!$B$13 + (1-'02_Inputs_Sales'!E16)*'01_Control'!$B$12)) + MAX(0, ('04_Calcs_Volume'!AO14*100*(0.06-0.0115))*('02_Inputs_Sales'!E17*'01_Control'!$B$13 + (1-'02_Inputs_Sales'!E17)*'01_Control'!$B$12)))</f>
        <v>0</v>
      </c>
      <c r="AP9" s="6">
        <f>-(MAX(0, ('04_Calcs_Volume'!AP6*100*(0.042-0.0115))*('02_Inputs_Sales'!E9*'01_Control'!$B$13 + (1-'02_Inputs_Sales'!E9)*'01_Control'!$B$12)) + MAX(0, ('04_Calcs_Volume'!AP7*100*(0.035-0.0115))*('02_Inputs_Sales'!E10*'01_Control'!$B$13 + (1-'02_Inputs_Sales'!E10)*'01_Control'!$B$12)) + MAX(0, ('04_Calcs_Volume'!AP8*100*(0.048-0.0115))*('02_Inputs_Sales'!E11*'01_Control'!$B$13 + (1-'02_Inputs_Sales'!E11)*'01_Control'!$B$12)) + MAX(0, ('04_Calcs_Volume'!AP9*100*(0.056-0.0115))*('02_Inputs_Sales'!E12*'01_Control'!$B$13 + (1-'02_Inputs_Sales'!E12)*'01_Control'!$B$12)) + MAX(0, ('04_Calcs_Volume'!AP10*100*(0.062-0.0115))*('02_Inputs_Sales'!E13*'01_Control'!$B$13 + (1-'02_Inputs_Sales'!E13)*'01_Control'!$B$12)) + MAX(0, ('04_Calcs_Volume'!AP11*100*(0.075-0.0115))*('02_Inputs_Sales'!E14*'01_Control'!$B$13 + (1-'02_Inputs_Sales'!E14)*'01_Control'!$B$12)) + MAX(0, ('04_Calcs_Volume'!AP12*100*(0.052-0.0115))*('02_Inputs_Sales'!E15*'01_Control'!$B$13 + (1-'02_Inputs_Sales'!E15)*'01_Control'!$B$12)) + MAX(0, ('04_Calcs_Volume'!AP13*100*(0.04-0.0115))*('02_Inputs_Sales'!E16*'01_Control'!$B$13 + (1-'02_Inputs_Sales'!E16)*'01_Control'!$B$12)) + MAX(0, ('04_Calcs_Volume'!AP14*100*(0.06-0.0115))*('02_Inputs_Sales'!E17*'01_Control'!$B$13 + (1-'02_Inputs_Sales'!E17)*'01_Control'!$B$12)))</f>
        <v>0</v>
      </c>
      <c r="AQ9" s="6">
        <f>-(MAX(0, ('04_Calcs_Volume'!AQ6*100*(0.042-0.0115))*('02_Inputs_Sales'!E9*'01_Control'!$B$13 + (1-'02_Inputs_Sales'!E9)*'01_Control'!$B$12)) + MAX(0, ('04_Calcs_Volume'!AQ7*100*(0.035-0.0115))*('02_Inputs_Sales'!E10*'01_Control'!$B$13 + (1-'02_Inputs_Sales'!E10)*'01_Control'!$B$12)) + MAX(0, ('04_Calcs_Volume'!AQ8*100*(0.048-0.0115))*('02_Inputs_Sales'!E11*'01_Control'!$B$13 + (1-'02_Inputs_Sales'!E11)*'01_Control'!$B$12)) + MAX(0, ('04_Calcs_Volume'!AQ9*100*(0.056-0.0115))*('02_Inputs_Sales'!E12*'01_Control'!$B$13 + (1-'02_Inputs_Sales'!E12)*'01_Control'!$B$12)) + MAX(0, ('04_Calcs_Volume'!AQ10*100*(0.062-0.0115))*('02_Inputs_Sales'!E13*'01_Control'!$B$13 + (1-'02_Inputs_Sales'!E13)*'01_Control'!$B$12)) + MAX(0, ('04_Calcs_Volume'!AQ11*100*(0.075-0.0115))*('02_Inputs_Sales'!E14*'01_Control'!$B$13 + (1-'02_Inputs_Sales'!E14)*'01_Control'!$B$12)) + MAX(0, ('04_Calcs_Volume'!AQ12*100*(0.052-0.0115))*('02_Inputs_Sales'!E15*'01_Control'!$B$13 + (1-'02_Inputs_Sales'!E15)*'01_Control'!$B$12)) + MAX(0, ('04_Calcs_Volume'!AQ13*100*(0.04-0.0115))*('02_Inputs_Sales'!E16*'01_Control'!$B$13 + (1-'02_Inputs_Sales'!E16)*'01_Control'!$B$12)) + MAX(0, ('04_Calcs_Volume'!AQ14*100*(0.06-0.0115))*('02_Inputs_Sales'!E17*'01_Control'!$B$13 + (1-'02_Inputs_Sales'!E17)*'01_Control'!$B$12)))</f>
        <v>0</v>
      </c>
      <c r="AR9" s="6">
        <f>-(MAX(0, ('04_Calcs_Volume'!AR6*100*(0.042-0.0115))*('02_Inputs_Sales'!E9*'01_Control'!$B$13 + (1-'02_Inputs_Sales'!E9)*'01_Control'!$B$12)) + MAX(0, ('04_Calcs_Volume'!AR7*100*(0.035-0.0115))*('02_Inputs_Sales'!E10*'01_Control'!$B$13 + (1-'02_Inputs_Sales'!E10)*'01_Control'!$B$12)) + MAX(0, ('04_Calcs_Volume'!AR8*100*(0.048-0.0115))*('02_Inputs_Sales'!E11*'01_Control'!$B$13 + (1-'02_Inputs_Sales'!E11)*'01_Control'!$B$12)) + MAX(0, ('04_Calcs_Volume'!AR9*100*(0.056-0.0115))*('02_Inputs_Sales'!E12*'01_Control'!$B$13 + (1-'02_Inputs_Sales'!E12)*'01_Control'!$B$12)) + MAX(0, ('04_Calcs_Volume'!AR10*100*(0.062-0.0115))*('02_Inputs_Sales'!E13*'01_Control'!$B$13 + (1-'02_Inputs_Sales'!E13)*'01_Control'!$B$12)) + MAX(0, ('04_Calcs_Volume'!AR11*100*(0.075-0.0115))*('02_Inputs_Sales'!E14*'01_Control'!$B$13 + (1-'02_Inputs_Sales'!E14)*'01_Control'!$B$12)) + MAX(0, ('04_Calcs_Volume'!AR12*100*(0.052-0.0115))*('02_Inputs_Sales'!E15*'01_Control'!$B$13 + (1-'02_Inputs_Sales'!E15)*'01_Control'!$B$12)) + MAX(0, ('04_Calcs_Volume'!AR13*100*(0.04-0.0115))*('02_Inputs_Sales'!E16*'01_Control'!$B$13 + (1-'02_Inputs_Sales'!E16)*'01_Control'!$B$12)) + MAX(0, ('04_Calcs_Volume'!AR14*100*(0.06-0.0115))*('02_Inputs_Sales'!E17*'01_Control'!$B$13 + (1-'02_Inputs_Sales'!E17)*'01_Control'!$B$12)))</f>
        <v>0</v>
      </c>
      <c r="AS9" s="6">
        <f>-(MAX(0, ('04_Calcs_Volume'!AS6*100*(0.042-0.0115))*('02_Inputs_Sales'!E9*'01_Control'!$B$13 + (1-'02_Inputs_Sales'!E9)*'01_Control'!$B$12)) + MAX(0, ('04_Calcs_Volume'!AS7*100*(0.035-0.0115))*('02_Inputs_Sales'!E10*'01_Control'!$B$13 + (1-'02_Inputs_Sales'!E10)*'01_Control'!$B$12)) + MAX(0, ('04_Calcs_Volume'!AS8*100*(0.048-0.0115))*('02_Inputs_Sales'!E11*'01_Control'!$B$13 + (1-'02_Inputs_Sales'!E11)*'01_Control'!$B$12)) + MAX(0, ('04_Calcs_Volume'!AS9*100*(0.056-0.0115))*('02_Inputs_Sales'!E12*'01_Control'!$B$13 + (1-'02_Inputs_Sales'!E12)*'01_Control'!$B$12)) + MAX(0, ('04_Calcs_Volume'!AS10*100*(0.062-0.0115))*('02_Inputs_Sales'!E13*'01_Control'!$B$13 + (1-'02_Inputs_Sales'!E13)*'01_Control'!$B$12)) + MAX(0, ('04_Calcs_Volume'!AS11*100*(0.075-0.0115))*('02_Inputs_Sales'!E14*'01_Control'!$B$13 + (1-'02_Inputs_Sales'!E14)*'01_Control'!$B$12)) + MAX(0, ('04_Calcs_Volume'!AS12*100*(0.052-0.0115))*('02_Inputs_Sales'!E15*'01_Control'!$B$13 + (1-'02_Inputs_Sales'!E15)*'01_Control'!$B$12)) + MAX(0, ('04_Calcs_Volume'!AS13*100*(0.04-0.0115))*('02_Inputs_Sales'!E16*'01_Control'!$B$13 + (1-'02_Inputs_Sales'!E16)*'01_Control'!$B$12)) + MAX(0, ('04_Calcs_Volume'!AS14*100*(0.06-0.0115))*('02_Inputs_Sales'!E17*'01_Control'!$B$13 + (1-'02_Inputs_Sales'!E17)*'01_Control'!$B$12)))</f>
        <v>0</v>
      </c>
      <c r="AT9" s="6">
        <f>-(MAX(0, ('04_Calcs_Volume'!AT6*100*(0.042-0.0115))*('02_Inputs_Sales'!E9*'01_Control'!$B$13 + (1-'02_Inputs_Sales'!E9)*'01_Control'!$B$12)) + MAX(0, ('04_Calcs_Volume'!AT7*100*(0.035-0.0115))*('02_Inputs_Sales'!E10*'01_Control'!$B$13 + (1-'02_Inputs_Sales'!E10)*'01_Control'!$B$12)) + MAX(0, ('04_Calcs_Volume'!AT8*100*(0.048-0.0115))*('02_Inputs_Sales'!E11*'01_Control'!$B$13 + (1-'02_Inputs_Sales'!E11)*'01_Control'!$B$12)) + MAX(0, ('04_Calcs_Volume'!AT9*100*(0.056-0.0115))*('02_Inputs_Sales'!E12*'01_Control'!$B$13 + (1-'02_Inputs_Sales'!E12)*'01_Control'!$B$12)) + MAX(0, ('04_Calcs_Volume'!AT10*100*(0.062-0.0115))*('02_Inputs_Sales'!E13*'01_Control'!$B$13 + (1-'02_Inputs_Sales'!E13)*'01_Control'!$B$12)) + MAX(0, ('04_Calcs_Volume'!AT11*100*(0.075-0.0115))*('02_Inputs_Sales'!E14*'01_Control'!$B$13 + (1-'02_Inputs_Sales'!E14)*'01_Control'!$B$12)) + MAX(0, ('04_Calcs_Volume'!AT12*100*(0.052-0.0115))*('02_Inputs_Sales'!E15*'01_Control'!$B$13 + (1-'02_Inputs_Sales'!E15)*'01_Control'!$B$12)) + MAX(0, ('04_Calcs_Volume'!AT13*100*(0.04-0.0115))*('02_Inputs_Sales'!E16*'01_Control'!$B$13 + (1-'02_Inputs_Sales'!E16)*'01_Control'!$B$12)) + MAX(0, ('04_Calcs_Volume'!AT14*100*(0.06-0.0115))*('02_Inputs_Sales'!E17*'01_Control'!$B$13 + (1-'02_Inputs_Sales'!E17)*'01_Control'!$B$12)))</f>
        <v>0</v>
      </c>
      <c r="AU9" s="6">
        <f>-(MAX(0, ('04_Calcs_Volume'!AU6*100*(0.042-0.0115))*('02_Inputs_Sales'!E9*'01_Control'!$B$13 + (1-'02_Inputs_Sales'!E9)*'01_Control'!$B$12)) + MAX(0, ('04_Calcs_Volume'!AU7*100*(0.035-0.0115))*('02_Inputs_Sales'!E10*'01_Control'!$B$13 + (1-'02_Inputs_Sales'!E10)*'01_Control'!$B$12)) + MAX(0, ('04_Calcs_Volume'!AU8*100*(0.048-0.0115))*('02_Inputs_Sales'!E11*'01_Control'!$B$13 + (1-'02_Inputs_Sales'!E11)*'01_Control'!$B$12)) + MAX(0, ('04_Calcs_Volume'!AU9*100*(0.056-0.0115))*('02_Inputs_Sales'!E12*'01_Control'!$B$13 + (1-'02_Inputs_Sales'!E12)*'01_Control'!$B$12)) + MAX(0, ('04_Calcs_Volume'!AU10*100*(0.062-0.0115))*('02_Inputs_Sales'!E13*'01_Control'!$B$13 + (1-'02_Inputs_Sales'!E13)*'01_Control'!$B$12)) + MAX(0, ('04_Calcs_Volume'!AU11*100*(0.075-0.0115))*('02_Inputs_Sales'!E14*'01_Control'!$B$13 + (1-'02_Inputs_Sales'!E14)*'01_Control'!$B$12)) + MAX(0, ('04_Calcs_Volume'!AU12*100*(0.052-0.0115))*('02_Inputs_Sales'!E15*'01_Control'!$B$13 + (1-'02_Inputs_Sales'!E15)*'01_Control'!$B$12)) + MAX(0, ('04_Calcs_Volume'!AU13*100*(0.04-0.0115))*('02_Inputs_Sales'!E16*'01_Control'!$B$13 + (1-'02_Inputs_Sales'!E16)*'01_Control'!$B$12)) + MAX(0, ('04_Calcs_Volume'!AU14*100*(0.06-0.0115))*('02_Inputs_Sales'!E17*'01_Control'!$B$13 + (1-'02_Inputs_Sales'!E17)*'01_Control'!$B$12)))</f>
        <v>0</v>
      </c>
      <c r="AV9" s="6">
        <f>-(MAX(0, ('04_Calcs_Volume'!AV6*100*(0.042-0.0115))*('02_Inputs_Sales'!E9*'01_Control'!$B$13 + (1-'02_Inputs_Sales'!E9)*'01_Control'!$B$12)) + MAX(0, ('04_Calcs_Volume'!AV7*100*(0.035-0.0115))*('02_Inputs_Sales'!E10*'01_Control'!$B$13 + (1-'02_Inputs_Sales'!E10)*'01_Control'!$B$12)) + MAX(0, ('04_Calcs_Volume'!AV8*100*(0.048-0.0115))*('02_Inputs_Sales'!E11*'01_Control'!$B$13 + (1-'02_Inputs_Sales'!E11)*'01_Control'!$B$12)) + MAX(0, ('04_Calcs_Volume'!AV9*100*(0.056-0.0115))*('02_Inputs_Sales'!E12*'01_Control'!$B$13 + (1-'02_Inputs_Sales'!E12)*'01_Control'!$B$12)) + MAX(0, ('04_Calcs_Volume'!AV10*100*(0.062-0.0115))*('02_Inputs_Sales'!E13*'01_Control'!$B$13 + (1-'02_Inputs_Sales'!E13)*'01_Control'!$B$12)) + MAX(0, ('04_Calcs_Volume'!AV11*100*(0.075-0.0115))*('02_Inputs_Sales'!E14*'01_Control'!$B$13 + (1-'02_Inputs_Sales'!E14)*'01_Control'!$B$12)) + MAX(0, ('04_Calcs_Volume'!AV12*100*(0.052-0.0115))*('02_Inputs_Sales'!E15*'01_Control'!$B$13 + (1-'02_Inputs_Sales'!E15)*'01_Control'!$B$12)) + MAX(0, ('04_Calcs_Volume'!AV13*100*(0.04-0.0115))*('02_Inputs_Sales'!E16*'01_Control'!$B$13 + (1-'02_Inputs_Sales'!E16)*'01_Control'!$B$12)) + MAX(0, ('04_Calcs_Volume'!AV14*100*(0.06-0.0115))*('02_Inputs_Sales'!E17*'01_Control'!$B$13 + (1-'02_Inputs_Sales'!E17)*'01_Control'!$B$12)))</f>
        <v>0</v>
      </c>
      <c r="AW9" s="6">
        <f>-(MAX(0, ('04_Calcs_Volume'!AW6*100*(0.042-0.0115))*('02_Inputs_Sales'!E9*'01_Control'!$B$13 + (1-'02_Inputs_Sales'!E9)*'01_Control'!$B$12)) + MAX(0, ('04_Calcs_Volume'!AW7*100*(0.035-0.0115))*('02_Inputs_Sales'!E10*'01_Control'!$B$13 + (1-'02_Inputs_Sales'!E10)*'01_Control'!$B$12)) + MAX(0, ('04_Calcs_Volume'!AW8*100*(0.048-0.0115))*('02_Inputs_Sales'!E11*'01_Control'!$B$13 + (1-'02_Inputs_Sales'!E11)*'01_Control'!$B$12)) + MAX(0, ('04_Calcs_Volume'!AW9*100*(0.056-0.0115))*('02_Inputs_Sales'!E12*'01_Control'!$B$13 + (1-'02_Inputs_Sales'!E12)*'01_Control'!$B$12)) + MAX(0, ('04_Calcs_Volume'!AW10*100*(0.062-0.0115))*('02_Inputs_Sales'!E13*'01_Control'!$B$13 + (1-'02_Inputs_Sales'!E13)*'01_Control'!$B$12)) + MAX(0, ('04_Calcs_Volume'!AW11*100*(0.075-0.0115))*('02_Inputs_Sales'!E14*'01_Control'!$B$13 + (1-'02_Inputs_Sales'!E14)*'01_Control'!$B$12)) + MAX(0, ('04_Calcs_Volume'!AW12*100*(0.052-0.0115))*('02_Inputs_Sales'!E15*'01_Control'!$B$13 + (1-'02_Inputs_Sales'!E15)*'01_Control'!$B$12)) + MAX(0, ('04_Calcs_Volume'!AW13*100*(0.04-0.0115))*('02_Inputs_Sales'!E16*'01_Control'!$B$13 + (1-'02_Inputs_Sales'!E16)*'01_Control'!$B$12)) + MAX(0, ('04_Calcs_Volume'!AW14*100*(0.06-0.0115))*('02_Inputs_Sales'!E17*'01_Control'!$B$13 + (1-'02_Inputs_Sales'!E17)*'01_Control'!$B$12)))</f>
        <v>0</v>
      </c>
      <c r="AX9" s="6">
        <f>-(MAX(0, ('04_Calcs_Volume'!AX6*100*(0.042-0.0115))*('02_Inputs_Sales'!E9*'01_Control'!$B$13 + (1-'02_Inputs_Sales'!E9)*'01_Control'!$B$12)) + MAX(0, ('04_Calcs_Volume'!AX7*100*(0.035-0.0115))*('02_Inputs_Sales'!E10*'01_Control'!$B$13 + (1-'02_Inputs_Sales'!E10)*'01_Control'!$B$12)) + MAX(0, ('04_Calcs_Volume'!AX8*100*(0.048-0.0115))*('02_Inputs_Sales'!E11*'01_Control'!$B$13 + (1-'02_Inputs_Sales'!E11)*'01_Control'!$B$12)) + MAX(0, ('04_Calcs_Volume'!AX9*100*(0.056-0.0115))*('02_Inputs_Sales'!E12*'01_Control'!$B$13 + (1-'02_Inputs_Sales'!E12)*'01_Control'!$B$12)) + MAX(0, ('04_Calcs_Volume'!AX10*100*(0.062-0.0115))*('02_Inputs_Sales'!E13*'01_Control'!$B$13 + (1-'02_Inputs_Sales'!E13)*'01_Control'!$B$12)) + MAX(0, ('04_Calcs_Volume'!AX11*100*(0.075-0.0115))*('02_Inputs_Sales'!E14*'01_Control'!$B$13 + (1-'02_Inputs_Sales'!E14)*'01_Control'!$B$12)) + MAX(0, ('04_Calcs_Volume'!AX12*100*(0.052-0.0115))*('02_Inputs_Sales'!E15*'01_Control'!$B$13 + (1-'02_Inputs_Sales'!E15)*'01_Control'!$B$12)) + MAX(0, ('04_Calcs_Volume'!AX13*100*(0.04-0.0115))*('02_Inputs_Sales'!E16*'01_Control'!$B$13 + (1-'02_Inputs_Sales'!E16)*'01_Control'!$B$12)) + MAX(0, ('04_Calcs_Volume'!AX14*100*(0.06-0.0115))*('02_Inputs_Sales'!E17*'01_Control'!$B$13 + (1-'02_Inputs_Sales'!E17)*'01_Control'!$B$12)))</f>
        <v>0</v>
      </c>
      <c r="AY9" s="6">
        <f>-(MAX(0, ('04_Calcs_Volume'!AY6*100*(0.042-0.0115))*('02_Inputs_Sales'!E9*'01_Control'!$B$13 + (1-'02_Inputs_Sales'!E9)*'01_Control'!$B$12)) + MAX(0, ('04_Calcs_Volume'!AY7*100*(0.035-0.0115))*('02_Inputs_Sales'!E10*'01_Control'!$B$13 + (1-'02_Inputs_Sales'!E10)*'01_Control'!$B$12)) + MAX(0, ('04_Calcs_Volume'!AY8*100*(0.048-0.0115))*('02_Inputs_Sales'!E11*'01_Control'!$B$13 + (1-'02_Inputs_Sales'!E11)*'01_Control'!$B$12)) + MAX(0, ('04_Calcs_Volume'!AY9*100*(0.056-0.0115))*('02_Inputs_Sales'!E12*'01_Control'!$B$13 + (1-'02_Inputs_Sales'!E12)*'01_Control'!$B$12)) + MAX(0, ('04_Calcs_Volume'!AY10*100*(0.062-0.0115))*('02_Inputs_Sales'!E13*'01_Control'!$B$13 + (1-'02_Inputs_Sales'!E13)*'01_Control'!$B$12)) + MAX(0, ('04_Calcs_Volume'!AY11*100*(0.075-0.0115))*('02_Inputs_Sales'!E14*'01_Control'!$B$13 + (1-'02_Inputs_Sales'!E14)*'01_Control'!$B$12)) + MAX(0, ('04_Calcs_Volume'!AY12*100*(0.052-0.0115))*('02_Inputs_Sales'!E15*'01_Control'!$B$13 + (1-'02_Inputs_Sales'!E15)*'01_Control'!$B$12)) + MAX(0, ('04_Calcs_Volume'!AY13*100*(0.04-0.0115))*('02_Inputs_Sales'!E16*'01_Control'!$B$13 + (1-'02_Inputs_Sales'!E16)*'01_Control'!$B$12)) + MAX(0, ('04_Calcs_Volume'!AY14*100*(0.06-0.0115))*('02_Inputs_Sales'!E17*'01_Control'!$B$13 + (1-'02_Inputs_Sales'!E17)*'01_Control'!$B$12)))</f>
        <v>0</v>
      </c>
      <c r="AZ9" s="6">
        <f>-(MAX(0, ('04_Calcs_Volume'!AZ6*100*(0.042-0.0115))*('02_Inputs_Sales'!E9*'01_Control'!$B$13 + (1-'02_Inputs_Sales'!E9)*'01_Control'!$B$12)) + MAX(0, ('04_Calcs_Volume'!AZ7*100*(0.035-0.0115))*('02_Inputs_Sales'!E10*'01_Control'!$B$13 + (1-'02_Inputs_Sales'!E10)*'01_Control'!$B$12)) + MAX(0, ('04_Calcs_Volume'!AZ8*100*(0.048-0.0115))*('02_Inputs_Sales'!E11*'01_Control'!$B$13 + (1-'02_Inputs_Sales'!E11)*'01_Control'!$B$12)) + MAX(0, ('04_Calcs_Volume'!AZ9*100*(0.056-0.0115))*('02_Inputs_Sales'!E12*'01_Control'!$B$13 + (1-'02_Inputs_Sales'!E12)*'01_Control'!$B$12)) + MAX(0, ('04_Calcs_Volume'!AZ10*100*(0.062-0.0115))*('02_Inputs_Sales'!E13*'01_Control'!$B$13 + (1-'02_Inputs_Sales'!E13)*'01_Control'!$B$12)) + MAX(0, ('04_Calcs_Volume'!AZ11*100*(0.075-0.0115))*('02_Inputs_Sales'!E14*'01_Control'!$B$13 + (1-'02_Inputs_Sales'!E14)*'01_Control'!$B$12)) + MAX(0, ('04_Calcs_Volume'!AZ12*100*(0.052-0.0115))*('02_Inputs_Sales'!E15*'01_Control'!$B$13 + (1-'02_Inputs_Sales'!E15)*'01_Control'!$B$12)) + MAX(0, ('04_Calcs_Volume'!AZ13*100*(0.04-0.0115))*('02_Inputs_Sales'!E16*'01_Control'!$B$13 + (1-'02_Inputs_Sales'!E16)*'01_Control'!$B$12)) + MAX(0, ('04_Calcs_Volume'!AZ14*100*(0.06-0.0115))*('02_Inputs_Sales'!E17*'01_Control'!$B$13 + (1-'02_Inputs_Sales'!E17)*'01_Control'!$B$12)))</f>
        <v>0</v>
      </c>
      <c r="BA9" s="6">
        <f>-(MAX(0, ('04_Calcs_Volume'!BA6*100*(0.042-0.0115))*('02_Inputs_Sales'!E9*'01_Control'!$B$13 + (1-'02_Inputs_Sales'!E9)*'01_Control'!$B$12)) + MAX(0, ('04_Calcs_Volume'!BA7*100*(0.035-0.0115))*('02_Inputs_Sales'!E10*'01_Control'!$B$13 + (1-'02_Inputs_Sales'!E10)*'01_Control'!$B$12)) + MAX(0, ('04_Calcs_Volume'!BA8*100*(0.048-0.0115))*('02_Inputs_Sales'!E11*'01_Control'!$B$13 + (1-'02_Inputs_Sales'!E11)*'01_Control'!$B$12)) + MAX(0, ('04_Calcs_Volume'!BA9*100*(0.056-0.0115))*('02_Inputs_Sales'!E12*'01_Control'!$B$13 + (1-'02_Inputs_Sales'!E12)*'01_Control'!$B$12)) + MAX(0, ('04_Calcs_Volume'!BA10*100*(0.062-0.0115))*('02_Inputs_Sales'!E13*'01_Control'!$B$13 + (1-'02_Inputs_Sales'!E13)*'01_Control'!$B$12)) + MAX(0, ('04_Calcs_Volume'!BA11*100*(0.075-0.0115))*('02_Inputs_Sales'!E14*'01_Control'!$B$13 + (1-'02_Inputs_Sales'!E14)*'01_Control'!$B$12)) + MAX(0, ('04_Calcs_Volume'!BA12*100*(0.052-0.0115))*('02_Inputs_Sales'!E15*'01_Control'!$B$13 + (1-'02_Inputs_Sales'!E15)*'01_Control'!$B$12)) + MAX(0, ('04_Calcs_Volume'!BA13*100*(0.04-0.0115))*('02_Inputs_Sales'!E16*'01_Control'!$B$13 + (1-'02_Inputs_Sales'!E16)*'01_Control'!$B$12)) + MAX(0, ('04_Calcs_Volume'!BA14*100*(0.06-0.0115))*('02_Inputs_Sales'!E17*'01_Control'!$B$13 + (1-'02_Inputs_Sales'!E17)*'01_Control'!$B$12)))</f>
        <v>0</v>
      </c>
      <c r="BB9" s="6">
        <f>-(MAX(0, ('04_Calcs_Volume'!BB6*100*(0.042-0.0115))*('02_Inputs_Sales'!E9*'01_Control'!$B$13 + (1-'02_Inputs_Sales'!E9)*'01_Control'!$B$12)) + MAX(0, ('04_Calcs_Volume'!BB7*100*(0.035-0.0115))*('02_Inputs_Sales'!E10*'01_Control'!$B$13 + (1-'02_Inputs_Sales'!E10)*'01_Control'!$B$12)) + MAX(0, ('04_Calcs_Volume'!BB8*100*(0.048-0.0115))*('02_Inputs_Sales'!E11*'01_Control'!$B$13 + (1-'02_Inputs_Sales'!E11)*'01_Control'!$B$12)) + MAX(0, ('04_Calcs_Volume'!BB9*100*(0.056-0.0115))*('02_Inputs_Sales'!E12*'01_Control'!$B$13 + (1-'02_Inputs_Sales'!E12)*'01_Control'!$B$12)) + MAX(0, ('04_Calcs_Volume'!BB10*100*(0.062-0.0115))*('02_Inputs_Sales'!E13*'01_Control'!$B$13 + (1-'02_Inputs_Sales'!E13)*'01_Control'!$B$12)) + MAX(0, ('04_Calcs_Volume'!BB11*100*(0.075-0.0115))*('02_Inputs_Sales'!E14*'01_Control'!$B$13 + (1-'02_Inputs_Sales'!E14)*'01_Control'!$B$12)) + MAX(0, ('04_Calcs_Volume'!BB12*100*(0.052-0.0115))*('02_Inputs_Sales'!E15*'01_Control'!$B$13 + (1-'02_Inputs_Sales'!E15)*'01_Control'!$B$12)) + MAX(0, ('04_Calcs_Volume'!BB13*100*(0.04-0.0115))*('02_Inputs_Sales'!E16*'01_Control'!$B$13 + (1-'02_Inputs_Sales'!E16)*'01_Control'!$B$12)) + MAX(0, ('04_Calcs_Volume'!BB14*100*(0.06-0.0115))*('02_Inputs_Sales'!E17*'01_Control'!$B$13 + (1-'02_Inputs_Sales'!E17)*'01_Control'!$B$12)))</f>
        <v>0</v>
      </c>
      <c r="BC9" s="6">
        <f>-(MAX(0, ('04_Calcs_Volume'!BC6*100*(0.042-0.0115))*('02_Inputs_Sales'!E9*'01_Control'!$B$13 + (1-'02_Inputs_Sales'!E9)*'01_Control'!$B$12)) + MAX(0, ('04_Calcs_Volume'!BC7*100*(0.035-0.0115))*('02_Inputs_Sales'!E10*'01_Control'!$B$13 + (1-'02_Inputs_Sales'!E10)*'01_Control'!$B$12)) + MAX(0, ('04_Calcs_Volume'!BC8*100*(0.048-0.0115))*('02_Inputs_Sales'!E11*'01_Control'!$B$13 + (1-'02_Inputs_Sales'!E11)*'01_Control'!$B$12)) + MAX(0, ('04_Calcs_Volume'!BC9*100*(0.056-0.0115))*('02_Inputs_Sales'!E12*'01_Control'!$B$13 + (1-'02_Inputs_Sales'!E12)*'01_Control'!$B$12)) + MAX(0, ('04_Calcs_Volume'!BC10*100*(0.062-0.0115))*('02_Inputs_Sales'!E13*'01_Control'!$B$13 + (1-'02_Inputs_Sales'!E13)*'01_Control'!$B$12)) + MAX(0, ('04_Calcs_Volume'!BC11*100*(0.075-0.0115))*('02_Inputs_Sales'!E14*'01_Control'!$B$13 + (1-'02_Inputs_Sales'!E14)*'01_Control'!$B$12)) + MAX(0, ('04_Calcs_Volume'!BC12*100*(0.052-0.0115))*('02_Inputs_Sales'!E15*'01_Control'!$B$13 + (1-'02_Inputs_Sales'!E15)*'01_Control'!$B$12)) + MAX(0, ('04_Calcs_Volume'!BC13*100*(0.04-0.0115))*('02_Inputs_Sales'!E16*'01_Control'!$B$13 + (1-'02_Inputs_Sales'!E16)*'01_Control'!$B$12)) + MAX(0, ('04_Calcs_Volume'!BC14*100*(0.06-0.0115))*('02_Inputs_Sales'!E17*'01_Control'!$B$13 + (1-'02_Inputs_Sales'!E17)*'01_Control'!$B$12)))</f>
        <v>0</v>
      </c>
      <c r="BD9" s="6">
        <f>-(MAX(0, ('04_Calcs_Volume'!BD6*100*(0.042-0.0115))*('02_Inputs_Sales'!E9*'01_Control'!$B$13 + (1-'02_Inputs_Sales'!E9)*'01_Control'!$B$12)) + MAX(0, ('04_Calcs_Volume'!BD7*100*(0.035-0.0115))*('02_Inputs_Sales'!E10*'01_Control'!$B$13 + (1-'02_Inputs_Sales'!E10)*'01_Control'!$B$12)) + MAX(0, ('04_Calcs_Volume'!BD8*100*(0.048-0.0115))*('02_Inputs_Sales'!E11*'01_Control'!$B$13 + (1-'02_Inputs_Sales'!E11)*'01_Control'!$B$12)) + MAX(0, ('04_Calcs_Volume'!BD9*100*(0.056-0.0115))*('02_Inputs_Sales'!E12*'01_Control'!$B$13 + (1-'02_Inputs_Sales'!E12)*'01_Control'!$B$12)) + MAX(0, ('04_Calcs_Volume'!BD10*100*(0.062-0.0115))*('02_Inputs_Sales'!E13*'01_Control'!$B$13 + (1-'02_Inputs_Sales'!E13)*'01_Control'!$B$12)) + MAX(0, ('04_Calcs_Volume'!BD11*100*(0.075-0.0115))*('02_Inputs_Sales'!E14*'01_Control'!$B$13 + (1-'02_Inputs_Sales'!E14)*'01_Control'!$B$12)) + MAX(0, ('04_Calcs_Volume'!BD12*100*(0.052-0.0115))*('02_Inputs_Sales'!E15*'01_Control'!$B$13 + (1-'02_Inputs_Sales'!E15)*'01_Control'!$B$12)) + MAX(0, ('04_Calcs_Volume'!BD13*100*(0.04-0.0115))*('02_Inputs_Sales'!E16*'01_Control'!$B$13 + (1-'02_Inputs_Sales'!E16)*'01_Control'!$B$12)) + MAX(0, ('04_Calcs_Volume'!BD14*100*(0.06-0.0115))*('02_Inputs_Sales'!E17*'01_Control'!$B$13 + (1-'02_Inputs_Sales'!E17)*'01_Control'!$B$12)))</f>
        <v>0</v>
      </c>
      <c r="BE9" s="6">
        <f>-(MAX(0, ('04_Calcs_Volume'!BE6*100*(0.042-0.0115))*('02_Inputs_Sales'!E9*'01_Control'!$B$13 + (1-'02_Inputs_Sales'!E9)*'01_Control'!$B$12)) + MAX(0, ('04_Calcs_Volume'!BE7*100*(0.035-0.0115))*('02_Inputs_Sales'!E10*'01_Control'!$B$13 + (1-'02_Inputs_Sales'!E10)*'01_Control'!$B$12)) + MAX(0, ('04_Calcs_Volume'!BE8*100*(0.048-0.0115))*('02_Inputs_Sales'!E11*'01_Control'!$B$13 + (1-'02_Inputs_Sales'!E11)*'01_Control'!$B$12)) + MAX(0, ('04_Calcs_Volume'!BE9*100*(0.056-0.0115))*('02_Inputs_Sales'!E12*'01_Control'!$B$13 + (1-'02_Inputs_Sales'!E12)*'01_Control'!$B$12)) + MAX(0, ('04_Calcs_Volume'!BE10*100*(0.062-0.0115))*('02_Inputs_Sales'!E13*'01_Control'!$B$13 + (1-'02_Inputs_Sales'!E13)*'01_Control'!$B$12)) + MAX(0, ('04_Calcs_Volume'!BE11*100*(0.075-0.0115))*('02_Inputs_Sales'!E14*'01_Control'!$B$13 + (1-'02_Inputs_Sales'!E14)*'01_Control'!$B$12)) + MAX(0, ('04_Calcs_Volume'!BE12*100*(0.052-0.0115))*('02_Inputs_Sales'!E15*'01_Control'!$B$13 + (1-'02_Inputs_Sales'!E15)*'01_Control'!$B$12)) + MAX(0, ('04_Calcs_Volume'!BE13*100*(0.04-0.0115))*('02_Inputs_Sales'!E16*'01_Control'!$B$13 + (1-'02_Inputs_Sales'!E16)*'01_Control'!$B$12)) + MAX(0, ('04_Calcs_Volume'!BE14*100*(0.06-0.0115))*('02_Inputs_Sales'!E17*'01_Control'!$B$13 + (1-'02_Inputs_Sales'!E17)*'01_Control'!$B$12)))</f>
        <v>0</v>
      </c>
      <c r="BF9" s="6">
        <f>-(MAX(0, ('04_Calcs_Volume'!BF6*100*(0.042-0.0115))*('02_Inputs_Sales'!E9*'01_Control'!$B$13 + (1-'02_Inputs_Sales'!E9)*'01_Control'!$B$12)) + MAX(0, ('04_Calcs_Volume'!BF7*100*(0.035-0.0115))*('02_Inputs_Sales'!E10*'01_Control'!$B$13 + (1-'02_Inputs_Sales'!E10)*'01_Control'!$B$12)) + MAX(0, ('04_Calcs_Volume'!BF8*100*(0.048-0.0115))*('02_Inputs_Sales'!E11*'01_Control'!$B$13 + (1-'02_Inputs_Sales'!E11)*'01_Control'!$B$12)) + MAX(0, ('04_Calcs_Volume'!BF9*100*(0.056-0.0115))*('02_Inputs_Sales'!E12*'01_Control'!$B$13 + (1-'02_Inputs_Sales'!E12)*'01_Control'!$B$12)) + MAX(0, ('04_Calcs_Volume'!BF10*100*(0.062-0.0115))*('02_Inputs_Sales'!E13*'01_Control'!$B$13 + (1-'02_Inputs_Sales'!E13)*'01_Control'!$B$12)) + MAX(0, ('04_Calcs_Volume'!BF11*100*(0.075-0.0115))*('02_Inputs_Sales'!E14*'01_Control'!$B$13 + (1-'02_Inputs_Sales'!E14)*'01_Control'!$B$12)) + MAX(0, ('04_Calcs_Volume'!BF12*100*(0.052-0.0115))*('02_Inputs_Sales'!E15*'01_Control'!$B$13 + (1-'02_Inputs_Sales'!E15)*'01_Control'!$B$12)) + MAX(0, ('04_Calcs_Volume'!BF13*100*(0.04-0.0115))*('02_Inputs_Sales'!E16*'01_Control'!$B$13 + (1-'02_Inputs_Sales'!E16)*'01_Control'!$B$12)) + MAX(0, ('04_Calcs_Volume'!BF14*100*(0.06-0.0115))*('02_Inputs_Sales'!E17*'01_Control'!$B$13 + (1-'02_Inputs_Sales'!E17)*'01_Control'!$B$12)))</f>
        <v>0</v>
      </c>
      <c r="BG9" s="6">
        <f>-(MAX(0, ('04_Calcs_Volume'!BG6*100*(0.042-0.0115))*('02_Inputs_Sales'!E9*'01_Control'!$B$13 + (1-'02_Inputs_Sales'!E9)*'01_Control'!$B$12)) + MAX(0, ('04_Calcs_Volume'!BG7*100*(0.035-0.0115))*('02_Inputs_Sales'!E10*'01_Control'!$B$13 + (1-'02_Inputs_Sales'!E10)*'01_Control'!$B$12)) + MAX(0, ('04_Calcs_Volume'!BG8*100*(0.048-0.0115))*('02_Inputs_Sales'!E11*'01_Control'!$B$13 + (1-'02_Inputs_Sales'!E11)*'01_Control'!$B$12)) + MAX(0, ('04_Calcs_Volume'!BG9*100*(0.056-0.0115))*('02_Inputs_Sales'!E12*'01_Control'!$B$13 + (1-'02_Inputs_Sales'!E12)*'01_Control'!$B$12)) + MAX(0, ('04_Calcs_Volume'!BG10*100*(0.062-0.0115))*('02_Inputs_Sales'!E13*'01_Control'!$B$13 + (1-'02_Inputs_Sales'!E13)*'01_Control'!$B$12)) + MAX(0, ('04_Calcs_Volume'!BG11*100*(0.075-0.0115))*('02_Inputs_Sales'!E14*'01_Control'!$B$13 + (1-'02_Inputs_Sales'!E14)*'01_Control'!$B$12)) + MAX(0, ('04_Calcs_Volume'!BG12*100*(0.052-0.0115))*('02_Inputs_Sales'!E15*'01_Control'!$B$13 + (1-'02_Inputs_Sales'!E15)*'01_Control'!$B$12)) + MAX(0, ('04_Calcs_Volume'!BG13*100*(0.04-0.0115))*('02_Inputs_Sales'!E16*'01_Control'!$B$13 + (1-'02_Inputs_Sales'!E16)*'01_Control'!$B$12)) + MAX(0, ('04_Calcs_Volume'!BG14*100*(0.06-0.0115))*('02_Inputs_Sales'!E17*'01_Control'!$B$13 + (1-'02_Inputs_Sales'!E17)*'01_Control'!$B$12)))</f>
        <v>0</v>
      </c>
      <c r="BH9" s="6">
        <f>-(MAX(0, ('04_Calcs_Volume'!BH6*100*(0.042-0.0115))*('02_Inputs_Sales'!E9*'01_Control'!$B$13 + (1-'02_Inputs_Sales'!E9)*'01_Control'!$B$12)) + MAX(0, ('04_Calcs_Volume'!BH7*100*(0.035-0.0115))*('02_Inputs_Sales'!E10*'01_Control'!$B$13 + (1-'02_Inputs_Sales'!E10)*'01_Control'!$B$12)) + MAX(0, ('04_Calcs_Volume'!BH8*100*(0.048-0.0115))*('02_Inputs_Sales'!E11*'01_Control'!$B$13 + (1-'02_Inputs_Sales'!E11)*'01_Control'!$B$12)) + MAX(0, ('04_Calcs_Volume'!BH9*100*(0.056-0.0115))*('02_Inputs_Sales'!E12*'01_Control'!$B$13 + (1-'02_Inputs_Sales'!E12)*'01_Control'!$B$12)) + MAX(0, ('04_Calcs_Volume'!BH10*100*(0.062-0.0115))*('02_Inputs_Sales'!E13*'01_Control'!$B$13 + (1-'02_Inputs_Sales'!E13)*'01_Control'!$B$12)) + MAX(0, ('04_Calcs_Volume'!BH11*100*(0.075-0.0115))*('02_Inputs_Sales'!E14*'01_Control'!$B$13 + (1-'02_Inputs_Sales'!E14)*'01_Control'!$B$12)) + MAX(0, ('04_Calcs_Volume'!BH12*100*(0.052-0.0115))*('02_Inputs_Sales'!E15*'01_Control'!$B$13 + (1-'02_Inputs_Sales'!E15)*'01_Control'!$B$12)) + MAX(0, ('04_Calcs_Volume'!BH13*100*(0.04-0.0115))*('02_Inputs_Sales'!E16*'01_Control'!$B$13 + (1-'02_Inputs_Sales'!E16)*'01_Control'!$B$12)) + MAX(0, ('04_Calcs_Volume'!BH14*100*(0.06-0.0115))*('02_Inputs_Sales'!E17*'01_Control'!$B$13 + (1-'02_Inputs_Sales'!E17)*'01_Control'!$B$12)))</f>
        <v>0</v>
      </c>
      <c r="BI9" s="6">
        <f>-(MAX(0, ('04_Calcs_Volume'!BI6*100*(0.042-0.0115))*('02_Inputs_Sales'!E9*'01_Control'!$B$13 + (1-'02_Inputs_Sales'!E9)*'01_Control'!$B$12)) + MAX(0, ('04_Calcs_Volume'!BI7*100*(0.035-0.0115))*('02_Inputs_Sales'!E10*'01_Control'!$B$13 + (1-'02_Inputs_Sales'!E10)*'01_Control'!$B$12)) + MAX(0, ('04_Calcs_Volume'!BI8*100*(0.048-0.0115))*('02_Inputs_Sales'!E11*'01_Control'!$B$13 + (1-'02_Inputs_Sales'!E11)*'01_Control'!$B$12)) + MAX(0, ('04_Calcs_Volume'!BI9*100*(0.056-0.0115))*('02_Inputs_Sales'!E12*'01_Control'!$B$13 + (1-'02_Inputs_Sales'!E12)*'01_Control'!$B$12)) + MAX(0, ('04_Calcs_Volume'!BI10*100*(0.062-0.0115))*('02_Inputs_Sales'!E13*'01_Control'!$B$13 + (1-'02_Inputs_Sales'!E13)*'01_Control'!$B$12)) + MAX(0, ('04_Calcs_Volume'!BI11*100*(0.075-0.0115))*('02_Inputs_Sales'!E14*'01_Control'!$B$13 + (1-'02_Inputs_Sales'!E14)*'01_Control'!$B$12)) + MAX(0, ('04_Calcs_Volume'!BI12*100*(0.052-0.0115))*('02_Inputs_Sales'!E15*'01_Control'!$B$13 + (1-'02_Inputs_Sales'!E15)*'01_Control'!$B$12)) + MAX(0, ('04_Calcs_Volume'!BI13*100*(0.04-0.0115))*('02_Inputs_Sales'!E16*'01_Control'!$B$13 + (1-'02_Inputs_Sales'!E16)*'01_Control'!$B$12)) + MAX(0, ('04_Calcs_Volume'!BI14*100*(0.06-0.0115))*('02_Inputs_Sales'!E17*'01_Control'!$B$13 + (1-'02_Inputs_Sales'!E17)*'01_Control'!$B$12)))</f>
        <v>0</v>
      </c>
    </row>
    <row r="12" spans="2:61">
      <c r="B12" s="8">
        <f>B6 + B9</f>
        <v>0</v>
      </c>
      <c r="C12" s="8">
        <f>C6 + C9</f>
        <v>0</v>
      </c>
      <c r="D12" s="8">
        <f>D6 + D9</f>
        <v>0</v>
      </c>
      <c r="E12" s="8">
        <f>E6 + E9</f>
        <v>0</v>
      </c>
      <c r="F12" s="8">
        <f>F6 + F9</f>
        <v>0</v>
      </c>
      <c r="G12" s="8">
        <f>G6 + G9</f>
        <v>0</v>
      </c>
      <c r="H12" s="8">
        <f>H6 + H9</f>
        <v>0</v>
      </c>
      <c r="I12" s="8">
        <f>I6 + I9</f>
        <v>0</v>
      </c>
      <c r="J12" s="8">
        <f>J6 + J9</f>
        <v>0</v>
      </c>
      <c r="K12" s="8">
        <f>K6 + K9</f>
        <v>0</v>
      </c>
      <c r="L12" s="8">
        <f>L6 + L9</f>
        <v>0</v>
      </c>
      <c r="M12" s="8">
        <f>M6 + M9</f>
        <v>0</v>
      </c>
      <c r="N12" s="8">
        <f>N6 + N9</f>
        <v>0</v>
      </c>
      <c r="O12" s="8">
        <f>O6 + O9</f>
        <v>0</v>
      </c>
      <c r="P12" s="8">
        <f>P6 + P9</f>
        <v>0</v>
      </c>
      <c r="Q12" s="8">
        <f>Q6 + Q9</f>
        <v>0</v>
      </c>
      <c r="R12" s="8">
        <f>R6 + R9</f>
        <v>0</v>
      </c>
      <c r="S12" s="8">
        <f>S6 + S9</f>
        <v>0</v>
      </c>
      <c r="T12" s="8">
        <f>T6 + T9</f>
        <v>0</v>
      </c>
      <c r="U12" s="8">
        <f>U6 + U9</f>
        <v>0</v>
      </c>
      <c r="V12" s="8">
        <f>V6 + V9</f>
        <v>0</v>
      </c>
      <c r="W12" s="8">
        <f>W6 + W9</f>
        <v>0</v>
      </c>
      <c r="X12" s="8">
        <f>X6 + X9</f>
        <v>0</v>
      </c>
      <c r="Y12" s="8">
        <f>Y6 + Y9</f>
        <v>0</v>
      </c>
      <c r="Z12" s="8">
        <f>Z6 + Z9</f>
        <v>0</v>
      </c>
      <c r="AA12" s="8">
        <f>AA6 + AA9</f>
        <v>0</v>
      </c>
      <c r="AB12" s="8">
        <f>AB6 + AB9</f>
        <v>0</v>
      </c>
      <c r="AC12" s="8">
        <f>AC6 + AC9</f>
        <v>0</v>
      </c>
      <c r="AD12" s="8">
        <f>AD6 + AD9</f>
        <v>0</v>
      </c>
      <c r="AE12" s="8">
        <f>AE6 + AE9</f>
        <v>0</v>
      </c>
      <c r="AF12" s="8">
        <f>AF6 + AF9</f>
        <v>0</v>
      </c>
      <c r="AG12" s="8">
        <f>AG6 + AG9</f>
        <v>0</v>
      </c>
      <c r="AH12" s="8">
        <f>AH6 + AH9</f>
        <v>0</v>
      </c>
      <c r="AI12" s="8">
        <f>AI6 + AI9</f>
        <v>0</v>
      </c>
      <c r="AJ12" s="8">
        <f>AJ6 + AJ9</f>
        <v>0</v>
      </c>
      <c r="AK12" s="8">
        <f>AK6 + AK9</f>
        <v>0</v>
      </c>
      <c r="AL12" s="8">
        <f>AL6 + AL9</f>
        <v>0</v>
      </c>
      <c r="AM12" s="8">
        <f>AM6 + AM9</f>
        <v>0</v>
      </c>
      <c r="AN12" s="8">
        <f>AN6 + AN9</f>
        <v>0</v>
      </c>
      <c r="AO12" s="8">
        <f>AO6 + AO9</f>
        <v>0</v>
      </c>
      <c r="AP12" s="8">
        <f>AP6 + AP9</f>
        <v>0</v>
      </c>
      <c r="AQ12" s="8">
        <f>AQ6 + AQ9</f>
        <v>0</v>
      </c>
      <c r="AR12" s="8">
        <f>AR6 + AR9</f>
        <v>0</v>
      </c>
      <c r="AS12" s="8">
        <f>AS6 + AS9</f>
        <v>0</v>
      </c>
      <c r="AT12" s="8">
        <f>AT6 + AT9</f>
        <v>0</v>
      </c>
      <c r="AU12" s="8">
        <f>AU6 + AU9</f>
        <v>0</v>
      </c>
      <c r="AV12" s="8">
        <f>AV6 + AV9</f>
        <v>0</v>
      </c>
      <c r="AW12" s="8">
        <f>AW6 + AW9</f>
        <v>0</v>
      </c>
      <c r="AX12" s="8">
        <f>AX6 + AX9</f>
        <v>0</v>
      </c>
      <c r="AY12" s="8">
        <f>AY6 + AY9</f>
        <v>0</v>
      </c>
      <c r="AZ12" s="8">
        <f>AZ6 + AZ9</f>
        <v>0</v>
      </c>
      <c r="BA12" s="8">
        <f>BA6 + BA9</f>
        <v>0</v>
      </c>
      <c r="BB12" s="8">
        <f>BB6 + BB9</f>
        <v>0</v>
      </c>
      <c r="BC12" s="8">
        <f>BC6 + BC9</f>
        <v>0</v>
      </c>
      <c r="BD12" s="8">
        <f>BD6 + BD9</f>
        <v>0</v>
      </c>
      <c r="BE12" s="8">
        <f>BE6 + BE9</f>
        <v>0</v>
      </c>
      <c r="BF12" s="8">
        <f>BF6 + BF9</f>
        <v>0</v>
      </c>
      <c r="BG12" s="8">
        <f>BG6 + BG9</f>
        <v>0</v>
      </c>
      <c r="BH12" s="8">
        <f>BH6 + BH9</f>
        <v>0</v>
      </c>
      <c r="BI12" s="8">
        <f>BI6 + BI9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I10"/>
  <sheetViews>
    <sheetView workbookViewId="0"/>
  </sheetViews>
  <sheetFormatPr defaultRowHeight="15"/>
  <cols>
    <col min="1" max="1" width="30.7109375" customWidth="1"/>
  </cols>
  <sheetData>
    <row r="3" spans="1:61"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 t="s">
        <v>84</v>
      </c>
      <c r="AB3" s="2" t="s">
        <v>85</v>
      </c>
      <c r="AC3" s="2" t="s">
        <v>86</v>
      </c>
      <c r="AD3" s="2" t="s">
        <v>87</v>
      </c>
      <c r="AE3" s="2" t="s">
        <v>88</v>
      </c>
      <c r="AF3" s="2" t="s">
        <v>89</v>
      </c>
      <c r="AG3" s="2" t="s">
        <v>90</v>
      </c>
      <c r="AH3" s="2" t="s">
        <v>91</v>
      </c>
      <c r="AI3" s="2" t="s">
        <v>92</v>
      </c>
      <c r="AJ3" s="2" t="s">
        <v>93</v>
      </c>
      <c r="AK3" s="2" t="s">
        <v>94</v>
      </c>
      <c r="AL3" s="2" t="s">
        <v>95</v>
      </c>
      <c r="AM3" s="2" t="s">
        <v>96</v>
      </c>
      <c r="AN3" s="2" t="s">
        <v>97</v>
      </c>
      <c r="AO3" s="2" t="s">
        <v>98</v>
      </c>
      <c r="AP3" s="2" t="s">
        <v>99</v>
      </c>
      <c r="AQ3" s="2" t="s">
        <v>100</v>
      </c>
      <c r="AR3" s="2" t="s">
        <v>101</v>
      </c>
      <c r="AS3" s="2" t="s">
        <v>102</v>
      </c>
      <c r="AT3" s="2" t="s">
        <v>103</v>
      </c>
      <c r="AU3" s="2" t="s">
        <v>104</v>
      </c>
      <c r="AV3" s="2" t="s">
        <v>105</v>
      </c>
      <c r="AW3" s="2" t="s">
        <v>106</v>
      </c>
      <c r="AX3" s="2" t="s">
        <v>107</v>
      </c>
      <c r="AY3" s="2" t="s">
        <v>108</v>
      </c>
      <c r="AZ3" s="2" t="s">
        <v>109</v>
      </c>
      <c r="BA3" s="2" t="s">
        <v>110</v>
      </c>
      <c r="BB3" s="2" t="s">
        <v>111</v>
      </c>
      <c r="BC3" s="2" t="s">
        <v>112</v>
      </c>
      <c r="BD3" s="2" t="s">
        <v>113</v>
      </c>
      <c r="BE3" s="2" t="s">
        <v>114</v>
      </c>
      <c r="BF3" s="2" t="s">
        <v>115</v>
      </c>
      <c r="BG3" s="2" t="s">
        <v>116</v>
      </c>
      <c r="BH3" s="2" t="s">
        <v>117</v>
      </c>
      <c r="BI3" s="2" t="s">
        <v>118</v>
      </c>
    </row>
    <row r="6" spans="1:61">
      <c r="A6" s="4" t="s">
        <v>119</v>
      </c>
      <c r="B6" s="6">
        <f>('04_Calcs_Volume'!B6*'03_Inputs_Ops'!B5 + '04_Calcs_Volume'!B7*'03_Inputs_Ops'!B6 + '04_Calcs_Volume'!B8*'03_Inputs_Ops'!B7 + '04_Calcs_Volume'!B9*'03_Inputs_Ops'!B8 + '04_Calcs_Volume'!B10*'03_Inputs_Ops'!B9 + '04_Calcs_Volume'!B11*'03_Inputs_Ops'!B10 + '04_Calcs_Volume'!B12*'03_Inputs_Ops'!B11 + '04_Calcs_Volume'!B13*'03_Inputs_Ops'!B12 + '04_Calcs_Volume'!B14*'03_Inputs_Ops'!B13) * '03_Inputs_Ops'!$B$16</f>
        <v>0</v>
      </c>
      <c r="C6" s="6">
        <f>('04_Calcs_Volume'!C6*'03_Inputs_Ops'!B5 + '04_Calcs_Volume'!C7*'03_Inputs_Ops'!B6 + '04_Calcs_Volume'!C8*'03_Inputs_Ops'!B7 + '04_Calcs_Volume'!C9*'03_Inputs_Ops'!B8 + '04_Calcs_Volume'!C10*'03_Inputs_Ops'!B9 + '04_Calcs_Volume'!C11*'03_Inputs_Ops'!B10 + '04_Calcs_Volume'!C12*'03_Inputs_Ops'!B11 + '04_Calcs_Volume'!C13*'03_Inputs_Ops'!B12 + '04_Calcs_Volume'!C14*'03_Inputs_Ops'!B13) * '03_Inputs_Ops'!$B$16</f>
        <v>0</v>
      </c>
      <c r="D6" s="6">
        <f>('04_Calcs_Volume'!D6*'03_Inputs_Ops'!B5 + '04_Calcs_Volume'!D7*'03_Inputs_Ops'!B6 + '04_Calcs_Volume'!D8*'03_Inputs_Ops'!B7 + '04_Calcs_Volume'!D9*'03_Inputs_Ops'!B8 + '04_Calcs_Volume'!D10*'03_Inputs_Ops'!B9 + '04_Calcs_Volume'!D11*'03_Inputs_Ops'!B10 + '04_Calcs_Volume'!D12*'03_Inputs_Ops'!B11 + '04_Calcs_Volume'!D13*'03_Inputs_Ops'!B12 + '04_Calcs_Volume'!D14*'03_Inputs_Ops'!B13) * '03_Inputs_Ops'!$B$16</f>
        <v>0</v>
      </c>
      <c r="E6" s="6">
        <f>('04_Calcs_Volume'!E6*'03_Inputs_Ops'!B5 + '04_Calcs_Volume'!E7*'03_Inputs_Ops'!B6 + '04_Calcs_Volume'!E8*'03_Inputs_Ops'!B7 + '04_Calcs_Volume'!E9*'03_Inputs_Ops'!B8 + '04_Calcs_Volume'!E10*'03_Inputs_Ops'!B9 + '04_Calcs_Volume'!E11*'03_Inputs_Ops'!B10 + '04_Calcs_Volume'!E12*'03_Inputs_Ops'!B11 + '04_Calcs_Volume'!E13*'03_Inputs_Ops'!B12 + '04_Calcs_Volume'!E14*'03_Inputs_Ops'!B13) * '03_Inputs_Ops'!$B$16</f>
        <v>0</v>
      </c>
      <c r="F6" s="6">
        <f>('04_Calcs_Volume'!F6*'03_Inputs_Ops'!B5 + '04_Calcs_Volume'!F7*'03_Inputs_Ops'!B6 + '04_Calcs_Volume'!F8*'03_Inputs_Ops'!B7 + '04_Calcs_Volume'!F9*'03_Inputs_Ops'!B8 + '04_Calcs_Volume'!F10*'03_Inputs_Ops'!B9 + '04_Calcs_Volume'!F11*'03_Inputs_Ops'!B10 + '04_Calcs_Volume'!F12*'03_Inputs_Ops'!B11 + '04_Calcs_Volume'!F13*'03_Inputs_Ops'!B12 + '04_Calcs_Volume'!F14*'03_Inputs_Ops'!B13) * '03_Inputs_Ops'!$B$16</f>
        <v>0</v>
      </c>
      <c r="G6" s="6">
        <f>('04_Calcs_Volume'!G6*'03_Inputs_Ops'!B5 + '04_Calcs_Volume'!G7*'03_Inputs_Ops'!B6 + '04_Calcs_Volume'!G8*'03_Inputs_Ops'!B7 + '04_Calcs_Volume'!G9*'03_Inputs_Ops'!B8 + '04_Calcs_Volume'!G10*'03_Inputs_Ops'!B9 + '04_Calcs_Volume'!G11*'03_Inputs_Ops'!B10 + '04_Calcs_Volume'!G12*'03_Inputs_Ops'!B11 + '04_Calcs_Volume'!G13*'03_Inputs_Ops'!B12 + '04_Calcs_Volume'!G14*'03_Inputs_Ops'!B13) * '03_Inputs_Ops'!$B$16</f>
        <v>0</v>
      </c>
      <c r="H6" s="6">
        <f>('04_Calcs_Volume'!H6*'03_Inputs_Ops'!B5 + '04_Calcs_Volume'!H7*'03_Inputs_Ops'!B6 + '04_Calcs_Volume'!H8*'03_Inputs_Ops'!B7 + '04_Calcs_Volume'!H9*'03_Inputs_Ops'!B8 + '04_Calcs_Volume'!H10*'03_Inputs_Ops'!B9 + '04_Calcs_Volume'!H11*'03_Inputs_Ops'!B10 + '04_Calcs_Volume'!H12*'03_Inputs_Ops'!B11 + '04_Calcs_Volume'!H13*'03_Inputs_Ops'!B12 + '04_Calcs_Volume'!H14*'03_Inputs_Ops'!B13) * '03_Inputs_Ops'!$B$16</f>
        <v>0</v>
      </c>
      <c r="I6" s="6">
        <f>('04_Calcs_Volume'!I6*'03_Inputs_Ops'!B5 + '04_Calcs_Volume'!I7*'03_Inputs_Ops'!B6 + '04_Calcs_Volume'!I8*'03_Inputs_Ops'!B7 + '04_Calcs_Volume'!I9*'03_Inputs_Ops'!B8 + '04_Calcs_Volume'!I10*'03_Inputs_Ops'!B9 + '04_Calcs_Volume'!I11*'03_Inputs_Ops'!B10 + '04_Calcs_Volume'!I12*'03_Inputs_Ops'!B11 + '04_Calcs_Volume'!I13*'03_Inputs_Ops'!B12 + '04_Calcs_Volume'!I14*'03_Inputs_Ops'!B13) * '03_Inputs_Ops'!$B$16</f>
        <v>0</v>
      </c>
      <c r="J6" s="6">
        <f>('04_Calcs_Volume'!J6*'03_Inputs_Ops'!B5 + '04_Calcs_Volume'!J7*'03_Inputs_Ops'!B6 + '04_Calcs_Volume'!J8*'03_Inputs_Ops'!B7 + '04_Calcs_Volume'!J9*'03_Inputs_Ops'!B8 + '04_Calcs_Volume'!J10*'03_Inputs_Ops'!B9 + '04_Calcs_Volume'!J11*'03_Inputs_Ops'!B10 + '04_Calcs_Volume'!J12*'03_Inputs_Ops'!B11 + '04_Calcs_Volume'!J13*'03_Inputs_Ops'!B12 + '04_Calcs_Volume'!J14*'03_Inputs_Ops'!B13) * '03_Inputs_Ops'!$B$16</f>
        <v>0</v>
      </c>
      <c r="K6" s="6">
        <f>('04_Calcs_Volume'!K6*'03_Inputs_Ops'!B5 + '04_Calcs_Volume'!K7*'03_Inputs_Ops'!B6 + '04_Calcs_Volume'!K8*'03_Inputs_Ops'!B7 + '04_Calcs_Volume'!K9*'03_Inputs_Ops'!B8 + '04_Calcs_Volume'!K10*'03_Inputs_Ops'!B9 + '04_Calcs_Volume'!K11*'03_Inputs_Ops'!B10 + '04_Calcs_Volume'!K12*'03_Inputs_Ops'!B11 + '04_Calcs_Volume'!K13*'03_Inputs_Ops'!B12 + '04_Calcs_Volume'!K14*'03_Inputs_Ops'!B13) * '03_Inputs_Ops'!$B$16</f>
        <v>0</v>
      </c>
      <c r="L6" s="6">
        <f>('04_Calcs_Volume'!L6*'03_Inputs_Ops'!B5 + '04_Calcs_Volume'!L7*'03_Inputs_Ops'!B6 + '04_Calcs_Volume'!L8*'03_Inputs_Ops'!B7 + '04_Calcs_Volume'!L9*'03_Inputs_Ops'!B8 + '04_Calcs_Volume'!L10*'03_Inputs_Ops'!B9 + '04_Calcs_Volume'!L11*'03_Inputs_Ops'!B10 + '04_Calcs_Volume'!L12*'03_Inputs_Ops'!B11 + '04_Calcs_Volume'!L13*'03_Inputs_Ops'!B12 + '04_Calcs_Volume'!L14*'03_Inputs_Ops'!B13) * '03_Inputs_Ops'!$B$16</f>
        <v>0</v>
      </c>
      <c r="M6" s="6">
        <f>('04_Calcs_Volume'!M6*'03_Inputs_Ops'!B5 + '04_Calcs_Volume'!M7*'03_Inputs_Ops'!B6 + '04_Calcs_Volume'!M8*'03_Inputs_Ops'!B7 + '04_Calcs_Volume'!M9*'03_Inputs_Ops'!B8 + '04_Calcs_Volume'!M10*'03_Inputs_Ops'!B9 + '04_Calcs_Volume'!M11*'03_Inputs_Ops'!B10 + '04_Calcs_Volume'!M12*'03_Inputs_Ops'!B11 + '04_Calcs_Volume'!M13*'03_Inputs_Ops'!B12 + '04_Calcs_Volume'!M14*'03_Inputs_Ops'!B13) * '03_Inputs_Ops'!$B$16</f>
        <v>0</v>
      </c>
      <c r="N6" s="6">
        <f>('04_Calcs_Volume'!N6*'03_Inputs_Ops'!B5 + '04_Calcs_Volume'!N7*'03_Inputs_Ops'!B6 + '04_Calcs_Volume'!N8*'03_Inputs_Ops'!B7 + '04_Calcs_Volume'!N9*'03_Inputs_Ops'!B8 + '04_Calcs_Volume'!N10*'03_Inputs_Ops'!B9 + '04_Calcs_Volume'!N11*'03_Inputs_Ops'!B10 + '04_Calcs_Volume'!N12*'03_Inputs_Ops'!B11 + '04_Calcs_Volume'!N13*'03_Inputs_Ops'!B12 + '04_Calcs_Volume'!N14*'03_Inputs_Ops'!B13) * '03_Inputs_Ops'!$B$16</f>
        <v>0</v>
      </c>
      <c r="O6" s="6">
        <f>('04_Calcs_Volume'!O6*'03_Inputs_Ops'!B5 + '04_Calcs_Volume'!O7*'03_Inputs_Ops'!B6 + '04_Calcs_Volume'!O8*'03_Inputs_Ops'!B7 + '04_Calcs_Volume'!O9*'03_Inputs_Ops'!B8 + '04_Calcs_Volume'!O10*'03_Inputs_Ops'!B9 + '04_Calcs_Volume'!O11*'03_Inputs_Ops'!B10 + '04_Calcs_Volume'!O12*'03_Inputs_Ops'!B11 + '04_Calcs_Volume'!O13*'03_Inputs_Ops'!B12 + '04_Calcs_Volume'!O14*'03_Inputs_Ops'!B13) * '03_Inputs_Ops'!$B$16</f>
        <v>0</v>
      </c>
      <c r="P6" s="6">
        <f>('04_Calcs_Volume'!P6*'03_Inputs_Ops'!B5 + '04_Calcs_Volume'!P7*'03_Inputs_Ops'!B6 + '04_Calcs_Volume'!P8*'03_Inputs_Ops'!B7 + '04_Calcs_Volume'!P9*'03_Inputs_Ops'!B8 + '04_Calcs_Volume'!P10*'03_Inputs_Ops'!B9 + '04_Calcs_Volume'!P11*'03_Inputs_Ops'!B10 + '04_Calcs_Volume'!P12*'03_Inputs_Ops'!B11 + '04_Calcs_Volume'!P13*'03_Inputs_Ops'!B12 + '04_Calcs_Volume'!P14*'03_Inputs_Ops'!B13) * '03_Inputs_Ops'!$B$16</f>
        <v>0</v>
      </c>
      <c r="Q6" s="6">
        <f>('04_Calcs_Volume'!Q6*'03_Inputs_Ops'!B5 + '04_Calcs_Volume'!Q7*'03_Inputs_Ops'!B6 + '04_Calcs_Volume'!Q8*'03_Inputs_Ops'!B7 + '04_Calcs_Volume'!Q9*'03_Inputs_Ops'!B8 + '04_Calcs_Volume'!Q10*'03_Inputs_Ops'!B9 + '04_Calcs_Volume'!Q11*'03_Inputs_Ops'!B10 + '04_Calcs_Volume'!Q12*'03_Inputs_Ops'!B11 + '04_Calcs_Volume'!Q13*'03_Inputs_Ops'!B12 + '04_Calcs_Volume'!Q14*'03_Inputs_Ops'!B13) * '03_Inputs_Ops'!$B$16</f>
        <v>0</v>
      </c>
      <c r="R6" s="6">
        <f>('04_Calcs_Volume'!R6*'03_Inputs_Ops'!B5 + '04_Calcs_Volume'!R7*'03_Inputs_Ops'!B6 + '04_Calcs_Volume'!R8*'03_Inputs_Ops'!B7 + '04_Calcs_Volume'!R9*'03_Inputs_Ops'!B8 + '04_Calcs_Volume'!R10*'03_Inputs_Ops'!B9 + '04_Calcs_Volume'!R11*'03_Inputs_Ops'!B10 + '04_Calcs_Volume'!R12*'03_Inputs_Ops'!B11 + '04_Calcs_Volume'!R13*'03_Inputs_Ops'!B12 + '04_Calcs_Volume'!R14*'03_Inputs_Ops'!B13) * '03_Inputs_Ops'!$B$16</f>
        <v>0</v>
      </c>
      <c r="S6" s="6">
        <f>('04_Calcs_Volume'!S6*'03_Inputs_Ops'!B5 + '04_Calcs_Volume'!S7*'03_Inputs_Ops'!B6 + '04_Calcs_Volume'!S8*'03_Inputs_Ops'!B7 + '04_Calcs_Volume'!S9*'03_Inputs_Ops'!B8 + '04_Calcs_Volume'!S10*'03_Inputs_Ops'!B9 + '04_Calcs_Volume'!S11*'03_Inputs_Ops'!B10 + '04_Calcs_Volume'!S12*'03_Inputs_Ops'!B11 + '04_Calcs_Volume'!S13*'03_Inputs_Ops'!B12 + '04_Calcs_Volume'!S14*'03_Inputs_Ops'!B13) * '03_Inputs_Ops'!$B$16</f>
        <v>0</v>
      </c>
      <c r="T6" s="6">
        <f>('04_Calcs_Volume'!T6*'03_Inputs_Ops'!B5 + '04_Calcs_Volume'!T7*'03_Inputs_Ops'!B6 + '04_Calcs_Volume'!T8*'03_Inputs_Ops'!B7 + '04_Calcs_Volume'!T9*'03_Inputs_Ops'!B8 + '04_Calcs_Volume'!T10*'03_Inputs_Ops'!B9 + '04_Calcs_Volume'!T11*'03_Inputs_Ops'!B10 + '04_Calcs_Volume'!T12*'03_Inputs_Ops'!B11 + '04_Calcs_Volume'!T13*'03_Inputs_Ops'!B12 + '04_Calcs_Volume'!T14*'03_Inputs_Ops'!B13) * '03_Inputs_Ops'!$B$16</f>
        <v>0</v>
      </c>
      <c r="U6" s="6">
        <f>('04_Calcs_Volume'!U6*'03_Inputs_Ops'!B5 + '04_Calcs_Volume'!U7*'03_Inputs_Ops'!B6 + '04_Calcs_Volume'!U8*'03_Inputs_Ops'!B7 + '04_Calcs_Volume'!U9*'03_Inputs_Ops'!B8 + '04_Calcs_Volume'!U10*'03_Inputs_Ops'!B9 + '04_Calcs_Volume'!U11*'03_Inputs_Ops'!B10 + '04_Calcs_Volume'!U12*'03_Inputs_Ops'!B11 + '04_Calcs_Volume'!U13*'03_Inputs_Ops'!B12 + '04_Calcs_Volume'!U14*'03_Inputs_Ops'!B13) * '03_Inputs_Ops'!$B$16</f>
        <v>0</v>
      </c>
      <c r="V6" s="6">
        <f>('04_Calcs_Volume'!V6*'03_Inputs_Ops'!B5 + '04_Calcs_Volume'!V7*'03_Inputs_Ops'!B6 + '04_Calcs_Volume'!V8*'03_Inputs_Ops'!B7 + '04_Calcs_Volume'!V9*'03_Inputs_Ops'!B8 + '04_Calcs_Volume'!V10*'03_Inputs_Ops'!B9 + '04_Calcs_Volume'!V11*'03_Inputs_Ops'!B10 + '04_Calcs_Volume'!V12*'03_Inputs_Ops'!B11 + '04_Calcs_Volume'!V13*'03_Inputs_Ops'!B12 + '04_Calcs_Volume'!V14*'03_Inputs_Ops'!B13) * '03_Inputs_Ops'!$B$16</f>
        <v>0</v>
      </c>
      <c r="W6" s="6">
        <f>('04_Calcs_Volume'!W6*'03_Inputs_Ops'!B5 + '04_Calcs_Volume'!W7*'03_Inputs_Ops'!B6 + '04_Calcs_Volume'!W8*'03_Inputs_Ops'!B7 + '04_Calcs_Volume'!W9*'03_Inputs_Ops'!B8 + '04_Calcs_Volume'!W10*'03_Inputs_Ops'!B9 + '04_Calcs_Volume'!W11*'03_Inputs_Ops'!B10 + '04_Calcs_Volume'!W12*'03_Inputs_Ops'!B11 + '04_Calcs_Volume'!W13*'03_Inputs_Ops'!B12 + '04_Calcs_Volume'!W14*'03_Inputs_Ops'!B13) * '03_Inputs_Ops'!$B$16</f>
        <v>0</v>
      </c>
      <c r="X6" s="6">
        <f>('04_Calcs_Volume'!X6*'03_Inputs_Ops'!B5 + '04_Calcs_Volume'!X7*'03_Inputs_Ops'!B6 + '04_Calcs_Volume'!X8*'03_Inputs_Ops'!B7 + '04_Calcs_Volume'!X9*'03_Inputs_Ops'!B8 + '04_Calcs_Volume'!X10*'03_Inputs_Ops'!B9 + '04_Calcs_Volume'!X11*'03_Inputs_Ops'!B10 + '04_Calcs_Volume'!X12*'03_Inputs_Ops'!B11 + '04_Calcs_Volume'!X13*'03_Inputs_Ops'!B12 + '04_Calcs_Volume'!X14*'03_Inputs_Ops'!B13) * '03_Inputs_Ops'!$B$16</f>
        <v>0</v>
      </c>
      <c r="Y6" s="6">
        <f>('04_Calcs_Volume'!Y6*'03_Inputs_Ops'!B5 + '04_Calcs_Volume'!Y7*'03_Inputs_Ops'!B6 + '04_Calcs_Volume'!Y8*'03_Inputs_Ops'!B7 + '04_Calcs_Volume'!Y9*'03_Inputs_Ops'!B8 + '04_Calcs_Volume'!Y10*'03_Inputs_Ops'!B9 + '04_Calcs_Volume'!Y11*'03_Inputs_Ops'!B10 + '04_Calcs_Volume'!Y12*'03_Inputs_Ops'!B11 + '04_Calcs_Volume'!Y13*'03_Inputs_Ops'!B12 + '04_Calcs_Volume'!Y14*'03_Inputs_Ops'!B13) * '03_Inputs_Ops'!$B$16</f>
        <v>0</v>
      </c>
      <c r="Z6" s="6">
        <f>('04_Calcs_Volume'!Z6*'03_Inputs_Ops'!B5 + '04_Calcs_Volume'!Z7*'03_Inputs_Ops'!B6 + '04_Calcs_Volume'!Z8*'03_Inputs_Ops'!B7 + '04_Calcs_Volume'!Z9*'03_Inputs_Ops'!B8 + '04_Calcs_Volume'!Z10*'03_Inputs_Ops'!B9 + '04_Calcs_Volume'!Z11*'03_Inputs_Ops'!B10 + '04_Calcs_Volume'!Z12*'03_Inputs_Ops'!B11 + '04_Calcs_Volume'!Z13*'03_Inputs_Ops'!B12 + '04_Calcs_Volume'!Z14*'03_Inputs_Ops'!B13) * '03_Inputs_Ops'!$B$16</f>
        <v>0</v>
      </c>
      <c r="AA6" s="6">
        <f>('04_Calcs_Volume'!AA6*'03_Inputs_Ops'!B5 + '04_Calcs_Volume'!AA7*'03_Inputs_Ops'!B6 + '04_Calcs_Volume'!AA8*'03_Inputs_Ops'!B7 + '04_Calcs_Volume'!AA9*'03_Inputs_Ops'!B8 + '04_Calcs_Volume'!AA10*'03_Inputs_Ops'!B9 + '04_Calcs_Volume'!AA11*'03_Inputs_Ops'!B10 + '04_Calcs_Volume'!AA12*'03_Inputs_Ops'!B11 + '04_Calcs_Volume'!AA13*'03_Inputs_Ops'!B12 + '04_Calcs_Volume'!AA14*'03_Inputs_Ops'!B13) * '03_Inputs_Ops'!$B$16</f>
        <v>0</v>
      </c>
      <c r="AB6" s="6">
        <f>('04_Calcs_Volume'!AB6*'03_Inputs_Ops'!B5 + '04_Calcs_Volume'!AB7*'03_Inputs_Ops'!B6 + '04_Calcs_Volume'!AB8*'03_Inputs_Ops'!B7 + '04_Calcs_Volume'!AB9*'03_Inputs_Ops'!B8 + '04_Calcs_Volume'!AB10*'03_Inputs_Ops'!B9 + '04_Calcs_Volume'!AB11*'03_Inputs_Ops'!B10 + '04_Calcs_Volume'!AB12*'03_Inputs_Ops'!B11 + '04_Calcs_Volume'!AB13*'03_Inputs_Ops'!B12 + '04_Calcs_Volume'!AB14*'03_Inputs_Ops'!B13) * '03_Inputs_Ops'!$B$16</f>
        <v>0</v>
      </c>
      <c r="AC6" s="6">
        <f>('04_Calcs_Volume'!AC6*'03_Inputs_Ops'!B5 + '04_Calcs_Volume'!AC7*'03_Inputs_Ops'!B6 + '04_Calcs_Volume'!AC8*'03_Inputs_Ops'!B7 + '04_Calcs_Volume'!AC9*'03_Inputs_Ops'!B8 + '04_Calcs_Volume'!AC10*'03_Inputs_Ops'!B9 + '04_Calcs_Volume'!AC11*'03_Inputs_Ops'!B10 + '04_Calcs_Volume'!AC12*'03_Inputs_Ops'!B11 + '04_Calcs_Volume'!AC13*'03_Inputs_Ops'!B12 + '04_Calcs_Volume'!AC14*'03_Inputs_Ops'!B13) * '03_Inputs_Ops'!$B$16</f>
        <v>0</v>
      </c>
      <c r="AD6" s="6">
        <f>('04_Calcs_Volume'!AD6*'03_Inputs_Ops'!B5 + '04_Calcs_Volume'!AD7*'03_Inputs_Ops'!B6 + '04_Calcs_Volume'!AD8*'03_Inputs_Ops'!B7 + '04_Calcs_Volume'!AD9*'03_Inputs_Ops'!B8 + '04_Calcs_Volume'!AD10*'03_Inputs_Ops'!B9 + '04_Calcs_Volume'!AD11*'03_Inputs_Ops'!B10 + '04_Calcs_Volume'!AD12*'03_Inputs_Ops'!B11 + '04_Calcs_Volume'!AD13*'03_Inputs_Ops'!B12 + '04_Calcs_Volume'!AD14*'03_Inputs_Ops'!B13) * '03_Inputs_Ops'!$B$16</f>
        <v>0</v>
      </c>
      <c r="AE6" s="6">
        <f>('04_Calcs_Volume'!AE6*'03_Inputs_Ops'!B5 + '04_Calcs_Volume'!AE7*'03_Inputs_Ops'!B6 + '04_Calcs_Volume'!AE8*'03_Inputs_Ops'!B7 + '04_Calcs_Volume'!AE9*'03_Inputs_Ops'!B8 + '04_Calcs_Volume'!AE10*'03_Inputs_Ops'!B9 + '04_Calcs_Volume'!AE11*'03_Inputs_Ops'!B10 + '04_Calcs_Volume'!AE12*'03_Inputs_Ops'!B11 + '04_Calcs_Volume'!AE13*'03_Inputs_Ops'!B12 + '04_Calcs_Volume'!AE14*'03_Inputs_Ops'!B13) * '03_Inputs_Ops'!$B$16</f>
        <v>0</v>
      </c>
      <c r="AF6" s="6">
        <f>('04_Calcs_Volume'!AF6*'03_Inputs_Ops'!B5 + '04_Calcs_Volume'!AF7*'03_Inputs_Ops'!B6 + '04_Calcs_Volume'!AF8*'03_Inputs_Ops'!B7 + '04_Calcs_Volume'!AF9*'03_Inputs_Ops'!B8 + '04_Calcs_Volume'!AF10*'03_Inputs_Ops'!B9 + '04_Calcs_Volume'!AF11*'03_Inputs_Ops'!B10 + '04_Calcs_Volume'!AF12*'03_Inputs_Ops'!B11 + '04_Calcs_Volume'!AF13*'03_Inputs_Ops'!B12 + '04_Calcs_Volume'!AF14*'03_Inputs_Ops'!B13) * '03_Inputs_Ops'!$B$16</f>
        <v>0</v>
      </c>
      <c r="AG6" s="6">
        <f>('04_Calcs_Volume'!AG6*'03_Inputs_Ops'!B5 + '04_Calcs_Volume'!AG7*'03_Inputs_Ops'!B6 + '04_Calcs_Volume'!AG8*'03_Inputs_Ops'!B7 + '04_Calcs_Volume'!AG9*'03_Inputs_Ops'!B8 + '04_Calcs_Volume'!AG10*'03_Inputs_Ops'!B9 + '04_Calcs_Volume'!AG11*'03_Inputs_Ops'!B10 + '04_Calcs_Volume'!AG12*'03_Inputs_Ops'!B11 + '04_Calcs_Volume'!AG13*'03_Inputs_Ops'!B12 + '04_Calcs_Volume'!AG14*'03_Inputs_Ops'!B13) * '03_Inputs_Ops'!$B$16</f>
        <v>0</v>
      </c>
      <c r="AH6" s="6">
        <f>('04_Calcs_Volume'!AH6*'03_Inputs_Ops'!B5 + '04_Calcs_Volume'!AH7*'03_Inputs_Ops'!B6 + '04_Calcs_Volume'!AH8*'03_Inputs_Ops'!B7 + '04_Calcs_Volume'!AH9*'03_Inputs_Ops'!B8 + '04_Calcs_Volume'!AH10*'03_Inputs_Ops'!B9 + '04_Calcs_Volume'!AH11*'03_Inputs_Ops'!B10 + '04_Calcs_Volume'!AH12*'03_Inputs_Ops'!B11 + '04_Calcs_Volume'!AH13*'03_Inputs_Ops'!B12 + '04_Calcs_Volume'!AH14*'03_Inputs_Ops'!B13) * '03_Inputs_Ops'!$B$16</f>
        <v>0</v>
      </c>
      <c r="AI6" s="6">
        <f>('04_Calcs_Volume'!AI6*'03_Inputs_Ops'!B5 + '04_Calcs_Volume'!AI7*'03_Inputs_Ops'!B6 + '04_Calcs_Volume'!AI8*'03_Inputs_Ops'!B7 + '04_Calcs_Volume'!AI9*'03_Inputs_Ops'!B8 + '04_Calcs_Volume'!AI10*'03_Inputs_Ops'!B9 + '04_Calcs_Volume'!AI11*'03_Inputs_Ops'!B10 + '04_Calcs_Volume'!AI12*'03_Inputs_Ops'!B11 + '04_Calcs_Volume'!AI13*'03_Inputs_Ops'!B12 + '04_Calcs_Volume'!AI14*'03_Inputs_Ops'!B13) * '03_Inputs_Ops'!$B$16</f>
        <v>0</v>
      </c>
      <c r="AJ6" s="6">
        <f>('04_Calcs_Volume'!AJ6*'03_Inputs_Ops'!B5 + '04_Calcs_Volume'!AJ7*'03_Inputs_Ops'!B6 + '04_Calcs_Volume'!AJ8*'03_Inputs_Ops'!B7 + '04_Calcs_Volume'!AJ9*'03_Inputs_Ops'!B8 + '04_Calcs_Volume'!AJ10*'03_Inputs_Ops'!B9 + '04_Calcs_Volume'!AJ11*'03_Inputs_Ops'!B10 + '04_Calcs_Volume'!AJ12*'03_Inputs_Ops'!B11 + '04_Calcs_Volume'!AJ13*'03_Inputs_Ops'!B12 + '04_Calcs_Volume'!AJ14*'03_Inputs_Ops'!B13) * '03_Inputs_Ops'!$B$16</f>
        <v>0</v>
      </c>
      <c r="AK6" s="6">
        <f>('04_Calcs_Volume'!AK6*'03_Inputs_Ops'!B5 + '04_Calcs_Volume'!AK7*'03_Inputs_Ops'!B6 + '04_Calcs_Volume'!AK8*'03_Inputs_Ops'!B7 + '04_Calcs_Volume'!AK9*'03_Inputs_Ops'!B8 + '04_Calcs_Volume'!AK10*'03_Inputs_Ops'!B9 + '04_Calcs_Volume'!AK11*'03_Inputs_Ops'!B10 + '04_Calcs_Volume'!AK12*'03_Inputs_Ops'!B11 + '04_Calcs_Volume'!AK13*'03_Inputs_Ops'!B12 + '04_Calcs_Volume'!AK14*'03_Inputs_Ops'!B13) * '03_Inputs_Ops'!$B$16</f>
        <v>0</v>
      </c>
      <c r="AL6" s="6">
        <f>('04_Calcs_Volume'!AL6*'03_Inputs_Ops'!B5 + '04_Calcs_Volume'!AL7*'03_Inputs_Ops'!B6 + '04_Calcs_Volume'!AL8*'03_Inputs_Ops'!B7 + '04_Calcs_Volume'!AL9*'03_Inputs_Ops'!B8 + '04_Calcs_Volume'!AL10*'03_Inputs_Ops'!B9 + '04_Calcs_Volume'!AL11*'03_Inputs_Ops'!B10 + '04_Calcs_Volume'!AL12*'03_Inputs_Ops'!B11 + '04_Calcs_Volume'!AL13*'03_Inputs_Ops'!B12 + '04_Calcs_Volume'!AL14*'03_Inputs_Ops'!B13) * '03_Inputs_Ops'!$B$16</f>
        <v>0</v>
      </c>
      <c r="AM6" s="6">
        <f>('04_Calcs_Volume'!AM6*'03_Inputs_Ops'!B5 + '04_Calcs_Volume'!AM7*'03_Inputs_Ops'!B6 + '04_Calcs_Volume'!AM8*'03_Inputs_Ops'!B7 + '04_Calcs_Volume'!AM9*'03_Inputs_Ops'!B8 + '04_Calcs_Volume'!AM10*'03_Inputs_Ops'!B9 + '04_Calcs_Volume'!AM11*'03_Inputs_Ops'!B10 + '04_Calcs_Volume'!AM12*'03_Inputs_Ops'!B11 + '04_Calcs_Volume'!AM13*'03_Inputs_Ops'!B12 + '04_Calcs_Volume'!AM14*'03_Inputs_Ops'!B13) * '03_Inputs_Ops'!$B$16</f>
        <v>0</v>
      </c>
      <c r="AN6" s="6">
        <f>('04_Calcs_Volume'!AN6*'03_Inputs_Ops'!B5 + '04_Calcs_Volume'!AN7*'03_Inputs_Ops'!B6 + '04_Calcs_Volume'!AN8*'03_Inputs_Ops'!B7 + '04_Calcs_Volume'!AN9*'03_Inputs_Ops'!B8 + '04_Calcs_Volume'!AN10*'03_Inputs_Ops'!B9 + '04_Calcs_Volume'!AN11*'03_Inputs_Ops'!B10 + '04_Calcs_Volume'!AN12*'03_Inputs_Ops'!B11 + '04_Calcs_Volume'!AN13*'03_Inputs_Ops'!B12 + '04_Calcs_Volume'!AN14*'03_Inputs_Ops'!B13) * '03_Inputs_Ops'!$B$16</f>
        <v>0</v>
      </c>
      <c r="AO6" s="6">
        <f>('04_Calcs_Volume'!AO6*'03_Inputs_Ops'!B5 + '04_Calcs_Volume'!AO7*'03_Inputs_Ops'!B6 + '04_Calcs_Volume'!AO8*'03_Inputs_Ops'!B7 + '04_Calcs_Volume'!AO9*'03_Inputs_Ops'!B8 + '04_Calcs_Volume'!AO10*'03_Inputs_Ops'!B9 + '04_Calcs_Volume'!AO11*'03_Inputs_Ops'!B10 + '04_Calcs_Volume'!AO12*'03_Inputs_Ops'!B11 + '04_Calcs_Volume'!AO13*'03_Inputs_Ops'!B12 + '04_Calcs_Volume'!AO14*'03_Inputs_Ops'!B13) * '03_Inputs_Ops'!$B$16</f>
        <v>0</v>
      </c>
      <c r="AP6" s="6">
        <f>('04_Calcs_Volume'!AP6*'03_Inputs_Ops'!B5 + '04_Calcs_Volume'!AP7*'03_Inputs_Ops'!B6 + '04_Calcs_Volume'!AP8*'03_Inputs_Ops'!B7 + '04_Calcs_Volume'!AP9*'03_Inputs_Ops'!B8 + '04_Calcs_Volume'!AP10*'03_Inputs_Ops'!B9 + '04_Calcs_Volume'!AP11*'03_Inputs_Ops'!B10 + '04_Calcs_Volume'!AP12*'03_Inputs_Ops'!B11 + '04_Calcs_Volume'!AP13*'03_Inputs_Ops'!B12 + '04_Calcs_Volume'!AP14*'03_Inputs_Ops'!B13) * '03_Inputs_Ops'!$B$16</f>
        <v>0</v>
      </c>
      <c r="AQ6" s="6">
        <f>('04_Calcs_Volume'!AQ6*'03_Inputs_Ops'!B5 + '04_Calcs_Volume'!AQ7*'03_Inputs_Ops'!B6 + '04_Calcs_Volume'!AQ8*'03_Inputs_Ops'!B7 + '04_Calcs_Volume'!AQ9*'03_Inputs_Ops'!B8 + '04_Calcs_Volume'!AQ10*'03_Inputs_Ops'!B9 + '04_Calcs_Volume'!AQ11*'03_Inputs_Ops'!B10 + '04_Calcs_Volume'!AQ12*'03_Inputs_Ops'!B11 + '04_Calcs_Volume'!AQ13*'03_Inputs_Ops'!B12 + '04_Calcs_Volume'!AQ14*'03_Inputs_Ops'!B13) * '03_Inputs_Ops'!$B$16</f>
        <v>0</v>
      </c>
      <c r="AR6" s="6">
        <f>('04_Calcs_Volume'!AR6*'03_Inputs_Ops'!B5 + '04_Calcs_Volume'!AR7*'03_Inputs_Ops'!B6 + '04_Calcs_Volume'!AR8*'03_Inputs_Ops'!B7 + '04_Calcs_Volume'!AR9*'03_Inputs_Ops'!B8 + '04_Calcs_Volume'!AR10*'03_Inputs_Ops'!B9 + '04_Calcs_Volume'!AR11*'03_Inputs_Ops'!B10 + '04_Calcs_Volume'!AR12*'03_Inputs_Ops'!B11 + '04_Calcs_Volume'!AR13*'03_Inputs_Ops'!B12 + '04_Calcs_Volume'!AR14*'03_Inputs_Ops'!B13) * '03_Inputs_Ops'!$B$16</f>
        <v>0</v>
      </c>
      <c r="AS6" s="6">
        <f>('04_Calcs_Volume'!AS6*'03_Inputs_Ops'!B5 + '04_Calcs_Volume'!AS7*'03_Inputs_Ops'!B6 + '04_Calcs_Volume'!AS8*'03_Inputs_Ops'!B7 + '04_Calcs_Volume'!AS9*'03_Inputs_Ops'!B8 + '04_Calcs_Volume'!AS10*'03_Inputs_Ops'!B9 + '04_Calcs_Volume'!AS11*'03_Inputs_Ops'!B10 + '04_Calcs_Volume'!AS12*'03_Inputs_Ops'!B11 + '04_Calcs_Volume'!AS13*'03_Inputs_Ops'!B12 + '04_Calcs_Volume'!AS14*'03_Inputs_Ops'!B13) * '03_Inputs_Ops'!$B$16</f>
        <v>0</v>
      </c>
      <c r="AT6" s="6">
        <f>('04_Calcs_Volume'!AT6*'03_Inputs_Ops'!B5 + '04_Calcs_Volume'!AT7*'03_Inputs_Ops'!B6 + '04_Calcs_Volume'!AT8*'03_Inputs_Ops'!B7 + '04_Calcs_Volume'!AT9*'03_Inputs_Ops'!B8 + '04_Calcs_Volume'!AT10*'03_Inputs_Ops'!B9 + '04_Calcs_Volume'!AT11*'03_Inputs_Ops'!B10 + '04_Calcs_Volume'!AT12*'03_Inputs_Ops'!B11 + '04_Calcs_Volume'!AT13*'03_Inputs_Ops'!B12 + '04_Calcs_Volume'!AT14*'03_Inputs_Ops'!B13) * '03_Inputs_Ops'!$B$16</f>
        <v>0</v>
      </c>
      <c r="AU6" s="6">
        <f>('04_Calcs_Volume'!AU6*'03_Inputs_Ops'!B5 + '04_Calcs_Volume'!AU7*'03_Inputs_Ops'!B6 + '04_Calcs_Volume'!AU8*'03_Inputs_Ops'!B7 + '04_Calcs_Volume'!AU9*'03_Inputs_Ops'!B8 + '04_Calcs_Volume'!AU10*'03_Inputs_Ops'!B9 + '04_Calcs_Volume'!AU11*'03_Inputs_Ops'!B10 + '04_Calcs_Volume'!AU12*'03_Inputs_Ops'!B11 + '04_Calcs_Volume'!AU13*'03_Inputs_Ops'!B12 + '04_Calcs_Volume'!AU14*'03_Inputs_Ops'!B13) * '03_Inputs_Ops'!$B$16</f>
        <v>0</v>
      </c>
      <c r="AV6" s="6">
        <f>('04_Calcs_Volume'!AV6*'03_Inputs_Ops'!B5 + '04_Calcs_Volume'!AV7*'03_Inputs_Ops'!B6 + '04_Calcs_Volume'!AV8*'03_Inputs_Ops'!B7 + '04_Calcs_Volume'!AV9*'03_Inputs_Ops'!B8 + '04_Calcs_Volume'!AV10*'03_Inputs_Ops'!B9 + '04_Calcs_Volume'!AV11*'03_Inputs_Ops'!B10 + '04_Calcs_Volume'!AV12*'03_Inputs_Ops'!B11 + '04_Calcs_Volume'!AV13*'03_Inputs_Ops'!B12 + '04_Calcs_Volume'!AV14*'03_Inputs_Ops'!B13) * '03_Inputs_Ops'!$B$16</f>
        <v>0</v>
      </c>
      <c r="AW6" s="6">
        <f>('04_Calcs_Volume'!AW6*'03_Inputs_Ops'!B5 + '04_Calcs_Volume'!AW7*'03_Inputs_Ops'!B6 + '04_Calcs_Volume'!AW8*'03_Inputs_Ops'!B7 + '04_Calcs_Volume'!AW9*'03_Inputs_Ops'!B8 + '04_Calcs_Volume'!AW10*'03_Inputs_Ops'!B9 + '04_Calcs_Volume'!AW11*'03_Inputs_Ops'!B10 + '04_Calcs_Volume'!AW12*'03_Inputs_Ops'!B11 + '04_Calcs_Volume'!AW13*'03_Inputs_Ops'!B12 + '04_Calcs_Volume'!AW14*'03_Inputs_Ops'!B13) * '03_Inputs_Ops'!$B$16</f>
        <v>0</v>
      </c>
      <c r="AX6" s="6">
        <f>('04_Calcs_Volume'!AX6*'03_Inputs_Ops'!B5 + '04_Calcs_Volume'!AX7*'03_Inputs_Ops'!B6 + '04_Calcs_Volume'!AX8*'03_Inputs_Ops'!B7 + '04_Calcs_Volume'!AX9*'03_Inputs_Ops'!B8 + '04_Calcs_Volume'!AX10*'03_Inputs_Ops'!B9 + '04_Calcs_Volume'!AX11*'03_Inputs_Ops'!B10 + '04_Calcs_Volume'!AX12*'03_Inputs_Ops'!B11 + '04_Calcs_Volume'!AX13*'03_Inputs_Ops'!B12 + '04_Calcs_Volume'!AX14*'03_Inputs_Ops'!B13) * '03_Inputs_Ops'!$B$16</f>
        <v>0</v>
      </c>
      <c r="AY6" s="6">
        <f>('04_Calcs_Volume'!AY6*'03_Inputs_Ops'!B5 + '04_Calcs_Volume'!AY7*'03_Inputs_Ops'!B6 + '04_Calcs_Volume'!AY8*'03_Inputs_Ops'!B7 + '04_Calcs_Volume'!AY9*'03_Inputs_Ops'!B8 + '04_Calcs_Volume'!AY10*'03_Inputs_Ops'!B9 + '04_Calcs_Volume'!AY11*'03_Inputs_Ops'!B10 + '04_Calcs_Volume'!AY12*'03_Inputs_Ops'!B11 + '04_Calcs_Volume'!AY13*'03_Inputs_Ops'!B12 + '04_Calcs_Volume'!AY14*'03_Inputs_Ops'!B13) * '03_Inputs_Ops'!$B$16</f>
        <v>0</v>
      </c>
      <c r="AZ6" s="6">
        <f>('04_Calcs_Volume'!AZ6*'03_Inputs_Ops'!B5 + '04_Calcs_Volume'!AZ7*'03_Inputs_Ops'!B6 + '04_Calcs_Volume'!AZ8*'03_Inputs_Ops'!B7 + '04_Calcs_Volume'!AZ9*'03_Inputs_Ops'!B8 + '04_Calcs_Volume'!AZ10*'03_Inputs_Ops'!B9 + '04_Calcs_Volume'!AZ11*'03_Inputs_Ops'!B10 + '04_Calcs_Volume'!AZ12*'03_Inputs_Ops'!B11 + '04_Calcs_Volume'!AZ13*'03_Inputs_Ops'!B12 + '04_Calcs_Volume'!AZ14*'03_Inputs_Ops'!B13) * '03_Inputs_Ops'!$B$16</f>
        <v>0</v>
      </c>
      <c r="BA6" s="6">
        <f>('04_Calcs_Volume'!BA6*'03_Inputs_Ops'!B5 + '04_Calcs_Volume'!BA7*'03_Inputs_Ops'!B6 + '04_Calcs_Volume'!BA8*'03_Inputs_Ops'!B7 + '04_Calcs_Volume'!BA9*'03_Inputs_Ops'!B8 + '04_Calcs_Volume'!BA10*'03_Inputs_Ops'!B9 + '04_Calcs_Volume'!BA11*'03_Inputs_Ops'!B10 + '04_Calcs_Volume'!BA12*'03_Inputs_Ops'!B11 + '04_Calcs_Volume'!BA13*'03_Inputs_Ops'!B12 + '04_Calcs_Volume'!BA14*'03_Inputs_Ops'!B13) * '03_Inputs_Ops'!$B$16</f>
        <v>0</v>
      </c>
      <c r="BB6" s="6">
        <f>('04_Calcs_Volume'!BB6*'03_Inputs_Ops'!B5 + '04_Calcs_Volume'!BB7*'03_Inputs_Ops'!B6 + '04_Calcs_Volume'!BB8*'03_Inputs_Ops'!B7 + '04_Calcs_Volume'!BB9*'03_Inputs_Ops'!B8 + '04_Calcs_Volume'!BB10*'03_Inputs_Ops'!B9 + '04_Calcs_Volume'!BB11*'03_Inputs_Ops'!B10 + '04_Calcs_Volume'!BB12*'03_Inputs_Ops'!B11 + '04_Calcs_Volume'!BB13*'03_Inputs_Ops'!B12 + '04_Calcs_Volume'!BB14*'03_Inputs_Ops'!B13) * '03_Inputs_Ops'!$B$16</f>
        <v>0</v>
      </c>
      <c r="BC6" s="6">
        <f>('04_Calcs_Volume'!BC6*'03_Inputs_Ops'!B5 + '04_Calcs_Volume'!BC7*'03_Inputs_Ops'!B6 + '04_Calcs_Volume'!BC8*'03_Inputs_Ops'!B7 + '04_Calcs_Volume'!BC9*'03_Inputs_Ops'!B8 + '04_Calcs_Volume'!BC10*'03_Inputs_Ops'!B9 + '04_Calcs_Volume'!BC11*'03_Inputs_Ops'!B10 + '04_Calcs_Volume'!BC12*'03_Inputs_Ops'!B11 + '04_Calcs_Volume'!BC13*'03_Inputs_Ops'!B12 + '04_Calcs_Volume'!BC14*'03_Inputs_Ops'!B13) * '03_Inputs_Ops'!$B$16</f>
        <v>0</v>
      </c>
      <c r="BD6" s="6">
        <f>('04_Calcs_Volume'!BD6*'03_Inputs_Ops'!B5 + '04_Calcs_Volume'!BD7*'03_Inputs_Ops'!B6 + '04_Calcs_Volume'!BD8*'03_Inputs_Ops'!B7 + '04_Calcs_Volume'!BD9*'03_Inputs_Ops'!B8 + '04_Calcs_Volume'!BD10*'03_Inputs_Ops'!B9 + '04_Calcs_Volume'!BD11*'03_Inputs_Ops'!B10 + '04_Calcs_Volume'!BD12*'03_Inputs_Ops'!B11 + '04_Calcs_Volume'!BD13*'03_Inputs_Ops'!B12 + '04_Calcs_Volume'!BD14*'03_Inputs_Ops'!B13) * '03_Inputs_Ops'!$B$16</f>
        <v>0</v>
      </c>
      <c r="BE6" s="6">
        <f>('04_Calcs_Volume'!BE6*'03_Inputs_Ops'!B5 + '04_Calcs_Volume'!BE7*'03_Inputs_Ops'!B6 + '04_Calcs_Volume'!BE8*'03_Inputs_Ops'!B7 + '04_Calcs_Volume'!BE9*'03_Inputs_Ops'!B8 + '04_Calcs_Volume'!BE10*'03_Inputs_Ops'!B9 + '04_Calcs_Volume'!BE11*'03_Inputs_Ops'!B10 + '04_Calcs_Volume'!BE12*'03_Inputs_Ops'!B11 + '04_Calcs_Volume'!BE13*'03_Inputs_Ops'!B12 + '04_Calcs_Volume'!BE14*'03_Inputs_Ops'!B13) * '03_Inputs_Ops'!$B$16</f>
        <v>0</v>
      </c>
      <c r="BF6" s="6">
        <f>('04_Calcs_Volume'!BF6*'03_Inputs_Ops'!B5 + '04_Calcs_Volume'!BF7*'03_Inputs_Ops'!B6 + '04_Calcs_Volume'!BF8*'03_Inputs_Ops'!B7 + '04_Calcs_Volume'!BF9*'03_Inputs_Ops'!B8 + '04_Calcs_Volume'!BF10*'03_Inputs_Ops'!B9 + '04_Calcs_Volume'!BF11*'03_Inputs_Ops'!B10 + '04_Calcs_Volume'!BF12*'03_Inputs_Ops'!B11 + '04_Calcs_Volume'!BF13*'03_Inputs_Ops'!B12 + '04_Calcs_Volume'!BF14*'03_Inputs_Ops'!B13) * '03_Inputs_Ops'!$B$16</f>
        <v>0</v>
      </c>
      <c r="BG6" s="6">
        <f>('04_Calcs_Volume'!BG6*'03_Inputs_Ops'!B5 + '04_Calcs_Volume'!BG7*'03_Inputs_Ops'!B6 + '04_Calcs_Volume'!BG8*'03_Inputs_Ops'!B7 + '04_Calcs_Volume'!BG9*'03_Inputs_Ops'!B8 + '04_Calcs_Volume'!BG10*'03_Inputs_Ops'!B9 + '04_Calcs_Volume'!BG11*'03_Inputs_Ops'!B10 + '04_Calcs_Volume'!BG12*'03_Inputs_Ops'!B11 + '04_Calcs_Volume'!BG13*'03_Inputs_Ops'!B12 + '04_Calcs_Volume'!BG14*'03_Inputs_Ops'!B13) * '03_Inputs_Ops'!$B$16</f>
        <v>0</v>
      </c>
      <c r="BH6" s="6">
        <f>('04_Calcs_Volume'!BH6*'03_Inputs_Ops'!B5 + '04_Calcs_Volume'!BH7*'03_Inputs_Ops'!B6 + '04_Calcs_Volume'!BH8*'03_Inputs_Ops'!B7 + '04_Calcs_Volume'!BH9*'03_Inputs_Ops'!B8 + '04_Calcs_Volume'!BH10*'03_Inputs_Ops'!B9 + '04_Calcs_Volume'!BH11*'03_Inputs_Ops'!B10 + '04_Calcs_Volume'!BH12*'03_Inputs_Ops'!B11 + '04_Calcs_Volume'!BH13*'03_Inputs_Ops'!B12 + '04_Calcs_Volume'!BH14*'03_Inputs_Ops'!B13) * '03_Inputs_Ops'!$B$16</f>
        <v>0</v>
      </c>
      <c r="BI6" s="6">
        <f>('04_Calcs_Volume'!BI6*'03_Inputs_Ops'!B5 + '04_Calcs_Volume'!BI7*'03_Inputs_Ops'!B6 + '04_Calcs_Volume'!BI8*'03_Inputs_Ops'!B7 + '04_Calcs_Volume'!BI9*'03_Inputs_Ops'!B8 + '04_Calcs_Volume'!BI10*'03_Inputs_Ops'!B9 + '04_Calcs_Volume'!BI11*'03_Inputs_Ops'!B10 + '04_Calcs_Volume'!BI12*'03_Inputs_Ops'!B11 + '04_Calcs_Volume'!BI13*'03_Inputs_Ops'!B12 + '04_Calcs_Volume'!BI14*'03_Inputs_Ops'!B13) * '03_Inputs_Ops'!$B$16</f>
        <v>0</v>
      </c>
    </row>
    <row r="7" spans="1:61">
      <c r="A7" s="4" t="s">
        <v>120</v>
      </c>
      <c r="B7" s="6">
        <f>('04_Calcs_Volume'!B6*'03_Inputs_Ops'!C5/1000 + '04_Calcs_Volume'!B7*'03_Inputs_Ops'!C6/1000 + '04_Calcs_Volume'!B8*'03_Inputs_Ops'!C7/1000 + '04_Calcs_Volume'!B9*'03_Inputs_Ops'!C8/1000 + '04_Calcs_Volume'!B10*'03_Inputs_Ops'!C9/1000 + '04_Calcs_Volume'!B11*'03_Inputs_Ops'!C10/1000 + '04_Calcs_Volume'!B12*'03_Inputs_Ops'!C11/1000 + '04_Calcs_Volume'!B13*'03_Inputs_Ops'!C12/1000 + '04_Calcs_Volume'!B14*'03_Inputs_Ops'!C13/1000) * '03_Inputs_Ops'!$B$17</f>
        <v>0</v>
      </c>
      <c r="C7" s="6">
        <f>('04_Calcs_Volume'!C6*'03_Inputs_Ops'!C5/1000 + '04_Calcs_Volume'!C7*'03_Inputs_Ops'!C6/1000 + '04_Calcs_Volume'!C8*'03_Inputs_Ops'!C7/1000 + '04_Calcs_Volume'!C9*'03_Inputs_Ops'!C8/1000 + '04_Calcs_Volume'!C10*'03_Inputs_Ops'!C9/1000 + '04_Calcs_Volume'!C11*'03_Inputs_Ops'!C10/1000 + '04_Calcs_Volume'!C12*'03_Inputs_Ops'!C11/1000 + '04_Calcs_Volume'!C13*'03_Inputs_Ops'!C12/1000 + '04_Calcs_Volume'!C14*'03_Inputs_Ops'!C13/1000) * '03_Inputs_Ops'!$B$17</f>
        <v>0</v>
      </c>
      <c r="D7" s="6">
        <f>('04_Calcs_Volume'!D6*'03_Inputs_Ops'!C5/1000 + '04_Calcs_Volume'!D7*'03_Inputs_Ops'!C6/1000 + '04_Calcs_Volume'!D8*'03_Inputs_Ops'!C7/1000 + '04_Calcs_Volume'!D9*'03_Inputs_Ops'!C8/1000 + '04_Calcs_Volume'!D10*'03_Inputs_Ops'!C9/1000 + '04_Calcs_Volume'!D11*'03_Inputs_Ops'!C10/1000 + '04_Calcs_Volume'!D12*'03_Inputs_Ops'!C11/1000 + '04_Calcs_Volume'!D13*'03_Inputs_Ops'!C12/1000 + '04_Calcs_Volume'!D14*'03_Inputs_Ops'!C13/1000) * '03_Inputs_Ops'!$B$17</f>
        <v>0</v>
      </c>
      <c r="E7" s="6">
        <f>('04_Calcs_Volume'!E6*'03_Inputs_Ops'!C5/1000 + '04_Calcs_Volume'!E7*'03_Inputs_Ops'!C6/1000 + '04_Calcs_Volume'!E8*'03_Inputs_Ops'!C7/1000 + '04_Calcs_Volume'!E9*'03_Inputs_Ops'!C8/1000 + '04_Calcs_Volume'!E10*'03_Inputs_Ops'!C9/1000 + '04_Calcs_Volume'!E11*'03_Inputs_Ops'!C10/1000 + '04_Calcs_Volume'!E12*'03_Inputs_Ops'!C11/1000 + '04_Calcs_Volume'!E13*'03_Inputs_Ops'!C12/1000 + '04_Calcs_Volume'!E14*'03_Inputs_Ops'!C13/1000) * '03_Inputs_Ops'!$B$17</f>
        <v>0</v>
      </c>
      <c r="F7" s="6">
        <f>('04_Calcs_Volume'!F6*'03_Inputs_Ops'!C5/1000 + '04_Calcs_Volume'!F7*'03_Inputs_Ops'!C6/1000 + '04_Calcs_Volume'!F8*'03_Inputs_Ops'!C7/1000 + '04_Calcs_Volume'!F9*'03_Inputs_Ops'!C8/1000 + '04_Calcs_Volume'!F10*'03_Inputs_Ops'!C9/1000 + '04_Calcs_Volume'!F11*'03_Inputs_Ops'!C10/1000 + '04_Calcs_Volume'!F12*'03_Inputs_Ops'!C11/1000 + '04_Calcs_Volume'!F13*'03_Inputs_Ops'!C12/1000 + '04_Calcs_Volume'!F14*'03_Inputs_Ops'!C13/1000) * '03_Inputs_Ops'!$B$17</f>
        <v>0</v>
      </c>
      <c r="G7" s="6">
        <f>('04_Calcs_Volume'!G6*'03_Inputs_Ops'!C5/1000 + '04_Calcs_Volume'!G7*'03_Inputs_Ops'!C6/1000 + '04_Calcs_Volume'!G8*'03_Inputs_Ops'!C7/1000 + '04_Calcs_Volume'!G9*'03_Inputs_Ops'!C8/1000 + '04_Calcs_Volume'!G10*'03_Inputs_Ops'!C9/1000 + '04_Calcs_Volume'!G11*'03_Inputs_Ops'!C10/1000 + '04_Calcs_Volume'!G12*'03_Inputs_Ops'!C11/1000 + '04_Calcs_Volume'!G13*'03_Inputs_Ops'!C12/1000 + '04_Calcs_Volume'!G14*'03_Inputs_Ops'!C13/1000) * '03_Inputs_Ops'!$B$17</f>
        <v>0</v>
      </c>
      <c r="H7" s="6">
        <f>('04_Calcs_Volume'!H6*'03_Inputs_Ops'!C5/1000 + '04_Calcs_Volume'!H7*'03_Inputs_Ops'!C6/1000 + '04_Calcs_Volume'!H8*'03_Inputs_Ops'!C7/1000 + '04_Calcs_Volume'!H9*'03_Inputs_Ops'!C8/1000 + '04_Calcs_Volume'!H10*'03_Inputs_Ops'!C9/1000 + '04_Calcs_Volume'!H11*'03_Inputs_Ops'!C10/1000 + '04_Calcs_Volume'!H12*'03_Inputs_Ops'!C11/1000 + '04_Calcs_Volume'!H13*'03_Inputs_Ops'!C12/1000 + '04_Calcs_Volume'!H14*'03_Inputs_Ops'!C13/1000) * '03_Inputs_Ops'!$B$17</f>
        <v>0</v>
      </c>
      <c r="I7" s="6">
        <f>('04_Calcs_Volume'!I6*'03_Inputs_Ops'!C5/1000 + '04_Calcs_Volume'!I7*'03_Inputs_Ops'!C6/1000 + '04_Calcs_Volume'!I8*'03_Inputs_Ops'!C7/1000 + '04_Calcs_Volume'!I9*'03_Inputs_Ops'!C8/1000 + '04_Calcs_Volume'!I10*'03_Inputs_Ops'!C9/1000 + '04_Calcs_Volume'!I11*'03_Inputs_Ops'!C10/1000 + '04_Calcs_Volume'!I12*'03_Inputs_Ops'!C11/1000 + '04_Calcs_Volume'!I13*'03_Inputs_Ops'!C12/1000 + '04_Calcs_Volume'!I14*'03_Inputs_Ops'!C13/1000) * '03_Inputs_Ops'!$B$17</f>
        <v>0</v>
      </c>
      <c r="J7" s="6">
        <f>('04_Calcs_Volume'!J6*'03_Inputs_Ops'!C5/1000 + '04_Calcs_Volume'!J7*'03_Inputs_Ops'!C6/1000 + '04_Calcs_Volume'!J8*'03_Inputs_Ops'!C7/1000 + '04_Calcs_Volume'!J9*'03_Inputs_Ops'!C8/1000 + '04_Calcs_Volume'!J10*'03_Inputs_Ops'!C9/1000 + '04_Calcs_Volume'!J11*'03_Inputs_Ops'!C10/1000 + '04_Calcs_Volume'!J12*'03_Inputs_Ops'!C11/1000 + '04_Calcs_Volume'!J13*'03_Inputs_Ops'!C12/1000 + '04_Calcs_Volume'!J14*'03_Inputs_Ops'!C13/1000) * '03_Inputs_Ops'!$B$17</f>
        <v>0</v>
      </c>
      <c r="K7" s="6">
        <f>('04_Calcs_Volume'!K6*'03_Inputs_Ops'!C5/1000 + '04_Calcs_Volume'!K7*'03_Inputs_Ops'!C6/1000 + '04_Calcs_Volume'!K8*'03_Inputs_Ops'!C7/1000 + '04_Calcs_Volume'!K9*'03_Inputs_Ops'!C8/1000 + '04_Calcs_Volume'!K10*'03_Inputs_Ops'!C9/1000 + '04_Calcs_Volume'!K11*'03_Inputs_Ops'!C10/1000 + '04_Calcs_Volume'!K12*'03_Inputs_Ops'!C11/1000 + '04_Calcs_Volume'!K13*'03_Inputs_Ops'!C12/1000 + '04_Calcs_Volume'!K14*'03_Inputs_Ops'!C13/1000) * '03_Inputs_Ops'!$B$17</f>
        <v>0</v>
      </c>
      <c r="L7" s="6">
        <f>('04_Calcs_Volume'!L6*'03_Inputs_Ops'!C5/1000 + '04_Calcs_Volume'!L7*'03_Inputs_Ops'!C6/1000 + '04_Calcs_Volume'!L8*'03_Inputs_Ops'!C7/1000 + '04_Calcs_Volume'!L9*'03_Inputs_Ops'!C8/1000 + '04_Calcs_Volume'!L10*'03_Inputs_Ops'!C9/1000 + '04_Calcs_Volume'!L11*'03_Inputs_Ops'!C10/1000 + '04_Calcs_Volume'!L12*'03_Inputs_Ops'!C11/1000 + '04_Calcs_Volume'!L13*'03_Inputs_Ops'!C12/1000 + '04_Calcs_Volume'!L14*'03_Inputs_Ops'!C13/1000) * '03_Inputs_Ops'!$B$17</f>
        <v>0</v>
      </c>
      <c r="M7" s="6">
        <f>('04_Calcs_Volume'!M6*'03_Inputs_Ops'!C5/1000 + '04_Calcs_Volume'!M7*'03_Inputs_Ops'!C6/1000 + '04_Calcs_Volume'!M8*'03_Inputs_Ops'!C7/1000 + '04_Calcs_Volume'!M9*'03_Inputs_Ops'!C8/1000 + '04_Calcs_Volume'!M10*'03_Inputs_Ops'!C9/1000 + '04_Calcs_Volume'!M11*'03_Inputs_Ops'!C10/1000 + '04_Calcs_Volume'!M12*'03_Inputs_Ops'!C11/1000 + '04_Calcs_Volume'!M13*'03_Inputs_Ops'!C12/1000 + '04_Calcs_Volume'!M14*'03_Inputs_Ops'!C13/1000) * '03_Inputs_Ops'!$B$17</f>
        <v>0</v>
      </c>
      <c r="N7" s="6">
        <f>('04_Calcs_Volume'!N6*'03_Inputs_Ops'!C5/1000 + '04_Calcs_Volume'!N7*'03_Inputs_Ops'!C6/1000 + '04_Calcs_Volume'!N8*'03_Inputs_Ops'!C7/1000 + '04_Calcs_Volume'!N9*'03_Inputs_Ops'!C8/1000 + '04_Calcs_Volume'!N10*'03_Inputs_Ops'!C9/1000 + '04_Calcs_Volume'!N11*'03_Inputs_Ops'!C10/1000 + '04_Calcs_Volume'!N12*'03_Inputs_Ops'!C11/1000 + '04_Calcs_Volume'!N13*'03_Inputs_Ops'!C12/1000 + '04_Calcs_Volume'!N14*'03_Inputs_Ops'!C13/1000) * '03_Inputs_Ops'!$B$17</f>
        <v>0</v>
      </c>
      <c r="O7" s="6">
        <f>('04_Calcs_Volume'!O6*'03_Inputs_Ops'!C5/1000 + '04_Calcs_Volume'!O7*'03_Inputs_Ops'!C6/1000 + '04_Calcs_Volume'!O8*'03_Inputs_Ops'!C7/1000 + '04_Calcs_Volume'!O9*'03_Inputs_Ops'!C8/1000 + '04_Calcs_Volume'!O10*'03_Inputs_Ops'!C9/1000 + '04_Calcs_Volume'!O11*'03_Inputs_Ops'!C10/1000 + '04_Calcs_Volume'!O12*'03_Inputs_Ops'!C11/1000 + '04_Calcs_Volume'!O13*'03_Inputs_Ops'!C12/1000 + '04_Calcs_Volume'!O14*'03_Inputs_Ops'!C13/1000) * '03_Inputs_Ops'!$B$17</f>
        <v>0</v>
      </c>
      <c r="P7" s="6">
        <f>('04_Calcs_Volume'!P6*'03_Inputs_Ops'!C5/1000 + '04_Calcs_Volume'!P7*'03_Inputs_Ops'!C6/1000 + '04_Calcs_Volume'!P8*'03_Inputs_Ops'!C7/1000 + '04_Calcs_Volume'!P9*'03_Inputs_Ops'!C8/1000 + '04_Calcs_Volume'!P10*'03_Inputs_Ops'!C9/1000 + '04_Calcs_Volume'!P11*'03_Inputs_Ops'!C10/1000 + '04_Calcs_Volume'!P12*'03_Inputs_Ops'!C11/1000 + '04_Calcs_Volume'!P13*'03_Inputs_Ops'!C12/1000 + '04_Calcs_Volume'!P14*'03_Inputs_Ops'!C13/1000) * '03_Inputs_Ops'!$B$17</f>
        <v>0</v>
      </c>
      <c r="Q7" s="6">
        <f>('04_Calcs_Volume'!Q6*'03_Inputs_Ops'!C5/1000 + '04_Calcs_Volume'!Q7*'03_Inputs_Ops'!C6/1000 + '04_Calcs_Volume'!Q8*'03_Inputs_Ops'!C7/1000 + '04_Calcs_Volume'!Q9*'03_Inputs_Ops'!C8/1000 + '04_Calcs_Volume'!Q10*'03_Inputs_Ops'!C9/1000 + '04_Calcs_Volume'!Q11*'03_Inputs_Ops'!C10/1000 + '04_Calcs_Volume'!Q12*'03_Inputs_Ops'!C11/1000 + '04_Calcs_Volume'!Q13*'03_Inputs_Ops'!C12/1000 + '04_Calcs_Volume'!Q14*'03_Inputs_Ops'!C13/1000) * '03_Inputs_Ops'!$B$17</f>
        <v>0</v>
      </c>
      <c r="R7" s="6">
        <f>('04_Calcs_Volume'!R6*'03_Inputs_Ops'!C5/1000 + '04_Calcs_Volume'!R7*'03_Inputs_Ops'!C6/1000 + '04_Calcs_Volume'!R8*'03_Inputs_Ops'!C7/1000 + '04_Calcs_Volume'!R9*'03_Inputs_Ops'!C8/1000 + '04_Calcs_Volume'!R10*'03_Inputs_Ops'!C9/1000 + '04_Calcs_Volume'!R11*'03_Inputs_Ops'!C10/1000 + '04_Calcs_Volume'!R12*'03_Inputs_Ops'!C11/1000 + '04_Calcs_Volume'!R13*'03_Inputs_Ops'!C12/1000 + '04_Calcs_Volume'!R14*'03_Inputs_Ops'!C13/1000) * '03_Inputs_Ops'!$B$17</f>
        <v>0</v>
      </c>
      <c r="S7" s="6">
        <f>('04_Calcs_Volume'!S6*'03_Inputs_Ops'!C5/1000 + '04_Calcs_Volume'!S7*'03_Inputs_Ops'!C6/1000 + '04_Calcs_Volume'!S8*'03_Inputs_Ops'!C7/1000 + '04_Calcs_Volume'!S9*'03_Inputs_Ops'!C8/1000 + '04_Calcs_Volume'!S10*'03_Inputs_Ops'!C9/1000 + '04_Calcs_Volume'!S11*'03_Inputs_Ops'!C10/1000 + '04_Calcs_Volume'!S12*'03_Inputs_Ops'!C11/1000 + '04_Calcs_Volume'!S13*'03_Inputs_Ops'!C12/1000 + '04_Calcs_Volume'!S14*'03_Inputs_Ops'!C13/1000) * '03_Inputs_Ops'!$B$17</f>
        <v>0</v>
      </c>
      <c r="T7" s="6">
        <f>('04_Calcs_Volume'!T6*'03_Inputs_Ops'!C5/1000 + '04_Calcs_Volume'!T7*'03_Inputs_Ops'!C6/1000 + '04_Calcs_Volume'!T8*'03_Inputs_Ops'!C7/1000 + '04_Calcs_Volume'!T9*'03_Inputs_Ops'!C8/1000 + '04_Calcs_Volume'!T10*'03_Inputs_Ops'!C9/1000 + '04_Calcs_Volume'!T11*'03_Inputs_Ops'!C10/1000 + '04_Calcs_Volume'!T12*'03_Inputs_Ops'!C11/1000 + '04_Calcs_Volume'!T13*'03_Inputs_Ops'!C12/1000 + '04_Calcs_Volume'!T14*'03_Inputs_Ops'!C13/1000) * '03_Inputs_Ops'!$B$17</f>
        <v>0</v>
      </c>
      <c r="U7" s="6">
        <f>('04_Calcs_Volume'!U6*'03_Inputs_Ops'!C5/1000 + '04_Calcs_Volume'!U7*'03_Inputs_Ops'!C6/1000 + '04_Calcs_Volume'!U8*'03_Inputs_Ops'!C7/1000 + '04_Calcs_Volume'!U9*'03_Inputs_Ops'!C8/1000 + '04_Calcs_Volume'!U10*'03_Inputs_Ops'!C9/1000 + '04_Calcs_Volume'!U11*'03_Inputs_Ops'!C10/1000 + '04_Calcs_Volume'!U12*'03_Inputs_Ops'!C11/1000 + '04_Calcs_Volume'!U13*'03_Inputs_Ops'!C12/1000 + '04_Calcs_Volume'!U14*'03_Inputs_Ops'!C13/1000) * '03_Inputs_Ops'!$B$17</f>
        <v>0</v>
      </c>
      <c r="V7" s="6">
        <f>('04_Calcs_Volume'!V6*'03_Inputs_Ops'!C5/1000 + '04_Calcs_Volume'!V7*'03_Inputs_Ops'!C6/1000 + '04_Calcs_Volume'!V8*'03_Inputs_Ops'!C7/1000 + '04_Calcs_Volume'!V9*'03_Inputs_Ops'!C8/1000 + '04_Calcs_Volume'!V10*'03_Inputs_Ops'!C9/1000 + '04_Calcs_Volume'!V11*'03_Inputs_Ops'!C10/1000 + '04_Calcs_Volume'!V12*'03_Inputs_Ops'!C11/1000 + '04_Calcs_Volume'!V13*'03_Inputs_Ops'!C12/1000 + '04_Calcs_Volume'!V14*'03_Inputs_Ops'!C13/1000) * '03_Inputs_Ops'!$B$17</f>
        <v>0</v>
      </c>
      <c r="W7" s="6">
        <f>('04_Calcs_Volume'!W6*'03_Inputs_Ops'!C5/1000 + '04_Calcs_Volume'!W7*'03_Inputs_Ops'!C6/1000 + '04_Calcs_Volume'!W8*'03_Inputs_Ops'!C7/1000 + '04_Calcs_Volume'!W9*'03_Inputs_Ops'!C8/1000 + '04_Calcs_Volume'!W10*'03_Inputs_Ops'!C9/1000 + '04_Calcs_Volume'!W11*'03_Inputs_Ops'!C10/1000 + '04_Calcs_Volume'!W12*'03_Inputs_Ops'!C11/1000 + '04_Calcs_Volume'!W13*'03_Inputs_Ops'!C12/1000 + '04_Calcs_Volume'!W14*'03_Inputs_Ops'!C13/1000) * '03_Inputs_Ops'!$B$17</f>
        <v>0</v>
      </c>
      <c r="X7" s="6">
        <f>('04_Calcs_Volume'!X6*'03_Inputs_Ops'!C5/1000 + '04_Calcs_Volume'!X7*'03_Inputs_Ops'!C6/1000 + '04_Calcs_Volume'!X8*'03_Inputs_Ops'!C7/1000 + '04_Calcs_Volume'!X9*'03_Inputs_Ops'!C8/1000 + '04_Calcs_Volume'!X10*'03_Inputs_Ops'!C9/1000 + '04_Calcs_Volume'!X11*'03_Inputs_Ops'!C10/1000 + '04_Calcs_Volume'!X12*'03_Inputs_Ops'!C11/1000 + '04_Calcs_Volume'!X13*'03_Inputs_Ops'!C12/1000 + '04_Calcs_Volume'!X14*'03_Inputs_Ops'!C13/1000) * '03_Inputs_Ops'!$B$17</f>
        <v>0</v>
      </c>
      <c r="Y7" s="6">
        <f>('04_Calcs_Volume'!Y6*'03_Inputs_Ops'!C5/1000 + '04_Calcs_Volume'!Y7*'03_Inputs_Ops'!C6/1000 + '04_Calcs_Volume'!Y8*'03_Inputs_Ops'!C7/1000 + '04_Calcs_Volume'!Y9*'03_Inputs_Ops'!C8/1000 + '04_Calcs_Volume'!Y10*'03_Inputs_Ops'!C9/1000 + '04_Calcs_Volume'!Y11*'03_Inputs_Ops'!C10/1000 + '04_Calcs_Volume'!Y12*'03_Inputs_Ops'!C11/1000 + '04_Calcs_Volume'!Y13*'03_Inputs_Ops'!C12/1000 + '04_Calcs_Volume'!Y14*'03_Inputs_Ops'!C13/1000) * '03_Inputs_Ops'!$B$17</f>
        <v>0</v>
      </c>
      <c r="Z7" s="6">
        <f>('04_Calcs_Volume'!Z6*'03_Inputs_Ops'!C5/1000 + '04_Calcs_Volume'!Z7*'03_Inputs_Ops'!C6/1000 + '04_Calcs_Volume'!Z8*'03_Inputs_Ops'!C7/1000 + '04_Calcs_Volume'!Z9*'03_Inputs_Ops'!C8/1000 + '04_Calcs_Volume'!Z10*'03_Inputs_Ops'!C9/1000 + '04_Calcs_Volume'!Z11*'03_Inputs_Ops'!C10/1000 + '04_Calcs_Volume'!Z12*'03_Inputs_Ops'!C11/1000 + '04_Calcs_Volume'!Z13*'03_Inputs_Ops'!C12/1000 + '04_Calcs_Volume'!Z14*'03_Inputs_Ops'!C13/1000) * '03_Inputs_Ops'!$B$17</f>
        <v>0</v>
      </c>
      <c r="AA7" s="6">
        <f>('04_Calcs_Volume'!AA6*'03_Inputs_Ops'!C5/1000 + '04_Calcs_Volume'!AA7*'03_Inputs_Ops'!C6/1000 + '04_Calcs_Volume'!AA8*'03_Inputs_Ops'!C7/1000 + '04_Calcs_Volume'!AA9*'03_Inputs_Ops'!C8/1000 + '04_Calcs_Volume'!AA10*'03_Inputs_Ops'!C9/1000 + '04_Calcs_Volume'!AA11*'03_Inputs_Ops'!C10/1000 + '04_Calcs_Volume'!AA12*'03_Inputs_Ops'!C11/1000 + '04_Calcs_Volume'!AA13*'03_Inputs_Ops'!C12/1000 + '04_Calcs_Volume'!AA14*'03_Inputs_Ops'!C13/1000) * '03_Inputs_Ops'!$B$17</f>
        <v>0</v>
      </c>
      <c r="AB7" s="6">
        <f>('04_Calcs_Volume'!AB6*'03_Inputs_Ops'!C5/1000 + '04_Calcs_Volume'!AB7*'03_Inputs_Ops'!C6/1000 + '04_Calcs_Volume'!AB8*'03_Inputs_Ops'!C7/1000 + '04_Calcs_Volume'!AB9*'03_Inputs_Ops'!C8/1000 + '04_Calcs_Volume'!AB10*'03_Inputs_Ops'!C9/1000 + '04_Calcs_Volume'!AB11*'03_Inputs_Ops'!C10/1000 + '04_Calcs_Volume'!AB12*'03_Inputs_Ops'!C11/1000 + '04_Calcs_Volume'!AB13*'03_Inputs_Ops'!C12/1000 + '04_Calcs_Volume'!AB14*'03_Inputs_Ops'!C13/1000) * '03_Inputs_Ops'!$B$17</f>
        <v>0</v>
      </c>
      <c r="AC7" s="6">
        <f>('04_Calcs_Volume'!AC6*'03_Inputs_Ops'!C5/1000 + '04_Calcs_Volume'!AC7*'03_Inputs_Ops'!C6/1000 + '04_Calcs_Volume'!AC8*'03_Inputs_Ops'!C7/1000 + '04_Calcs_Volume'!AC9*'03_Inputs_Ops'!C8/1000 + '04_Calcs_Volume'!AC10*'03_Inputs_Ops'!C9/1000 + '04_Calcs_Volume'!AC11*'03_Inputs_Ops'!C10/1000 + '04_Calcs_Volume'!AC12*'03_Inputs_Ops'!C11/1000 + '04_Calcs_Volume'!AC13*'03_Inputs_Ops'!C12/1000 + '04_Calcs_Volume'!AC14*'03_Inputs_Ops'!C13/1000) * '03_Inputs_Ops'!$B$17</f>
        <v>0</v>
      </c>
      <c r="AD7" s="6">
        <f>('04_Calcs_Volume'!AD6*'03_Inputs_Ops'!C5/1000 + '04_Calcs_Volume'!AD7*'03_Inputs_Ops'!C6/1000 + '04_Calcs_Volume'!AD8*'03_Inputs_Ops'!C7/1000 + '04_Calcs_Volume'!AD9*'03_Inputs_Ops'!C8/1000 + '04_Calcs_Volume'!AD10*'03_Inputs_Ops'!C9/1000 + '04_Calcs_Volume'!AD11*'03_Inputs_Ops'!C10/1000 + '04_Calcs_Volume'!AD12*'03_Inputs_Ops'!C11/1000 + '04_Calcs_Volume'!AD13*'03_Inputs_Ops'!C12/1000 + '04_Calcs_Volume'!AD14*'03_Inputs_Ops'!C13/1000) * '03_Inputs_Ops'!$B$17</f>
        <v>0</v>
      </c>
      <c r="AE7" s="6">
        <f>('04_Calcs_Volume'!AE6*'03_Inputs_Ops'!C5/1000 + '04_Calcs_Volume'!AE7*'03_Inputs_Ops'!C6/1000 + '04_Calcs_Volume'!AE8*'03_Inputs_Ops'!C7/1000 + '04_Calcs_Volume'!AE9*'03_Inputs_Ops'!C8/1000 + '04_Calcs_Volume'!AE10*'03_Inputs_Ops'!C9/1000 + '04_Calcs_Volume'!AE11*'03_Inputs_Ops'!C10/1000 + '04_Calcs_Volume'!AE12*'03_Inputs_Ops'!C11/1000 + '04_Calcs_Volume'!AE13*'03_Inputs_Ops'!C12/1000 + '04_Calcs_Volume'!AE14*'03_Inputs_Ops'!C13/1000) * '03_Inputs_Ops'!$B$17</f>
        <v>0</v>
      </c>
      <c r="AF7" s="6">
        <f>('04_Calcs_Volume'!AF6*'03_Inputs_Ops'!C5/1000 + '04_Calcs_Volume'!AF7*'03_Inputs_Ops'!C6/1000 + '04_Calcs_Volume'!AF8*'03_Inputs_Ops'!C7/1000 + '04_Calcs_Volume'!AF9*'03_Inputs_Ops'!C8/1000 + '04_Calcs_Volume'!AF10*'03_Inputs_Ops'!C9/1000 + '04_Calcs_Volume'!AF11*'03_Inputs_Ops'!C10/1000 + '04_Calcs_Volume'!AF12*'03_Inputs_Ops'!C11/1000 + '04_Calcs_Volume'!AF13*'03_Inputs_Ops'!C12/1000 + '04_Calcs_Volume'!AF14*'03_Inputs_Ops'!C13/1000) * '03_Inputs_Ops'!$B$17</f>
        <v>0</v>
      </c>
      <c r="AG7" s="6">
        <f>('04_Calcs_Volume'!AG6*'03_Inputs_Ops'!C5/1000 + '04_Calcs_Volume'!AG7*'03_Inputs_Ops'!C6/1000 + '04_Calcs_Volume'!AG8*'03_Inputs_Ops'!C7/1000 + '04_Calcs_Volume'!AG9*'03_Inputs_Ops'!C8/1000 + '04_Calcs_Volume'!AG10*'03_Inputs_Ops'!C9/1000 + '04_Calcs_Volume'!AG11*'03_Inputs_Ops'!C10/1000 + '04_Calcs_Volume'!AG12*'03_Inputs_Ops'!C11/1000 + '04_Calcs_Volume'!AG13*'03_Inputs_Ops'!C12/1000 + '04_Calcs_Volume'!AG14*'03_Inputs_Ops'!C13/1000) * '03_Inputs_Ops'!$B$17</f>
        <v>0</v>
      </c>
      <c r="AH7" s="6">
        <f>('04_Calcs_Volume'!AH6*'03_Inputs_Ops'!C5/1000 + '04_Calcs_Volume'!AH7*'03_Inputs_Ops'!C6/1000 + '04_Calcs_Volume'!AH8*'03_Inputs_Ops'!C7/1000 + '04_Calcs_Volume'!AH9*'03_Inputs_Ops'!C8/1000 + '04_Calcs_Volume'!AH10*'03_Inputs_Ops'!C9/1000 + '04_Calcs_Volume'!AH11*'03_Inputs_Ops'!C10/1000 + '04_Calcs_Volume'!AH12*'03_Inputs_Ops'!C11/1000 + '04_Calcs_Volume'!AH13*'03_Inputs_Ops'!C12/1000 + '04_Calcs_Volume'!AH14*'03_Inputs_Ops'!C13/1000) * '03_Inputs_Ops'!$B$17</f>
        <v>0</v>
      </c>
      <c r="AI7" s="6">
        <f>('04_Calcs_Volume'!AI6*'03_Inputs_Ops'!C5/1000 + '04_Calcs_Volume'!AI7*'03_Inputs_Ops'!C6/1000 + '04_Calcs_Volume'!AI8*'03_Inputs_Ops'!C7/1000 + '04_Calcs_Volume'!AI9*'03_Inputs_Ops'!C8/1000 + '04_Calcs_Volume'!AI10*'03_Inputs_Ops'!C9/1000 + '04_Calcs_Volume'!AI11*'03_Inputs_Ops'!C10/1000 + '04_Calcs_Volume'!AI12*'03_Inputs_Ops'!C11/1000 + '04_Calcs_Volume'!AI13*'03_Inputs_Ops'!C12/1000 + '04_Calcs_Volume'!AI14*'03_Inputs_Ops'!C13/1000) * '03_Inputs_Ops'!$B$17</f>
        <v>0</v>
      </c>
      <c r="AJ7" s="6">
        <f>('04_Calcs_Volume'!AJ6*'03_Inputs_Ops'!C5/1000 + '04_Calcs_Volume'!AJ7*'03_Inputs_Ops'!C6/1000 + '04_Calcs_Volume'!AJ8*'03_Inputs_Ops'!C7/1000 + '04_Calcs_Volume'!AJ9*'03_Inputs_Ops'!C8/1000 + '04_Calcs_Volume'!AJ10*'03_Inputs_Ops'!C9/1000 + '04_Calcs_Volume'!AJ11*'03_Inputs_Ops'!C10/1000 + '04_Calcs_Volume'!AJ12*'03_Inputs_Ops'!C11/1000 + '04_Calcs_Volume'!AJ13*'03_Inputs_Ops'!C12/1000 + '04_Calcs_Volume'!AJ14*'03_Inputs_Ops'!C13/1000) * '03_Inputs_Ops'!$B$17</f>
        <v>0</v>
      </c>
      <c r="AK7" s="6">
        <f>('04_Calcs_Volume'!AK6*'03_Inputs_Ops'!C5/1000 + '04_Calcs_Volume'!AK7*'03_Inputs_Ops'!C6/1000 + '04_Calcs_Volume'!AK8*'03_Inputs_Ops'!C7/1000 + '04_Calcs_Volume'!AK9*'03_Inputs_Ops'!C8/1000 + '04_Calcs_Volume'!AK10*'03_Inputs_Ops'!C9/1000 + '04_Calcs_Volume'!AK11*'03_Inputs_Ops'!C10/1000 + '04_Calcs_Volume'!AK12*'03_Inputs_Ops'!C11/1000 + '04_Calcs_Volume'!AK13*'03_Inputs_Ops'!C12/1000 + '04_Calcs_Volume'!AK14*'03_Inputs_Ops'!C13/1000) * '03_Inputs_Ops'!$B$17</f>
        <v>0</v>
      </c>
      <c r="AL7" s="6">
        <f>('04_Calcs_Volume'!AL6*'03_Inputs_Ops'!C5/1000 + '04_Calcs_Volume'!AL7*'03_Inputs_Ops'!C6/1000 + '04_Calcs_Volume'!AL8*'03_Inputs_Ops'!C7/1000 + '04_Calcs_Volume'!AL9*'03_Inputs_Ops'!C8/1000 + '04_Calcs_Volume'!AL10*'03_Inputs_Ops'!C9/1000 + '04_Calcs_Volume'!AL11*'03_Inputs_Ops'!C10/1000 + '04_Calcs_Volume'!AL12*'03_Inputs_Ops'!C11/1000 + '04_Calcs_Volume'!AL13*'03_Inputs_Ops'!C12/1000 + '04_Calcs_Volume'!AL14*'03_Inputs_Ops'!C13/1000) * '03_Inputs_Ops'!$B$17</f>
        <v>0</v>
      </c>
      <c r="AM7" s="6">
        <f>('04_Calcs_Volume'!AM6*'03_Inputs_Ops'!C5/1000 + '04_Calcs_Volume'!AM7*'03_Inputs_Ops'!C6/1000 + '04_Calcs_Volume'!AM8*'03_Inputs_Ops'!C7/1000 + '04_Calcs_Volume'!AM9*'03_Inputs_Ops'!C8/1000 + '04_Calcs_Volume'!AM10*'03_Inputs_Ops'!C9/1000 + '04_Calcs_Volume'!AM11*'03_Inputs_Ops'!C10/1000 + '04_Calcs_Volume'!AM12*'03_Inputs_Ops'!C11/1000 + '04_Calcs_Volume'!AM13*'03_Inputs_Ops'!C12/1000 + '04_Calcs_Volume'!AM14*'03_Inputs_Ops'!C13/1000) * '03_Inputs_Ops'!$B$17</f>
        <v>0</v>
      </c>
      <c r="AN7" s="6">
        <f>('04_Calcs_Volume'!AN6*'03_Inputs_Ops'!C5/1000 + '04_Calcs_Volume'!AN7*'03_Inputs_Ops'!C6/1000 + '04_Calcs_Volume'!AN8*'03_Inputs_Ops'!C7/1000 + '04_Calcs_Volume'!AN9*'03_Inputs_Ops'!C8/1000 + '04_Calcs_Volume'!AN10*'03_Inputs_Ops'!C9/1000 + '04_Calcs_Volume'!AN11*'03_Inputs_Ops'!C10/1000 + '04_Calcs_Volume'!AN12*'03_Inputs_Ops'!C11/1000 + '04_Calcs_Volume'!AN13*'03_Inputs_Ops'!C12/1000 + '04_Calcs_Volume'!AN14*'03_Inputs_Ops'!C13/1000) * '03_Inputs_Ops'!$B$17</f>
        <v>0</v>
      </c>
      <c r="AO7" s="6">
        <f>('04_Calcs_Volume'!AO6*'03_Inputs_Ops'!C5/1000 + '04_Calcs_Volume'!AO7*'03_Inputs_Ops'!C6/1000 + '04_Calcs_Volume'!AO8*'03_Inputs_Ops'!C7/1000 + '04_Calcs_Volume'!AO9*'03_Inputs_Ops'!C8/1000 + '04_Calcs_Volume'!AO10*'03_Inputs_Ops'!C9/1000 + '04_Calcs_Volume'!AO11*'03_Inputs_Ops'!C10/1000 + '04_Calcs_Volume'!AO12*'03_Inputs_Ops'!C11/1000 + '04_Calcs_Volume'!AO13*'03_Inputs_Ops'!C12/1000 + '04_Calcs_Volume'!AO14*'03_Inputs_Ops'!C13/1000) * '03_Inputs_Ops'!$B$17</f>
        <v>0</v>
      </c>
      <c r="AP7" s="6">
        <f>('04_Calcs_Volume'!AP6*'03_Inputs_Ops'!C5/1000 + '04_Calcs_Volume'!AP7*'03_Inputs_Ops'!C6/1000 + '04_Calcs_Volume'!AP8*'03_Inputs_Ops'!C7/1000 + '04_Calcs_Volume'!AP9*'03_Inputs_Ops'!C8/1000 + '04_Calcs_Volume'!AP10*'03_Inputs_Ops'!C9/1000 + '04_Calcs_Volume'!AP11*'03_Inputs_Ops'!C10/1000 + '04_Calcs_Volume'!AP12*'03_Inputs_Ops'!C11/1000 + '04_Calcs_Volume'!AP13*'03_Inputs_Ops'!C12/1000 + '04_Calcs_Volume'!AP14*'03_Inputs_Ops'!C13/1000) * '03_Inputs_Ops'!$B$17</f>
        <v>0</v>
      </c>
      <c r="AQ7" s="6">
        <f>('04_Calcs_Volume'!AQ6*'03_Inputs_Ops'!C5/1000 + '04_Calcs_Volume'!AQ7*'03_Inputs_Ops'!C6/1000 + '04_Calcs_Volume'!AQ8*'03_Inputs_Ops'!C7/1000 + '04_Calcs_Volume'!AQ9*'03_Inputs_Ops'!C8/1000 + '04_Calcs_Volume'!AQ10*'03_Inputs_Ops'!C9/1000 + '04_Calcs_Volume'!AQ11*'03_Inputs_Ops'!C10/1000 + '04_Calcs_Volume'!AQ12*'03_Inputs_Ops'!C11/1000 + '04_Calcs_Volume'!AQ13*'03_Inputs_Ops'!C12/1000 + '04_Calcs_Volume'!AQ14*'03_Inputs_Ops'!C13/1000) * '03_Inputs_Ops'!$B$17</f>
        <v>0</v>
      </c>
      <c r="AR7" s="6">
        <f>('04_Calcs_Volume'!AR6*'03_Inputs_Ops'!C5/1000 + '04_Calcs_Volume'!AR7*'03_Inputs_Ops'!C6/1000 + '04_Calcs_Volume'!AR8*'03_Inputs_Ops'!C7/1000 + '04_Calcs_Volume'!AR9*'03_Inputs_Ops'!C8/1000 + '04_Calcs_Volume'!AR10*'03_Inputs_Ops'!C9/1000 + '04_Calcs_Volume'!AR11*'03_Inputs_Ops'!C10/1000 + '04_Calcs_Volume'!AR12*'03_Inputs_Ops'!C11/1000 + '04_Calcs_Volume'!AR13*'03_Inputs_Ops'!C12/1000 + '04_Calcs_Volume'!AR14*'03_Inputs_Ops'!C13/1000) * '03_Inputs_Ops'!$B$17</f>
        <v>0</v>
      </c>
      <c r="AS7" s="6">
        <f>('04_Calcs_Volume'!AS6*'03_Inputs_Ops'!C5/1000 + '04_Calcs_Volume'!AS7*'03_Inputs_Ops'!C6/1000 + '04_Calcs_Volume'!AS8*'03_Inputs_Ops'!C7/1000 + '04_Calcs_Volume'!AS9*'03_Inputs_Ops'!C8/1000 + '04_Calcs_Volume'!AS10*'03_Inputs_Ops'!C9/1000 + '04_Calcs_Volume'!AS11*'03_Inputs_Ops'!C10/1000 + '04_Calcs_Volume'!AS12*'03_Inputs_Ops'!C11/1000 + '04_Calcs_Volume'!AS13*'03_Inputs_Ops'!C12/1000 + '04_Calcs_Volume'!AS14*'03_Inputs_Ops'!C13/1000) * '03_Inputs_Ops'!$B$17</f>
        <v>0</v>
      </c>
      <c r="AT7" s="6">
        <f>('04_Calcs_Volume'!AT6*'03_Inputs_Ops'!C5/1000 + '04_Calcs_Volume'!AT7*'03_Inputs_Ops'!C6/1000 + '04_Calcs_Volume'!AT8*'03_Inputs_Ops'!C7/1000 + '04_Calcs_Volume'!AT9*'03_Inputs_Ops'!C8/1000 + '04_Calcs_Volume'!AT10*'03_Inputs_Ops'!C9/1000 + '04_Calcs_Volume'!AT11*'03_Inputs_Ops'!C10/1000 + '04_Calcs_Volume'!AT12*'03_Inputs_Ops'!C11/1000 + '04_Calcs_Volume'!AT13*'03_Inputs_Ops'!C12/1000 + '04_Calcs_Volume'!AT14*'03_Inputs_Ops'!C13/1000) * '03_Inputs_Ops'!$B$17</f>
        <v>0</v>
      </c>
      <c r="AU7" s="6">
        <f>('04_Calcs_Volume'!AU6*'03_Inputs_Ops'!C5/1000 + '04_Calcs_Volume'!AU7*'03_Inputs_Ops'!C6/1000 + '04_Calcs_Volume'!AU8*'03_Inputs_Ops'!C7/1000 + '04_Calcs_Volume'!AU9*'03_Inputs_Ops'!C8/1000 + '04_Calcs_Volume'!AU10*'03_Inputs_Ops'!C9/1000 + '04_Calcs_Volume'!AU11*'03_Inputs_Ops'!C10/1000 + '04_Calcs_Volume'!AU12*'03_Inputs_Ops'!C11/1000 + '04_Calcs_Volume'!AU13*'03_Inputs_Ops'!C12/1000 + '04_Calcs_Volume'!AU14*'03_Inputs_Ops'!C13/1000) * '03_Inputs_Ops'!$B$17</f>
        <v>0</v>
      </c>
      <c r="AV7" s="6">
        <f>('04_Calcs_Volume'!AV6*'03_Inputs_Ops'!C5/1000 + '04_Calcs_Volume'!AV7*'03_Inputs_Ops'!C6/1000 + '04_Calcs_Volume'!AV8*'03_Inputs_Ops'!C7/1000 + '04_Calcs_Volume'!AV9*'03_Inputs_Ops'!C8/1000 + '04_Calcs_Volume'!AV10*'03_Inputs_Ops'!C9/1000 + '04_Calcs_Volume'!AV11*'03_Inputs_Ops'!C10/1000 + '04_Calcs_Volume'!AV12*'03_Inputs_Ops'!C11/1000 + '04_Calcs_Volume'!AV13*'03_Inputs_Ops'!C12/1000 + '04_Calcs_Volume'!AV14*'03_Inputs_Ops'!C13/1000) * '03_Inputs_Ops'!$B$17</f>
        <v>0</v>
      </c>
      <c r="AW7" s="6">
        <f>('04_Calcs_Volume'!AW6*'03_Inputs_Ops'!C5/1000 + '04_Calcs_Volume'!AW7*'03_Inputs_Ops'!C6/1000 + '04_Calcs_Volume'!AW8*'03_Inputs_Ops'!C7/1000 + '04_Calcs_Volume'!AW9*'03_Inputs_Ops'!C8/1000 + '04_Calcs_Volume'!AW10*'03_Inputs_Ops'!C9/1000 + '04_Calcs_Volume'!AW11*'03_Inputs_Ops'!C10/1000 + '04_Calcs_Volume'!AW12*'03_Inputs_Ops'!C11/1000 + '04_Calcs_Volume'!AW13*'03_Inputs_Ops'!C12/1000 + '04_Calcs_Volume'!AW14*'03_Inputs_Ops'!C13/1000) * '03_Inputs_Ops'!$B$17</f>
        <v>0</v>
      </c>
      <c r="AX7" s="6">
        <f>('04_Calcs_Volume'!AX6*'03_Inputs_Ops'!C5/1000 + '04_Calcs_Volume'!AX7*'03_Inputs_Ops'!C6/1000 + '04_Calcs_Volume'!AX8*'03_Inputs_Ops'!C7/1000 + '04_Calcs_Volume'!AX9*'03_Inputs_Ops'!C8/1000 + '04_Calcs_Volume'!AX10*'03_Inputs_Ops'!C9/1000 + '04_Calcs_Volume'!AX11*'03_Inputs_Ops'!C10/1000 + '04_Calcs_Volume'!AX12*'03_Inputs_Ops'!C11/1000 + '04_Calcs_Volume'!AX13*'03_Inputs_Ops'!C12/1000 + '04_Calcs_Volume'!AX14*'03_Inputs_Ops'!C13/1000) * '03_Inputs_Ops'!$B$17</f>
        <v>0</v>
      </c>
      <c r="AY7" s="6">
        <f>('04_Calcs_Volume'!AY6*'03_Inputs_Ops'!C5/1000 + '04_Calcs_Volume'!AY7*'03_Inputs_Ops'!C6/1000 + '04_Calcs_Volume'!AY8*'03_Inputs_Ops'!C7/1000 + '04_Calcs_Volume'!AY9*'03_Inputs_Ops'!C8/1000 + '04_Calcs_Volume'!AY10*'03_Inputs_Ops'!C9/1000 + '04_Calcs_Volume'!AY11*'03_Inputs_Ops'!C10/1000 + '04_Calcs_Volume'!AY12*'03_Inputs_Ops'!C11/1000 + '04_Calcs_Volume'!AY13*'03_Inputs_Ops'!C12/1000 + '04_Calcs_Volume'!AY14*'03_Inputs_Ops'!C13/1000) * '03_Inputs_Ops'!$B$17</f>
        <v>0</v>
      </c>
      <c r="AZ7" s="6">
        <f>('04_Calcs_Volume'!AZ6*'03_Inputs_Ops'!C5/1000 + '04_Calcs_Volume'!AZ7*'03_Inputs_Ops'!C6/1000 + '04_Calcs_Volume'!AZ8*'03_Inputs_Ops'!C7/1000 + '04_Calcs_Volume'!AZ9*'03_Inputs_Ops'!C8/1000 + '04_Calcs_Volume'!AZ10*'03_Inputs_Ops'!C9/1000 + '04_Calcs_Volume'!AZ11*'03_Inputs_Ops'!C10/1000 + '04_Calcs_Volume'!AZ12*'03_Inputs_Ops'!C11/1000 + '04_Calcs_Volume'!AZ13*'03_Inputs_Ops'!C12/1000 + '04_Calcs_Volume'!AZ14*'03_Inputs_Ops'!C13/1000) * '03_Inputs_Ops'!$B$17</f>
        <v>0</v>
      </c>
      <c r="BA7" s="6">
        <f>('04_Calcs_Volume'!BA6*'03_Inputs_Ops'!C5/1000 + '04_Calcs_Volume'!BA7*'03_Inputs_Ops'!C6/1000 + '04_Calcs_Volume'!BA8*'03_Inputs_Ops'!C7/1000 + '04_Calcs_Volume'!BA9*'03_Inputs_Ops'!C8/1000 + '04_Calcs_Volume'!BA10*'03_Inputs_Ops'!C9/1000 + '04_Calcs_Volume'!BA11*'03_Inputs_Ops'!C10/1000 + '04_Calcs_Volume'!BA12*'03_Inputs_Ops'!C11/1000 + '04_Calcs_Volume'!BA13*'03_Inputs_Ops'!C12/1000 + '04_Calcs_Volume'!BA14*'03_Inputs_Ops'!C13/1000) * '03_Inputs_Ops'!$B$17</f>
        <v>0</v>
      </c>
      <c r="BB7" s="6">
        <f>('04_Calcs_Volume'!BB6*'03_Inputs_Ops'!C5/1000 + '04_Calcs_Volume'!BB7*'03_Inputs_Ops'!C6/1000 + '04_Calcs_Volume'!BB8*'03_Inputs_Ops'!C7/1000 + '04_Calcs_Volume'!BB9*'03_Inputs_Ops'!C8/1000 + '04_Calcs_Volume'!BB10*'03_Inputs_Ops'!C9/1000 + '04_Calcs_Volume'!BB11*'03_Inputs_Ops'!C10/1000 + '04_Calcs_Volume'!BB12*'03_Inputs_Ops'!C11/1000 + '04_Calcs_Volume'!BB13*'03_Inputs_Ops'!C12/1000 + '04_Calcs_Volume'!BB14*'03_Inputs_Ops'!C13/1000) * '03_Inputs_Ops'!$B$17</f>
        <v>0</v>
      </c>
      <c r="BC7" s="6">
        <f>('04_Calcs_Volume'!BC6*'03_Inputs_Ops'!C5/1000 + '04_Calcs_Volume'!BC7*'03_Inputs_Ops'!C6/1000 + '04_Calcs_Volume'!BC8*'03_Inputs_Ops'!C7/1000 + '04_Calcs_Volume'!BC9*'03_Inputs_Ops'!C8/1000 + '04_Calcs_Volume'!BC10*'03_Inputs_Ops'!C9/1000 + '04_Calcs_Volume'!BC11*'03_Inputs_Ops'!C10/1000 + '04_Calcs_Volume'!BC12*'03_Inputs_Ops'!C11/1000 + '04_Calcs_Volume'!BC13*'03_Inputs_Ops'!C12/1000 + '04_Calcs_Volume'!BC14*'03_Inputs_Ops'!C13/1000) * '03_Inputs_Ops'!$B$17</f>
        <v>0</v>
      </c>
      <c r="BD7" s="6">
        <f>('04_Calcs_Volume'!BD6*'03_Inputs_Ops'!C5/1000 + '04_Calcs_Volume'!BD7*'03_Inputs_Ops'!C6/1000 + '04_Calcs_Volume'!BD8*'03_Inputs_Ops'!C7/1000 + '04_Calcs_Volume'!BD9*'03_Inputs_Ops'!C8/1000 + '04_Calcs_Volume'!BD10*'03_Inputs_Ops'!C9/1000 + '04_Calcs_Volume'!BD11*'03_Inputs_Ops'!C10/1000 + '04_Calcs_Volume'!BD12*'03_Inputs_Ops'!C11/1000 + '04_Calcs_Volume'!BD13*'03_Inputs_Ops'!C12/1000 + '04_Calcs_Volume'!BD14*'03_Inputs_Ops'!C13/1000) * '03_Inputs_Ops'!$B$17</f>
        <v>0</v>
      </c>
      <c r="BE7" s="6">
        <f>('04_Calcs_Volume'!BE6*'03_Inputs_Ops'!C5/1000 + '04_Calcs_Volume'!BE7*'03_Inputs_Ops'!C6/1000 + '04_Calcs_Volume'!BE8*'03_Inputs_Ops'!C7/1000 + '04_Calcs_Volume'!BE9*'03_Inputs_Ops'!C8/1000 + '04_Calcs_Volume'!BE10*'03_Inputs_Ops'!C9/1000 + '04_Calcs_Volume'!BE11*'03_Inputs_Ops'!C10/1000 + '04_Calcs_Volume'!BE12*'03_Inputs_Ops'!C11/1000 + '04_Calcs_Volume'!BE13*'03_Inputs_Ops'!C12/1000 + '04_Calcs_Volume'!BE14*'03_Inputs_Ops'!C13/1000) * '03_Inputs_Ops'!$B$17</f>
        <v>0</v>
      </c>
      <c r="BF7" s="6">
        <f>('04_Calcs_Volume'!BF6*'03_Inputs_Ops'!C5/1000 + '04_Calcs_Volume'!BF7*'03_Inputs_Ops'!C6/1000 + '04_Calcs_Volume'!BF8*'03_Inputs_Ops'!C7/1000 + '04_Calcs_Volume'!BF9*'03_Inputs_Ops'!C8/1000 + '04_Calcs_Volume'!BF10*'03_Inputs_Ops'!C9/1000 + '04_Calcs_Volume'!BF11*'03_Inputs_Ops'!C10/1000 + '04_Calcs_Volume'!BF12*'03_Inputs_Ops'!C11/1000 + '04_Calcs_Volume'!BF13*'03_Inputs_Ops'!C12/1000 + '04_Calcs_Volume'!BF14*'03_Inputs_Ops'!C13/1000) * '03_Inputs_Ops'!$B$17</f>
        <v>0</v>
      </c>
      <c r="BG7" s="6">
        <f>('04_Calcs_Volume'!BG6*'03_Inputs_Ops'!C5/1000 + '04_Calcs_Volume'!BG7*'03_Inputs_Ops'!C6/1000 + '04_Calcs_Volume'!BG8*'03_Inputs_Ops'!C7/1000 + '04_Calcs_Volume'!BG9*'03_Inputs_Ops'!C8/1000 + '04_Calcs_Volume'!BG10*'03_Inputs_Ops'!C9/1000 + '04_Calcs_Volume'!BG11*'03_Inputs_Ops'!C10/1000 + '04_Calcs_Volume'!BG12*'03_Inputs_Ops'!C11/1000 + '04_Calcs_Volume'!BG13*'03_Inputs_Ops'!C12/1000 + '04_Calcs_Volume'!BG14*'03_Inputs_Ops'!C13/1000) * '03_Inputs_Ops'!$B$17</f>
        <v>0</v>
      </c>
      <c r="BH7" s="6">
        <f>('04_Calcs_Volume'!BH6*'03_Inputs_Ops'!C5/1000 + '04_Calcs_Volume'!BH7*'03_Inputs_Ops'!C6/1000 + '04_Calcs_Volume'!BH8*'03_Inputs_Ops'!C7/1000 + '04_Calcs_Volume'!BH9*'03_Inputs_Ops'!C8/1000 + '04_Calcs_Volume'!BH10*'03_Inputs_Ops'!C9/1000 + '04_Calcs_Volume'!BH11*'03_Inputs_Ops'!C10/1000 + '04_Calcs_Volume'!BH12*'03_Inputs_Ops'!C11/1000 + '04_Calcs_Volume'!BH13*'03_Inputs_Ops'!C12/1000 + '04_Calcs_Volume'!BH14*'03_Inputs_Ops'!C13/1000) * '03_Inputs_Ops'!$B$17</f>
        <v>0</v>
      </c>
      <c r="BI7" s="6">
        <f>('04_Calcs_Volume'!BI6*'03_Inputs_Ops'!C5/1000 + '04_Calcs_Volume'!BI7*'03_Inputs_Ops'!C6/1000 + '04_Calcs_Volume'!BI8*'03_Inputs_Ops'!C7/1000 + '04_Calcs_Volume'!BI9*'03_Inputs_Ops'!C8/1000 + '04_Calcs_Volume'!BI10*'03_Inputs_Ops'!C9/1000 + '04_Calcs_Volume'!BI11*'03_Inputs_Ops'!C10/1000 + '04_Calcs_Volume'!BI12*'03_Inputs_Ops'!C11/1000 + '04_Calcs_Volume'!BI13*'03_Inputs_Ops'!C12/1000 + '04_Calcs_Volume'!BI14*'03_Inputs_Ops'!C13/1000) * '03_Inputs_Ops'!$B$17</f>
        <v>0</v>
      </c>
    </row>
    <row r="10" spans="1:61">
      <c r="B10" s="6">
        <f>SUM(B6:B8) + '04_Calcs_Volume'!B15*85</f>
        <v>0</v>
      </c>
      <c r="C10" s="6">
        <f>SUM(C6:C8) + '04_Calcs_Volume'!C15*85</f>
        <v>0</v>
      </c>
      <c r="D10" s="6">
        <f>SUM(D6:D8) + '04_Calcs_Volume'!D15*85</f>
        <v>0</v>
      </c>
      <c r="E10" s="6">
        <f>SUM(E6:E8) + '04_Calcs_Volume'!E15*85</f>
        <v>0</v>
      </c>
      <c r="F10" s="6">
        <f>SUM(F6:F8) + '04_Calcs_Volume'!F15*85</f>
        <v>0</v>
      </c>
      <c r="G10" s="6">
        <f>SUM(G6:G8) + '04_Calcs_Volume'!G15*85</f>
        <v>0</v>
      </c>
      <c r="H10" s="6">
        <f>SUM(H6:H8) + '04_Calcs_Volume'!H15*85</f>
        <v>0</v>
      </c>
      <c r="I10" s="6">
        <f>SUM(I6:I8) + '04_Calcs_Volume'!I15*85</f>
        <v>0</v>
      </c>
      <c r="J10" s="6">
        <f>SUM(J6:J8) + '04_Calcs_Volume'!J15*85</f>
        <v>0</v>
      </c>
      <c r="K10" s="6">
        <f>SUM(K6:K8) + '04_Calcs_Volume'!K15*85</f>
        <v>0</v>
      </c>
      <c r="L10" s="6">
        <f>SUM(L6:L8) + '04_Calcs_Volume'!L15*85</f>
        <v>0</v>
      </c>
      <c r="M10" s="6">
        <f>SUM(M6:M8) + '04_Calcs_Volume'!M15*85</f>
        <v>0</v>
      </c>
      <c r="N10" s="6">
        <f>SUM(N6:N8) + '04_Calcs_Volume'!N15*85</f>
        <v>0</v>
      </c>
      <c r="O10" s="6">
        <f>SUM(O6:O8) + '04_Calcs_Volume'!O15*85</f>
        <v>0</v>
      </c>
      <c r="P10" s="6">
        <f>SUM(P6:P8) + '04_Calcs_Volume'!P15*85</f>
        <v>0</v>
      </c>
      <c r="Q10" s="6">
        <f>SUM(Q6:Q8) + '04_Calcs_Volume'!Q15*85</f>
        <v>0</v>
      </c>
      <c r="R10" s="6">
        <f>SUM(R6:R8) + '04_Calcs_Volume'!R15*85</f>
        <v>0</v>
      </c>
      <c r="S10" s="6">
        <f>SUM(S6:S8) + '04_Calcs_Volume'!S15*85</f>
        <v>0</v>
      </c>
      <c r="T10" s="6">
        <f>SUM(T6:T8) + '04_Calcs_Volume'!T15*85</f>
        <v>0</v>
      </c>
      <c r="U10" s="6">
        <f>SUM(U6:U8) + '04_Calcs_Volume'!U15*85</f>
        <v>0</v>
      </c>
      <c r="V10" s="6">
        <f>SUM(V6:V8) + '04_Calcs_Volume'!V15*85</f>
        <v>0</v>
      </c>
      <c r="W10" s="6">
        <f>SUM(W6:W8) + '04_Calcs_Volume'!W15*85</f>
        <v>0</v>
      </c>
      <c r="X10" s="6">
        <f>SUM(X6:X8) + '04_Calcs_Volume'!X15*85</f>
        <v>0</v>
      </c>
      <c r="Y10" s="6">
        <f>SUM(Y6:Y8) + '04_Calcs_Volume'!Y15*85</f>
        <v>0</v>
      </c>
      <c r="Z10" s="6">
        <f>SUM(Z6:Z8) + '04_Calcs_Volume'!Z15*85</f>
        <v>0</v>
      </c>
      <c r="AA10" s="6">
        <f>SUM(AA6:AA8) + '04_Calcs_Volume'!AA15*85</f>
        <v>0</v>
      </c>
      <c r="AB10" s="6">
        <f>SUM(AB6:AB8) + '04_Calcs_Volume'!AB15*85</f>
        <v>0</v>
      </c>
      <c r="AC10" s="6">
        <f>SUM(AC6:AC8) + '04_Calcs_Volume'!AC15*85</f>
        <v>0</v>
      </c>
      <c r="AD10" s="6">
        <f>SUM(AD6:AD8) + '04_Calcs_Volume'!AD15*85</f>
        <v>0</v>
      </c>
      <c r="AE10" s="6">
        <f>SUM(AE6:AE8) + '04_Calcs_Volume'!AE15*85</f>
        <v>0</v>
      </c>
      <c r="AF10" s="6">
        <f>SUM(AF6:AF8) + '04_Calcs_Volume'!AF15*85</f>
        <v>0</v>
      </c>
      <c r="AG10" s="6">
        <f>SUM(AG6:AG8) + '04_Calcs_Volume'!AG15*85</f>
        <v>0</v>
      </c>
      <c r="AH10" s="6">
        <f>SUM(AH6:AH8) + '04_Calcs_Volume'!AH15*85</f>
        <v>0</v>
      </c>
      <c r="AI10" s="6">
        <f>SUM(AI6:AI8) + '04_Calcs_Volume'!AI15*85</f>
        <v>0</v>
      </c>
      <c r="AJ10" s="6">
        <f>SUM(AJ6:AJ8) + '04_Calcs_Volume'!AJ15*85</f>
        <v>0</v>
      </c>
      <c r="AK10" s="6">
        <f>SUM(AK6:AK8) + '04_Calcs_Volume'!AK15*85</f>
        <v>0</v>
      </c>
      <c r="AL10" s="6">
        <f>SUM(AL6:AL8) + '04_Calcs_Volume'!AL15*85</f>
        <v>0</v>
      </c>
      <c r="AM10" s="6">
        <f>SUM(AM6:AM8) + '04_Calcs_Volume'!AM15*85</f>
        <v>0</v>
      </c>
      <c r="AN10" s="6">
        <f>SUM(AN6:AN8) + '04_Calcs_Volume'!AN15*85</f>
        <v>0</v>
      </c>
      <c r="AO10" s="6">
        <f>SUM(AO6:AO8) + '04_Calcs_Volume'!AO15*85</f>
        <v>0</v>
      </c>
      <c r="AP10" s="6">
        <f>SUM(AP6:AP8) + '04_Calcs_Volume'!AP15*85</f>
        <v>0</v>
      </c>
      <c r="AQ10" s="6">
        <f>SUM(AQ6:AQ8) + '04_Calcs_Volume'!AQ15*85</f>
        <v>0</v>
      </c>
      <c r="AR10" s="6">
        <f>SUM(AR6:AR8) + '04_Calcs_Volume'!AR15*85</f>
        <v>0</v>
      </c>
      <c r="AS10" s="6">
        <f>SUM(AS6:AS8) + '04_Calcs_Volume'!AS15*85</f>
        <v>0</v>
      </c>
      <c r="AT10" s="6">
        <f>SUM(AT6:AT8) + '04_Calcs_Volume'!AT15*85</f>
        <v>0</v>
      </c>
      <c r="AU10" s="6">
        <f>SUM(AU6:AU8) + '04_Calcs_Volume'!AU15*85</f>
        <v>0</v>
      </c>
      <c r="AV10" s="6">
        <f>SUM(AV6:AV8) + '04_Calcs_Volume'!AV15*85</f>
        <v>0</v>
      </c>
      <c r="AW10" s="6">
        <f>SUM(AW6:AW8) + '04_Calcs_Volume'!AW15*85</f>
        <v>0</v>
      </c>
      <c r="AX10" s="6">
        <f>SUM(AX6:AX8) + '04_Calcs_Volume'!AX15*85</f>
        <v>0</v>
      </c>
      <c r="AY10" s="6">
        <f>SUM(AY6:AY8) + '04_Calcs_Volume'!AY15*85</f>
        <v>0</v>
      </c>
      <c r="AZ10" s="6">
        <f>SUM(AZ6:AZ8) + '04_Calcs_Volume'!AZ15*85</f>
        <v>0</v>
      </c>
      <c r="BA10" s="6">
        <f>SUM(BA6:BA8) + '04_Calcs_Volume'!BA15*85</f>
        <v>0</v>
      </c>
      <c r="BB10" s="6">
        <f>SUM(BB6:BB8) + '04_Calcs_Volume'!BB15*85</f>
        <v>0</v>
      </c>
      <c r="BC10" s="6">
        <f>SUM(BC6:BC8) + '04_Calcs_Volume'!BC15*85</f>
        <v>0</v>
      </c>
      <c r="BD10" s="6">
        <f>SUM(BD6:BD8) + '04_Calcs_Volume'!BD15*85</f>
        <v>0</v>
      </c>
      <c r="BE10" s="6">
        <f>SUM(BE6:BE8) + '04_Calcs_Volume'!BE15*85</f>
        <v>0</v>
      </c>
      <c r="BF10" s="6">
        <f>SUM(BF6:BF8) + '04_Calcs_Volume'!BF15*85</f>
        <v>0</v>
      </c>
      <c r="BG10" s="6">
        <f>SUM(BG6:BG8) + '04_Calcs_Volume'!BG15*85</f>
        <v>0</v>
      </c>
      <c r="BH10" s="6">
        <f>SUM(BH6:BH8) + '04_Calcs_Volume'!BH15*85</f>
        <v>0</v>
      </c>
      <c r="BI10" s="6">
        <f>SUM(BI6:BI8) + '04_Calcs_Volume'!BI15*85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BI9"/>
  <sheetViews>
    <sheetView workbookViewId="0"/>
  </sheetViews>
  <sheetFormatPr defaultRowHeight="15"/>
  <cols>
    <col min="1" max="1" width="30.7109375" customWidth="1"/>
  </cols>
  <sheetData>
    <row r="3" spans="1:61"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  <c r="W3" s="2" t="s">
        <v>80</v>
      </c>
      <c r="X3" s="2" t="s">
        <v>81</v>
      </c>
      <c r="Y3" s="2" t="s">
        <v>82</v>
      </c>
      <c r="Z3" s="2" t="s">
        <v>83</v>
      </c>
      <c r="AA3" s="2" t="s">
        <v>84</v>
      </c>
      <c r="AB3" s="2" t="s">
        <v>85</v>
      </c>
      <c r="AC3" s="2" t="s">
        <v>86</v>
      </c>
      <c r="AD3" s="2" t="s">
        <v>87</v>
      </c>
      <c r="AE3" s="2" t="s">
        <v>88</v>
      </c>
      <c r="AF3" s="2" t="s">
        <v>89</v>
      </c>
      <c r="AG3" s="2" t="s">
        <v>90</v>
      </c>
      <c r="AH3" s="2" t="s">
        <v>91</v>
      </c>
      <c r="AI3" s="2" t="s">
        <v>92</v>
      </c>
      <c r="AJ3" s="2" t="s">
        <v>93</v>
      </c>
      <c r="AK3" s="2" t="s">
        <v>94</v>
      </c>
      <c r="AL3" s="2" t="s">
        <v>95</v>
      </c>
      <c r="AM3" s="2" t="s">
        <v>96</v>
      </c>
      <c r="AN3" s="2" t="s">
        <v>97</v>
      </c>
      <c r="AO3" s="2" t="s">
        <v>98</v>
      </c>
      <c r="AP3" s="2" t="s">
        <v>99</v>
      </c>
      <c r="AQ3" s="2" t="s">
        <v>100</v>
      </c>
      <c r="AR3" s="2" t="s">
        <v>101</v>
      </c>
      <c r="AS3" s="2" t="s">
        <v>102</v>
      </c>
      <c r="AT3" s="2" t="s">
        <v>103</v>
      </c>
      <c r="AU3" s="2" t="s">
        <v>104</v>
      </c>
      <c r="AV3" s="2" t="s">
        <v>105</v>
      </c>
      <c r="AW3" s="2" t="s">
        <v>106</v>
      </c>
      <c r="AX3" s="2" t="s">
        <v>107</v>
      </c>
      <c r="AY3" s="2" t="s">
        <v>108</v>
      </c>
      <c r="AZ3" s="2" t="s">
        <v>109</v>
      </c>
      <c r="BA3" s="2" t="s">
        <v>110</v>
      </c>
      <c r="BB3" s="2" t="s">
        <v>111</v>
      </c>
      <c r="BC3" s="2" t="s">
        <v>112</v>
      </c>
      <c r="BD3" s="2" t="s">
        <v>113</v>
      </c>
      <c r="BE3" s="2" t="s">
        <v>114</v>
      </c>
      <c r="BF3" s="2" t="s">
        <v>115</v>
      </c>
      <c r="BG3" s="2" t="s">
        <v>116</v>
      </c>
      <c r="BH3" s="2" t="s">
        <v>117</v>
      </c>
      <c r="BI3" s="2" t="s">
        <v>118</v>
      </c>
    </row>
    <row r="5" spans="1:61">
      <c r="B5" s="6">
        <f>SUMPRODUCT('03_Inputs_Ops'!$B$23:$B$27, '03_Inputs_Ops'!$C$23:$C$27) * 1000 / 12 * (1 + '01_Control'!$B$9 + '01_Control'!$B$8) * (1.002^0)</f>
        <v>0</v>
      </c>
      <c r="C5" s="6">
        <f>SUMPRODUCT('03_Inputs_Ops'!$B$23:$B$27, '03_Inputs_Ops'!$C$23:$C$27) * 1000 / 12 * (1 + '01_Control'!$B$9 + '01_Control'!$B$8) * (1.002^1)</f>
        <v>0</v>
      </c>
      <c r="D5" s="6">
        <f>SUMPRODUCT('03_Inputs_Ops'!$B$23:$B$27, '03_Inputs_Ops'!$C$23:$C$27) * 1000 / 12 * (1 + '01_Control'!$B$9 + '01_Control'!$B$8) * (1.002^2)</f>
        <v>0</v>
      </c>
      <c r="E5" s="6">
        <f>SUMPRODUCT('03_Inputs_Ops'!$B$23:$B$27, '03_Inputs_Ops'!$C$23:$C$27) * 1000 / 12 * (1 + '01_Control'!$B$9 + '01_Control'!$B$8) * (1.002^3)</f>
        <v>0</v>
      </c>
      <c r="F5" s="6">
        <f>SUMPRODUCT('03_Inputs_Ops'!$B$23:$B$27, '03_Inputs_Ops'!$C$23:$C$27) * 1000 / 12 * (1 + '01_Control'!$B$9 + '01_Control'!$B$8) * (1.002^4)</f>
        <v>0</v>
      </c>
      <c r="G5" s="6">
        <f>SUMPRODUCT('03_Inputs_Ops'!$B$23:$B$27, '03_Inputs_Ops'!$C$23:$C$27) * 1000 / 12 * (1 + '01_Control'!$B$9 + '01_Control'!$B$8) * (1.002^5)</f>
        <v>0</v>
      </c>
      <c r="H5" s="6">
        <f>SUMPRODUCT('03_Inputs_Ops'!$B$23:$B$27, '03_Inputs_Ops'!$C$23:$C$27) * 1000 / 12 * (1 + '01_Control'!$B$9 + '01_Control'!$B$8) * (1.002^6)</f>
        <v>0</v>
      </c>
      <c r="I5" s="6">
        <f>SUMPRODUCT('03_Inputs_Ops'!$B$23:$B$27, '03_Inputs_Ops'!$C$23:$C$27) * 1000 / 12 * (1 + '01_Control'!$B$9 + '01_Control'!$B$8) * (1.002^7)</f>
        <v>0</v>
      </c>
      <c r="J5" s="6">
        <f>SUMPRODUCT('03_Inputs_Ops'!$B$23:$B$27, '03_Inputs_Ops'!$C$23:$C$27) * 1000 / 12 * (1 + '01_Control'!$B$9 + '01_Control'!$B$8) * (1.002^8)</f>
        <v>0</v>
      </c>
      <c r="K5" s="6">
        <f>SUMPRODUCT('03_Inputs_Ops'!$B$23:$B$27, '03_Inputs_Ops'!$C$23:$C$27) * 1000 / 12 * (1 + '01_Control'!$B$9 + '01_Control'!$B$8) * (1.002^9)</f>
        <v>0</v>
      </c>
      <c r="L5" s="6">
        <f>SUMPRODUCT('03_Inputs_Ops'!$B$23:$B$27, '03_Inputs_Ops'!$C$23:$C$27) * 1000 / 12 * (1 + '01_Control'!$B$9 + '01_Control'!$B$8) * (1.002^10)</f>
        <v>0</v>
      </c>
      <c r="M5" s="6">
        <f>SUMPRODUCT('03_Inputs_Ops'!$B$23:$B$27, '03_Inputs_Ops'!$C$23:$C$27) * 1000 / 12 * (1 + '01_Control'!$B$9 + '01_Control'!$B$8) * (1.002^11)</f>
        <v>0</v>
      </c>
      <c r="N5" s="6">
        <f>SUMPRODUCT('03_Inputs_Ops'!$B$23:$B$27, '03_Inputs_Ops'!$C$23:$C$27) * 1000 / 12 * (1 + '01_Control'!$B$9 + '01_Control'!$B$8) * (1.002^12)</f>
        <v>0</v>
      </c>
      <c r="O5" s="6">
        <f>SUMPRODUCT('03_Inputs_Ops'!$B$23:$B$27, '03_Inputs_Ops'!$C$23:$C$27) * 1000 / 12 * (1 + '01_Control'!$B$9 + '01_Control'!$B$8) * (1.002^13)</f>
        <v>0</v>
      </c>
      <c r="P5" s="6">
        <f>SUMPRODUCT('03_Inputs_Ops'!$B$23:$B$27, '03_Inputs_Ops'!$C$23:$C$27) * 1000 / 12 * (1 + '01_Control'!$B$9 + '01_Control'!$B$8) * (1.002^14)</f>
        <v>0</v>
      </c>
      <c r="Q5" s="6">
        <f>SUMPRODUCT('03_Inputs_Ops'!$B$23:$B$27, '03_Inputs_Ops'!$C$23:$C$27) * 1000 / 12 * (1 + '01_Control'!$B$9 + '01_Control'!$B$8) * (1.002^15)</f>
        <v>0</v>
      </c>
      <c r="R5" s="6">
        <f>SUMPRODUCT('03_Inputs_Ops'!$B$23:$B$27, '03_Inputs_Ops'!$C$23:$C$27) * 1000 / 12 * (1 + '01_Control'!$B$9 + '01_Control'!$B$8) * (1.002^16)</f>
        <v>0</v>
      </c>
      <c r="S5" s="6">
        <f>SUMPRODUCT('03_Inputs_Ops'!$B$23:$B$27, '03_Inputs_Ops'!$C$23:$C$27) * 1000 / 12 * (1 + '01_Control'!$B$9 + '01_Control'!$B$8) * (1.002^17)</f>
        <v>0</v>
      </c>
      <c r="T5" s="6">
        <f>SUMPRODUCT('03_Inputs_Ops'!$B$23:$B$27, '03_Inputs_Ops'!$C$23:$C$27) * 1000 / 12 * (1 + '01_Control'!$B$9 + '01_Control'!$B$8) * (1.002^18)</f>
        <v>0</v>
      </c>
      <c r="U5" s="6">
        <f>SUMPRODUCT('03_Inputs_Ops'!$B$23:$B$27, '03_Inputs_Ops'!$C$23:$C$27) * 1000 / 12 * (1 + '01_Control'!$B$9 + '01_Control'!$B$8) * (1.002^19)</f>
        <v>0</v>
      </c>
      <c r="V5" s="6">
        <f>SUMPRODUCT('03_Inputs_Ops'!$B$23:$B$27, '03_Inputs_Ops'!$C$23:$C$27) * 1000 / 12 * (1 + '01_Control'!$B$9 + '01_Control'!$B$8) * (1.002^20)</f>
        <v>0</v>
      </c>
      <c r="W5" s="6">
        <f>SUMPRODUCT('03_Inputs_Ops'!$B$23:$B$27, '03_Inputs_Ops'!$C$23:$C$27) * 1000 / 12 * (1 + '01_Control'!$B$9 + '01_Control'!$B$8) * (1.002^21)</f>
        <v>0</v>
      </c>
      <c r="X5" s="6">
        <f>SUMPRODUCT('03_Inputs_Ops'!$B$23:$B$27, '03_Inputs_Ops'!$C$23:$C$27) * 1000 / 12 * (1 + '01_Control'!$B$9 + '01_Control'!$B$8) * (1.002^22)</f>
        <v>0</v>
      </c>
      <c r="Y5" s="6">
        <f>SUMPRODUCT('03_Inputs_Ops'!$B$23:$B$27, '03_Inputs_Ops'!$C$23:$C$27) * 1000 / 12 * (1 + '01_Control'!$B$9 + '01_Control'!$B$8) * (1.002^23)</f>
        <v>0</v>
      </c>
      <c r="Z5" s="6">
        <f>SUMPRODUCT('03_Inputs_Ops'!$B$23:$B$27, '03_Inputs_Ops'!$C$23:$C$27) * 1000 / 12 * (1 + '01_Control'!$B$9 + '01_Control'!$B$8) * (1.002^24)</f>
        <v>0</v>
      </c>
      <c r="AA5" s="6">
        <f>SUMPRODUCT('03_Inputs_Ops'!$B$23:$B$27, '03_Inputs_Ops'!$C$23:$C$27) * 1000 / 12 * (1 + '01_Control'!$B$9 + '01_Control'!$B$8) * (1.002^25)</f>
        <v>0</v>
      </c>
      <c r="AB5" s="6">
        <f>SUMPRODUCT('03_Inputs_Ops'!$B$23:$B$27, '03_Inputs_Ops'!$C$23:$C$27) * 1000 / 12 * (1 + '01_Control'!$B$9 + '01_Control'!$B$8) * (1.002^26)</f>
        <v>0</v>
      </c>
      <c r="AC5" s="6">
        <f>SUMPRODUCT('03_Inputs_Ops'!$B$23:$B$27, '03_Inputs_Ops'!$C$23:$C$27) * 1000 / 12 * (1 + '01_Control'!$B$9 + '01_Control'!$B$8) * (1.002^27)</f>
        <v>0</v>
      </c>
      <c r="AD5" s="6">
        <f>SUMPRODUCT('03_Inputs_Ops'!$B$23:$B$27, '03_Inputs_Ops'!$C$23:$C$27) * 1000 / 12 * (1 + '01_Control'!$B$9 + '01_Control'!$B$8) * (1.002^28)</f>
        <v>0</v>
      </c>
      <c r="AE5" s="6">
        <f>SUMPRODUCT('03_Inputs_Ops'!$B$23:$B$27, '03_Inputs_Ops'!$C$23:$C$27) * 1000 / 12 * (1 + '01_Control'!$B$9 + '01_Control'!$B$8) * (1.002^29)</f>
        <v>0</v>
      </c>
      <c r="AF5" s="6">
        <f>SUMPRODUCT('03_Inputs_Ops'!$B$23:$B$27, '03_Inputs_Ops'!$C$23:$C$27) * 1000 / 12 * (1 + '01_Control'!$B$9 + '01_Control'!$B$8) * (1.002^30)</f>
        <v>0</v>
      </c>
      <c r="AG5" s="6">
        <f>SUMPRODUCT('03_Inputs_Ops'!$B$23:$B$27, '03_Inputs_Ops'!$C$23:$C$27) * 1000 / 12 * (1 + '01_Control'!$B$9 + '01_Control'!$B$8) * (1.002^31)</f>
        <v>0</v>
      </c>
      <c r="AH5" s="6">
        <f>SUMPRODUCT('03_Inputs_Ops'!$B$23:$B$27, '03_Inputs_Ops'!$C$23:$C$27) * 1000 / 12 * (1 + '01_Control'!$B$9 + '01_Control'!$B$8) * (1.002^32)</f>
        <v>0</v>
      </c>
      <c r="AI5" s="6">
        <f>SUMPRODUCT('03_Inputs_Ops'!$B$23:$B$27, '03_Inputs_Ops'!$C$23:$C$27) * 1000 / 12 * (1 + '01_Control'!$B$9 + '01_Control'!$B$8) * (1.002^33)</f>
        <v>0</v>
      </c>
      <c r="AJ5" s="6">
        <f>SUMPRODUCT('03_Inputs_Ops'!$B$23:$B$27, '03_Inputs_Ops'!$C$23:$C$27) * 1000 / 12 * (1 + '01_Control'!$B$9 + '01_Control'!$B$8) * (1.002^34)</f>
        <v>0</v>
      </c>
      <c r="AK5" s="6">
        <f>SUMPRODUCT('03_Inputs_Ops'!$B$23:$B$27, '03_Inputs_Ops'!$C$23:$C$27) * 1000 / 12 * (1 + '01_Control'!$B$9 + '01_Control'!$B$8) * (1.002^35)</f>
        <v>0</v>
      </c>
      <c r="AL5" s="6">
        <f>SUMPRODUCT('03_Inputs_Ops'!$B$23:$B$27, '03_Inputs_Ops'!$C$23:$C$27) * 1000 / 12 * (1 + '01_Control'!$B$9 + '01_Control'!$B$8) * (1.002^36)</f>
        <v>0</v>
      </c>
      <c r="AM5" s="6">
        <f>SUMPRODUCT('03_Inputs_Ops'!$B$23:$B$27, '03_Inputs_Ops'!$C$23:$C$27) * 1000 / 12 * (1 + '01_Control'!$B$9 + '01_Control'!$B$8) * (1.002^37)</f>
        <v>0</v>
      </c>
      <c r="AN5" s="6">
        <f>SUMPRODUCT('03_Inputs_Ops'!$B$23:$B$27, '03_Inputs_Ops'!$C$23:$C$27) * 1000 / 12 * (1 + '01_Control'!$B$9 + '01_Control'!$B$8) * (1.002^38)</f>
        <v>0</v>
      </c>
      <c r="AO5" s="6">
        <f>SUMPRODUCT('03_Inputs_Ops'!$B$23:$B$27, '03_Inputs_Ops'!$C$23:$C$27) * 1000 / 12 * (1 + '01_Control'!$B$9 + '01_Control'!$B$8) * (1.002^39)</f>
        <v>0</v>
      </c>
      <c r="AP5" s="6">
        <f>SUMPRODUCT('03_Inputs_Ops'!$B$23:$B$27, '03_Inputs_Ops'!$C$23:$C$27) * 1000 / 12 * (1 + '01_Control'!$B$9 + '01_Control'!$B$8) * (1.002^40)</f>
        <v>0</v>
      </c>
      <c r="AQ5" s="6">
        <f>SUMPRODUCT('03_Inputs_Ops'!$B$23:$B$27, '03_Inputs_Ops'!$C$23:$C$27) * 1000 / 12 * (1 + '01_Control'!$B$9 + '01_Control'!$B$8) * (1.002^41)</f>
        <v>0</v>
      </c>
      <c r="AR5" s="6">
        <f>SUMPRODUCT('03_Inputs_Ops'!$B$23:$B$27, '03_Inputs_Ops'!$C$23:$C$27) * 1000 / 12 * (1 + '01_Control'!$B$9 + '01_Control'!$B$8) * (1.002^42)</f>
        <v>0</v>
      </c>
      <c r="AS5" s="6">
        <f>SUMPRODUCT('03_Inputs_Ops'!$B$23:$B$27, '03_Inputs_Ops'!$C$23:$C$27) * 1000 / 12 * (1 + '01_Control'!$B$9 + '01_Control'!$B$8) * (1.002^43)</f>
        <v>0</v>
      </c>
      <c r="AT5" s="6">
        <f>SUMPRODUCT('03_Inputs_Ops'!$B$23:$B$27, '03_Inputs_Ops'!$C$23:$C$27) * 1000 / 12 * (1 + '01_Control'!$B$9 + '01_Control'!$B$8) * (1.002^44)</f>
        <v>0</v>
      </c>
      <c r="AU5" s="6">
        <f>SUMPRODUCT('03_Inputs_Ops'!$B$23:$B$27, '03_Inputs_Ops'!$C$23:$C$27) * 1000 / 12 * (1 + '01_Control'!$B$9 + '01_Control'!$B$8) * (1.002^45)</f>
        <v>0</v>
      </c>
      <c r="AV5" s="6">
        <f>SUMPRODUCT('03_Inputs_Ops'!$B$23:$B$27, '03_Inputs_Ops'!$C$23:$C$27) * 1000 / 12 * (1 + '01_Control'!$B$9 + '01_Control'!$B$8) * (1.002^46)</f>
        <v>0</v>
      </c>
      <c r="AW5" s="6">
        <f>SUMPRODUCT('03_Inputs_Ops'!$B$23:$B$27, '03_Inputs_Ops'!$C$23:$C$27) * 1000 / 12 * (1 + '01_Control'!$B$9 + '01_Control'!$B$8) * (1.002^47)</f>
        <v>0</v>
      </c>
      <c r="AX5" s="6">
        <f>SUMPRODUCT('03_Inputs_Ops'!$B$23:$B$27, '03_Inputs_Ops'!$C$23:$C$27) * 1000 / 12 * (1 + '01_Control'!$B$9 + '01_Control'!$B$8) * (1.002^48)</f>
        <v>0</v>
      </c>
      <c r="AY5" s="6">
        <f>SUMPRODUCT('03_Inputs_Ops'!$B$23:$B$27, '03_Inputs_Ops'!$C$23:$C$27) * 1000 / 12 * (1 + '01_Control'!$B$9 + '01_Control'!$B$8) * (1.002^49)</f>
        <v>0</v>
      </c>
      <c r="AZ5" s="6">
        <f>SUMPRODUCT('03_Inputs_Ops'!$B$23:$B$27, '03_Inputs_Ops'!$C$23:$C$27) * 1000 / 12 * (1 + '01_Control'!$B$9 + '01_Control'!$B$8) * (1.002^50)</f>
        <v>0</v>
      </c>
      <c r="BA5" s="6">
        <f>SUMPRODUCT('03_Inputs_Ops'!$B$23:$B$27, '03_Inputs_Ops'!$C$23:$C$27) * 1000 / 12 * (1 + '01_Control'!$B$9 + '01_Control'!$B$8) * (1.002^51)</f>
        <v>0</v>
      </c>
      <c r="BB5" s="6">
        <f>SUMPRODUCT('03_Inputs_Ops'!$B$23:$B$27, '03_Inputs_Ops'!$C$23:$C$27) * 1000 / 12 * (1 + '01_Control'!$B$9 + '01_Control'!$B$8) * (1.002^52)</f>
        <v>0</v>
      </c>
      <c r="BC5" s="6">
        <f>SUMPRODUCT('03_Inputs_Ops'!$B$23:$B$27, '03_Inputs_Ops'!$C$23:$C$27) * 1000 / 12 * (1 + '01_Control'!$B$9 + '01_Control'!$B$8) * (1.002^53)</f>
        <v>0</v>
      </c>
      <c r="BD5" s="6">
        <f>SUMPRODUCT('03_Inputs_Ops'!$B$23:$B$27, '03_Inputs_Ops'!$C$23:$C$27) * 1000 / 12 * (1 + '01_Control'!$B$9 + '01_Control'!$B$8) * (1.002^54)</f>
        <v>0</v>
      </c>
      <c r="BE5" s="6">
        <f>SUMPRODUCT('03_Inputs_Ops'!$B$23:$B$27, '03_Inputs_Ops'!$C$23:$C$27) * 1000 / 12 * (1 + '01_Control'!$B$9 + '01_Control'!$B$8) * (1.002^55)</f>
        <v>0</v>
      </c>
      <c r="BF5" s="6">
        <f>SUMPRODUCT('03_Inputs_Ops'!$B$23:$B$27, '03_Inputs_Ops'!$C$23:$C$27) * 1000 / 12 * (1 + '01_Control'!$B$9 + '01_Control'!$B$8) * (1.002^56)</f>
        <v>0</v>
      </c>
      <c r="BG5" s="6">
        <f>SUMPRODUCT('03_Inputs_Ops'!$B$23:$B$27, '03_Inputs_Ops'!$C$23:$C$27) * 1000 / 12 * (1 + '01_Control'!$B$9 + '01_Control'!$B$8) * (1.002^57)</f>
        <v>0</v>
      </c>
      <c r="BH5" s="6">
        <f>SUMPRODUCT('03_Inputs_Ops'!$B$23:$B$27, '03_Inputs_Ops'!$C$23:$C$27) * 1000 / 12 * (1 + '01_Control'!$B$9 + '01_Control'!$B$8) * (1.002^58)</f>
        <v>0</v>
      </c>
      <c r="BI5" s="6">
        <f>SUMPRODUCT('03_Inputs_Ops'!$B$23:$B$27, '03_Inputs_Ops'!$C$23:$C$27) * 1000 / 12 * (1 + '01_Control'!$B$9 + '01_Control'!$B$8) * (1.002^59)</f>
        <v>0</v>
      </c>
    </row>
    <row r="7" spans="1:61">
      <c r="A7" s="4" t="s">
        <v>121</v>
      </c>
      <c r="B7" s="6">
        <f>'05_Calcs_Revenue'!B12 * 0.12 + 25000</f>
        <v>0</v>
      </c>
      <c r="C7" s="6">
        <f>'05_Calcs_Revenue'!C12 * 0.12 + 25000</f>
        <v>0</v>
      </c>
      <c r="D7" s="6">
        <f>'05_Calcs_Revenue'!D12 * 0.12 + 25000</f>
        <v>0</v>
      </c>
      <c r="E7" s="6">
        <f>'05_Calcs_Revenue'!E12 * 0.12 + 25000</f>
        <v>0</v>
      </c>
      <c r="F7" s="6">
        <f>'05_Calcs_Revenue'!F12 * 0.12 + 25000</f>
        <v>0</v>
      </c>
      <c r="G7" s="6">
        <f>'05_Calcs_Revenue'!G12 * 0.12 + 25000</f>
        <v>0</v>
      </c>
      <c r="H7" s="6">
        <f>'05_Calcs_Revenue'!H12 * 0.12 + 25000</f>
        <v>0</v>
      </c>
      <c r="I7" s="6">
        <f>'05_Calcs_Revenue'!I12 * 0.12 + 25000</f>
        <v>0</v>
      </c>
      <c r="J7" s="6">
        <f>'05_Calcs_Revenue'!J12 * 0.12 + 25000</f>
        <v>0</v>
      </c>
      <c r="K7" s="6">
        <f>'05_Calcs_Revenue'!K12 * 0.12 + 25000</f>
        <v>0</v>
      </c>
      <c r="L7" s="6">
        <f>'05_Calcs_Revenue'!L12 * 0.12 + 25000</f>
        <v>0</v>
      </c>
      <c r="M7" s="6">
        <f>'05_Calcs_Revenue'!M12 * 0.12 + 25000</f>
        <v>0</v>
      </c>
      <c r="N7" s="6">
        <f>'05_Calcs_Revenue'!N12 * 0.12 + 25000</f>
        <v>0</v>
      </c>
      <c r="O7" s="6">
        <f>'05_Calcs_Revenue'!O12 * 0.12 + 25000</f>
        <v>0</v>
      </c>
      <c r="P7" s="6">
        <f>'05_Calcs_Revenue'!P12 * 0.12 + 25000</f>
        <v>0</v>
      </c>
      <c r="Q7" s="6">
        <f>'05_Calcs_Revenue'!Q12 * 0.12 + 25000</f>
        <v>0</v>
      </c>
      <c r="R7" s="6">
        <f>'05_Calcs_Revenue'!R12 * 0.12 + 25000</f>
        <v>0</v>
      </c>
      <c r="S7" s="6">
        <f>'05_Calcs_Revenue'!S12 * 0.12 + 25000</f>
        <v>0</v>
      </c>
      <c r="T7" s="6">
        <f>'05_Calcs_Revenue'!T12 * 0.12 + 25000</f>
        <v>0</v>
      </c>
      <c r="U7" s="6">
        <f>'05_Calcs_Revenue'!U12 * 0.12 + 25000</f>
        <v>0</v>
      </c>
      <c r="V7" s="6">
        <f>'05_Calcs_Revenue'!V12 * 0.12 + 25000</f>
        <v>0</v>
      </c>
      <c r="W7" s="6">
        <f>'05_Calcs_Revenue'!W12 * 0.12 + 25000</f>
        <v>0</v>
      </c>
      <c r="X7" s="6">
        <f>'05_Calcs_Revenue'!X12 * 0.12 + 25000</f>
        <v>0</v>
      </c>
      <c r="Y7" s="6">
        <f>'05_Calcs_Revenue'!Y12 * 0.12 + 25000</f>
        <v>0</v>
      </c>
      <c r="Z7" s="6">
        <f>'05_Calcs_Revenue'!Z12 * 0.12 + 25000</f>
        <v>0</v>
      </c>
      <c r="AA7" s="6">
        <f>'05_Calcs_Revenue'!AA12 * 0.12 + 25000</f>
        <v>0</v>
      </c>
      <c r="AB7" s="6">
        <f>'05_Calcs_Revenue'!AB12 * 0.12 + 25000</f>
        <v>0</v>
      </c>
      <c r="AC7" s="6">
        <f>'05_Calcs_Revenue'!AC12 * 0.12 + 25000</f>
        <v>0</v>
      </c>
      <c r="AD7" s="6">
        <f>'05_Calcs_Revenue'!AD12 * 0.12 + 25000</f>
        <v>0</v>
      </c>
      <c r="AE7" s="6">
        <f>'05_Calcs_Revenue'!AE12 * 0.12 + 25000</f>
        <v>0</v>
      </c>
      <c r="AF7" s="6">
        <f>'05_Calcs_Revenue'!AF12 * 0.12 + 25000</f>
        <v>0</v>
      </c>
      <c r="AG7" s="6">
        <f>'05_Calcs_Revenue'!AG12 * 0.12 + 25000</f>
        <v>0</v>
      </c>
      <c r="AH7" s="6">
        <f>'05_Calcs_Revenue'!AH12 * 0.12 + 25000</f>
        <v>0</v>
      </c>
      <c r="AI7" s="6">
        <f>'05_Calcs_Revenue'!AI12 * 0.12 + 25000</f>
        <v>0</v>
      </c>
      <c r="AJ7" s="6">
        <f>'05_Calcs_Revenue'!AJ12 * 0.12 + 25000</f>
        <v>0</v>
      </c>
      <c r="AK7" s="6">
        <f>'05_Calcs_Revenue'!AK12 * 0.12 + 25000</f>
        <v>0</v>
      </c>
      <c r="AL7" s="6">
        <f>'05_Calcs_Revenue'!AL12 * 0.12 + 25000</f>
        <v>0</v>
      </c>
      <c r="AM7" s="6">
        <f>'05_Calcs_Revenue'!AM12 * 0.12 + 25000</f>
        <v>0</v>
      </c>
      <c r="AN7" s="6">
        <f>'05_Calcs_Revenue'!AN12 * 0.12 + 25000</f>
        <v>0</v>
      </c>
      <c r="AO7" s="6">
        <f>'05_Calcs_Revenue'!AO12 * 0.12 + 25000</f>
        <v>0</v>
      </c>
      <c r="AP7" s="6">
        <f>'05_Calcs_Revenue'!AP12 * 0.12 + 25000</f>
        <v>0</v>
      </c>
      <c r="AQ7" s="6">
        <f>'05_Calcs_Revenue'!AQ12 * 0.12 + 25000</f>
        <v>0</v>
      </c>
      <c r="AR7" s="6">
        <f>'05_Calcs_Revenue'!AR12 * 0.12 + 25000</f>
        <v>0</v>
      </c>
      <c r="AS7" s="6">
        <f>'05_Calcs_Revenue'!AS12 * 0.12 + 25000</f>
        <v>0</v>
      </c>
      <c r="AT7" s="6">
        <f>'05_Calcs_Revenue'!AT12 * 0.12 + 25000</f>
        <v>0</v>
      </c>
      <c r="AU7" s="6">
        <f>'05_Calcs_Revenue'!AU12 * 0.12 + 25000</f>
        <v>0</v>
      </c>
      <c r="AV7" s="6">
        <f>'05_Calcs_Revenue'!AV12 * 0.12 + 25000</f>
        <v>0</v>
      </c>
      <c r="AW7" s="6">
        <f>'05_Calcs_Revenue'!AW12 * 0.12 + 25000</f>
        <v>0</v>
      </c>
      <c r="AX7" s="6">
        <f>'05_Calcs_Revenue'!AX12 * 0.12 + 25000</f>
        <v>0</v>
      </c>
      <c r="AY7" s="6">
        <f>'05_Calcs_Revenue'!AY12 * 0.12 + 25000</f>
        <v>0</v>
      </c>
      <c r="AZ7" s="6">
        <f>'05_Calcs_Revenue'!AZ12 * 0.12 + 25000</f>
        <v>0</v>
      </c>
      <c r="BA7" s="6">
        <f>'05_Calcs_Revenue'!BA12 * 0.12 + 25000</f>
        <v>0</v>
      </c>
      <c r="BB7" s="6">
        <f>'05_Calcs_Revenue'!BB12 * 0.12 + 25000</f>
        <v>0</v>
      </c>
      <c r="BC7" s="6">
        <f>'05_Calcs_Revenue'!BC12 * 0.12 + 25000</f>
        <v>0</v>
      </c>
      <c r="BD7" s="6">
        <f>'05_Calcs_Revenue'!BD12 * 0.12 + 25000</f>
        <v>0</v>
      </c>
      <c r="BE7" s="6">
        <f>'05_Calcs_Revenue'!BE12 * 0.12 + 25000</f>
        <v>0</v>
      </c>
      <c r="BF7" s="6">
        <f>'05_Calcs_Revenue'!BF12 * 0.12 + 25000</f>
        <v>0</v>
      </c>
      <c r="BG7" s="6">
        <f>'05_Calcs_Revenue'!BG12 * 0.12 + 25000</f>
        <v>0</v>
      </c>
      <c r="BH7" s="6">
        <f>'05_Calcs_Revenue'!BH12 * 0.12 + 25000</f>
        <v>0</v>
      </c>
      <c r="BI7" s="6">
        <f>'05_Calcs_Revenue'!BI12 * 0.12 + 25000</f>
        <v>0</v>
      </c>
    </row>
    <row r="9" spans="1:61">
      <c r="B9" s="6">
        <f>SUM(B5:B8)</f>
        <v>0</v>
      </c>
      <c r="C9" s="6">
        <f>SUM(C5:C8)</f>
        <v>0</v>
      </c>
      <c r="D9" s="6">
        <f>SUM(D5:D8)</f>
        <v>0</v>
      </c>
      <c r="E9" s="6">
        <f>SUM(E5:E8)</f>
        <v>0</v>
      </c>
      <c r="F9" s="6">
        <f>SUM(F5:F8)</f>
        <v>0</v>
      </c>
      <c r="G9" s="6">
        <f>SUM(G5:G8)</f>
        <v>0</v>
      </c>
      <c r="H9" s="6">
        <f>SUM(H5:H8)</f>
        <v>0</v>
      </c>
      <c r="I9" s="6">
        <f>SUM(I5:I8)</f>
        <v>0</v>
      </c>
      <c r="J9" s="6">
        <f>SUM(J5:J8)</f>
        <v>0</v>
      </c>
      <c r="K9" s="6">
        <f>SUM(K5:K8)</f>
        <v>0</v>
      </c>
      <c r="L9" s="6">
        <f>SUM(L5:L8)</f>
        <v>0</v>
      </c>
      <c r="M9" s="6">
        <f>SUM(M5:M8)</f>
        <v>0</v>
      </c>
      <c r="N9" s="6">
        <f>SUM(N5:N8)</f>
        <v>0</v>
      </c>
      <c r="O9" s="6">
        <f>SUM(O5:O8)</f>
        <v>0</v>
      </c>
      <c r="P9" s="6">
        <f>SUM(P5:P8)</f>
        <v>0</v>
      </c>
      <c r="Q9" s="6">
        <f>SUM(Q5:Q8)</f>
        <v>0</v>
      </c>
      <c r="R9" s="6">
        <f>SUM(R5:R8)</f>
        <v>0</v>
      </c>
      <c r="S9" s="6">
        <f>SUM(S5:S8)</f>
        <v>0</v>
      </c>
      <c r="T9" s="6">
        <f>SUM(T5:T8)</f>
        <v>0</v>
      </c>
      <c r="U9" s="6">
        <f>SUM(U5:U8)</f>
        <v>0</v>
      </c>
      <c r="V9" s="6">
        <f>SUM(V5:V8)</f>
        <v>0</v>
      </c>
      <c r="W9" s="6">
        <f>SUM(W5:W8)</f>
        <v>0</v>
      </c>
      <c r="X9" s="6">
        <f>SUM(X5:X8)</f>
        <v>0</v>
      </c>
      <c r="Y9" s="6">
        <f>SUM(Y5:Y8)</f>
        <v>0</v>
      </c>
      <c r="Z9" s="6">
        <f>SUM(Z5:Z8)</f>
        <v>0</v>
      </c>
      <c r="AA9" s="6">
        <f>SUM(AA5:AA8)</f>
        <v>0</v>
      </c>
      <c r="AB9" s="6">
        <f>SUM(AB5:AB8)</f>
        <v>0</v>
      </c>
      <c r="AC9" s="6">
        <f>SUM(AC5:AC8)</f>
        <v>0</v>
      </c>
      <c r="AD9" s="6">
        <f>SUM(AD5:AD8)</f>
        <v>0</v>
      </c>
      <c r="AE9" s="6">
        <f>SUM(AE5:AE8)</f>
        <v>0</v>
      </c>
      <c r="AF9" s="6">
        <f>SUM(AF5:AF8)</f>
        <v>0</v>
      </c>
      <c r="AG9" s="6">
        <f>SUM(AG5:AG8)</f>
        <v>0</v>
      </c>
      <c r="AH9" s="6">
        <f>SUM(AH5:AH8)</f>
        <v>0</v>
      </c>
      <c r="AI9" s="6">
        <f>SUM(AI5:AI8)</f>
        <v>0</v>
      </c>
      <c r="AJ9" s="6">
        <f>SUM(AJ5:AJ8)</f>
        <v>0</v>
      </c>
      <c r="AK9" s="6">
        <f>SUM(AK5:AK8)</f>
        <v>0</v>
      </c>
      <c r="AL9" s="6">
        <f>SUM(AL5:AL8)</f>
        <v>0</v>
      </c>
      <c r="AM9" s="6">
        <f>SUM(AM5:AM8)</f>
        <v>0</v>
      </c>
      <c r="AN9" s="6">
        <f>SUM(AN5:AN8)</f>
        <v>0</v>
      </c>
      <c r="AO9" s="6">
        <f>SUM(AO5:AO8)</f>
        <v>0</v>
      </c>
      <c r="AP9" s="6">
        <f>SUM(AP5:AP8)</f>
        <v>0</v>
      </c>
      <c r="AQ9" s="6">
        <f>SUM(AQ5:AQ8)</f>
        <v>0</v>
      </c>
      <c r="AR9" s="6">
        <f>SUM(AR5:AR8)</f>
        <v>0</v>
      </c>
      <c r="AS9" s="6">
        <f>SUM(AS5:AS8)</f>
        <v>0</v>
      </c>
      <c r="AT9" s="6">
        <f>SUM(AT5:AT8)</f>
        <v>0</v>
      </c>
      <c r="AU9" s="6">
        <f>SUM(AU5:AU8)</f>
        <v>0</v>
      </c>
      <c r="AV9" s="6">
        <f>SUM(AV5:AV8)</f>
        <v>0</v>
      </c>
      <c r="AW9" s="6">
        <f>SUM(AW5:AW8)</f>
        <v>0</v>
      </c>
      <c r="AX9" s="6">
        <f>SUM(AX5:AX8)</f>
        <v>0</v>
      </c>
      <c r="AY9" s="6">
        <f>SUM(AY5:AY8)</f>
        <v>0</v>
      </c>
      <c r="AZ9" s="6">
        <f>SUM(AZ5:AZ8)</f>
        <v>0</v>
      </c>
      <c r="BA9" s="6">
        <f>SUM(BA5:BA8)</f>
        <v>0</v>
      </c>
      <c r="BB9" s="6">
        <f>SUM(BB5:BB8)</f>
        <v>0</v>
      </c>
      <c r="BC9" s="6">
        <f>SUM(BC5:BC8)</f>
        <v>0</v>
      </c>
      <c r="BD9" s="6">
        <f>SUM(BD5:BD8)</f>
        <v>0</v>
      </c>
      <c r="BE9" s="6">
        <f>SUM(BE5:BE8)</f>
        <v>0</v>
      </c>
      <c r="BF9" s="6">
        <f>SUM(BF5:BF8)</f>
        <v>0</v>
      </c>
      <c r="BG9" s="6">
        <f>SUM(BG5:BG8)</f>
        <v>0</v>
      </c>
      <c r="BH9" s="6">
        <f>SUM(BH5:BH8)</f>
        <v>0</v>
      </c>
      <c r="BI9" s="6">
        <f>SUM(BI5:BI8)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Q22"/>
  <sheetViews>
    <sheetView workbookViewId="0"/>
  </sheetViews>
  <sheetFormatPr defaultRowHeight="15"/>
  <cols>
    <col min="1" max="1" width="30.7109375" customWidth="1"/>
  </cols>
  <sheetData>
    <row r="3" spans="1:17"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122</v>
      </c>
      <c r="O3" s="2" t="s">
        <v>123</v>
      </c>
      <c r="P3" s="2" t="s">
        <v>124</v>
      </c>
      <c r="Q3" s="2" t="s">
        <v>125</v>
      </c>
    </row>
    <row r="4" spans="1:17">
      <c r="A4" s="2" t="s">
        <v>126</v>
      </c>
    </row>
    <row r="6" spans="1:17">
      <c r="A6" s="4" t="s">
        <v>127</v>
      </c>
      <c r="B6" s="6">
        <f>1*'05_Calcs_Revenue'!B12</f>
        <v>0</v>
      </c>
      <c r="C6" s="6">
        <f>1*'05_Calcs_Revenue'!C12</f>
        <v>0</v>
      </c>
      <c r="D6" s="6">
        <f>1*'05_Calcs_Revenue'!D12</f>
        <v>0</v>
      </c>
      <c r="E6" s="6">
        <f>1*'05_Calcs_Revenue'!E12</f>
        <v>0</v>
      </c>
      <c r="F6" s="6">
        <f>1*'05_Calcs_Revenue'!F12</f>
        <v>0</v>
      </c>
      <c r="G6" s="6">
        <f>1*'05_Calcs_Revenue'!G12</f>
        <v>0</v>
      </c>
      <c r="H6" s="6">
        <f>1*'05_Calcs_Revenue'!H12</f>
        <v>0</v>
      </c>
      <c r="I6" s="6">
        <f>1*'05_Calcs_Revenue'!I12</f>
        <v>0</v>
      </c>
      <c r="J6" s="6">
        <f>1*'05_Calcs_Revenue'!J12</f>
        <v>0</v>
      </c>
      <c r="K6" s="6">
        <f>1*'05_Calcs_Revenue'!K12</f>
        <v>0</v>
      </c>
      <c r="L6" s="6">
        <f>1*'05_Calcs_Revenue'!L12</f>
        <v>0</v>
      </c>
      <c r="M6" s="6">
        <f>1*'05_Calcs_Revenue'!M12</f>
        <v>0</v>
      </c>
      <c r="N6" s="6">
        <f>1*SUM('05_Calcs_Revenue'!N12:Y12)</f>
        <v>0</v>
      </c>
      <c r="O6" s="6">
        <f>1*SUM('05_Calcs_Revenue'!Z12:AK12)</f>
        <v>0</v>
      </c>
      <c r="P6" s="6">
        <f>1*SUM('05_Calcs_Revenue'!AL12:AW12)</f>
        <v>0</v>
      </c>
      <c r="Q6" s="6">
        <f>1*SUM('05_Calcs_Revenue'!AX12:BI12)</f>
        <v>0</v>
      </c>
    </row>
    <row r="7" spans="1:17">
      <c r="A7" s="4" t="s">
        <v>128</v>
      </c>
      <c r="B7" s="6">
        <f>-1*'06_Calcs_COGS'!B10</f>
        <v>0</v>
      </c>
      <c r="C7" s="6">
        <f>-1*'06_Calcs_COGS'!C10</f>
        <v>0</v>
      </c>
      <c r="D7" s="6">
        <f>-1*'06_Calcs_COGS'!D10</f>
        <v>0</v>
      </c>
      <c r="E7" s="6">
        <f>-1*'06_Calcs_COGS'!E10</f>
        <v>0</v>
      </c>
      <c r="F7" s="6">
        <f>-1*'06_Calcs_COGS'!F10</f>
        <v>0</v>
      </c>
      <c r="G7" s="6">
        <f>-1*'06_Calcs_COGS'!G10</f>
        <v>0</v>
      </c>
      <c r="H7" s="6">
        <f>-1*'06_Calcs_COGS'!H10</f>
        <v>0</v>
      </c>
      <c r="I7" s="6">
        <f>-1*'06_Calcs_COGS'!I10</f>
        <v>0</v>
      </c>
      <c r="J7" s="6">
        <f>-1*'06_Calcs_COGS'!J10</f>
        <v>0</v>
      </c>
      <c r="K7" s="6">
        <f>-1*'06_Calcs_COGS'!K10</f>
        <v>0</v>
      </c>
      <c r="L7" s="6">
        <f>-1*'06_Calcs_COGS'!L10</f>
        <v>0</v>
      </c>
      <c r="M7" s="6">
        <f>-1*'06_Calcs_COGS'!M10</f>
        <v>0</v>
      </c>
      <c r="N7" s="6">
        <f>-1*SUM('06_Calcs_COGS'!N10:Y10)</f>
        <v>0</v>
      </c>
      <c r="O7" s="6">
        <f>-1*SUM('06_Calcs_COGS'!Z10:AK10)</f>
        <v>0</v>
      </c>
      <c r="P7" s="6">
        <f>-1*SUM('06_Calcs_COGS'!AL10:AW10)</f>
        <v>0</v>
      </c>
      <c r="Q7" s="6">
        <f>-1*SUM('06_Calcs_COGS'!AX10:BI10)</f>
        <v>0</v>
      </c>
    </row>
    <row r="8" spans="1:17">
      <c r="A8" s="4" t="s">
        <v>129</v>
      </c>
      <c r="B8" s="6">
        <f>-1*'07_Calcs_OpEx'!B9</f>
        <v>0</v>
      </c>
      <c r="C8" s="6">
        <f>-1*'07_Calcs_OpEx'!C9</f>
        <v>0</v>
      </c>
      <c r="D8" s="6">
        <f>-1*'07_Calcs_OpEx'!D9</f>
        <v>0</v>
      </c>
      <c r="E8" s="6">
        <f>-1*'07_Calcs_OpEx'!E9</f>
        <v>0</v>
      </c>
      <c r="F8" s="6">
        <f>-1*'07_Calcs_OpEx'!F9</f>
        <v>0</v>
      </c>
      <c r="G8" s="6">
        <f>-1*'07_Calcs_OpEx'!G9</f>
        <v>0</v>
      </c>
      <c r="H8" s="6">
        <f>-1*'07_Calcs_OpEx'!H9</f>
        <v>0</v>
      </c>
      <c r="I8" s="6">
        <f>-1*'07_Calcs_OpEx'!I9</f>
        <v>0</v>
      </c>
      <c r="J8" s="6">
        <f>-1*'07_Calcs_OpEx'!J9</f>
        <v>0</v>
      </c>
      <c r="K8" s="6">
        <f>-1*'07_Calcs_OpEx'!K9</f>
        <v>0</v>
      </c>
      <c r="L8" s="6">
        <f>-1*'07_Calcs_OpEx'!L9</f>
        <v>0</v>
      </c>
      <c r="M8" s="6">
        <f>-1*'07_Calcs_OpEx'!M9</f>
        <v>0</v>
      </c>
      <c r="N8" s="6">
        <f>-1*SUM('07_Calcs_OpEx'!N9:Y9)</f>
        <v>0</v>
      </c>
      <c r="O8" s="6">
        <f>-1*SUM('07_Calcs_OpEx'!Z9:AK9)</f>
        <v>0</v>
      </c>
      <c r="P8" s="6">
        <f>-1*SUM('07_Calcs_OpEx'!AL9:AW9)</f>
        <v>0</v>
      </c>
      <c r="Q8" s="6">
        <f>-1*SUM('07_Calcs_OpEx'!AX9:BI9)</f>
        <v>0</v>
      </c>
    </row>
    <row r="10" spans="1:17">
      <c r="B10" s="6">
        <f>SUM(B6:B9)</f>
        <v>0</v>
      </c>
      <c r="C10" s="6">
        <f>SUM(C6:C9)</f>
        <v>0</v>
      </c>
      <c r="D10" s="6">
        <f>SUM(D6:D9)</f>
        <v>0</v>
      </c>
      <c r="E10" s="6">
        <f>SUM(E6:E9)</f>
        <v>0</v>
      </c>
      <c r="F10" s="6">
        <f>SUM(F6:F9)</f>
        <v>0</v>
      </c>
      <c r="G10" s="6">
        <f>SUM(G6:G9)</f>
        <v>0</v>
      </c>
      <c r="H10" s="6">
        <f>SUM(H6:H9)</f>
        <v>0</v>
      </c>
      <c r="I10" s="6">
        <f>SUM(I6:I9)</f>
        <v>0</v>
      </c>
      <c r="J10" s="6">
        <f>SUM(J6:J9)</f>
        <v>0</v>
      </c>
      <c r="K10" s="6">
        <f>SUM(K6:K9)</f>
        <v>0</v>
      </c>
      <c r="L10" s="6">
        <f>SUM(L6:L9)</f>
        <v>0</v>
      </c>
      <c r="M10" s="6">
        <f>SUM(M6:M9)</f>
        <v>0</v>
      </c>
      <c r="N10" s="6">
        <f>SUM(N6:N9)</f>
        <v>0</v>
      </c>
      <c r="O10" s="6">
        <f>SUM(O6:O9)</f>
        <v>0</v>
      </c>
      <c r="P10" s="6">
        <f>SUM(P6:P9)</f>
        <v>0</v>
      </c>
      <c r="Q10" s="6">
        <f>SUM(Q6:Q9)</f>
        <v>0</v>
      </c>
    </row>
    <row r="20" spans="1:17">
      <c r="A20" s="2" t="s">
        <v>130</v>
      </c>
    </row>
    <row r="21" spans="1:17">
      <c r="B21" s="6">
        <f>B10 * 0.7</f>
        <v>0</v>
      </c>
      <c r="C21" s="6">
        <f>C10 * 0.7</f>
        <v>0</v>
      </c>
      <c r="D21" s="6">
        <f>D10 * 0.7</f>
        <v>0</v>
      </c>
      <c r="E21" s="6">
        <f>E10 * 0.7</f>
        <v>0</v>
      </c>
      <c r="F21" s="6">
        <f>F10 * 0.7</f>
        <v>0</v>
      </c>
      <c r="G21" s="6">
        <f>G10 * 0.7</f>
        <v>0</v>
      </c>
      <c r="H21" s="6">
        <f>H10 * 0.7</f>
        <v>0</v>
      </c>
      <c r="I21" s="6">
        <f>I10 * 0.7</f>
        <v>0</v>
      </c>
      <c r="J21" s="6">
        <f>J10 * 0.7</f>
        <v>0</v>
      </c>
      <c r="K21" s="6">
        <f>K10 * 0.7</f>
        <v>0</v>
      </c>
      <c r="L21" s="6">
        <f>L10 * 0.7</f>
        <v>0</v>
      </c>
      <c r="M21" s="6">
        <f>M10 * 0.7</f>
        <v>0</v>
      </c>
      <c r="N21" s="6">
        <f>N10 * 0.7</f>
        <v>0</v>
      </c>
      <c r="O21" s="6">
        <f>O10 * 0.7</f>
        <v>0</v>
      </c>
      <c r="P21" s="6">
        <f>P10 * 0.7</f>
        <v>0</v>
      </c>
      <c r="Q21" s="6">
        <f>Q10 * 0.7</f>
        <v>0</v>
      </c>
    </row>
    <row r="22" spans="1:17">
      <c r="B22" s="8">
        <f>1000000 + B21</f>
        <v>0</v>
      </c>
      <c r="C22" s="8">
        <f>B22 + C21</f>
        <v>0</v>
      </c>
      <c r="D22" s="8">
        <f>C22 + D21</f>
        <v>0</v>
      </c>
      <c r="E22" s="8">
        <f>D22 + E21</f>
        <v>0</v>
      </c>
      <c r="F22" s="8">
        <f>E22 + F21</f>
        <v>0</v>
      </c>
      <c r="G22" s="8">
        <f>F22 + G21</f>
        <v>0</v>
      </c>
      <c r="H22" s="8">
        <f>G22 + H21</f>
        <v>0</v>
      </c>
      <c r="I22" s="8">
        <f>H22 + I21</f>
        <v>0</v>
      </c>
      <c r="J22" s="8">
        <f>I22 + J21</f>
        <v>0</v>
      </c>
      <c r="K22" s="8">
        <f>J22 + K21</f>
        <v>0</v>
      </c>
      <c r="L22" s="8">
        <f>K22 + L21</f>
        <v>0</v>
      </c>
      <c r="M22" s="8">
        <f>L22 + M21</f>
        <v>0</v>
      </c>
      <c r="N22" s="8">
        <f>M22 + N21</f>
        <v>0</v>
      </c>
      <c r="O22" s="8">
        <f>N22 + O21</f>
        <v>0</v>
      </c>
      <c r="P22" s="8">
        <f>O22 + P21</f>
        <v>0</v>
      </c>
      <c r="Q22" s="8">
        <f>P22 + Q21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45.7109375" customWidth="1"/>
  </cols>
  <sheetData>
    <row r="1" spans="1:2">
      <c r="A1" s="1" t="s">
        <v>131</v>
      </c>
    </row>
    <row r="4" spans="1:2">
      <c r="B4" s="9">
        <f>IF(MIN('10_Outputs_3Way'!B22:Q22)&gt;0, 'PASS', 'WARN')</f>
        <v>0</v>
      </c>
    </row>
    <row r="5" spans="1:2">
      <c r="B5" s="9">
        <f>IF('05_Calcs_Revenue'!B12 &gt; 0, 'PASS', 'FAIL')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01_Control</vt:lpstr>
      <vt:lpstr>02_Inputs_Sales</vt:lpstr>
      <vt:lpstr>03_Inputs_Ops</vt:lpstr>
      <vt:lpstr>04_Calcs_Volume</vt:lpstr>
      <vt:lpstr>05_Calcs_Revenue</vt:lpstr>
      <vt:lpstr>06_Calcs_COGS</vt:lpstr>
      <vt:lpstr>07_Calcs_OpEx</vt:lpstr>
      <vt:lpstr>08_Calcs_WC_Inv</vt:lpstr>
      <vt:lpstr>09_Calcs_Capex_Tax</vt:lpstr>
      <vt:lpstr>10_Outputs_3Way</vt:lpstr>
      <vt:lpstr>11_Dashboard</vt:lpstr>
      <vt:lpstr>12_Audit_Checks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2026-02-19T05:25:21Z</dcterms:created>
  <dcterms:modified xsi:type="dcterms:W3CDTF">2026-02-19T05:25:21Z</dcterms:modified>
</cp:coreProperties>
</file>