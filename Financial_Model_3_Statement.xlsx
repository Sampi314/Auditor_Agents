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Workings" sheetId="2" state="visible" r:id="rId2"/>
    <sheet name="Income Statement" sheetId="3" state="visible" r:id="rId3"/>
    <sheet name="Balance Sheet" sheetId="4" state="visible" r:id="rId4"/>
    <sheet name="Cash Flow State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  <font>
      <b val="1"/>
      <sz val="11"/>
    </font>
    <font>
      <b val="1"/>
      <sz val="12"/>
    </font>
    <font>
      <i val="1"/>
    </font>
  </fonts>
  <fills count="10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9E1F2"/>
        <bgColor rgb="00D9E1F2"/>
      </patternFill>
    </fill>
    <fill>
      <patternFill patternType="solid">
        <fgColor rgb="00FFE699"/>
        <bgColor rgb="00FFE699"/>
      </patternFill>
    </fill>
    <fill>
      <patternFill patternType="solid">
        <fgColor rgb="00E2EFDA"/>
        <bgColor rgb="00E2EFDA"/>
      </patternFill>
    </fill>
    <fill>
      <patternFill patternType="solid">
        <fgColor rgb="00C6E0B4"/>
        <bgColor rgb="00C6E0B4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FF6B6B"/>
        <bgColor rgb="00FF6B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4" fillId="4" borderId="0" pivotButton="0" quotePrefix="0" xfId="0"/>
    <xf numFmtId="0" fontId="4" fillId="5" borderId="0" pivotButton="0" quotePrefix="0" xfId="0"/>
    <xf numFmtId="3" fontId="2" fillId="0" borderId="0" pivotButton="0" quotePrefix="0" xfId="0"/>
    <xf numFmtId="3" fontId="2" fillId="6" borderId="0" pivotButton="0" quotePrefix="0" xfId="0"/>
    <xf numFmtId="0" fontId="4" fillId="7" borderId="0" pivotButton="0" quotePrefix="0" xfId="0"/>
    <xf numFmtId="3" fontId="2" fillId="8" borderId="0" pivotButton="0" quotePrefix="0" xfId="0"/>
    <xf numFmtId="3" fontId="4" fillId="6" borderId="0" pivotButton="0" quotePrefix="0" xfId="0"/>
    <xf numFmtId="0" fontId="5" fillId="3" borderId="0" pivotButton="0" quotePrefix="0" xfId="0"/>
    <xf numFmtId="0" fontId="5" fillId="7" borderId="0" pivotButton="0" quotePrefix="0" xfId="0"/>
    <xf numFmtId="3" fontId="2" fillId="4" borderId="0" pivotButton="0" quotePrefix="0" xfId="0"/>
    <xf numFmtId="0" fontId="5" fillId="5" borderId="0" pivotButton="0" quotePrefix="0" xfId="0"/>
    <xf numFmtId="3" fontId="2" fillId="9" borderId="0" pivotButton="0" quotePrefix="0" xfId="0"/>
    <xf numFmtId="0" fontId="6" fillId="0" borderId="0" pivotButton="0" quotePrefix="0" xfId="0"/>
    <xf numFmtId="0" fontId="4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FINANCIAL MODEL INPUTS</t>
        </is>
      </c>
    </row>
    <row r="3">
      <c r="A3" s="2" t="inlineStr">
        <is>
          <t>Timeline</t>
        </is>
      </c>
      <c r="B3" s="3" t="inlineStr">
        <is>
          <t>Month 1</t>
        </is>
      </c>
      <c r="C3" s="3" t="inlineStr">
        <is>
          <t>Month 2</t>
        </is>
      </c>
      <c r="D3" s="3" t="inlineStr">
        <is>
          <t>Month 3</t>
        </is>
      </c>
      <c r="E3" s="3" t="inlineStr">
        <is>
          <t>Month 4</t>
        </is>
      </c>
      <c r="F3" s="3" t="inlineStr">
        <is>
          <t>Month 5</t>
        </is>
      </c>
      <c r="G3" s="3" t="inlineStr">
        <is>
          <t>Month 6</t>
        </is>
      </c>
      <c r="H3" s="3" t="inlineStr">
        <is>
          <t>Month 7</t>
        </is>
      </c>
      <c r="I3" s="3" t="inlineStr">
        <is>
          <t>Month 8</t>
        </is>
      </c>
      <c r="J3" s="3" t="inlineStr">
        <is>
          <t>Month 9</t>
        </is>
      </c>
      <c r="K3" s="3" t="inlineStr">
        <is>
          <t>Month 10</t>
        </is>
      </c>
      <c r="L3" s="3" t="inlineStr">
        <is>
          <t>Month 11</t>
        </is>
      </c>
      <c r="M3" s="3" t="inlineStr">
        <is>
          <t>Month 12</t>
        </is>
      </c>
    </row>
    <row r="5">
      <c r="A5" s="4" t="inlineStr">
        <is>
          <t>REVENUE ASSUMPTIONS</t>
        </is>
      </c>
    </row>
    <row r="6">
      <c r="A6" t="inlineStr">
        <is>
          <t>Monthly Revenue</t>
        </is>
      </c>
      <c r="B6" s="5" t="n">
        <v>100000</v>
      </c>
      <c r="C6" s="5" t="n">
        <v>105000</v>
      </c>
      <c r="D6" s="5" t="n">
        <v>110250</v>
      </c>
      <c r="E6" s="5" t="n">
        <v>115762.5</v>
      </c>
      <c r="F6" s="5" t="n">
        <v>121550.625</v>
      </c>
      <c r="G6" s="5" t="n">
        <v>127628.15625</v>
      </c>
      <c r="H6" s="5" t="n">
        <v>134009.5640625001</v>
      </c>
      <c r="I6" s="5" t="n">
        <v>140710.0422656251</v>
      </c>
      <c r="J6" s="5" t="n">
        <v>147745.5443789063</v>
      </c>
      <c r="K6" s="5" t="n">
        <v>155132.8215978516</v>
      </c>
      <c r="L6" s="5" t="n">
        <v>162889.4626777442</v>
      </c>
      <c r="M6" s="5" t="n">
        <v>171033.9358116314</v>
      </c>
    </row>
    <row r="7">
      <c r="A7" t="inlineStr">
        <is>
          <t>Revenue Growth %</t>
        </is>
      </c>
      <c r="B7" s="6" t="n">
        <v>0</v>
      </c>
      <c r="C7" s="6">
        <f>B6/B6-1</f>
        <v/>
      </c>
      <c r="D7" s="6">
        <f>D6/C6-1</f>
        <v/>
      </c>
      <c r="E7" s="6">
        <f>E6/D6-1</f>
        <v/>
      </c>
      <c r="F7" s="6">
        <f>F6/E6-1</f>
        <v/>
      </c>
      <c r="G7" s="6">
        <f>G6/F6-1</f>
        <v/>
      </c>
      <c r="H7" s="6">
        <f>H6/G6-1</f>
        <v/>
      </c>
      <c r="I7" s="6">
        <f>I6/H6-1</f>
        <v/>
      </c>
      <c r="J7" s="6">
        <f>J6/I6-1</f>
        <v/>
      </c>
      <c r="K7" s="6">
        <f>K6/J6-1</f>
        <v/>
      </c>
      <c r="L7" s="6">
        <f>L6/K6-1</f>
        <v/>
      </c>
      <c r="M7" s="6">
        <f>M6/L6-1</f>
        <v/>
      </c>
    </row>
    <row r="9">
      <c r="A9" s="4" t="inlineStr">
        <is>
          <t>COST ASSUMPTIONS</t>
        </is>
      </c>
    </row>
    <row r="10">
      <c r="A10" t="inlineStr">
        <is>
          <t>COGS % of Revenue</t>
        </is>
      </c>
      <c r="B10" s="6" t="n">
        <v>0.4</v>
      </c>
      <c r="C10" s="6" t="n">
        <v>0.4</v>
      </c>
      <c r="D10" s="6" t="n">
        <v>0.4</v>
      </c>
      <c r="E10" s="6" t="n">
        <v>0.4</v>
      </c>
      <c r="F10" s="6" t="n">
        <v>0.4</v>
      </c>
      <c r="G10" s="6" t="n">
        <v>0.4</v>
      </c>
      <c r="H10" s="6" t="n">
        <v>0.4</v>
      </c>
      <c r="I10" s="6" t="n">
        <v>0.4</v>
      </c>
      <c r="J10" s="6" t="n">
        <v>0.4</v>
      </c>
      <c r="K10" s="6" t="n">
        <v>0.4</v>
      </c>
      <c r="L10" s="6" t="n">
        <v>0.4</v>
      </c>
      <c r="M10" s="6" t="n">
        <v>0.4</v>
      </c>
    </row>
    <row r="11">
      <c r="A11" t="inlineStr">
        <is>
          <t>Operating Expenses (Fixed)</t>
        </is>
      </c>
      <c r="B11" s="5" t="n">
        <v>25000</v>
      </c>
      <c r="C11" s="5" t="n">
        <v>25000</v>
      </c>
      <c r="D11" s="5" t="n">
        <v>25000</v>
      </c>
      <c r="E11" s="5" t="n">
        <v>25000</v>
      </c>
      <c r="F11" s="5" t="n">
        <v>25000</v>
      </c>
      <c r="G11" s="5" t="n">
        <v>25000</v>
      </c>
      <c r="H11" s="5" t="n">
        <v>25000</v>
      </c>
      <c r="I11" s="5" t="n">
        <v>25000</v>
      </c>
      <c r="J11" s="5" t="n">
        <v>25000</v>
      </c>
      <c r="K11" s="5" t="n">
        <v>25000</v>
      </c>
      <c r="L11" s="5" t="n">
        <v>25000</v>
      </c>
      <c r="M11" s="5" t="n">
        <v>25000</v>
      </c>
    </row>
    <row r="13">
      <c r="A13" s="4" t="inlineStr">
        <is>
          <t>WORKING CAPITAL ASSUMPTIONS</t>
        </is>
      </c>
    </row>
    <row r="14">
      <c r="A14" t="inlineStr">
        <is>
          <t>AR Days</t>
        </is>
      </c>
      <c r="B14" s="7" t="n">
        <v>30</v>
      </c>
      <c r="C14" s="7" t="n">
        <v>30</v>
      </c>
      <c r="D14" s="7" t="n">
        <v>30</v>
      </c>
      <c r="E14" s="7" t="n">
        <v>30</v>
      </c>
      <c r="F14" s="7" t="n">
        <v>30</v>
      </c>
      <c r="G14" s="7" t="n">
        <v>30</v>
      </c>
      <c r="H14" s="7" t="n">
        <v>30</v>
      </c>
      <c r="I14" s="7" t="n">
        <v>30</v>
      </c>
      <c r="J14" s="7" t="n">
        <v>30</v>
      </c>
      <c r="K14" s="7" t="n">
        <v>30</v>
      </c>
      <c r="L14" s="7" t="n">
        <v>30</v>
      </c>
      <c r="M14" s="7" t="n">
        <v>30</v>
      </c>
    </row>
    <row r="15">
      <c r="A15" t="inlineStr">
        <is>
          <t>Inventory Days</t>
        </is>
      </c>
      <c r="B15" s="7" t="n">
        <v>45</v>
      </c>
      <c r="C15" s="7" t="n">
        <v>45</v>
      </c>
      <c r="D15" s="7" t="n">
        <v>45</v>
      </c>
      <c r="E15" s="7" t="n">
        <v>45</v>
      </c>
      <c r="F15" s="7" t="n">
        <v>45</v>
      </c>
      <c r="G15" s="7" t="n">
        <v>45</v>
      </c>
      <c r="H15" s="7" t="n">
        <v>45</v>
      </c>
      <c r="I15" s="7" t="n">
        <v>45</v>
      </c>
      <c r="J15" s="7" t="n">
        <v>45</v>
      </c>
      <c r="K15" s="7" t="n">
        <v>45</v>
      </c>
      <c r="L15" s="7" t="n">
        <v>45</v>
      </c>
      <c r="M15" s="7" t="n">
        <v>45</v>
      </c>
    </row>
    <row r="16">
      <c r="A16" t="inlineStr">
        <is>
          <t>AP Days</t>
        </is>
      </c>
      <c r="B16" s="7" t="n">
        <v>30</v>
      </c>
      <c r="C16" s="7" t="n">
        <v>30</v>
      </c>
      <c r="D16" s="7" t="n">
        <v>30</v>
      </c>
      <c r="E16" s="7" t="n">
        <v>30</v>
      </c>
      <c r="F16" s="7" t="n">
        <v>30</v>
      </c>
      <c r="G16" s="7" t="n">
        <v>30</v>
      </c>
      <c r="H16" s="7" t="n">
        <v>30</v>
      </c>
      <c r="I16" s="7" t="n">
        <v>30</v>
      </c>
      <c r="J16" s="7" t="n">
        <v>30</v>
      </c>
      <c r="K16" s="7" t="n">
        <v>30</v>
      </c>
      <c r="L16" s="7" t="n">
        <v>30</v>
      </c>
      <c r="M16" s="7" t="n">
        <v>30</v>
      </c>
    </row>
    <row r="17">
      <c r="A17" t="inlineStr">
        <is>
          <t>Prepayment Amount</t>
        </is>
      </c>
      <c r="B17" s="5" t="n">
        <v>5000</v>
      </c>
      <c r="C17" s="5" t="n">
        <v>5000</v>
      </c>
      <c r="D17" s="5" t="n">
        <v>5000</v>
      </c>
      <c r="E17" s="5" t="n">
        <v>5000</v>
      </c>
      <c r="F17" s="5" t="n">
        <v>5000</v>
      </c>
      <c r="G17" s="5" t="n">
        <v>5000</v>
      </c>
      <c r="H17" s="5" t="n">
        <v>5000</v>
      </c>
      <c r="I17" s="5" t="n">
        <v>5000</v>
      </c>
      <c r="J17" s="5" t="n">
        <v>5000</v>
      </c>
      <c r="K17" s="5" t="n">
        <v>5000</v>
      </c>
      <c r="L17" s="5" t="n">
        <v>5000</v>
      </c>
      <c r="M17" s="5" t="n">
        <v>5000</v>
      </c>
    </row>
    <row r="18">
      <c r="A18" t="inlineStr">
        <is>
          <t>Prepayment Amortization Period (months)</t>
        </is>
      </c>
      <c r="B18" t="n">
        <v>12</v>
      </c>
      <c r="C18" t="n">
        <v>12</v>
      </c>
      <c r="D18" t="n">
        <v>12</v>
      </c>
      <c r="E18" t="n">
        <v>12</v>
      </c>
      <c r="F18" t="n">
        <v>12</v>
      </c>
      <c r="G18" t="n">
        <v>12</v>
      </c>
      <c r="H18" t="n">
        <v>12</v>
      </c>
      <c r="I18" t="n">
        <v>12</v>
      </c>
      <c r="J18" t="n">
        <v>12</v>
      </c>
      <c r="K18" t="n">
        <v>12</v>
      </c>
      <c r="L18" t="n">
        <v>12</v>
      </c>
      <c r="M18" t="n">
        <v>12</v>
      </c>
    </row>
    <row r="20">
      <c r="A20" s="4" t="inlineStr">
        <is>
          <t>CAPEX &amp; FIXED ASSETS</t>
        </is>
      </c>
    </row>
    <row r="21">
      <c r="A21" t="inlineStr">
        <is>
          <t>Monthly Capex</t>
        </is>
      </c>
      <c r="B21" s="5" t="n">
        <v>50000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50000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</row>
    <row r="22">
      <c r="A22" t="inlineStr">
        <is>
          <t>Depreciation Rate (annual)</t>
        </is>
      </c>
      <c r="B22" s="6" t="n">
        <v>0.2</v>
      </c>
      <c r="C22" s="6" t="n">
        <v>0.2</v>
      </c>
      <c r="D22" s="6" t="n">
        <v>0.2</v>
      </c>
      <c r="E22" s="6" t="n">
        <v>0.2</v>
      </c>
      <c r="F22" s="6" t="n">
        <v>0.2</v>
      </c>
      <c r="G22" s="6" t="n">
        <v>0.2</v>
      </c>
      <c r="H22" s="6" t="n">
        <v>0.2</v>
      </c>
      <c r="I22" s="6" t="n">
        <v>0.2</v>
      </c>
      <c r="J22" s="6" t="n">
        <v>0.2</v>
      </c>
      <c r="K22" s="6" t="n">
        <v>0.2</v>
      </c>
      <c r="L22" s="6" t="n">
        <v>0.2</v>
      </c>
      <c r="M22" s="6" t="n">
        <v>0.2</v>
      </c>
    </row>
    <row r="23">
      <c r="A23" t="inlineStr">
        <is>
          <t>Asset Disposals</t>
        </is>
      </c>
      <c r="B23" s="5" t="n">
        <v>0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</row>
    <row r="25">
      <c r="A25" s="4" t="inlineStr">
        <is>
          <t>DEBT &amp; FINANCING</t>
        </is>
      </c>
    </row>
    <row r="26">
      <c r="A26" t="inlineStr">
        <is>
          <t>Debt Drawdowns</t>
        </is>
      </c>
      <c r="B26" s="5" t="n">
        <v>200000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</row>
    <row r="27">
      <c r="A27" t="inlineStr">
        <is>
          <t>Debt Repayments</t>
        </is>
      </c>
      <c r="B27" s="5" t="n">
        <v>0</v>
      </c>
      <c r="C27" s="5" t="n">
        <v>0</v>
      </c>
      <c r="D27" s="5" t="n">
        <v>0</v>
      </c>
      <c r="E27" s="5" t="n">
        <v>5000</v>
      </c>
      <c r="F27" s="5" t="n">
        <v>5000</v>
      </c>
      <c r="G27" s="5" t="n">
        <v>5000</v>
      </c>
      <c r="H27" s="5" t="n">
        <v>5000</v>
      </c>
      <c r="I27" s="5" t="n">
        <v>5000</v>
      </c>
      <c r="J27" s="5" t="n">
        <v>5000</v>
      </c>
      <c r="K27" s="5" t="n">
        <v>5000</v>
      </c>
      <c r="L27" s="5" t="n">
        <v>5000</v>
      </c>
      <c r="M27" s="5" t="n">
        <v>5000</v>
      </c>
    </row>
    <row r="28">
      <c r="A28" t="inlineStr">
        <is>
          <t>Interest Rate (annual)</t>
        </is>
      </c>
      <c r="B28" s="6" t="n">
        <v>0.06</v>
      </c>
      <c r="C28" s="6" t="n">
        <v>0.06</v>
      </c>
      <c r="D28" s="6" t="n">
        <v>0.06</v>
      </c>
      <c r="E28" s="6" t="n">
        <v>0.06</v>
      </c>
      <c r="F28" s="6" t="n">
        <v>0.06</v>
      </c>
      <c r="G28" s="6" t="n">
        <v>0.06</v>
      </c>
      <c r="H28" s="6" t="n">
        <v>0.06</v>
      </c>
      <c r="I28" s="6" t="n">
        <v>0.06</v>
      </c>
      <c r="J28" s="6" t="n">
        <v>0.06</v>
      </c>
      <c r="K28" s="6" t="n">
        <v>0.06</v>
      </c>
      <c r="L28" s="6" t="n">
        <v>0.06</v>
      </c>
      <c r="M28" s="6" t="n">
        <v>0.06</v>
      </c>
    </row>
    <row r="30">
      <c r="A30" s="4" t="inlineStr">
        <is>
          <t>TAX</t>
        </is>
      </c>
    </row>
    <row r="31">
      <c r="A31" t="inlineStr">
        <is>
          <t>Tax Rate</t>
        </is>
      </c>
      <c r="B31" s="6" t="n">
        <v>0.25</v>
      </c>
      <c r="C31" s="6" t="n">
        <v>0.25</v>
      </c>
      <c r="D31" s="6" t="n">
        <v>0.25</v>
      </c>
      <c r="E31" s="6" t="n">
        <v>0.25</v>
      </c>
      <c r="F31" s="6" t="n">
        <v>0.25</v>
      </c>
      <c r="G31" s="6" t="n">
        <v>0.25</v>
      </c>
      <c r="H31" s="6" t="n">
        <v>0.25</v>
      </c>
      <c r="I31" s="6" t="n">
        <v>0.25</v>
      </c>
      <c r="J31" s="6" t="n">
        <v>0.25</v>
      </c>
      <c r="K31" s="6" t="n">
        <v>0.25</v>
      </c>
      <c r="L31" s="6" t="n">
        <v>0.25</v>
      </c>
      <c r="M31" s="6" t="n">
        <v>0.25</v>
      </c>
    </row>
    <row r="33">
      <c r="A33" s="8" t="inlineStr">
        <is>
          <t>STARTING BALANCES (Month 0)</t>
        </is>
      </c>
    </row>
    <row r="34">
      <c r="A34" t="inlineStr">
        <is>
          <t>Opening Cash</t>
        </is>
      </c>
      <c r="B34" s="5" t="n">
        <v>50000</v>
      </c>
    </row>
    <row r="35">
      <c r="A35" t="inlineStr">
        <is>
          <t>Opening AR</t>
        </is>
      </c>
      <c r="B35" s="5" t="n">
        <v>0</v>
      </c>
    </row>
    <row r="36">
      <c r="A36" t="inlineStr">
        <is>
          <t>Opening Inventory</t>
        </is>
      </c>
      <c r="B36" s="5" t="n">
        <v>0</v>
      </c>
    </row>
    <row r="37">
      <c r="A37" t="inlineStr">
        <is>
          <t>Opening Prepayments</t>
        </is>
      </c>
      <c r="B37" s="5" t="n">
        <v>0</v>
      </c>
    </row>
    <row r="38">
      <c r="A38" t="inlineStr">
        <is>
          <t>Opening Fixed Assets (Gross)</t>
        </is>
      </c>
      <c r="B38" s="5" t="n">
        <v>100000</v>
      </c>
    </row>
    <row r="39">
      <c r="A39" t="inlineStr">
        <is>
          <t>Opening Accumulated Depreciation</t>
        </is>
      </c>
      <c r="B39" s="5" t="n">
        <v>20000</v>
      </c>
    </row>
    <row r="40">
      <c r="A40" t="inlineStr">
        <is>
          <t>Opening AP</t>
        </is>
      </c>
      <c r="B40" s="5" t="n">
        <v>0</v>
      </c>
    </row>
    <row r="41">
      <c r="A41" t="inlineStr">
        <is>
          <t>Opening Accrued Expenses</t>
        </is>
      </c>
      <c r="B41" s="5" t="n">
        <v>0</v>
      </c>
    </row>
    <row r="42">
      <c r="A42" t="inlineStr">
        <is>
          <t>Opening Deferred Revenue</t>
        </is>
      </c>
      <c r="B42" s="5" t="n">
        <v>0</v>
      </c>
    </row>
    <row r="43">
      <c r="A43" t="inlineStr">
        <is>
          <t>Opening Debt</t>
        </is>
      </c>
      <c r="B43" s="5" t="n">
        <v>0</v>
      </c>
    </row>
    <row r="44">
      <c r="A44" t="inlineStr">
        <is>
          <t>Opening Share Capital</t>
        </is>
      </c>
      <c r="B44" s="5" t="n">
        <v>100000</v>
      </c>
    </row>
    <row r="45">
      <c r="A45" t="inlineStr">
        <is>
          <t>Opening Retained Earnings</t>
        </is>
      </c>
      <c r="B45" s="5" t="n">
        <v>30000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1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CONTROL ACCOUNTS - WORKINGS</t>
        </is>
      </c>
    </row>
    <row r="3">
      <c r="A3" s="2" t="inlineStr">
        <is>
          <t>Period</t>
        </is>
      </c>
      <c r="B3" s="3" t="inlineStr">
        <is>
          <t>Month 1</t>
        </is>
      </c>
      <c r="C3" s="3" t="inlineStr">
        <is>
          <t>Month 2</t>
        </is>
      </c>
      <c r="D3" s="3" t="inlineStr">
        <is>
          <t>Month 3</t>
        </is>
      </c>
      <c r="E3" s="3" t="inlineStr">
        <is>
          <t>Month 4</t>
        </is>
      </c>
      <c r="F3" s="3" t="inlineStr">
        <is>
          <t>Month 5</t>
        </is>
      </c>
      <c r="G3" s="3" t="inlineStr">
        <is>
          <t>Month 6</t>
        </is>
      </c>
      <c r="H3" s="3" t="inlineStr">
        <is>
          <t>Month 7</t>
        </is>
      </c>
      <c r="I3" s="3" t="inlineStr">
        <is>
          <t>Month 8</t>
        </is>
      </c>
      <c r="J3" s="3" t="inlineStr">
        <is>
          <t>Month 9</t>
        </is>
      </c>
      <c r="K3" s="3" t="inlineStr">
        <is>
          <t>Month 10</t>
        </is>
      </c>
      <c r="L3" s="3" t="inlineStr">
        <is>
          <t>Month 11</t>
        </is>
      </c>
      <c r="M3" s="3" t="inlineStr">
        <is>
          <t>Month 12</t>
        </is>
      </c>
    </row>
    <row r="5">
      <c r="A5" s="9" t="inlineStr">
        <is>
          <t>ACCOUNTS RECEIVABLE CONTROL</t>
        </is>
      </c>
    </row>
    <row r="6">
      <c r="A6" t="inlineStr">
        <is>
          <t>Opening AR</t>
        </is>
      </c>
      <c r="B6" s="5">
        <f>Inputs!$B$42</f>
        <v/>
      </c>
      <c r="C6" s="5">
        <f>B9</f>
        <v/>
      </c>
      <c r="D6" s="5">
        <f>C9</f>
        <v/>
      </c>
      <c r="E6" s="5">
        <f>D9</f>
        <v/>
      </c>
      <c r="F6" s="5">
        <f>E9</f>
        <v/>
      </c>
      <c r="G6" s="5">
        <f>F9</f>
        <v/>
      </c>
      <c r="H6" s="5">
        <f>G9</f>
        <v/>
      </c>
      <c r="I6" s="5">
        <f>H9</f>
        <v/>
      </c>
      <c r="J6" s="5">
        <f>I9</f>
        <v/>
      </c>
      <c r="K6" s="5">
        <f>J9</f>
        <v/>
      </c>
      <c r="L6" s="5">
        <f>K9</f>
        <v/>
      </c>
      <c r="M6" s="5">
        <f>L9</f>
        <v/>
      </c>
    </row>
    <row r="7">
      <c r="A7" t="inlineStr">
        <is>
          <t>Credit Sales (Revenue)</t>
        </is>
      </c>
      <c r="B7" s="5">
        <f>Inputs!$B$6</f>
        <v/>
      </c>
      <c r="C7" s="5">
        <f>Inputs!$C$6</f>
        <v/>
      </c>
      <c r="D7" s="5">
        <f>Inputs!$D$6</f>
        <v/>
      </c>
      <c r="E7" s="5">
        <f>Inputs!$E$6</f>
        <v/>
      </c>
      <c r="F7" s="5">
        <f>Inputs!$F$6</f>
        <v/>
      </c>
      <c r="G7" s="5">
        <f>Inputs!$G$6</f>
        <v/>
      </c>
      <c r="H7" s="5">
        <f>Inputs!$H$6</f>
        <v/>
      </c>
      <c r="I7" s="5">
        <f>Inputs!$I$6</f>
        <v/>
      </c>
      <c r="J7" s="5">
        <f>Inputs!$J$6</f>
        <v/>
      </c>
      <c r="K7" s="5">
        <f>Inputs!$K$6</f>
        <v/>
      </c>
      <c r="L7" s="5">
        <f>Inputs!$L$6</f>
        <v/>
      </c>
      <c r="M7" s="5">
        <f>Inputs!$M$6</f>
        <v/>
      </c>
    </row>
    <row r="8">
      <c r="A8" t="inlineStr">
        <is>
          <t>Cash Collections</t>
        </is>
      </c>
      <c r="B8" s="5">
        <f>B6*0.5</f>
        <v/>
      </c>
      <c r="C8" s="5">
        <f>B7</f>
        <v/>
      </c>
      <c r="D8" s="5">
        <f>C7</f>
        <v/>
      </c>
      <c r="E8" s="5">
        <f>D7</f>
        <v/>
      </c>
      <c r="F8" s="5">
        <f>E7</f>
        <v/>
      </c>
      <c r="G8" s="5">
        <f>F7</f>
        <v/>
      </c>
      <c r="H8" s="5">
        <f>G7</f>
        <v/>
      </c>
      <c r="I8" s="5">
        <f>H7</f>
        <v/>
      </c>
      <c r="J8" s="5">
        <f>I7</f>
        <v/>
      </c>
      <c r="K8" s="5">
        <f>J7</f>
        <v/>
      </c>
      <c r="L8" s="5">
        <f>K7</f>
        <v/>
      </c>
      <c r="M8" s="5">
        <f>L7</f>
        <v/>
      </c>
    </row>
    <row r="9">
      <c r="A9" t="inlineStr">
        <is>
          <t>Closing AR</t>
        </is>
      </c>
      <c r="B9" s="10">
        <f>B6+B7-B8</f>
        <v/>
      </c>
      <c r="C9" s="10">
        <f>C6+C7-C8</f>
        <v/>
      </c>
      <c r="D9" s="10">
        <f>D6+D7-D8</f>
        <v/>
      </c>
      <c r="E9" s="10">
        <f>E6+E7-E8</f>
        <v/>
      </c>
      <c r="F9" s="10">
        <f>F6+F7-F8</f>
        <v/>
      </c>
      <c r="G9" s="10">
        <f>G6+G7-G8</f>
        <v/>
      </c>
      <c r="H9" s="10">
        <f>H6+H7-H8</f>
        <v/>
      </c>
      <c r="I9" s="10">
        <f>I6+I7-I8</f>
        <v/>
      </c>
      <c r="J9" s="10">
        <f>J6+J7-J8</f>
        <v/>
      </c>
      <c r="K9" s="10">
        <f>K6+K7-K8</f>
        <v/>
      </c>
      <c r="L9" s="10">
        <f>L6+L7-L8</f>
        <v/>
      </c>
      <c r="M9" s="10">
        <f>M6+M7-M8</f>
        <v/>
      </c>
    </row>
    <row r="11">
      <c r="A11" s="9" t="inlineStr">
        <is>
          <t>INVENTORY CONTROL</t>
        </is>
      </c>
    </row>
    <row r="12">
      <c r="A12" t="inlineStr">
        <is>
          <t>Opening Inventory</t>
        </is>
      </c>
      <c r="B12" s="5">
        <f>Inputs!$B$43</f>
        <v/>
      </c>
      <c r="C12" s="5">
        <f>B15</f>
        <v/>
      </c>
      <c r="D12" s="5">
        <f>C15</f>
        <v/>
      </c>
      <c r="E12" s="5">
        <f>D15</f>
        <v/>
      </c>
      <c r="F12" s="5">
        <f>E15</f>
        <v/>
      </c>
      <c r="G12" s="5">
        <f>F15</f>
        <v/>
      </c>
      <c r="H12" s="5">
        <f>G15</f>
        <v/>
      </c>
      <c r="I12" s="5">
        <f>H15</f>
        <v/>
      </c>
      <c r="J12" s="5">
        <f>I15</f>
        <v/>
      </c>
      <c r="K12" s="5">
        <f>J15</f>
        <v/>
      </c>
      <c r="L12" s="5">
        <f>K15</f>
        <v/>
      </c>
      <c r="M12" s="5">
        <f>L15</f>
        <v/>
      </c>
    </row>
    <row r="13">
      <c r="A13" t="inlineStr">
        <is>
          <t>Purchases</t>
        </is>
      </c>
      <c r="B13" s="5">
        <f>Inputs!$B$6*Inputs!$B$11+50000</f>
        <v/>
      </c>
      <c r="C13" s="5">
        <f>Inputs!$C$6*Inputs!$C$11</f>
        <v/>
      </c>
      <c r="D13" s="5">
        <f>Inputs!$D$6*Inputs!$D$11</f>
        <v/>
      </c>
      <c r="E13" s="5">
        <f>Inputs!$E$6*Inputs!$E$11</f>
        <v/>
      </c>
      <c r="F13" s="5">
        <f>Inputs!$F$6*Inputs!$F$11</f>
        <v/>
      </c>
      <c r="G13" s="5">
        <f>Inputs!$G$6*Inputs!$G$11</f>
        <v/>
      </c>
      <c r="H13" s="5">
        <f>Inputs!$H$6*Inputs!$H$11</f>
        <v/>
      </c>
      <c r="I13" s="5">
        <f>Inputs!$I$6*Inputs!$I$11</f>
        <v/>
      </c>
      <c r="J13" s="5">
        <f>Inputs!$J$6*Inputs!$J$11</f>
        <v/>
      </c>
      <c r="K13" s="5">
        <f>Inputs!$K$6*Inputs!$K$11</f>
        <v/>
      </c>
      <c r="L13" s="5">
        <f>Inputs!$L$6*Inputs!$L$11</f>
        <v/>
      </c>
      <c r="M13" s="5">
        <f>Inputs!$M$6*Inputs!$M$11</f>
        <v/>
      </c>
    </row>
    <row r="14">
      <c r="A14" t="inlineStr">
        <is>
          <t>COGS Withdrawal</t>
        </is>
      </c>
      <c r="B14" s="5">
        <f>Inputs!$B$6*Inputs!$B$11</f>
        <v/>
      </c>
      <c r="C14" s="5">
        <f>Inputs!$C$6*Inputs!$C$11</f>
        <v/>
      </c>
      <c r="D14" s="5">
        <f>Inputs!$D$6*Inputs!$D$11</f>
        <v/>
      </c>
      <c r="E14" s="5">
        <f>Inputs!$E$6*Inputs!$E$11</f>
        <v/>
      </c>
      <c r="F14" s="5">
        <f>Inputs!$F$6*Inputs!$F$11</f>
        <v/>
      </c>
      <c r="G14" s="5">
        <f>Inputs!$G$6*Inputs!$G$11</f>
        <v/>
      </c>
      <c r="H14" s="5">
        <f>Inputs!$H$6*Inputs!$H$11</f>
        <v/>
      </c>
      <c r="I14" s="5">
        <f>Inputs!$I$6*Inputs!$I$11</f>
        <v/>
      </c>
      <c r="J14" s="5">
        <f>Inputs!$J$6*Inputs!$J$11</f>
        <v/>
      </c>
      <c r="K14" s="5">
        <f>Inputs!$K$6*Inputs!$K$11</f>
        <v/>
      </c>
      <c r="L14" s="5">
        <f>Inputs!$L$6*Inputs!$L$11</f>
        <v/>
      </c>
      <c r="M14" s="5">
        <f>Inputs!$M$6*Inputs!$M$11</f>
        <v/>
      </c>
    </row>
    <row r="15">
      <c r="A15" t="inlineStr">
        <is>
          <t>Closing Inventory</t>
        </is>
      </c>
      <c r="B15" s="10">
        <f>B12+B13-B14</f>
        <v/>
      </c>
      <c r="C15" s="10">
        <f>C12+C13-C14</f>
        <v/>
      </c>
      <c r="D15" s="10">
        <f>D12+D13-D14</f>
        <v/>
      </c>
      <c r="E15" s="10">
        <f>E12+E13-E14</f>
        <v/>
      </c>
      <c r="F15" s="10">
        <f>F12+F13-F14</f>
        <v/>
      </c>
      <c r="G15" s="10">
        <f>G12+G13-G14</f>
        <v/>
      </c>
      <c r="H15" s="10">
        <f>H12+H13-H14</f>
        <v/>
      </c>
      <c r="I15" s="10">
        <f>I12+I13-I14</f>
        <v/>
      </c>
      <c r="J15" s="10">
        <f>J12+J13-J14</f>
        <v/>
      </c>
      <c r="K15" s="10">
        <f>K12+K13-K14</f>
        <v/>
      </c>
      <c r="L15" s="10">
        <f>L12+L13-L14</f>
        <v/>
      </c>
      <c r="M15" s="10">
        <f>M12+M13-M14</f>
        <v/>
      </c>
    </row>
    <row r="17">
      <c r="A17" s="9" t="inlineStr">
        <is>
          <t>PREPAYMENTS CONTROL</t>
        </is>
      </c>
    </row>
    <row r="18">
      <c r="A18" t="inlineStr">
        <is>
          <t>Opening Prepayments</t>
        </is>
      </c>
      <c r="B18" s="5">
        <f>Inputs!$B$44</f>
        <v/>
      </c>
      <c r="C18" s="5">
        <f>B21</f>
        <v/>
      </c>
      <c r="D18" s="5">
        <f>C21</f>
        <v/>
      </c>
      <c r="E18" s="5">
        <f>D21</f>
        <v/>
      </c>
      <c r="F18" s="5">
        <f>E21</f>
        <v/>
      </c>
      <c r="G18" s="5">
        <f>F21</f>
        <v/>
      </c>
      <c r="H18" s="5">
        <f>G21</f>
        <v/>
      </c>
      <c r="I18" s="5">
        <f>H21</f>
        <v/>
      </c>
      <c r="J18" s="5">
        <f>I21</f>
        <v/>
      </c>
      <c r="K18" s="5">
        <f>J21</f>
        <v/>
      </c>
      <c r="L18" s="5">
        <f>K21</f>
        <v/>
      </c>
      <c r="M18" s="5">
        <f>L21</f>
        <v/>
      </c>
    </row>
    <row r="19">
      <c r="A19" t="inlineStr">
        <is>
          <t>New Prepayments (Cash Paid)</t>
        </is>
      </c>
      <c r="B19" s="5">
        <f>Inputs!$B$17</f>
        <v/>
      </c>
      <c r="C19" s="5">
        <f>Inputs!$C$17</f>
        <v/>
      </c>
      <c r="D19" s="5">
        <f>Inputs!$D$17</f>
        <v/>
      </c>
      <c r="E19" s="5">
        <f>Inputs!$E$17</f>
        <v/>
      </c>
      <c r="F19" s="5">
        <f>Inputs!$F$17</f>
        <v/>
      </c>
      <c r="G19" s="5">
        <f>Inputs!$G$17</f>
        <v/>
      </c>
      <c r="H19" s="5">
        <f>Inputs!$H$17</f>
        <v/>
      </c>
      <c r="I19" s="5">
        <f>Inputs!$I$17</f>
        <v/>
      </c>
      <c r="J19" s="5">
        <f>Inputs!$J$17</f>
        <v/>
      </c>
      <c r="K19" s="5">
        <f>Inputs!$K$17</f>
        <v/>
      </c>
      <c r="L19" s="5">
        <f>Inputs!$L$17</f>
        <v/>
      </c>
      <c r="M19" s="5">
        <f>Inputs!$M$17</f>
        <v/>
      </c>
    </row>
    <row r="20">
      <c r="A20" t="inlineStr">
        <is>
          <t>Amortization (Expense)</t>
        </is>
      </c>
      <c r="B20" s="5">
        <f>B19/Inputs!$B$18</f>
        <v/>
      </c>
      <c r="C20" s="5">
        <f>C19/Inputs!$C$18</f>
        <v/>
      </c>
      <c r="D20" s="5">
        <f>D19/Inputs!$D$18</f>
        <v/>
      </c>
      <c r="E20" s="5">
        <f>E19/Inputs!$E$18</f>
        <v/>
      </c>
      <c r="F20" s="5">
        <f>F19/Inputs!$F$18</f>
        <v/>
      </c>
      <c r="G20" s="5">
        <f>G19/Inputs!$G$18</f>
        <v/>
      </c>
      <c r="H20" s="5">
        <f>H19/Inputs!$H$18</f>
        <v/>
      </c>
      <c r="I20" s="5">
        <f>I19/Inputs!$I$18</f>
        <v/>
      </c>
      <c r="J20" s="5">
        <f>J19/Inputs!$J$18</f>
        <v/>
      </c>
      <c r="K20" s="5">
        <f>K19/Inputs!$K$18</f>
        <v/>
      </c>
      <c r="L20" s="5">
        <f>L19/Inputs!$L$18</f>
        <v/>
      </c>
      <c r="M20" s="5">
        <f>M19/Inputs!$M$18</f>
        <v/>
      </c>
    </row>
    <row r="21">
      <c r="A21" t="inlineStr">
        <is>
          <t>Closing Prepayments</t>
        </is>
      </c>
      <c r="B21" s="10">
        <f>B18+B19-B20</f>
        <v/>
      </c>
      <c r="C21" s="10">
        <f>C18+C19-C20</f>
        <v/>
      </c>
      <c r="D21" s="10">
        <f>D18+D19-D20</f>
        <v/>
      </c>
      <c r="E21" s="10">
        <f>E18+E19-E20</f>
        <v/>
      </c>
      <c r="F21" s="10">
        <f>F18+F19-F20</f>
        <v/>
      </c>
      <c r="G21" s="10">
        <f>G18+G19-G20</f>
        <v/>
      </c>
      <c r="H21" s="10">
        <f>H18+H19-H20</f>
        <v/>
      </c>
      <c r="I21" s="10">
        <f>I18+I19-I20</f>
        <v/>
      </c>
      <c r="J21" s="10">
        <f>J18+J19-J20</f>
        <v/>
      </c>
      <c r="K21" s="10">
        <f>K18+K19-K20</f>
        <v/>
      </c>
      <c r="L21" s="10">
        <f>L18+L19-L20</f>
        <v/>
      </c>
      <c r="M21" s="10">
        <f>M18+M19-M20</f>
        <v/>
      </c>
    </row>
    <row r="23">
      <c r="A23" s="9" t="inlineStr">
        <is>
          <t>FIXED ASSETS CONTROL (GROSS)</t>
        </is>
      </c>
    </row>
    <row r="24">
      <c r="A24" t="inlineStr">
        <is>
          <t>Opening Fixed Assets (Gross)</t>
        </is>
      </c>
      <c r="B24" s="5">
        <f>Inputs!$B$45</f>
        <v/>
      </c>
      <c r="C24" s="5">
        <f>B27</f>
        <v/>
      </c>
      <c r="D24" s="5">
        <f>C27</f>
        <v/>
      </c>
      <c r="E24" s="5">
        <f>D27</f>
        <v/>
      </c>
      <c r="F24" s="5">
        <f>E27</f>
        <v/>
      </c>
      <c r="G24" s="5">
        <f>F27</f>
        <v/>
      </c>
      <c r="H24" s="5">
        <f>G27</f>
        <v/>
      </c>
      <c r="I24" s="5">
        <f>H27</f>
        <v/>
      </c>
      <c r="J24" s="5">
        <f>I27</f>
        <v/>
      </c>
      <c r="K24" s="5">
        <f>J27</f>
        <v/>
      </c>
      <c r="L24" s="5">
        <f>K27</f>
        <v/>
      </c>
      <c r="M24" s="5">
        <f>L27</f>
        <v/>
      </c>
    </row>
    <row r="25">
      <c r="A25" t="inlineStr">
        <is>
          <t>Capex Additions</t>
        </is>
      </c>
      <c r="B25" s="5">
        <f>Inputs!$B$23</f>
        <v/>
      </c>
      <c r="C25" s="5">
        <f>Inputs!$C$23</f>
        <v/>
      </c>
      <c r="D25" s="5">
        <f>Inputs!$D$23</f>
        <v/>
      </c>
      <c r="E25" s="5">
        <f>Inputs!$E$23</f>
        <v/>
      </c>
      <c r="F25" s="5">
        <f>Inputs!$F$23</f>
        <v/>
      </c>
      <c r="G25" s="5">
        <f>Inputs!$G$23</f>
        <v/>
      </c>
      <c r="H25" s="5">
        <f>Inputs!$H$23</f>
        <v/>
      </c>
      <c r="I25" s="5">
        <f>Inputs!$I$23</f>
        <v/>
      </c>
      <c r="J25" s="5">
        <f>Inputs!$J$23</f>
        <v/>
      </c>
      <c r="K25" s="5">
        <f>Inputs!$K$23</f>
        <v/>
      </c>
      <c r="L25" s="5">
        <f>Inputs!$L$23</f>
        <v/>
      </c>
      <c r="M25" s="5">
        <f>Inputs!$M$23</f>
        <v/>
      </c>
    </row>
    <row r="26">
      <c r="A26" t="inlineStr">
        <is>
          <t>Disposals (Gross)</t>
        </is>
      </c>
      <c r="B26" s="5">
        <f>Inputs!$B$25</f>
        <v/>
      </c>
      <c r="C26" s="5">
        <f>Inputs!$C$25</f>
        <v/>
      </c>
      <c r="D26" s="5">
        <f>Inputs!$D$25</f>
        <v/>
      </c>
      <c r="E26" s="5">
        <f>Inputs!$E$25</f>
        <v/>
      </c>
      <c r="F26" s="5">
        <f>Inputs!$F$25</f>
        <v/>
      </c>
      <c r="G26" s="5">
        <f>Inputs!$G$25</f>
        <v/>
      </c>
      <c r="H26" s="5">
        <f>Inputs!$H$25</f>
        <v/>
      </c>
      <c r="I26" s="5">
        <f>Inputs!$I$25</f>
        <v/>
      </c>
      <c r="J26" s="5">
        <f>Inputs!$J$25</f>
        <v/>
      </c>
      <c r="K26" s="5">
        <f>Inputs!$K$25</f>
        <v/>
      </c>
      <c r="L26" s="5">
        <f>Inputs!$L$25</f>
        <v/>
      </c>
      <c r="M26" s="5">
        <f>Inputs!$M$25</f>
        <v/>
      </c>
    </row>
    <row r="27">
      <c r="A27" t="inlineStr">
        <is>
          <t>Closing Fixed Assets (Gross)</t>
        </is>
      </c>
      <c r="B27" s="10">
        <f>B24+B25-B26</f>
        <v/>
      </c>
      <c r="C27" s="10">
        <f>C24+C25-C26</f>
        <v/>
      </c>
      <c r="D27" s="10">
        <f>D24+D25-D26</f>
        <v/>
      </c>
      <c r="E27" s="10">
        <f>E24+E25-E26</f>
        <v/>
      </c>
      <c r="F27" s="10">
        <f>F24+F25-F26</f>
        <v/>
      </c>
      <c r="G27" s="10">
        <f>G24+G25-G26</f>
        <v/>
      </c>
      <c r="H27" s="10">
        <f>H24+H25-H26</f>
        <v/>
      </c>
      <c r="I27" s="10">
        <f>I24+I25-I26</f>
        <v/>
      </c>
      <c r="J27" s="10">
        <f>J24+J25-J26</f>
        <v/>
      </c>
      <c r="K27" s="10">
        <f>K24+K25-K26</f>
        <v/>
      </c>
      <c r="L27" s="10">
        <f>L24+L25-L26</f>
        <v/>
      </c>
      <c r="M27" s="10">
        <f>M24+M25-M26</f>
        <v/>
      </c>
    </row>
    <row r="29">
      <c r="A29" s="9" t="inlineStr">
        <is>
          <t>ACCUMULATED DEPRECIATION CONTROL</t>
        </is>
      </c>
    </row>
    <row r="30">
      <c r="A30" t="inlineStr">
        <is>
          <t>Opening Accumulated Depreciation</t>
        </is>
      </c>
      <c r="B30" s="5">
        <f>Inputs!$B$46</f>
        <v/>
      </c>
      <c r="C30" s="5">
        <f>B33</f>
        <v/>
      </c>
      <c r="D30" s="5">
        <f>C33</f>
        <v/>
      </c>
      <c r="E30" s="5">
        <f>D33</f>
        <v/>
      </c>
      <c r="F30" s="5">
        <f>E33</f>
        <v/>
      </c>
      <c r="G30" s="5">
        <f>F33</f>
        <v/>
      </c>
      <c r="H30" s="5">
        <f>G33</f>
        <v/>
      </c>
      <c r="I30" s="5">
        <f>H33</f>
        <v/>
      </c>
      <c r="J30" s="5">
        <f>I33</f>
        <v/>
      </c>
      <c r="K30" s="5">
        <f>J33</f>
        <v/>
      </c>
      <c r="L30" s="5">
        <f>K33</f>
        <v/>
      </c>
      <c r="M30" s="5">
        <f>L33</f>
        <v/>
      </c>
    </row>
    <row r="31">
      <c r="A31" t="inlineStr">
        <is>
          <t>Depreciation Expense</t>
        </is>
      </c>
      <c r="B31" s="5">
        <f>B26*Inputs!$B$24/12</f>
        <v/>
      </c>
      <c r="C31" s="5">
        <f>C26*Inputs!$C$24/12</f>
        <v/>
      </c>
      <c r="D31" s="5">
        <f>D26*Inputs!$D$24/12</f>
        <v/>
      </c>
      <c r="E31" s="5">
        <f>E26*Inputs!$E$24/12</f>
        <v/>
      </c>
      <c r="F31" s="5">
        <f>F26*Inputs!$F$24/12</f>
        <v/>
      </c>
      <c r="G31" s="5">
        <f>G26*Inputs!$G$24/12</f>
        <v/>
      </c>
      <c r="H31" s="5">
        <f>H26*Inputs!$H$24/12</f>
        <v/>
      </c>
      <c r="I31" s="5">
        <f>I26*Inputs!$I$24/12</f>
        <v/>
      </c>
      <c r="J31" s="5">
        <f>J26*Inputs!$J$24/12</f>
        <v/>
      </c>
      <c r="K31" s="5">
        <f>K26*Inputs!$K$24/12</f>
        <v/>
      </c>
      <c r="L31" s="5">
        <f>L26*Inputs!$L$24/12</f>
        <v/>
      </c>
      <c r="M31" s="5">
        <f>M26*Inputs!$M$24/12</f>
        <v/>
      </c>
    </row>
    <row r="32">
      <c r="A32" t="inlineStr">
        <is>
          <t>Disposal Depreciation</t>
        </is>
      </c>
      <c r="B32" s="5" t="n">
        <v>0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</row>
    <row r="33">
      <c r="A33" t="inlineStr">
        <is>
          <t>Closing Accumulated Depreciation</t>
        </is>
      </c>
      <c r="B33" s="10">
        <f>B30+B31-B32</f>
        <v/>
      </c>
      <c r="C33" s="10">
        <f>C30+C31-C32</f>
        <v/>
      </c>
      <c r="D33" s="10">
        <f>D30+D31-D32</f>
        <v/>
      </c>
      <c r="E33" s="10">
        <f>E30+E31-E32</f>
        <v/>
      </c>
      <c r="F33" s="10">
        <f>F30+F31-F32</f>
        <v/>
      </c>
      <c r="G33" s="10">
        <f>G30+G31-G32</f>
        <v/>
      </c>
      <c r="H33" s="10">
        <f>H30+H31-H32</f>
        <v/>
      </c>
      <c r="I33" s="10">
        <f>I30+I31-I32</f>
        <v/>
      </c>
      <c r="J33" s="10">
        <f>J30+J31-J32</f>
        <v/>
      </c>
      <c r="K33" s="10">
        <f>K30+K31-K32</f>
        <v/>
      </c>
      <c r="L33" s="10">
        <f>L30+L31-L32</f>
        <v/>
      </c>
      <c r="M33" s="10">
        <f>M30+M31-M32</f>
        <v/>
      </c>
    </row>
    <row r="35">
      <c r="A35" t="inlineStr">
        <is>
          <t>Net Fixed Assets</t>
        </is>
      </c>
      <c r="B35" s="11">
        <f>B29-B34</f>
        <v/>
      </c>
      <c r="C35" s="11">
        <f>C29-C34</f>
        <v/>
      </c>
      <c r="D35" s="11">
        <f>D29-D34</f>
        <v/>
      </c>
      <c r="E35" s="11">
        <f>E29-E34</f>
        <v/>
      </c>
      <c r="F35" s="11">
        <f>F29-F34</f>
        <v/>
      </c>
      <c r="G35" s="11">
        <f>G29-G34</f>
        <v/>
      </c>
      <c r="H35" s="11">
        <f>H29-H34</f>
        <v/>
      </c>
      <c r="I35" s="11">
        <f>I29-I34</f>
        <v/>
      </c>
      <c r="J35" s="11">
        <f>J29-J34</f>
        <v/>
      </c>
      <c r="K35" s="11">
        <f>K29-K34</f>
        <v/>
      </c>
      <c r="L35" s="11">
        <f>L29-L34</f>
        <v/>
      </c>
      <c r="M35" s="11">
        <f>M29-M34</f>
        <v/>
      </c>
    </row>
    <row r="37">
      <c r="A37" s="12" t="inlineStr">
        <is>
          <t>ACCOUNTS PAYABLE CONTROL</t>
        </is>
      </c>
    </row>
    <row r="38">
      <c r="A38" t="inlineStr">
        <is>
          <t>Opening AP</t>
        </is>
      </c>
      <c r="B38" s="5">
        <f>Inputs!$B$47</f>
        <v/>
      </c>
      <c r="C38" s="5">
        <f>B41</f>
        <v/>
      </c>
      <c r="D38" s="5">
        <f>C41</f>
        <v/>
      </c>
      <c r="E38" s="5">
        <f>D41</f>
        <v/>
      </c>
      <c r="F38" s="5">
        <f>E41</f>
        <v/>
      </c>
      <c r="G38" s="5">
        <f>F41</f>
        <v/>
      </c>
      <c r="H38" s="5">
        <f>G41</f>
        <v/>
      </c>
      <c r="I38" s="5">
        <f>H41</f>
        <v/>
      </c>
      <c r="J38" s="5">
        <f>I41</f>
        <v/>
      </c>
      <c r="K38" s="5">
        <f>J41</f>
        <v/>
      </c>
      <c r="L38" s="5">
        <f>K41</f>
        <v/>
      </c>
      <c r="M38" s="5">
        <f>L41</f>
        <v/>
      </c>
    </row>
    <row r="39">
      <c r="A39" t="inlineStr">
        <is>
          <t>Purchases (Credit)</t>
        </is>
      </c>
      <c r="B39" s="5">
        <f>B1</f>
        <v/>
      </c>
      <c r="C39" s="5">
        <f>C1</f>
        <v/>
      </c>
      <c r="D39" s="5">
        <f>D1</f>
        <v/>
      </c>
      <c r="E39" s="5">
        <f>E1</f>
        <v/>
      </c>
      <c r="F39" s="5">
        <f>F1</f>
        <v/>
      </c>
      <c r="G39" s="5">
        <f>G1</f>
        <v/>
      </c>
      <c r="H39" s="5">
        <f>H1</f>
        <v/>
      </c>
      <c r="I39" s="5">
        <f>I1</f>
        <v/>
      </c>
      <c r="J39" s="5">
        <f>J1</f>
        <v/>
      </c>
      <c r="K39" s="5">
        <f>K1</f>
        <v/>
      </c>
      <c r="L39" s="5">
        <f>L1</f>
        <v/>
      </c>
      <c r="M39" s="5">
        <f>M1</f>
        <v/>
      </c>
    </row>
    <row r="40">
      <c r="A40" t="inlineStr">
        <is>
          <t>Cash Payments</t>
        </is>
      </c>
      <c r="B40" s="5">
        <f>B39*0.5</f>
        <v/>
      </c>
      <c r="C40" s="5">
        <f>B39</f>
        <v/>
      </c>
      <c r="D40" s="5">
        <f>C39</f>
        <v/>
      </c>
      <c r="E40" s="5">
        <f>D39</f>
        <v/>
      </c>
      <c r="F40" s="5">
        <f>E39</f>
        <v/>
      </c>
      <c r="G40" s="5">
        <f>F39</f>
        <v/>
      </c>
      <c r="H40" s="5">
        <f>G39</f>
        <v/>
      </c>
      <c r="I40" s="5">
        <f>H39</f>
        <v/>
      </c>
      <c r="J40" s="5">
        <f>I39</f>
        <v/>
      </c>
      <c r="K40" s="5">
        <f>J39</f>
        <v/>
      </c>
      <c r="L40" s="5">
        <f>K39</f>
        <v/>
      </c>
      <c r="M40" s="5">
        <f>L39</f>
        <v/>
      </c>
    </row>
    <row r="41">
      <c r="A41" t="inlineStr">
        <is>
          <t>Closing AP</t>
        </is>
      </c>
      <c r="B41" s="10">
        <f>B38+B39-B40</f>
        <v/>
      </c>
      <c r="C41" s="10">
        <f>C38+C39-C40</f>
        <v/>
      </c>
      <c r="D41" s="10">
        <f>D38+D39-D40</f>
        <v/>
      </c>
      <c r="E41" s="10">
        <f>E38+E39-E40</f>
        <v/>
      </c>
      <c r="F41" s="10">
        <f>F38+F39-F40</f>
        <v/>
      </c>
      <c r="G41" s="10">
        <f>G38+G39-G40</f>
        <v/>
      </c>
      <c r="H41" s="10">
        <f>H38+H39-H40</f>
        <v/>
      </c>
      <c r="I41" s="10">
        <f>I38+I39-I40</f>
        <v/>
      </c>
      <c r="J41" s="10">
        <f>J38+J39-J40</f>
        <v/>
      </c>
      <c r="K41" s="10">
        <f>K38+K39-K40</f>
        <v/>
      </c>
      <c r="L41" s="10">
        <f>L38+L39-L40</f>
        <v/>
      </c>
      <c r="M41" s="10">
        <f>M38+M39-M40</f>
        <v/>
      </c>
    </row>
    <row r="43">
      <c r="A43" s="12" t="inlineStr">
        <is>
          <t>ACCRUED EXPENSES CONTROL</t>
        </is>
      </c>
    </row>
    <row r="44">
      <c r="A44" t="inlineStr">
        <is>
          <t>Opening Accrued Expenses</t>
        </is>
      </c>
      <c r="B44" s="5">
        <f>Inputs!$B$48</f>
        <v/>
      </c>
      <c r="C44" s="5">
        <f>B47</f>
        <v/>
      </c>
      <c r="D44" s="5">
        <f>C47</f>
        <v/>
      </c>
      <c r="E44" s="5">
        <f>D47</f>
        <v/>
      </c>
      <c r="F44" s="5">
        <f>E47</f>
        <v/>
      </c>
      <c r="G44" s="5">
        <f>F47</f>
        <v/>
      </c>
      <c r="H44" s="5">
        <f>G47</f>
        <v/>
      </c>
      <c r="I44" s="5">
        <f>H47</f>
        <v/>
      </c>
      <c r="J44" s="5">
        <f>I47</f>
        <v/>
      </c>
      <c r="K44" s="5">
        <f>J47</f>
        <v/>
      </c>
      <c r="L44" s="5">
        <f>K47</f>
        <v/>
      </c>
      <c r="M44" s="5">
        <f>L47</f>
        <v/>
      </c>
    </row>
    <row r="45">
      <c r="A45" t="inlineStr">
        <is>
          <t>Accruals (Expense Recognition)</t>
        </is>
      </c>
      <c r="B45" s="5">
        <f>Inputs!$B$12*0.5</f>
        <v/>
      </c>
      <c r="C45" s="5">
        <f>Inputs!$C$12*0.5</f>
        <v/>
      </c>
      <c r="D45" s="5">
        <f>Inputs!$D$12*0.5</f>
        <v/>
      </c>
      <c r="E45" s="5">
        <f>Inputs!$E$12*0.5</f>
        <v/>
      </c>
      <c r="F45" s="5">
        <f>Inputs!$F$12*0.5</f>
        <v/>
      </c>
      <c r="G45" s="5">
        <f>Inputs!$G$12*0.5</f>
        <v/>
      </c>
      <c r="H45" s="5">
        <f>Inputs!$H$12*0.5</f>
        <v/>
      </c>
      <c r="I45" s="5">
        <f>Inputs!$I$12*0.5</f>
        <v/>
      </c>
      <c r="J45" s="5">
        <f>Inputs!$J$12*0.5</f>
        <v/>
      </c>
      <c r="K45" s="5">
        <f>Inputs!$K$12*0.5</f>
        <v/>
      </c>
      <c r="L45" s="5">
        <f>Inputs!$L$12*0.5</f>
        <v/>
      </c>
      <c r="M45" s="5">
        <f>Inputs!$M$12*0.5</f>
        <v/>
      </c>
    </row>
    <row r="46">
      <c r="A46" t="inlineStr">
        <is>
          <t>Cash Payments</t>
        </is>
      </c>
      <c r="B46" s="5" t="n">
        <v>0</v>
      </c>
      <c r="C46" s="5">
        <f>B45</f>
        <v/>
      </c>
      <c r="D46" s="5">
        <f>C45</f>
        <v/>
      </c>
      <c r="E46" s="5">
        <f>D45</f>
        <v/>
      </c>
      <c r="F46" s="5">
        <f>E45</f>
        <v/>
      </c>
      <c r="G46" s="5">
        <f>F45</f>
        <v/>
      </c>
      <c r="H46" s="5">
        <f>G45</f>
        <v/>
      </c>
      <c r="I46" s="5">
        <f>H45</f>
        <v/>
      </c>
      <c r="J46" s="5">
        <f>I45</f>
        <v/>
      </c>
      <c r="K46" s="5">
        <f>J45</f>
        <v/>
      </c>
      <c r="L46" s="5">
        <f>K45</f>
        <v/>
      </c>
      <c r="M46" s="5">
        <f>L45</f>
        <v/>
      </c>
    </row>
    <row r="47">
      <c r="A47" t="inlineStr">
        <is>
          <t>Closing Accrued Expenses</t>
        </is>
      </c>
      <c r="B47" s="10">
        <f>B44+B45-B46</f>
        <v/>
      </c>
      <c r="C47" s="10">
        <f>C44+C45-C46</f>
        <v/>
      </c>
      <c r="D47" s="10">
        <f>D44+D45-D46</f>
        <v/>
      </c>
      <c r="E47" s="10">
        <f>E44+E45-E46</f>
        <v/>
      </c>
      <c r="F47" s="10">
        <f>F44+F45-F46</f>
        <v/>
      </c>
      <c r="G47" s="10">
        <f>G44+G45-G46</f>
        <v/>
      </c>
      <c r="H47" s="10">
        <f>H44+H45-H46</f>
        <v/>
      </c>
      <c r="I47" s="10">
        <f>I44+I45-I46</f>
        <v/>
      </c>
      <c r="J47" s="10">
        <f>J44+J45-J46</f>
        <v/>
      </c>
      <c r="K47" s="10">
        <f>K44+K45-K46</f>
        <v/>
      </c>
      <c r="L47" s="10">
        <f>L44+L45-L46</f>
        <v/>
      </c>
      <c r="M47" s="10">
        <f>M44+M45-M46</f>
        <v/>
      </c>
    </row>
    <row r="49">
      <c r="A49" s="12" t="inlineStr">
        <is>
          <t>DEFERRED REVENUE CONTROL</t>
        </is>
      </c>
    </row>
    <row r="50">
      <c r="A50" t="inlineStr">
        <is>
          <t>Opening Deferred Revenue</t>
        </is>
      </c>
      <c r="B50" s="5">
        <f>Inputs!$B$49</f>
        <v/>
      </c>
      <c r="C50" s="5">
        <f>B53</f>
        <v/>
      </c>
      <c r="D50" s="5">
        <f>C53</f>
        <v/>
      </c>
      <c r="E50" s="5">
        <f>D53</f>
        <v/>
      </c>
      <c r="F50" s="5">
        <f>E53</f>
        <v/>
      </c>
      <c r="G50" s="5">
        <f>F53</f>
        <v/>
      </c>
      <c r="H50" s="5">
        <f>G53</f>
        <v/>
      </c>
      <c r="I50" s="5">
        <f>H53</f>
        <v/>
      </c>
      <c r="J50" s="5">
        <f>I53</f>
        <v/>
      </c>
      <c r="K50" s="5">
        <f>J53</f>
        <v/>
      </c>
      <c r="L50" s="5">
        <f>K53</f>
        <v/>
      </c>
      <c r="M50" s="5">
        <f>L53</f>
        <v/>
      </c>
    </row>
    <row r="51">
      <c r="A51" t="inlineStr">
        <is>
          <t>Cash Received in Advance</t>
        </is>
      </c>
      <c r="B51" s="5">
        <f>Inputs!$C$6*0.1</f>
        <v/>
      </c>
      <c r="C51" s="5">
        <f>Inputs!$D$6*0.1</f>
        <v/>
      </c>
      <c r="D51" s="5">
        <f>Inputs!$E$6*0.1</f>
        <v/>
      </c>
      <c r="E51" s="5">
        <f>Inputs!$F$6*0.1</f>
        <v/>
      </c>
      <c r="F51" s="5">
        <f>Inputs!$G$6*0.1</f>
        <v/>
      </c>
      <c r="G51" s="5">
        <f>Inputs!$H$6*0.1</f>
        <v/>
      </c>
      <c r="H51" s="5">
        <f>Inputs!$I$6*0.1</f>
        <v/>
      </c>
      <c r="I51" s="5">
        <f>Inputs!$J$6*0.1</f>
        <v/>
      </c>
      <c r="J51" s="5">
        <f>Inputs!$K$6*0.1</f>
        <v/>
      </c>
      <c r="K51" s="5">
        <f>Inputs!$L$6*0.1</f>
        <v/>
      </c>
      <c r="L51" s="5">
        <f>Inputs!$M$6*0.1</f>
        <v/>
      </c>
      <c r="M51" s="5" t="n">
        <v>0</v>
      </c>
    </row>
    <row r="52">
      <c r="A52" t="inlineStr">
        <is>
          <t>Revenue Recognition</t>
        </is>
      </c>
      <c r="B52" s="5">
        <f>B50</f>
        <v/>
      </c>
      <c r="C52" s="5">
        <f>B51</f>
        <v/>
      </c>
      <c r="D52" s="5">
        <f>C51</f>
        <v/>
      </c>
      <c r="E52" s="5">
        <f>D51</f>
        <v/>
      </c>
      <c r="F52" s="5">
        <f>E51</f>
        <v/>
      </c>
      <c r="G52" s="5">
        <f>F51</f>
        <v/>
      </c>
      <c r="H52" s="5">
        <f>G51</f>
        <v/>
      </c>
      <c r="I52" s="5">
        <f>H51</f>
        <v/>
      </c>
      <c r="J52" s="5">
        <f>I51</f>
        <v/>
      </c>
      <c r="K52" s="5">
        <f>J51</f>
        <v/>
      </c>
      <c r="L52" s="5">
        <f>K51</f>
        <v/>
      </c>
      <c r="M52" s="5">
        <f>L51</f>
        <v/>
      </c>
    </row>
    <row r="53">
      <c r="A53" t="inlineStr">
        <is>
          <t>Closing Deferred Revenue</t>
        </is>
      </c>
      <c r="B53" s="10">
        <f>B50+B51-B52</f>
        <v/>
      </c>
      <c r="C53" s="10">
        <f>C50+C51-C52</f>
        <v/>
      </c>
      <c r="D53" s="10">
        <f>D50+D51-D52</f>
        <v/>
      </c>
      <c r="E53" s="10">
        <f>E50+E51-E52</f>
        <v/>
      </c>
      <c r="F53" s="10">
        <f>F50+F51-F52</f>
        <v/>
      </c>
      <c r="G53" s="10">
        <f>G50+G51-G52</f>
        <v/>
      </c>
      <c r="H53" s="10">
        <f>H50+H51-H52</f>
        <v/>
      </c>
      <c r="I53" s="10">
        <f>I50+I51-I52</f>
        <v/>
      </c>
      <c r="J53" s="10">
        <f>J50+J51-J52</f>
        <v/>
      </c>
      <c r="K53" s="10">
        <f>K50+K51-K52</f>
        <v/>
      </c>
      <c r="L53" s="10">
        <f>L50+L51-L52</f>
        <v/>
      </c>
      <c r="M53" s="10">
        <f>M50+M51-M52</f>
        <v/>
      </c>
    </row>
    <row r="55">
      <c r="A55" s="12" t="inlineStr">
        <is>
          <t>DEBT CONTROL</t>
        </is>
      </c>
    </row>
    <row r="56">
      <c r="A56" t="inlineStr">
        <is>
          <t>Opening Debt</t>
        </is>
      </c>
      <c r="B56" s="5">
        <f>Inputs!$B$50</f>
        <v/>
      </c>
      <c r="C56" s="5">
        <f>B59</f>
        <v/>
      </c>
      <c r="D56" s="5">
        <f>C59</f>
        <v/>
      </c>
      <c r="E56" s="5">
        <f>D59</f>
        <v/>
      </c>
      <c r="F56" s="5">
        <f>E59</f>
        <v/>
      </c>
      <c r="G56" s="5">
        <f>F59</f>
        <v/>
      </c>
      <c r="H56" s="5">
        <f>G59</f>
        <v/>
      </c>
      <c r="I56" s="5">
        <f>H59</f>
        <v/>
      </c>
      <c r="J56" s="5">
        <f>I59</f>
        <v/>
      </c>
      <c r="K56" s="5">
        <f>J59</f>
        <v/>
      </c>
      <c r="L56" s="5">
        <f>K59</f>
        <v/>
      </c>
      <c r="M56" s="5">
        <f>L59</f>
        <v/>
      </c>
    </row>
    <row r="57">
      <c r="A57" t="inlineStr">
        <is>
          <t>Debt Drawdowns</t>
        </is>
      </c>
      <c r="B57" s="5">
        <f>Inputs!$B$30</f>
        <v/>
      </c>
      <c r="C57" s="5">
        <f>Inputs!$C$30</f>
        <v/>
      </c>
      <c r="D57" s="5">
        <f>Inputs!$D$30</f>
        <v/>
      </c>
      <c r="E57" s="5">
        <f>Inputs!$E$30</f>
        <v/>
      </c>
      <c r="F57" s="5">
        <f>Inputs!$F$30</f>
        <v/>
      </c>
      <c r="G57" s="5">
        <f>Inputs!$G$30</f>
        <v/>
      </c>
      <c r="H57" s="5">
        <f>Inputs!$H$30</f>
        <v/>
      </c>
      <c r="I57" s="5">
        <f>Inputs!$I$30</f>
        <v/>
      </c>
      <c r="J57" s="5">
        <f>Inputs!$J$30</f>
        <v/>
      </c>
      <c r="K57" s="5">
        <f>Inputs!$K$30</f>
        <v/>
      </c>
      <c r="L57" s="5">
        <f>Inputs!$L$30</f>
        <v/>
      </c>
      <c r="M57" s="5">
        <f>Inputs!$M$30</f>
        <v/>
      </c>
    </row>
    <row r="58">
      <c r="A58" t="inlineStr">
        <is>
          <t>Debt Repayments</t>
        </is>
      </c>
      <c r="B58" s="5">
        <f>Inputs!$B$31</f>
        <v/>
      </c>
      <c r="C58" s="5">
        <f>Inputs!$C$31</f>
        <v/>
      </c>
      <c r="D58" s="5">
        <f>Inputs!$D$31</f>
        <v/>
      </c>
      <c r="E58" s="5">
        <f>Inputs!$E$31</f>
        <v/>
      </c>
      <c r="F58" s="5">
        <f>Inputs!$F$31</f>
        <v/>
      </c>
      <c r="G58" s="5">
        <f>Inputs!$G$31</f>
        <v/>
      </c>
      <c r="H58" s="5">
        <f>Inputs!$H$31</f>
        <v/>
      </c>
      <c r="I58" s="5">
        <f>Inputs!$I$31</f>
        <v/>
      </c>
      <c r="J58" s="5">
        <f>Inputs!$J$31</f>
        <v/>
      </c>
      <c r="K58" s="5">
        <f>Inputs!$K$31</f>
        <v/>
      </c>
      <c r="L58" s="5">
        <f>Inputs!$L$31</f>
        <v/>
      </c>
      <c r="M58" s="5">
        <f>Inputs!$M$31</f>
        <v/>
      </c>
    </row>
    <row r="59">
      <c r="A59" t="inlineStr">
        <is>
          <t>Closing Debt</t>
        </is>
      </c>
      <c r="B59" s="10">
        <f>B56+B57-B58</f>
        <v/>
      </c>
      <c r="C59" s="10">
        <f>C56+C57-C58</f>
        <v/>
      </c>
      <c r="D59" s="10">
        <f>D56+D57-D58</f>
        <v/>
      </c>
      <c r="E59" s="10">
        <f>E56+E57-E58</f>
        <v/>
      </c>
      <c r="F59" s="10">
        <f>F56+F57-F58</f>
        <v/>
      </c>
      <c r="G59" s="10">
        <f>G56+G57-G58</f>
        <v/>
      </c>
      <c r="H59" s="10">
        <f>H56+H57-H58</f>
        <v/>
      </c>
      <c r="I59" s="10">
        <f>I56+I57-I58</f>
        <v/>
      </c>
      <c r="J59" s="10">
        <f>J56+J57-J58</f>
        <v/>
      </c>
      <c r="K59" s="10">
        <f>K56+K57-K58</f>
        <v/>
      </c>
      <c r="L59" s="10">
        <f>L56+L57-L58</f>
        <v/>
      </c>
      <c r="M59" s="10">
        <f>M56+M57-M58</f>
        <v/>
      </c>
    </row>
    <row r="61">
      <c r="A61" t="inlineStr">
        <is>
          <t>Interest Expense</t>
        </is>
      </c>
      <c r="B61" s="13">
        <f>B56*Inputs!$B$32/12</f>
        <v/>
      </c>
      <c r="C61" s="13">
        <f>C56*Inputs!$C$32/12</f>
        <v/>
      </c>
      <c r="D61" s="13">
        <f>D56*Inputs!$D$32/12</f>
        <v/>
      </c>
      <c r="E61" s="13">
        <f>E56*Inputs!$E$32/12</f>
        <v/>
      </c>
      <c r="F61" s="13">
        <f>F56*Inputs!$F$32/12</f>
        <v/>
      </c>
      <c r="G61" s="13">
        <f>G56*Inputs!$G$32/12</f>
        <v/>
      </c>
      <c r="H61" s="13">
        <f>H56*Inputs!$H$32/12</f>
        <v/>
      </c>
      <c r="I61" s="13">
        <f>I56*Inputs!$I$32/12</f>
        <v/>
      </c>
      <c r="J61" s="13">
        <f>J56*Inputs!$J$32/12</f>
        <v/>
      </c>
      <c r="K61" s="13">
        <f>K56*Inputs!$K$32/12</f>
        <v/>
      </c>
      <c r="L61" s="13">
        <f>L56*Inputs!$L$32/12</f>
        <v/>
      </c>
      <c r="M61" s="13">
        <f>M56*Inputs!$M$32/12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INCOME STATEMENT</t>
        </is>
      </c>
    </row>
    <row r="3">
      <c r="A3" s="2" t="inlineStr">
        <is>
          <t>Period</t>
        </is>
      </c>
      <c r="B3" s="3" t="inlineStr">
        <is>
          <t>Month 1</t>
        </is>
      </c>
      <c r="C3" s="3" t="inlineStr">
        <is>
          <t>Month 2</t>
        </is>
      </c>
      <c r="D3" s="3" t="inlineStr">
        <is>
          <t>Month 3</t>
        </is>
      </c>
      <c r="E3" s="3" t="inlineStr">
        <is>
          <t>Month 4</t>
        </is>
      </c>
      <c r="F3" s="3" t="inlineStr">
        <is>
          <t>Month 5</t>
        </is>
      </c>
      <c r="G3" s="3" t="inlineStr">
        <is>
          <t>Month 6</t>
        </is>
      </c>
      <c r="H3" s="3" t="inlineStr">
        <is>
          <t>Month 7</t>
        </is>
      </c>
      <c r="I3" s="3" t="inlineStr">
        <is>
          <t>Month 8</t>
        </is>
      </c>
      <c r="J3" s="3" t="inlineStr">
        <is>
          <t>Month 9</t>
        </is>
      </c>
      <c r="K3" s="3" t="inlineStr">
        <is>
          <t>Month 10</t>
        </is>
      </c>
      <c r="L3" s="3" t="inlineStr">
        <is>
          <t>Month 11</t>
        </is>
      </c>
      <c r="M3" s="3" t="inlineStr">
        <is>
          <t>Month 12</t>
        </is>
      </c>
    </row>
    <row r="5">
      <c r="A5" t="inlineStr">
        <is>
          <t>Revenue</t>
        </is>
      </c>
      <c r="B5" s="5">
        <f>Inputs!$B$6</f>
        <v/>
      </c>
      <c r="C5" s="5">
        <f>Inputs!$C$6</f>
        <v/>
      </c>
      <c r="D5" s="5">
        <f>Inputs!$D$6</f>
        <v/>
      </c>
      <c r="E5" s="5">
        <f>Inputs!$E$6</f>
        <v/>
      </c>
      <c r="F5" s="5">
        <f>Inputs!$F$6</f>
        <v/>
      </c>
      <c r="G5" s="5">
        <f>Inputs!$G$6</f>
        <v/>
      </c>
      <c r="H5" s="5">
        <f>Inputs!$H$6</f>
        <v/>
      </c>
      <c r="I5" s="5">
        <f>Inputs!$I$6</f>
        <v/>
      </c>
      <c r="J5" s="5">
        <f>Inputs!$J$6</f>
        <v/>
      </c>
      <c r="K5" s="5">
        <f>Inputs!$K$6</f>
        <v/>
      </c>
      <c r="L5" s="5">
        <f>Inputs!$L$6</f>
        <v/>
      </c>
      <c r="M5" s="5">
        <f>Inputs!$M$6</f>
        <v/>
      </c>
    </row>
    <row r="6">
      <c r="A6" t="inlineStr">
        <is>
          <t>Cost of Goods Sold</t>
        </is>
      </c>
      <c r="B6" s="5">
        <f>-Workings!$B$16</f>
        <v/>
      </c>
      <c r="C6" s="5">
        <f>-Workings!$C$16</f>
        <v/>
      </c>
      <c r="D6" s="5">
        <f>-Workings!$D$16</f>
        <v/>
      </c>
      <c r="E6" s="5">
        <f>-Workings!$E$16</f>
        <v/>
      </c>
      <c r="F6" s="5">
        <f>-Workings!$F$16</f>
        <v/>
      </c>
      <c r="G6" s="5">
        <f>-Workings!$G$16</f>
        <v/>
      </c>
      <c r="H6" s="5">
        <f>-Workings!$H$16</f>
        <v/>
      </c>
      <c r="I6" s="5">
        <f>-Workings!$I$16</f>
        <v/>
      </c>
      <c r="J6" s="5">
        <f>-Workings!$J$16</f>
        <v/>
      </c>
      <c r="K6" s="5">
        <f>-Workings!$K$16</f>
        <v/>
      </c>
      <c r="L6" s="5">
        <f>-Workings!$L$16</f>
        <v/>
      </c>
      <c r="M6" s="5">
        <f>-Workings!$M$16</f>
        <v/>
      </c>
    </row>
    <row r="7">
      <c r="A7" t="inlineStr">
        <is>
          <t>Gross Profit</t>
        </is>
      </c>
      <c r="B7" s="10">
        <f>B5+B6</f>
        <v/>
      </c>
      <c r="C7" s="10">
        <f>C5+C6</f>
        <v/>
      </c>
      <c r="D7" s="10">
        <f>D5+D6</f>
        <v/>
      </c>
      <c r="E7" s="10">
        <f>E5+E6</f>
        <v/>
      </c>
      <c r="F7" s="10">
        <f>F5+F6</f>
        <v/>
      </c>
      <c r="G7" s="10">
        <f>G5+G6</f>
        <v/>
      </c>
      <c r="H7" s="10">
        <f>H5+H6</f>
        <v/>
      </c>
      <c r="I7" s="10">
        <f>I5+I6</f>
        <v/>
      </c>
      <c r="J7" s="10">
        <f>J5+J6</f>
        <v/>
      </c>
      <c r="K7" s="10">
        <f>K5+K6</f>
        <v/>
      </c>
      <c r="L7" s="10">
        <f>L5+L6</f>
        <v/>
      </c>
      <c r="M7" s="10">
        <f>M5+M6</f>
        <v/>
      </c>
    </row>
    <row r="8">
      <c r="A8" t="inlineStr">
        <is>
          <t>Gross Margin %</t>
        </is>
      </c>
      <c r="B8" s="6">
        <f>B7/B5</f>
        <v/>
      </c>
      <c r="C8" s="6">
        <f>C7/C5</f>
        <v/>
      </c>
      <c r="D8" s="6">
        <f>D7/D5</f>
        <v/>
      </c>
      <c r="E8" s="6">
        <f>E7/E5</f>
        <v/>
      </c>
      <c r="F8" s="6">
        <f>F7/F5</f>
        <v/>
      </c>
      <c r="G8" s="6">
        <f>G7/G5</f>
        <v/>
      </c>
      <c r="H8" s="6">
        <f>H7/H5</f>
        <v/>
      </c>
      <c r="I8" s="6">
        <f>I7/I5</f>
        <v/>
      </c>
      <c r="J8" s="6">
        <f>J7/J5</f>
        <v/>
      </c>
      <c r="K8" s="6">
        <f>K7/K5</f>
        <v/>
      </c>
      <c r="L8" s="6">
        <f>L7/L5</f>
        <v/>
      </c>
      <c r="M8" s="6">
        <f>M7/M5</f>
        <v/>
      </c>
    </row>
    <row r="10">
      <c r="A10" s="2" t="inlineStr">
        <is>
          <t>Operating Expenses</t>
        </is>
      </c>
    </row>
    <row r="11">
      <c r="A11" t="inlineStr">
        <is>
          <t xml:space="preserve">  Salaries &amp; Wages</t>
        </is>
      </c>
      <c r="B11" s="5">
        <f>-Inputs!$B$12*0.5</f>
        <v/>
      </c>
      <c r="C11" s="5">
        <f>-Inputs!$C$12*0.5</f>
        <v/>
      </c>
      <c r="D11" s="5">
        <f>-Inputs!$D$12*0.5</f>
        <v/>
      </c>
      <c r="E11" s="5">
        <f>-Inputs!$E$12*0.5</f>
        <v/>
      </c>
      <c r="F11" s="5">
        <f>-Inputs!$F$12*0.5</f>
        <v/>
      </c>
      <c r="G11" s="5">
        <f>-Inputs!$G$12*0.5</f>
        <v/>
      </c>
      <c r="H11" s="5">
        <f>-Inputs!$H$12*0.5</f>
        <v/>
      </c>
      <c r="I11" s="5">
        <f>-Inputs!$I$12*0.5</f>
        <v/>
      </c>
      <c r="J11" s="5">
        <f>-Inputs!$J$12*0.5</f>
        <v/>
      </c>
      <c r="K11" s="5">
        <f>-Inputs!$K$12*0.5</f>
        <v/>
      </c>
      <c r="L11" s="5">
        <f>-Inputs!$L$12*0.5</f>
        <v/>
      </c>
      <c r="M11" s="5">
        <f>-Inputs!$M$12*0.5</f>
        <v/>
      </c>
    </row>
    <row r="12">
      <c r="A12" t="inlineStr">
        <is>
          <t xml:space="preserve">  Other Operating Expenses</t>
        </is>
      </c>
      <c r="B12" s="5">
        <f>-Inputs!$B$12*0.5</f>
        <v/>
      </c>
      <c r="C12" s="5">
        <f>-Inputs!$C$12*0.5</f>
        <v/>
      </c>
      <c r="D12" s="5">
        <f>-Inputs!$D$12*0.5</f>
        <v/>
      </c>
      <c r="E12" s="5">
        <f>-Inputs!$E$12*0.5</f>
        <v/>
      </c>
      <c r="F12" s="5">
        <f>-Inputs!$F$12*0.5</f>
        <v/>
      </c>
      <c r="G12" s="5">
        <f>-Inputs!$G$12*0.5</f>
        <v/>
      </c>
      <c r="H12" s="5">
        <f>-Inputs!$H$12*0.5</f>
        <v/>
      </c>
      <c r="I12" s="5">
        <f>-Inputs!$I$12*0.5</f>
        <v/>
      </c>
      <c r="J12" s="5">
        <f>-Inputs!$J$12*0.5</f>
        <v/>
      </c>
      <c r="K12" s="5">
        <f>-Inputs!$K$12*0.5</f>
        <v/>
      </c>
      <c r="L12" s="5">
        <f>-Inputs!$L$12*0.5</f>
        <v/>
      </c>
      <c r="M12" s="5">
        <f>-Inputs!$M$12*0.5</f>
        <v/>
      </c>
    </row>
    <row r="13">
      <c r="A13" t="inlineStr">
        <is>
          <t xml:space="preserve">  Prepayment Amortization</t>
        </is>
      </c>
      <c r="B13" s="5">
        <f>-Workings!$B$24</f>
        <v/>
      </c>
      <c r="C13" s="5">
        <f>-Workings!$C$24</f>
        <v/>
      </c>
      <c r="D13" s="5">
        <f>-Workings!$D$24</f>
        <v/>
      </c>
      <c r="E13" s="5">
        <f>-Workings!$E$24</f>
        <v/>
      </c>
      <c r="F13" s="5">
        <f>-Workings!$F$24</f>
        <v/>
      </c>
      <c r="G13" s="5">
        <f>-Workings!$G$24</f>
        <v/>
      </c>
      <c r="H13" s="5">
        <f>-Workings!$H$24</f>
        <v/>
      </c>
      <c r="I13" s="5">
        <f>-Workings!$I$24</f>
        <v/>
      </c>
      <c r="J13" s="5">
        <f>-Workings!$J$24</f>
        <v/>
      </c>
      <c r="K13" s="5">
        <f>-Workings!$K$24</f>
        <v/>
      </c>
      <c r="L13" s="5">
        <f>-Workings!$L$24</f>
        <v/>
      </c>
      <c r="M13" s="5">
        <f>-Workings!$M$24</f>
        <v/>
      </c>
    </row>
    <row r="14">
      <c r="A14" t="inlineStr">
        <is>
          <t>Total Operating Expenses</t>
        </is>
      </c>
      <c r="B14" s="10">
        <f>SUM(B11:B13)</f>
        <v/>
      </c>
      <c r="C14" s="10">
        <f>SUM(C11:C13)</f>
        <v/>
      </c>
      <c r="D14" s="10">
        <f>SUM(D11:D13)</f>
        <v/>
      </c>
      <c r="E14" s="10">
        <f>SUM(E11:E13)</f>
        <v/>
      </c>
      <c r="F14" s="10">
        <f>SUM(F11:F13)</f>
        <v/>
      </c>
      <c r="G14" s="10">
        <f>SUM(G11:G13)</f>
        <v/>
      </c>
      <c r="H14" s="10">
        <f>SUM(H11:H13)</f>
        <v/>
      </c>
      <c r="I14" s="10">
        <f>SUM(I11:I13)</f>
        <v/>
      </c>
      <c r="J14" s="10">
        <f>SUM(J11:J13)</f>
        <v/>
      </c>
      <c r="K14" s="10">
        <f>SUM(K11:K13)</f>
        <v/>
      </c>
      <c r="L14" s="10">
        <f>SUM(L11:L13)</f>
        <v/>
      </c>
      <c r="M14" s="10">
        <f>SUM(M11:M13)</f>
        <v/>
      </c>
    </row>
    <row r="16">
      <c r="A16" t="inlineStr">
        <is>
          <t>EBITDA</t>
        </is>
      </c>
      <c r="B16" s="13">
        <f>B7+B14</f>
        <v/>
      </c>
      <c r="C16" s="13">
        <f>C7+C14</f>
        <v/>
      </c>
      <c r="D16" s="13">
        <f>D7+D14</f>
        <v/>
      </c>
      <c r="E16" s="13">
        <f>E7+E14</f>
        <v/>
      </c>
      <c r="F16" s="13">
        <f>F7+F14</f>
        <v/>
      </c>
      <c r="G16" s="13">
        <f>G7+G14</f>
        <v/>
      </c>
      <c r="H16" s="13">
        <f>H7+H14</f>
        <v/>
      </c>
      <c r="I16" s="13">
        <f>I7+I14</f>
        <v/>
      </c>
      <c r="J16" s="13">
        <f>J7+J14</f>
        <v/>
      </c>
      <c r="K16" s="13">
        <f>K7+K14</f>
        <v/>
      </c>
      <c r="L16" s="13">
        <f>L7+L14</f>
        <v/>
      </c>
      <c r="M16" s="13">
        <f>M7+M14</f>
        <v/>
      </c>
    </row>
    <row r="17">
      <c r="A17" t="inlineStr">
        <is>
          <t>Depreciation</t>
        </is>
      </c>
      <c r="B17" s="5">
        <f>-Workings!$B$37</f>
        <v/>
      </c>
      <c r="C17" s="5">
        <f>-Workings!$C$37</f>
        <v/>
      </c>
      <c r="D17" s="5">
        <f>-Workings!$D$37</f>
        <v/>
      </c>
      <c r="E17" s="5">
        <f>-Workings!$E$37</f>
        <v/>
      </c>
      <c r="F17" s="5">
        <f>-Workings!$F$37</f>
        <v/>
      </c>
      <c r="G17" s="5">
        <f>-Workings!$G$37</f>
        <v/>
      </c>
      <c r="H17" s="5">
        <f>-Workings!$H$37</f>
        <v/>
      </c>
      <c r="I17" s="5">
        <f>-Workings!$I$37</f>
        <v/>
      </c>
      <c r="J17" s="5">
        <f>-Workings!$J$37</f>
        <v/>
      </c>
      <c r="K17" s="5">
        <f>-Workings!$K$37</f>
        <v/>
      </c>
      <c r="L17" s="5">
        <f>-Workings!$L$37</f>
        <v/>
      </c>
      <c r="M17" s="5">
        <f>-Workings!$M$37</f>
        <v/>
      </c>
    </row>
    <row r="18">
      <c r="A18" t="inlineStr">
        <is>
          <t>EBIT</t>
        </is>
      </c>
      <c r="B18" s="13">
        <f>B16+B17</f>
        <v/>
      </c>
      <c r="C18" s="13">
        <f>C16+C17</f>
        <v/>
      </c>
      <c r="D18" s="13">
        <f>D16+D17</f>
        <v/>
      </c>
      <c r="E18" s="13">
        <f>E16+E17</f>
        <v/>
      </c>
      <c r="F18" s="13">
        <f>F16+F17</f>
        <v/>
      </c>
      <c r="G18" s="13">
        <f>G16+G17</f>
        <v/>
      </c>
      <c r="H18" s="13">
        <f>H16+H17</f>
        <v/>
      </c>
      <c r="I18" s="13">
        <f>I16+I17</f>
        <v/>
      </c>
      <c r="J18" s="13">
        <f>J16+J17</f>
        <v/>
      </c>
      <c r="K18" s="13">
        <f>K16+K17</f>
        <v/>
      </c>
      <c r="L18" s="13">
        <f>L16+L17</f>
        <v/>
      </c>
      <c r="M18" s="13">
        <f>M16+M17</f>
        <v/>
      </c>
    </row>
    <row r="20">
      <c r="A20" t="inlineStr">
        <is>
          <t>Interest Expense</t>
        </is>
      </c>
      <c r="B20" s="5">
        <f>-Workings!$B$60</f>
        <v/>
      </c>
      <c r="C20" s="5">
        <f>-Workings!$C$60</f>
        <v/>
      </c>
      <c r="D20" s="5">
        <f>-Workings!$D$60</f>
        <v/>
      </c>
      <c r="E20" s="5">
        <f>-Workings!$E$60</f>
        <v/>
      </c>
      <c r="F20" s="5">
        <f>-Workings!$F$60</f>
        <v/>
      </c>
      <c r="G20" s="5">
        <f>-Workings!$G$60</f>
        <v/>
      </c>
      <c r="H20" s="5">
        <f>-Workings!$H$60</f>
        <v/>
      </c>
      <c r="I20" s="5">
        <f>-Workings!$I$60</f>
        <v/>
      </c>
      <c r="J20" s="5">
        <f>-Workings!$J$60</f>
        <v/>
      </c>
      <c r="K20" s="5">
        <f>-Workings!$K$60</f>
        <v/>
      </c>
      <c r="L20" s="5">
        <f>-Workings!$L$60</f>
        <v/>
      </c>
      <c r="M20" s="5">
        <f>-Workings!$M$60</f>
        <v/>
      </c>
    </row>
    <row r="21">
      <c r="A21" t="inlineStr">
        <is>
          <t>Earnings Before Tax</t>
        </is>
      </c>
      <c r="B21" s="10">
        <f>B18+B20</f>
        <v/>
      </c>
      <c r="C21" s="10">
        <f>C18+C20</f>
        <v/>
      </c>
      <c r="D21" s="10">
        <f>D18+D20</f>
        <v/>
      </c>
      <c r="E21" s="10">
        <f>E18+E20</f>
        <v/>
      </c>
      <c r="F21" s="10">
        <f>F18+F20</f>
        <v/>
      </c>
      <c r="G21" s="10">
        <f>G18+G20</f>
        <v/>
      </c>
      <c r="H21" s="10">
        <f>H18+H20</f>
        <v/>
      </c>
      <c r="I21" s="10">
        <f>I18+I20</f>
        <v/>
      </c>
      <c r="J21" s="10">
        <f>J18+J20</f>
        <v/>
      </c>
      <c r="K21" s="10">
        <f>K18+K20</f>
        <v/>
      </c>
      <c r="L21" s="10">
        <f>L18+L20</f>
        <v/>
      </c>
      <c r="M21" s="10">
        <f>M18+M20</f>
        <v/>
      </c>
    </row>
    <row r="22">
      <c r="A22" t="inlineStr">
        <is>
          <t>Income Tax</t>
        </is>
      </c>
      <c r="B22" s="5">
        <f>-MAX(B21,0)*Inputs!$B$36</f>
        <v/>
      </c>
      <c r="C22" s="5">
        <f>-MAX(C21,0)*Inputs!$C$36</f>
        <v/>
      </c>
      <c r="D22" s="5">
        <f>-MAX(D21,0)*Inputs!$D$36</f>
        <v/>
      </c>
      <c r="E22" s="5">
        <f>-MAX(E21,0)*Inputs!$E$36</f>
        <v/>
      </c>
      <c r="F22" s="5">
        <f>-MAX(F21,0)*Inputs!$F$36</f>
        <v/>
      </c>
      <c r="G22" s="5">
        <f>-MAX(G21,0)*Inputs!$G$36</f>
        <v/>
      </c>
      <c r="H22" s="5">
        <f>-MAX(H21,0)*Inputs!$H$36</f>
        <v/>
      </c>
      <c r="I22" s="5">
        <f>-MAX(I21,0)*Inputs!$I$36</f>
        <v/>
      </c>
      <c r="J22" s="5">
        <f>-MAX(J21,0)*Inputs!$J$36</f>
        <v/>
      </c>
      <c r="K22" s="5">
        <f>-MAX(K21,0)*Inputs!$K$36</f>
        <v/>
      </c>
      <c r="L22" s="5">
        <f>-MAX(L21,0)*Inputs!$L$36</f>
        <v/>
      </c>
      <c r="M22" s="5">
        <f>-MAX(M21,0)*Inputs!$M$36</f>
        <v/>
      </c>
    </row>
    <row r="23">
      <c r="A23" t="inlineStr">
        <is>
          <t>Net Income</t>
        </is>
      </c>
      <c r="B23" s="14">
        <f>B21+B22</f>
        <v/>
      </c>
      <c r="C23" s="14">
        <f>C21+C22</f>
        <v/>
      </c>
      <c r="D23" s="14">
        <f>D21+D22</f>
        <v/>
      </c>
      <c r="E23" s="14">
        <f>E21+E22</f>
        <v/>
      </c>
      <c r="F23" s="14">
        <f>F21+F22</f>
        <v/>
      </c>
      <c r="G23" s="14">
        <f>G21+G22</f>
        <v/>
      </c>
      <c r="H23" s="14">
        <f>H21+H22</f>
        <v/>
      </c>
      <c r="I23" s="14">
        <f>I21+I22</f>
        <v/>
      </c>
      <c r="J23" s="14">
        <f>J21+J22</f>
        <v/>
      </c>
      <c r="K23" s="14">
        <f>K21+K22</f>
        <v/>
      </c>
      <c r="L23" s="14">
        <f>L21+L22</f>
        <v/>
      </c>
      <c r="M23" s="14">
        <f>M21+M22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BALANCE SHEET</t>
        </is>
      </c>
    </row>
    <row r="3">
      <c r="A3" s="2" t="inlineStr">
        <is>
          <t>Period</t>
        </is>
      </c>
      <c r="B3" s="3" t="inlineStr">
        <is>
          <t>Month 1</t>
        </is>
      </c>
      <c r="C3" s="3" t="inlineStr">
        <is>
          <t>Month 2</t>
        </is>
      </c>
      <c r="D3" s="3" t="inlineStr">
        <is>
          <t>Month 3</t>
        </is>
      </c>
      <c r="E3" s="3" t="inlineStr">
        <is>
          <t>Month 4</t>
        </is>
      </c>
      <c r="F3" s="3" t="inlineStr">
        <is>
          <t>Month 5</t>
        </is>
      </c>
      <c r="G3" s="3" t="inlineStr">
        <is>
          <t>Month 6</t>
        </is>
      </c>
      <c r="H3" s="3" t="inlineStr">
        <is>
          <t>Month 7</t>
        </is>
      </c>
      <c r="I3" s="3" t="inlineStr">
        <is>
          <t>Month 8</t>
        </is>
      </c>
      <c r="J3" s="3" t="inlineStr">
        <is>
          <t>Month 9</t>
        </is>
      </c>
      <c r="K3" s="3" t="inlineStr">
        <is>
          <t>Month 10</t>
        </is>
      </c>
      <c r="L3" s="3" t="inlineStr">
        <is>
          <t>Month 11</t>
        </is>
      </c>
      <c r="M3" s="3" t="inlineStr">
        <is>
          <t>Month 12</t>
        </is>
      </c>
    </row>
    <row r="5">
      <c r="A5" s="15" t="inlineStr">
        <is>
          <t>ASSETS</t>
        </is>
      </c>
    </row>
    <row r="6">
      <c r="A6" s="2" t="inlineStr">
        <is>
          <t>Current Assets</t>
        </is>
      </c>
    </row>
    <row r="7">
      <c r="A7" t="inlineStr">
        <is>
          <t xml:space="preserve">  Cash</t>
        </is>
      </c>
      <c r="B7" s="5">
        <f>'Cash Flow Statement'!$B$34</f>
        <v/>
      </c>
      <c r="C7" s="5">
        <f>'Cash Flow Statement'!$C$34</f>
        <v/>
      </c>
      <c r="D7" s="5">
        <f>'Cash Flow Statement'!$D$34</f>
        <v/>
      </c>
      <c r="E7" s="5">
        <f>'Cash Flow Statement'!$E$34</f>
        <v/>
      </c>
      <c r="F7" s="5">
        <f>'Cash Flow Statement'!$F$34</f>
        <v/>
      </c>
      <c r="G7" s="5">
        <f>'Cash Flow Statement'!$G$34</f>
        <v/>
      </c>
      <c r="H7" s="5">
        <f>'Cash Flow Statement'!$H$34</f>
        <v/>
      </c>
      <c r="I7" s="5">
        <f>'Cash Flow Statement'!$I$34</f>
        <v/>
      </c>
      <c r="J7" s="5">
        <f>'Cash Flow Statement'!$J$34</f>
        <v/>
      </c>
      <c r="K7" s="5">
        <f>'Cash Flow Statement'!$K$34</f>
        <v/>
      </c>
      <c r="L7" s="5">
        <f>'Cash Flow Statement'!$L$34</f>
        <v/>
      </c>
      <c r="M7" s="5">
        <f>'Cash Flow Statement'!$M$34</f>
        <v/>
      </c>
    </row>
    <row r="8">
      <c r="A8" t="inlineStr">
        <is>
          <t xml:space="preserve">  Accounts Receivable</t>
        </is>
      </c>
      <c r="B8" s="5">
        <f>Workings!$B$9</f>
        <v/>
      </c>
      <c r="C8" s="5">
        <f>Workings!$C$9</f>
        <v/>
      </c>
      <c r="D8" s="5">
        <f>Workings!$D$9</f>
        <v/>
      </c>
      <c r="E8" s="5">
        <f>Workings!$E$9</f>
        <v/>
      </c>
      <c r="F8" s="5">
        <f>Workings!$F$9</f>
        <v/>
      </c>
      <c r="G8" s="5">
        <f>Workings!$G$9</f>
        <v/>
      </c>
      <c r="H8" s="5">
        <f>Workings!$H$9</f>
        <v/>
      </c>
      <c r="I8" s="5">
        <f>Workings!$I$9</f>
        <v/>
      </c>
      <c r="J8" s="5">
        <f>Workings!$J$9</f>
        <v/>
      </c>
      <c r="K8" s="5">
        <f>Workings!$K$9</f>
        <v/>
      </c>
      <c r="L8" s="5">
        <f>Workings!$L$9</f>
        <v/>
      </c>
      <c r="M8" s="5">
        <f>Workings!$M$9</f>
        <v/>
      </c>
    </row>
    <row r="9">
      <c r="A9" t="inlineStr">
        <is>
          <t xml:space="preserve">  Inventory</t>
        </is>
      </c>
      <c r="B9" s="5">
        <f>Workings!$B$17</f>
        <v/>
      </c>
      <c r="C9" s="5">
        <f>Workings!$C$17</f>
        <v/>
      </c>
      <c r="D9" s="5">
        <f>Workings!$D$17</f>
        <v/>
      </c>
      <c r="E9" s="5">
        <f>Workings!$E$17</f>
        <v/>
      </c>
      <c r="F9" s="5">
        <f>Workings!$F$17</f>
        <v/>
      </c>
      <c r="G9" s="5">
        <f>Workings!$G$17</f>
        <v/>
      </c>
      <c r="H9" s="5">
        <f>Workings!$H$17</f>
        <v/>
      </c>
      <c r="I9" s="5">
        <f>Workings!$I$17</f>
        <v/>
      </c>
      <c r="J9" s="5">
        <f>Workings!$J$17</f>
        <v/>
      </c>
      <c r="K9" s="5">
        <f>Workings!$K$17</f>
        <v/>
      </c>
      <c r="L9" s="5">
        <f>Workings!$L$17</f>
        <v/>
      </c>
      <c r="M9" s="5">
        <f>Workings!$M$17</f>
        <v/>
      </c>
    </row>
    <row r="10">
      <c r="A10" t="inlineStr">
        <is>
          <t xml:space="preserve">  Prepayments</t>
        </is>
      </c>
      <c r="B10" s="5">
        <f>Workings!$B$25</f>
        <v/>
      </c>
      <c r="C10" s="5">
        <f>Workings!$C$25</f>
        <v/>
      </c>
      <c r="D10" s="5">
        <f>Workings!$D$25</f>
        <v/>
      </c>
      <c r="E10" s="5">
        <f>Workings!$E$25</f>
        <v/>
      </c>
      <c r="F10" s="5">
        <f>Workings!$F$25</f>
        <v/>
      </c>
      <c r="G10" s="5">
        <f>Workings!$G$25</f>
        <v/>
      </c>
      <c r="H10" s="5">
        <f>Workings!$H$25</f>
        <v/>
      </c>
      <c r="I10" s="5">
        <f>Workings!$I$25</f>
        <v/>
      </c>
      <c r="J10" s="5">
        <f>Workings!$J$25</f>
        <v/>
      </c>
      <c r="K10" s="5">
        <f>Workings!$K$25</f>
        <v/>
      </c>
      <c r="L10" s="5">
        <f>Workings!$L$25</f>
        <v/>
      </c>
      <c r="M10" s="5">
        <f>Workings!$M$25</f>
        <v/>
      </c>
    </row>
    <row r="11">
      <c r="A11" t="inlineStr">
        <is>
          <t>Total Current Assets</t>
        </is>
      </c>
      <c r="B11" s="10">
        <f>SUM(B7:B10)</f>
        <v/>
      </c>
      <c r="C11" s="10">
        <f>SUM(C7:C10)</f>
        <v/>
      </c>
      <c r="D11" s="10">
        <f>SUM(D7:D10)</f>
        <v/>
      </c>
      <c r="E11" s="10">
        <f>SUM(E7:E10)</f>
        <v/>
      </c>
      <c r="F11" s="10">
        <f>SUM(F7:F10)</f>
        <v/>
      </c>
      <c r="G11" s="10">
        <f>SUM(G7:G10)</f>
        <v/>
      </c>
      <c r="H11" s="10">
        <f>SUM(H7:H10)</f>
        <v/>
      </c>
      <c r="I11" s="10">
        <f>SUM(I7:I10)</f>
        <v/>
      </c>
      <c r="J11" s="10">
        <f>SUM(J7:J10)</f>
        <v/>
      </c>
      <c r="K11" s="10">
        <f>SUM(K7:K10)</f>
        <v/>
      </c>
      <c r="L11" s="10">
        <f>SUM(L7:L10)</f>
        <v/>
      </c>
      <c r="M11" s="10">
        <f>SUM(M7:M10)</f>
        <v/>
      </c>
    </row>
    <row r="13">
      <c r="A13" s="2" t="inlineStr">
        <is>
          <t>Non-Current Assets</t>
        </is>
      </c>
    </row>
    <row r="14">
      <c r="A14" t="inlineStr">
        <is>
          <t xml:space="preserve">  Fixed Assets (Net)</t>
        </is>
      </c>
      <c r="B14" s="5">
        <f>Workings!$B$41</f>
        <v/>
      </c>
      <c r="C14" s="5">
        <f>Workings!$C$41</f>
        <v/>
      </c>
      <c r="D14" s="5">
        <f>Workings!$D$41</f>
        <v/>
      </c>
      <c r="E14" s="5">
        <f>Workings!$E$41</f>
        <v/>
      </c>
      <c r="F14" s="5">
        <f>Workings!$F$41</f>
        <v/>
      </c>
      <c r="G14" s="5">
        <f>Workings!$G$41</f>
        <v/>
      </c>
      <c r="H14" s="5">
        <f>Workings!$H$41</f>
        <v/>
      </c>
      <c r="I14" s="5">
        <f>Workings!$I$41</f>
        <v/>
      </c>
      <c r="J14" s="5">
        <f>Workings!$J$41</f>
        <v/>
      </c>
      <c r="K14" s="5">
        <f>Workings!$K$41</f>
        <v/>
      </c>
      <c r="L14" s="5">
        <f>Workings!$L$41</f>
        <v/>
      </c>
      <c r="M14" s="5">
        <f>Workings!$M$41</f>
        <v/>
      </c>
    </row>
    <row r="15">
      <c r="A15" t="inlineStr">
        <is>
          <t>Total Non-Current Assets</t>
        </is>
      </c>
      <c r="B15" s="10">
        <f>B14</f>
        <v/>
      </c>
      <c r="C15" s="10">
        <f>C14</f>
        <v/>
      </c>
      <c r="D15" s="10">
        <f>D14</f>
        <v/>
      </c>
      <c r="E15" s="10">
        <f>E14</f>
        <v/>
      </c>
      <c r="F15" s="10">
        <f>F14</f>
        <v/>
      </c>
      <c r="G15" s="10">
        <f>G14</f>
        <v/>
      </c>
      <c r="H15" s="10">
        <f>H14</f>
        <v/>
      </c>
      <c r="I15" s="10">
        <f>I14</f>
        <v/>
      </c>
      <c r="J15" s="10">
        <f>J14</f>
        <v/>
      </c>
      <c r="K15" s="10">
        <f>K14</f>
        <v/>
      </c>
      <c r="L15" s="10">
        <f>L14</f>
        <v/>
      </c>
      <c r="M15" s="10">
        <f>M14</f>
        <v/>
      </c>
    </row>
    <row r="17">
      <c r="A17" t="inlineStr">
        <is>
          <t>TOTAL ASSETS</t>
        </is>
      </c>
      <c r="B17" s="14">
        <f>B8+B15</f>
        <v/>
      </c>
      <c r="C17" s="14">
        <f>C8+C15</f>
        <v/>
      </c>
      <c r="D17" s="14">
        <f>D8+D15</f>
        <v/>
      </c>
      <c r="E17" s="14">
        <f>E8+E15</f>
        <v/>
      </c>
      <c r="F17" s="14">
        <f>F8+F15</f>
        <v/>
      </c>
      <c r="G17" s="14">
        <f>G8+G15</f>
        <v/>
      </c>
      <c r="H17" s="14">
        <f>H8+H15</f>
        <v/>
      </c>
      <c r="I17" s="14">
        <f>I8+I15</f>
        <v/>
      </c>
      <c r="J17" s="14">
        <f>J8+J15</f>
        <v/>
      </c>
      <c r="K17" s="14">
        <f>K8+K15</f>
        <v/>
      </c>
      <c r="L17" s="14">
        <f>L8+L15</f>
        <v/>
      </c>
      <c r="M17" s="14">
        <f>M8+M15</f>
        <v/>
      </c>
    </row>
    <row r="20">
      <c r="A20" s="16" t="inlineStr">
        <is>
          <t>LIABILITIES</t>
        </is>
      </c>
    </row>
    <row r="21">
      <c r="A21" s="2" t="inlineStr">
        <is>
          <t>Current Liabilities</t>
        </is>
      </c>
    </row>
    <row r="22">
      <c r="A22" t="inlineStr">
        <is>
          <t xml:space="preserve">  Accounts Payable</t>
        </is>
      </c>
      <c r="B22" s="5">
        <f>Workings!$B$47</f>
        <v/>
      </c>
      <c r="C22" s="5">
        <f>Workings!$C$47</f>
        <v/>
      </c>
      <c r="D22" s="5">
        <f>Workings!$D$47</f>
        <v/>
      </c>
      <c r="E22" s="5">
        <f>Workings!$E$47</f>
        <v/>
      </c>
      <c r="F22" s="5">
        <f>Workings!$F$47</f>
        <v/>
      </c>
      <c r="G22" s="5">
        <f>Workings!$G$47</f>
        <v/>
      </c>
      <c r="H22" s="5">
        <f>Workings!$H$47</f>
        <v/>
      </c>
      <c r="I22" s="5">
        <f>Workings!$I$47</f>
        <v/>
      </c>
      <c r="J22" s="5">
        <f>Workings!$J$47</f>
        <v/>
      </c>
      <c r="K22" s="5">
        <f>Workings!$K$47</f>
        <v/>
      </c>
      <c r="L22" s="5">
        <f>Workings!$L$47</f>
        <v/>
      </c>
      <c r="M22" s="5">
        <f>Workings!$M$47</f>
        <v/>
      </c>
    </row>
    <row r="23">
      <c r="A23" t="inlineStr">
        <is>
          <t xml:space="preserve">  Accrued Expenses</t>
        </is>
      </c>
      <c r="B23" s="5">
        <f>Workings!$B$53</f>
        <v/>
      </c>
      <c r="C23" s="5">
        <f>Workings!$C$53</f>
        <v/>
      </c>
      <c r="D23" s="5">
        <f>Workings!$D$53</f>
        <v/>
      </c>
      <c r="E23" s="5">
        <f>Workings!$E$53</f>
        <v/>
      </c>
      <c r="F23" s="5">
        <f>Workings!$F$53</f>
        <v/>
      </c>
      <c r="G23" s="5">
        <f>Workings!$G$53</f>
        <v/>
      </c>
      <c r="H23" s="5">
        <f>Workings!$H$53</f>
        <v/>
      </c>
      <c r="I23" s="5">
        <f>Workings!$I$53</f>
        <v/>
      </c>
      <c r="J23" s="5">
        <f>Workings!$J$53</f>
        <v/>
      </c>
      <c r="K23" s="5">
        <f>Workings!$K$53</f>
        <v/>
      </c>
      <c r="L23" s="5">
        <f>Workings!$L$53</f>
        <v/>
      </c>
      <c r="M23" s="5">
        <f>Workings!$M$53</f>
        <v/>
      </c>
    </row>
    <row r="24">
      <c r="A24" t="inlineStr">
        <is>
          <t xml:space="preserve">  Deferred Revenue</t>
        </is>
      </c>
      <c r="B24" s="5">
        <f>Workings!$B$59</f>
        <v/>
      </c>
      <c r="C24" s="5">
        <f>Workings!$C$59</f>
        <v/>
      </c>
      <c r="D24" s="5">
        <f>Workings!$D$59</f>
        <v/>
      </c>
      <c r="E24" s="5">
        <f>Workings!$E$59</f>
        <v/>
      </c>
      <c r="F24" s="5">
        <f>Workings!$F$59</f>
        <v/>
      </c>
      <c r="G24" s="5">
        <f>Workings!$G$59</f>
        <v/>
      </c>
      <c r="H24" s="5">
        <f>Workings!$H$59</f>
        <v/>
      </c>
      <c r="I24" s="5">
        <f>Workings!$I$59</f>
        <v/>
      </c>
      <c r="J24" s="5">
        <f>Workings!$J$59</f>
        <v/>
      </c>
      <c r="K24" s="5">
        <f>Workings!$K$59</f>
        <v/>
      </c>
      <c r="L24" s="5">
        <f>Workings!$L$59</f>
        <v/>
      </c>
      <c r="M24" s="5">
        <f>Workings!$M$59</f>
        <v/>
      </c>
    </row>
    <row r="25">
      <c r="A25" t="inlineStr">
        <is>
          <t>Total Current Liabilities</t>
        </is>
      </c>
      <c r="B25" s="10">
        <f>SUM(B22:B24)</f>
        <v/>
      </c>
      <c r="C25" s="10">
        <f>SUM(C22:C24)</f>
        <v/>
      </c>
      <c r="D25" s="10">
        <f>SUM(D22:D24)</f>
        <v/>
      </c>
      <c r="E25" s="10">
        <f>SUM(E22:E24)</f>
        <v/>
      </c>
      <c r="F25" s="10">
        <f>SUM(F22:F24)</f>
        <v/>
      </c>
      <c r="G25" s="10">
        <f>SUM(G22:G24)</f>
        <v/>
      </c>
      <c r="H25" s="10">
        <f>SUM(H22:H24)</f>
        <v/>
      </c>
      <c r="I25" s="10">
        <f>SUM(I22:I24)</f>
        <v/>
      </c>
      <c r="J25" s="10">
        <f>SUM(J22:J24)</f>
        <v/>
      </c>
      <c r="K25" s="10">
        <f>SUM(K22:K24)</f>
        <v/>
      </c>
      <c r="L25" s="10">
        <f>SUM(L22:L24)</f>
        <v/>
      </c>
      <c r="M25" s="10">
        <f>SUM(M22:M24)</f>
        <v/>
      </c>
    </row>
    <row r="27">
      <c r="A27" s="2" t="inlineStr">
        <is>
          <t>Non-Current Liabilities</t>
        </is>
      </c>
    </row>
    <row r="28">
      <c r="A28" t="inlineStr">
        <is>
          <t xml:space="preserve">  Long-term Debt</t>
        </is>
      </c>
      <c r="B28" s="5">
        <f>Workings!$B$65</f>
        <v/>
      </c>
      <c r="C28" s="5">
        <f>Workings!$C$65</f>
        <v/>
      </c>
      <c r="D28" s="5">
        <f>Workings!$D$65</f>
        <v/>
      </c>
      <c r="E28" s="5">
        <f>Workings!$E$65</f>
        <v/>
      </c>
      <c r="F28" s="5">
        <f>Workings!$F$65</f>
        <v/>
      </c>
      <c r="G28" s="5">
        <f>Workings!$G$65</f>
        <v/>
      </c>
      <c r="H28" s="5">
        <f>Workings!$H$65</f>
        <v/>
      </c>
      <c r="I28" s="5">
        <f>Workings!$I$65</f>
        <v/>
      </c>
      <c r="J28" s="5">
        <f>Workings!$J$65</f>
        <v/>
      </c>
      <c r="K28" s="5">
        <f>Workings!$K$65</f>
        <v/>
      </c>
      <c r="L28" s="5">
        <f>Workings!$L$65</f>
        <v/>
      </c>
      <c r="M28" s="5">
        <f>Workings!$M$65</f>
        <v/>
      </c>
    </row>
    <row r="29">
      <c r="A29" t="inlineStr">
        <is>
          <t>Total Non-Current Liabilities</t>
        </is>
      </c>
      <c r="B29" s="10">
        <f>B28</f>
        <v/>
      </c>
      <c r="C29" s="10">
        <f>C28</f>
        <v/>
      </c>
      <c r="D29" s="10">
        <f>D28</f>
        <v/>
      </c>
      <c r="E29" s="10">
        <f>E28</f>
        <v/>
      </c>
      <c r="F29" s="10">
        <f>F28</f>
        <v/>
      </c>
      <c r="G29" s="10">
        <f>G28</f>
        <v/>
      </c>
      <c r="H29" s="10">
        <f>H28</f>
        <v/>
      </c>
      <c r="I29" s="10">
        <f>I28</f>
        <v/>
      </c>
      <c r="J29" s="10">
        <f>J28</f>
        <v/>
      </c>
      <c r="K29" s="10">
        <f>K28</f>
        <v/>
      </c>
      <c r="L29" s="10">
        <f>L28</f>
        <v/>
      </c>
      <c r="M29" s="10">
        <f>M28</f>
        <v/>
      </c>
    </row>
    <row r="31">
      <c r="A31" t="inlineStr">
        <is>
          <t>TOTAL LIABILITIES</t>
        </is>
      </c>
      <c r="B31" s="17">
        <f>B22+B29</f>
        <v/>
      </c>
      <c r="C31" s="17">
        <f>C22+C29</f>
        <v/>
      </c>
      <c r="D31" s="17">
        <f>D22+D29</f>
        <v/>
      </c>
      <c r="E31" s="17">
        <f>E22+E29</f>
        <v/>
      </c>
      <c r="F31" s="17">
        <f>F22+F29</f>
        <v/>
      </c>
      <c r="G31" s="17">
        <f>G22+G29</f>
        <v/>
      </c>
      <c r="H31" s="17">
        <f>H22+H29</f>
        <v/>
      </c>
      <c r="I31" s="17">
        <f>I22+I29</f>
        <v/>
      </c>
      <c r="J31" s="17">
        <f>J22+J29</f>
        <v/>
      </c>
      <c r="K31" s="17">
        <f>K22+K29</f>
        <v/>
      </c>
      <c r="L31" s="17">
        <f>L22+L29</f>
        <v/>
      </c>
      <c r="M31" s="17">
        <f>M22+M29</f>
        <v/>
      </c>
    </row>
    <row r="34">
      <c r="A34" s="18" t="inlineStr">
        <is>
          <t>EQUITY</t>
        </is>
      </c>
    </row>
    <row r="35">
      <c r="A35" t="inlineStr">
        <is>
          <t xml:space="preserve">  Share Capital</t>
        </is>
      </c>
      <c r="B35" s="5">
        <f>Inputs!$B$51</f>
        <v/>
      </c>
      <c r="C35" s="5">
        <f>B35</f>
        <v/>
      </c>
      <c r="D35" s="5">
        <f>C35</f>
        <v/>
      </c>
      <c r="E35" s="5">
        <f>D35</f>
        <v/>
      </c>
      <c r="F35" s="5">
        <f>E35</f>
        <v/>
      </c>
      <c r="G35" s="5">
        <f>F35</f>
        <v/>
      </c>
      <c r="H35" s="5">
        <f>G35</f>
        <v/>
      </c>
      <c r="I35" s="5">
        <f>H35</f>
        <v/>
      </c>
      <c r="J35" s="5">
        <f>I35</f>
        <v/>
      </c>
      <c r="K35" s="5">
        <f>J35</f>
        <v/>
      </c>
      <c r="L35" s="5">
        <f>K35</f>
        <v/>
      </c>
      <c r="M35" s="5">
        <f>L35</f>
        <v/>
      </c>
    </row>
    <row r="36">
      <c r="A36" t="inlineStr">
        <is>
          <t xml:space="preserve">  Retained Earnings</t>
        </is>
      </c>
      <c r="B36" s="5">
        <f>Inputs!$B$52+'Income Statement'!$B$25</f>
        <v/>
      </c>
      <c r="C36" s="5">
        <f>B36+'Income Statement'!$C$25</f>
        <v/>
      </c>
      <c r="D36" s="5">
        <f>C36+'Income Statement'!$D$25</f>
        <v/>
      </c>
      <c r="E36" s="5">
        <f>D36+'Income Statement'!$E$25</f>
        <v/>
      </c>
      <c r="F36" s="5">
        <f>E36+'Income Statement'!$F$25</f>
        <v/>
      </c>
      <c r="G36" s="5">
        <f>F36+'Income Statement'!$G$25</f>
        <v/>
      </c>
      <c r="H36" s="5">
        <f>G36+'Income Statement'!$H$25</f>
        <v/>
      </c>
      <c r="I36" s="5">
        <f>H36+'Income Statement'!$I$25</f>
        <v/>
      </c>
      <c r="J36" s="5">
        <f>I36+'Income Statement'!$J$25</f>
        <v/>
      </c>
      <c r="K36" s="5">
        <f>J36+'Income Statement'!$K$25</f>
        <v/>
      </c>
      <c r="L36" s="5">
        <f>K36+'Income Statement'!$L$25</f>
        <v/>
      </c>
      <c r="M36" s="5">
        <f>L36+'Income Statement'!$M$25</f>
        <v/>
      </c>
    </row>
    <row r="37">
      <c r="A37" t="inlineStr">
        <is>
          <t>TOTAL EQUITY</t>
        </is>
      </c>
      <c r="B37" s="11">
        <f>B35+B36</f>
        <v/>
      </c>
      <c r="C37" s="11">
        <f>C35+C36</f>
        <v/>
      </c>
      <c r="D37" s="11">
        <f>D35+D36</f>
        <v/>
      </c>
      <c r="E37" s="11">
        <f>E35+E36</f>
        <v/>
      </c>
      <c r="F37" s="11">
        <f>F35+F36</f>
        <v/>
      </c>
      <c r="G37" s="11">
        <f>G35+G36</f>
        <v/>
      </c>
      <c r="H37" s="11">
        <f>H35+H36</f>
        <v/>
      </c>
      <c r="I37" s="11">
        <f>I35+I36</f>
        <v/>
      </c>
      <c r="J37" s="11">
        <f>J35+J36</f>
        <v/>
      </c>
      <c r="K37" s="11">
        <f>K35+K36</f>
        <v/>
      </c>
      <c r="L37" s="11">
        <f>L35+L36</f>
        <v/>
      </c>
      <c r="M37" s="11">
        <f>M35+M36</f>
        <v/>
      </c>
    </row>
    <row r="39">
      <c r="A39" t="inlineStr">
        <is>
          <t>TOTAL LIABILITIES + EQUITY</t>
        </is>
      </c>
      <c r="B39" s="14">
        <f>B24+B36</f>
        <v/>
      </c>
      <c r="C39" s="14">
        <f>C24+C36</f>
        <v/>
      </c>
      <c r="D39" s="14">
        <f>D24+D36</f>
        <v/>
      </c>
      <c r="E39" s="14">
        <f>E24+E36</f>
        <v/>
      </c>
      <c r="F39" s="14">
        <f>F24+F36</f>
        <v/>
      </c>
      <c r="G39" s="14">
        <f>G24+G36</f>
        <v/>
      </c>
      <c r="H39" s="14">
        <f>H24+H36</f>
        <v/>
      </c>
      <c r="I39" s="14">
        <f>I24+I36</f>
        <v/>
      </c>
      <c r="J39" s="14">
        <f>J24+J36</f>
        <v/>
      </c>
      <c r="K39" s="14">
        <f>K24+K36</f>
        <v/>
      </c>
      <c r="L39" s="14">
        <f>L24+L36</f>
        <v/>
      </c>
      <c r="M39" s="14">
        <f>M24+M36</f>
        <v/>
      </c>
    </row>
    <row r="41">
      <c r="A41" t="inlineStr">
        <is>
          <t>BALANCE CHECK (should be 0)</t>
        </is>
      </c>
      <c r="B41" s="19">
        <f>B24-B39</f>
        <v/>
      </c>
      <c r="C41" s="19">
        <f>C24-C39</f>
        <v/>
      </c>
      <c r="D41" s="19">
        <f>D24-D39</f>
        <v/>
      </c>
      <c r="E41" s="19">
        <f>E24-E39</f>
        <v/>
      </c>
      <c r="F41" s="19">
        <f>F24-F39</f>
        <v/>
      </c>
      <c r="G41" s="19">
        <f>G24-G39</f>
        <v/>
      </c>
      <c r="H41" s="19">
        <f>H24-H39</f>
        <v/>
      </c>
      <c r="I41" s="19">
        <f>I24-I39</f>
        <v/>
      </c>
      <c r="J41" s="19">
        <f>J24-J39</f>
        <v/>
      </c>
      <c r="K41" s="19">
        <f>K24-K39</f>
        <v/>
      </c>
      <c r="L41" s="19">
        <f>L24-L39</f>
        <v/>
      </c>
      <c r="M41" s="19">
        <f>M24-M39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3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CASH FLOW STATEMENT (INDIRECT METHOD)</t>
        </is>
      </c>
    </row>
    <row r="3">
      <c r="A3" s="2" t="inlineStr">
        <is>
          <t>Period</t>
        </is>
      </c>
      <c r="B3" s="3" t="inlineStr">
        <is>
          <t>Month 1</t>
        </is>
      </c>
      <c r="C3" s="3" t="inlineStr">
        <is>
          <t>Month 2</t>
        </is>
      </c>
      <c r="D3" s="3" t="inlineStr">
        <is>
          <t>Month 3</t>
        </is>
      </c>
      <c r="E3" s="3" t="inlineStr">
        <is>
          <t>Month 4</t>
        </is>
      </c>
      <c r="F3" s="3" t="inlineStr">
        <is>
          <t>Month 5</t>
        </is>
      </c>
      <c r="G3" s="3" t="inlineStr">
        <is>
          <t>Month 6</t>
        </is>
      </c>
      <c r="H3" s="3" t="inlineStr">
        <is>
          <t>Month 7</t>
        </is>
      </c>
      <c r="I3" s="3" t="inlineStr">
        <is>
          <t>Month 8</t>
        </is>
      </c>
      <c r="J3" s="3" t="inlineStr">
        <is>
          <t>Month 9</t>
        </is>
      </c>
      <c r="K3" s="3" t="inlineStr">
        <is>
          <t>Month 10</t>
        </is>
      </c>
      <c r="L3" s="3" t="inlineStr">
        <is>
          <t>Month 11</t>
        </is>
      </c>
      <c r="M3" s="3" t="inlineStr">
        <is>
          <t>Month 12</t>
        </is>
      </c>
    </row>
    <row r="5">
      <c r="A5" s="9" t="inlineStr">
        <is>
          <t>OPERATING ACTIVITIES</t>
        </is>
      </c>
    </row>
    <row r="6">
      <c r="A6" t="inlineStr">
        <is>
          <t>Net Income</t>
        </is>
      </c>
      <c r="B6" s="5">
        <f>'Income Statement'!$B$25</f>
        <v/>
      </c>
      <c r="C6" s="5">
        <f>'Income Statement'!$C$25</f>
        <v/>
      </c>
      <c r="D6" s="5">
        <f>'Income Statement'!$D$25</f>
        <v/>
      </c>
      <c r="E6" s="5">
        <f>'Income Statement'!$E$25</f>
        <v/>
      </c>
      <c r="F6" s="5">
        <f>'Income Statement'!$F$25</f>
        <v/>
      </c>
      <c r="G6" s="5">
        <f>'Income Statement'!$G$25</f>
        <v/>
      </c>
      <c r="H6" s="5">
        <f>'Income Statement'!$H$25</f>
        <v/>
      </c>
      <c r="I6" s="5">
        <f>'Income Statement'!$I$25</f>
        <v/>
      </c>
      <c r="J6" s="5">
        <f>'Income Statement'!$J$25</f>
        <v/>
      </c>
      <c r="K6" s="5">
        <f>'Income Statement'!$K$25</f>
        <v/>
      </c>
      <c r="L6" s="5">
        <f>'Income Statement'!$L$25</f>
        <v/>
      </c>
      <c r="M6" s="5">
        <f>'Income Statement'!$M$25</f>
        <v/>
      </c>
    </row>
    <row r="7">
      <c r="A7" t="inlineStr">
        <is>
          <t>Add: Depreciation</t>
        </is>
      </c>
      <c r="B7" s="5">
        <f>Workings!$B$37</f>
        <v/>
      </c>
      <c r="C7" s="5">
        <f>Workings!$C$37</f>
        <v/>
      </c>
      <c r="D7" s="5">
        <f>Workings!$D$37</f>
        <v/>
      </c>
      <c r="E7" s="5">
        <f>Workings!$E$37</f>
        <v/>
      </c>
      <c r="F7" s="5">
        <f>Workings!$F$37</f>
        <v/>
      </c>
      <c r="G7" s="5">
        <f>Workings!$G$37</f>
        <v/>
      </c>
      <c r="H7" s="5">
        <f>Workings!$H$37</f>
        <v/>
      </c>
      <c r="I7" s="5">
        <f>Workings!$I$37</f>
        <v/>
      </c>
      <c r="J7" s="5">
        <f>Workings!$J$37</f>
        <v/>
      </c>
      <c r="K7" s="5">
        <f>Workings!$K$37</f>
        <v/>
      </c>
      <c r="L7" s="5">
        <f>Workings!$L$37</f>
        <v/>
      </c>
      <c r="M7" s="5">
        <f>Workings!$M$37</f>
        <v/>
      </c>
    </row>
    <row r="8">
      <c r="A8" s="20" t="inlineStr">
        <is>
          <t>Changes in Working Capital:</t>
        </is>
      </c>
    </row>
    <row r="9">
      <c r="A9" t="inlineStr">
        <is>
          <t xml:space="preserve">  (Increase)/Decrease in AR</t>
        </is>
      </c>
      <c r="B9" s="5">
        <f>Inputs!$B$42-Workings!$B$9</f>
        <v/>
      </c>
      <c r="C9" s="5">
        <f>Workings!$B$9-Workings!$C$9</f>
        <v/>
      </c>
      <c r="D9" s="5">
        <f>Workings!$C$9-Workings!$D$9</f>
        <v/>
      </c>
      <c r="E9" s="5">
        <f>Workings!$D$9-Workings!$E$9</f>
        <v/>
      </c>
      <c r="F9" s="5">
        <f>Workings!$E$9-Workings!$F$9</f>
        <v/>
      </c>
      <c r="G9" s="5">
        <f>Workings!$F$9-Workings!$G$9</f>
        <v/>
      </c>
      <c r="H9" s="5">
        <f>Workings!$G$9-Workings!$H$9</f>
        <v/>
      </c>
      <c r="I9" s="5">
        <f>Workings!$H$9-Workings!$I$9</f>
        <v/>
      </c>
      <c r="J9" s="5">
        <f>Workings!$I$9-Workings!$J$9</f>
        <v/>
      </c>
      <c r="K9" s="5">
        <f>Workings!$J$9-Workings!$K$9</f>
        <v/>
      </c>
      <c r="L9" s="5">
        <f>Workings!$K$9-Workings!$L$9</f>
        <v/>
      </c>
      <c r="M9" s="5">
        <f>Workings!$L$9-Workings!$M$9</f>
        <v/>
      </c>
    </row>
    <row r="10">
      <c r="A10" t="inlineStr">
        <is>
          <t xml:space="preserve">  (Increase)/Decrease in Inventory</t>
        </is>
      </c>
      <c r="B10" s="5">
        <f>Inputs!$B$43-Workings!$B$17</f>
        <v/>
      </c>
      <c r="C10" s="5">
        <f>Workings!$B$17-Workings!$C$17</f>
        <v/>
      </c>
      <c r="D10" s="5">
        <f>Workings!$C$17-Workings!$D$17</f>
        <v/>
      </c>
      <c r="E10" s="5">
        <f>Workings!$D$17-Workings!$E$17</f>
        <v/>
      </c>
      <c r="F10" s="5">
        <f>Workings!$E$17-Workings!$F$17</f>
        <v/>
      </c>
      <c r="G10" s="5">
        <f>Workings!$F$17-Workings!$G$17</f>
        <v/>
      </c>
      <c r="H10" s="5">
        <f>Workings!$G$17-Workings!$H$17</f>
        <v/>
      </c>
      <c r="I10" s="5">
        <f>Workings!$H$17-Workings!$I$17</f>
        <v/>
      </c>
      <c r="J10" s="5">
        <f>Workings!$I$17-Workings!$J$17</f>
        <v/>
      </c>
      <c r="K10" s="5">
        <f>Workings!$J$17-Workings!$K$17</f>
        <v/>
      </c>
      <c r="L10" s="5">
        <f>Workings!$K$17-Workings!$L$17</f>
        <v/>
      </c>
      <c r="M10" s="5">
        <f>Workings!$L$17-Workings!$M$17</f>
        <v/>
      </c>
    </row>
    <row r="11">
      <c r="A11" t="inlineStr">
        <is>
          <t xml:space="preserve">  (Increase)/Decrease in Prepayments</t>
        </is>
      </c>
      <c r="B11" s="5">
        <f>Inputs!$B$44-Workings!$B$25</f>
        <v/>
      </c>
      <c r="C11" s="5">
        <f>Workings!$B$25-Workings!$C$25</f>
        <v/>
      </c>
      <c r="D11" s="5">
        <f>Workings!$C$25-Workings!$D$25</f>
        <v/>
      </c>
      <c r="E11" s="5">
        <f>Workings!$D$25-Workings!$E$25</f>
        <v/>
      </c>
      <c r="F11" s="5">
        <f>Workings!$E$25-Workings!$F$25</f>
        <v/>
      </c>
      <c r="G11" s="5">
        <f>Workings!$F$25-Workings!$G$25</f>
        <v/>
      </c>
      <c r="H11" s="5">
        <f>Workings!$G$25-Workings!$H$25</f>
        <v/>
      </c>
      <c r="I11" s="5">
        <f>Workings!$H$25-Workings!$I$25</f>
        <v/>
      </c>
      <c r="J11" s="5">
        <f>Workings!$I$25-Workings!$J$25</f>
        <v/>
      </c>
      <c r="K11" s="5">
        <f>Workings!$J$25-Workings!$K$25</f>
        <v/>
      </c>
      <c r="L11" s="5">
        <f>Workings!$K$25-Workings!$L$25</f>
        <v/>
      </c>
      <c r="M11" s="5">
        <f>Workings!$L$25-Workings!$M$25</f>
        <v/>
      </c>
    </row>
    <row r="12">
      <c r="A12" t="inlineStr">
        <is>
          <t xml:space="preserve">  Increase/(Decrease) in AP</t>
        </is>
      </c>
      <c r="B12" s="5">
        <f>Workings!$B$47-Inputs!$B$47</f>
        <v/>
      </c>
      <c r="C12" s="5">
        <f>Workings!$C$47-Workings!$B$47</f>
        <v/>
      </c>
      <c r="D12" s="5">
        <f>Workings!$D$47-Workings!$C$47</f>
        <v/>
      </c>
      <c r="E12" s="5">
        <f>Workings!$E$47-Workings!$D$47</f>
        <v/>
      </c>
      <c r="F12" s="5">
        <f>Workings!$F$47-Workings!$E$47</f>
        <v/>
      </c>
      <c r="G12" s="5">
        <f>Workings!$G$47-Workings!$F$47</f>
        <v/>
      </c>
      <c r="H12" s="5">
        <f>Workings!$H$47-Workings!$G$47</f>
        <v/>
      </c>
      <c r="I12" s="5">
        <f>Workings!$I$47-Workings!$H$47</f>
        <v/>
      </c>
      <c r="J12" s="5">
        <f>Workings!$J$47-Workings!$I$47</f>
        <v/>
      </c>
      <c r="K12" s="5">
        <f>Workings!$K$47-Workings!$J$47</f>
        <v/>
      </c>
      <c r="L12" s="5">
        <f>Workings!$L$47-Workings!$K$47</f>
        <v/>
      </c>
      <c r="M12" s="5">
        <f>Workings!$M$47-Workings!$L$47</f>
        <v/>
      </c>
    </row>
    <row r="13">
      <c r="A13" t="inlineStr">
        <is>
          <t xml:space="preserve">  Increase/(Decrease) in Accrued Exp</t>
        </is>
      </c>
      <c r="B13" s="5">
        <f>Workings!$B$53-Inputs!$B$48</f>
        <v/>
      </c>
      <c r="C13" s="5">
        <f>Workings!$C$53-Workings!$B$53</f>
        <v/>
      </c>
      <c r="D13" s="5">
        <f>Workings!$D$53-Workings!$C$53</f>
        <v/>
      </c>
      <c r="E13" s="5">
        <f>Workings!$E$53-Workings!$D$53</f>
        <v/>
      </c>
      <c r="F13" s="5">
        <f>Workings!$F$53-Workings!$E$53</f>
        <v/>
      </c>
      <c r="G13" s="5">
        <f>Workings!$G$53-Workings!$F$53</f>
        <v/>
      </c>
      <c r="H13" s="5">
        <f>Workings!$H$53-Workings!$G$53</f>
        <v/>
      </c>
      <c r="I13" s="5">
        <f>Workings!$I$53-Workings!$H$53</f>
        <v/>
      </c>
      <c r="J13" s="5">
        <f>Workings!$J$53-Workings!$I$53</f>
        <v/>
      </c>
      <c r="K13" s="5">
        <f>Workings!$K$53-Workings!$J$53</f>
        <v/>
      </c>
      <c r="L13" s="5">
        <f>Workings!$L$53-Workings!$K$53</f>
        <v/>
      </c>
      <c r="M13" s="5">
        <f>Workings!$M$53-Workings!$L$53</f>
        <v/>
      </c>
    </row>
    <row r="14">
      <c r="A14" t="inlineStr">
        <is>
          <t xml:space="preserve">  Increase/(Decrease) in Deferred Rev</t>
        </is>
      </c>
      <c r="B14" s="5">
        <f>Workings!$B$59-Inputs!$B$49</f>
        <v/>
      </c>
      <c r="C14" s="5">
        <f>Workings!$C$59-Workings!$B$59</f>
        <v/>
      </c>
      <c r="D14" s="5">
        <f>Workings!$D$59-Workings!$C$59</f>
        <v/>
      </c>
      <c r="E14" s="5">
        <f>Workings!$E$59-Workings!$D$59</f>
        <v/>
      </c>
      <c r="F14" s="5">
        <f>Workings!$F$59-Workings!$E$59</f>
        <v/>
      </c>
      <c r="G14" s="5">
        <f>Workings!$G$59-Workings!$F$59</f>
        <v/>
      </c>
      <c r="H14" s="5">
        <f>Workings!$H$59-Workings!$G$59</f>
        <v/>
      </c>
      <c r="I14" s="5">
        <f>Workings!$I$59-Workings!$H$59</f>
        <v/>
      </c>
      <c r="J14" s="5">
        <f>Workings!$J$59-Workings!$I$59</f>
        <v/>
      </c>
      <c r="K14" s="5">
        <f>Workings!$K$59-Workings!$J$59</f>
        <v/>
      </c>
      <c r="L14" s="5">
        <f>Workings!$L$59-Workings!$K$59</f>
        <v/>
      </c>
      <c r="M14" s="5">
        <f>Workings!$M$59-Workings!$L$59</f>
        <v/>
      </c>
    </row>
    <row r="15">
      <c r="A15" t="inlineStr">
        <is>
          <t>Cash from Operating Activities</t>
        </is>
      </c>
      <c r="B15" s="11">
        <f>SUM(B6:B14)</f>
        <v/>
      </c>
      <c r="C15" s="11">
        <f>SUM(C6:C14)</f>
        <v/>
      </c>
      <c r="D15" s="11">
        <f>SUM(D6:D14)</f>
        <v/>
      </c>
      <c r="E15" s="11">
        <f>SUM(E6:E14)</f>
        <v/>
      </c>
      <c r="F15" s="11">
        <f>SUM(F6:F14)</f>
        <v/>
      </c>
      <c r="G15" s="11">
        <f>SUM(G6:G14)</f>
        <v/>
      </c>
      <c r="H15" s="11">
        <f>SUM(H6:H14)</f>
        <v/>
      </c>
      <c r="I15" s="11">
        <f>SUM(I6:I14)</f>
        <v/>
      </c>
      <c r="J15" s="11">
        <f>SUM(J6:J14)</f>
        <v/>
      </c>
      <c r="K15" s="11">
        <f>SUM(K6:K14)</f>
        <v/>
      </c>
      <c r="L15" s="11">
        <f>SUM(L6:L14)</f>
        <v/>
      </c>
      <c r="M15" s="11">
        <f>SUM(M6:M14)</f>
        <v/>
      </c>
    </row>
    <row r="17">
      <c r="A17" s="21" t="inlineStr">
        <is>
          <t>INVESTING ACTIVITIES</t>
        </is>
      </c>
    </row>
    <row r="18">
      <c r="A18" t="inlineStr">
        <is>
          <t>Capital Expenditure</t>
        </is>
      </c>
      <c r="B18" s="5">
        <f>-Inputs!$B$23</f>
        <v/>
      </c>
      <c r="C18" s="5">
        <f>-Inputs!$C$23</f>
        <v/>
      </c>
      <c r="D18" s="5">
        <f>-Inputs!$D$23</f>
        <v/>
      </c>
      <c r="E18" s="5">
        <f>-Inputs!$E$23</f>
        <v/>
      </c>
      <c r="F18" s="5">
        <f>-Inputs!$F$23</f>
        <v/>
      </c>
      <c r="G18" s="5">
        <f>-Inputs!$G$23</f>
        <v/>
      </c>
      <c r="H18" s="5">
        <f>-Inputs!$H$23</f>
        <v/>
      </c>
      <c r="I18" s="5">
        <f>-Inputs!$I$23</f>
        <v/>
      </c>
      <c r="J18" s="5">
        <f>-Inputs!$J$23</f>
        <v/>
      </c>
      <c r="K18" s="5">
        <f>-Inputs!$K$23</f>
        <v/>
      </c>
      <c r="L18" s="5">
        <f>-Inputs!$L$23</f>
        <v/>
      </c>
      <c r="M18" s="5">
        <f>-Inputs!$M$23</f>
        <v/>
      </c>
    </row>
    <row r="19">
      <c r="A19" t="inlineStr">
        <is>
          <t>Proceeds from Asset Disposals</t>
        </is>
      </c>
      <c r="B19" s="5" t="n">
        <v>0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5" t="n">
        <v>0</v>
      </c>
    </row>
    <row r="20">
      <c r="A20" t="inlineStr">
        <is>
          <t>Cash from Investing Activities</t>
        </is>
      </c>
      <c r="B20" s="11">
        <f>SUM(B18:B19)</f>
        <v/>
      </c>
      <c r="C20" s="11">
        <f>SUM(C18:C19)</f>
        <v/>
      </c>
      <c r="D20" s="11">
        <f>SUM(D18:D19)</f>
        <v/>
      </c>
      <c r="E20" s="11">
        <f>SUM(E18:E19)</f>
        <v/>
      </c>
      <c r="F20" s="11">
        <f>SUM(F18:F19)</f>
        <v/>
      </c>
      <c r="G20" s="11">
        <f>SUM(G18:G19)</f>
        <v/>
      </c>
      <c r="H20" s="11">
        <f>SUM(H18:H19)</f>
        <v/>
      </c>
      <c r="I20" s="11">
        <f>SUM(I18:I19)</f>
        <v/>
      </c>
      <c r="J20" s="11">
        <f>SUM(J18:J19)</f>
        <v/>
      </c>
      <c r="K20" s="11">
        <f>SUM(K18:K19)</f>
        <v/>
      </c>
      <c r="L20" s="11">
        <f>SUM(L18:L19)</f>
        <v/>
      </c>
      <c r="M20" s="11">
        <f>SUM(M18:M19)</f>
        <v/>
      </c>
    </row>
    <row r="22">
      <c r="A22" s="12" t="inlineStr">
        <is>
          <t>FINANCING ACTIVITIES</t>
        </is>
      </c>
    </row>
    <row r="23">
      <c r="A23" t="inlineStr">
        <is>
          <t>Debt Drawdowns</t>
        </is>
      </c>
      <c r="B23" s="5">
        <f>Inputs!$B$30</f>
        <v/>
      </c>
      <c r="C23" s="5">
        <f>Inputs!$C$30</f>
        <v/>
      </c>
      <c r="D23" s="5">
        <f>Inputs!$D$30</f>
        <v/>
      </c>
      <c r="E23" s="5">
        <f>Inputs!$E$30</f>
        <v/>
      </c>
      <c r="F23" s="5">
        <f>Inputs!$F$30</f>
        <v/>
      </c>
      <c r="G23" s="5">
        <f>Inputs!$G$30</f>
        <v/>
      </c>
      <c r="H23" s="5">
        <f>Inputs!$H$30</f>
        <v/>
      </c>
      <c r="I23" s="5">
        <f>Inputs!$I$30</f>
        <v/>
      </c>
      <c r="J23" s="5">
        <f>Inputs!$J$30</f>
        <v/>
      </c>
      <c r="K23" s="5">
        <f>Inputs!$K$30</f>
        <v/>
      </c>
      <c r="L23" s="5">
        <f>Inputs!$L$30</f>
        <v/>
      </c>
      <c r="M23" s="5">
        <f>Inputs!$M$30</f>
        <v/>
      </c>
    </row>
    <row r="24">
      <c r="A24" t="inlineStr">
        <is>
          <t>Debt Repayments</t>
        </is>
      </c>
      <c r="B24" s="5">
        <f>-Inputs!$B$31</f>
        <v/>
      </c>
      <c r="C24" s="5">
        <f>-Inputs!$C$31</f>
        <v/>
      </c>
      <c r="D24" s="5">
        <f>-Inputs!$D$31</f>
        <v/>
      </c>
      <c r="E24" s="5">
        <f>-Inputs!$E$31</f>
        <v/>
      </c>
      <c r="F24" s="5">
        <f>-Inputs!$F$31</f>
        <v/>
      </c>
      <c r="G24" s="5">
        <f>-Inputs!$G$31</f>
        <v/>
      </c>
      <c r="H24" s="5">
        <f>-Inputs!$H$31</f>
        <v/>
      </c>
      <c r="I24" s="5">
        <f>-Inputs!$I$31</f>
        <v/>
      </c>
      <c r="J24" s="5">
        <f>-Inputs!$J$31</f>
        <v/>
      </c>
      <c r="K24" s="5">
        <f>-Inputs!$K$31</f>
        <v/>
      </c>
      <c r="L24" s="5">
        <f>-Inputs!$L$31</f>
        <v/>
      </c>
      <c r="M24" s="5">
        <f>-Inputs!$M$31</f>
        <v/>
      </c>
    </row>
    <row r="25">
      <c r="A25" t="inlineStr">
        <is>
          <t>Interest Paid</t>
        </is>
      </c>
      <c r="B25" s="5">
        <f>-Workings!$B$60</f>
        <v/>
      </c>
      <c r="C25" s="5">
        <f>-Workings!$C$60</f>
        <v/>
      </c>
      <c r="D25" s="5">
        <f>-Workings!$D$60</f>
        <v/>
      </c>
      <c r="E25" s="5">
        <f>-Workings!$E$60</f>
        <v/>
      </c>
      <c r="F25" s="5">
        <f>-Workings!$F$60</f>
        <v/>
      </c>
      <c r="G25" s="5">
        <f>-Workings!$G$60</f>
        <v/>
      </c>
      <c r="H25" s="5">
        <f>-Workings!$H$60</f>
        <v/>
      </c>
      <c r="I25" s="5">
        <f>-Workings!$I$60</f>
        <v/>
      </c>
      <c r="J25" s="5">
        <f>-Workings!$J$60</f>
        <v/>
      </c>
      <c r="K25" s="5">
        <f>-Workings!$K$60</f>
        <v/>
      </c>
      <c r="L25" s="5">
        <f>-Workings!$L$60</f>
        <v/>
      </c>
      <c r="M25" s="5">
        <f>-Workings!$M$60</f>
        <v/>
      </c>
    </row>
    <row r="26">
      <c r="A26" t="inlineStr">
        <is>
          <t>Equity Injections</t>
        </is>
      </c>
      <c r="B26" s="5" t="n">
        <v>0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</row>
    <row r="27">
      <c r="A27" t="inlineStr">
        <is>
          <t>Dividends Paid</t>
        </is>
      </c>
      <c r="B27" s="5" t="n">
        <v>0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</row>
    <row r="28">
      <c r="A28" t="inlineStr">
        <is>
          <t>Cash from Financing Activities</t>
        </is>
      </c>
      <c r="B28" s="11">
        <f>SUM(B23:B27)</f>
        <v/>
      </c>
      <c r="C28" s="11">
        <f>SUM(C23:C27)</f>
        <v/>
      </c>
      <c r="D28" s="11">
        <f>SUM(D23:D27)</f>
        <v/>
      </c>
      <c r="E28" s="11">
        <f>SUM(E23:E27)</f>
        <v/>
      </c>
      <c r="F28" s="11">
        <f>SUM(F23:F27)</f>
        <v/>
      </c>
      <c r="G28" s="11">
        <f>SUM(G23:G27)</f>
        <v/>
      </c>
      <c r="H28" s="11">
        <f>SUM(H23:H27)</f>
        <v/>
      </c>
      <c r="I28" s="11">
        <f>SUM(I23:I27)</f>
        <v/>
      </c>
      <c r="J28" s="11">
        <f>SUM(J23:J27)</f>
        <v/>
      </c>
      <c r="K28" s="11">
        <f>SUM(K23:K27)</f>
        <v/>
      </c>
      <c r="L28" s="11">
        <f>SUM(L23:L27)</f>
        <v/>
      </c>
      <c r="M28" s="11">
        <f>SUM(M23:M27)</f>
        <v/>
      </c>
    </row>
    <row r="30">
      <c r="A30" t="inlineStr">
        <is>
          <t>Opening Cash</t>
        </is>
      </c>
      <c r="B30" s="5">
        <f>Inputs!$B$41</f>
        <v/>
      </c>
      <c r="C30" s="5">
        <f>B32</f>
        <v/>
      </c>
      <c r="D30" s="5">
        <f>C32</f>
        <v/>
      </c>
      <c r="E30" s="5">
        <f>D32</f>
        <v/>
      </c>
      <c r="F30" s="5">
        <f>E32</f>
        <v/>
      </c>
      <c r="G30" s="5">
        <f>F32</f>
        <v/>
      </c>
      <c r="H30" s="5">
        <f>G32</f>
        <v/>
      </c>
      <c r="I30" s="5">
        <f>H32</f>
        <v/>
      </c>
      <c r="J30" s="5">
        <f>I32</f>
        <v/>
      </c>
      <c r="K30" s="5">
        <f>J32</f>
        <v/>
      </c>
      <c r="L30" s="5">
        <f>K32</f>
        <v/>
      </c>
      <c r="M30" s="5">
        <f>L32</f>
        <v/>
      </c>
    </row>
    <row r="31">
      <c r="A31" t="inlineStr">
        <is>
          <t>Net Change in Cash</t>
        </is>
      </c>
      <c r="B31" s="10">
        <f>B15+B22+B29</f>
        <v/>
      </c>
      <c r="C31" s="10">
        <f>C15+C22+C29</f>
        <v/>
      </c>
      <c r="D31" s="10">
        <f>D15+D22+D29</f>
        <v/>
      </c>
      <c r="E31" s="10">
        <f>E15+E22+E29</f>
        <v/>
      </c>
      <c r="F31" s="10">
        <f>F15+F22+F29</f>
        <v/>
      </c>
      <c r="G31" s="10">
        <f>G15+G22+G29</f>
        <v/>
      </c>
      <c r="H31" s="10">
        <f>H15+H22+H29</f>
        <v/>
      </c>
      <c r="I31" s="10">
        <f>I15+I22+I29</f>
        <v/>
      </c>
      <c r="J31" s="10">
        <f>J15+J22+J29</f>
        <v/>
      </c>
      <c r="K31" s="10">
        <f>K15+K22+K29</f>
        <v/>
      </c>
      <c r="L31" s="10">
        <f>L15+L22+L29</f>
        <v/>
      </c>
      <c r="M31" s="10">
        <f>M15+M22+M29</f>
        <v/>
      </c>
    </row>
    <row r="32">
      <c r="A32" t="inlineStr">
        <is>
          <t>Closing Cash</t>
        </is>
      </c>
      <c r="B32" s="14">
        <f>B30+B31</f>
        <v/>
      </c>
      <c r="C32" s="14">
        <f>C30+C31</f>
        <v/>
      </c>
      <c r="D32" s="14">
        <f>D30+D31</f>
        <v/>
      </c>
      <c r="E32" s="14">
        <f>E30+E31</f>
        <v/>
      </c>
      <c r="F32" s="14">
        <f>F30+F31</f>
        <v/>
      </c>
      <c r="G32" s="14">
        <f>G30+G31</f>
        <v/>
      </c>
      <c r="H32" s="14">
        <f>H30+H31</f>
        <v/>
      </c>
      <c r="I32" s="14">
        <f>I30+I31</f>
        <v/>
      </c>
      <c r="J32" s="14">
        <f>J30+J31</f>
        <v/>
      </c>
      <c r="K32" s="14">
        <f>K30+K31</f>
        <v/>
      </c>
      <c r="L32" s="14">
        <f>L30+L31</f>
        <v/>
      </c>
      <c r="M32" s="14">
        <f>M30+M31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2025-11-17T01:37:25Z</dcterms:created>
  <dcterms:modified xsi:type="dcterms:W3CDTF">2025-11-17T01:37:25Z</dcterms:modified>
</cp:coreProperties>
</file>