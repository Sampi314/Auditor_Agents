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Workings" sheetId="2" state="visible" r:id="rId2"/>
    <sheet name="Income Statement" sheetId="3" state="visible" r:id="rId3"/>
    <sheet name="Balance Sheet" sheetId="4" state="visible" r:id="rId4"/>
    <sheet name="Cash Flow Statemen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  <sz val="11"/>
    </font>
    <font>
      <b val="1"/>
      <sz val="11"/>
    </font>
    <font>
      <b val="1"/>
      <sz val="12"/>
    </font>
    <font>
      <b val="1"/>
      <color rgb="00FF0000"/>
    </font>
  </fonts>
  <fills count="7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FFF2CC"/>
        <bgColor rgb="00FFF2CC"/>
      </patternFill>
    </fill>
    <fill>
      <patternFill patternType="solid">
        <fgColor rgb="00366092"/>
        <bgColor rgb="00366092"/>
      </patternFill>
    </fill>
    <fill>
      <patternFill patternType="solid">
        <fgColor rgb="00B4C7E7"/>
        <bgColor rgb="00B4C7E7"/>
      </patternFill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3" fontId="0" fillId="3" borderId="0" pivotButton="0" quotePrefix="0" xfId="0"/>
    <xf numFmtId="164" fontId="0" fillId="3" borderId="0" pivotButton="0" quotePrefix="0" xfId="0"/>
    <xf numFmtId="1" fontId="0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4" fillId="5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2" fillId="5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0" fillId="6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</cols>
  <sheetData>
    <row r="1">
      <c r="A1" s="1" t="inlineStr">
        <is>
          <t>Financial Model - Inputs &amp; Assumptions</t>
        </is>
      </c>
    </row>
    <row r="3">
      <c r="A3" s="2" t="inlineStr">
        <is>
          <t>REVENUE ASSUMPTIONS</t>
        </is>
      </c>
    </row>
    <row r="4">
      <c r="A4" t="inlineStr">
        <is>
          <t>Starting Monthly Revenue</t>
        </is>
      </c>
      <c r="B4" s="3" t="n">
        <v>100000</v>
      </c>
    </row>
    <row r="5">
      <c r="A5" t="inlineStr">
        <is>
          <t>Monthly Revenue Growth Rate</t>
        </is>
      </c>
      <c r="B5" s="4" t="n">
        <v>0.03</v>
      </c>
    </row>
    <row r="6">
      <c r="A6" t="inlineStr">
        <is>
          <t>% Revenue on Credit (AR)</t>
        </is>
      </c>
      <c r="B6" s="4" t="n">
        <v>0.7</v>
      </c>
    </row>
    <row r="7">
      <c r="A7" t="inlineStr">
        <is>
          <t>Days Sales Outstanding (DSO)</t>
        </is>
      </c>
      <c r="B7" s="5" t="n">
        <v>45</v>
      </c>
    </row>
    <row r="9">
      <c r="A9" s="2" t="inlineStr">
        <is>
          <t>COST OF GOODS SOLD</t>
        </is>
      </c>
    </row>
    <row r="10">
      <c r="A10" t="inlineStr">
        <is>
          <t>COGS as % of Revenue</t>
        </is>
      </c>
      <c r="B10" s="4" t="n">
        <v>0.4</v>
      </c>
    </row>
    <row r="12">
      <c r="A12" s="2" t="inlineStr">
        <is>
          <t>INVENTORY ASSUMPTIONS</t>
        </is>
      </c>
    </row>
    <row r="13">
      <c r="A13" t="inlineStr">
        <is>
          <t>Days Inventory Outstanding (DIO)</t>
        </is>
      </c>
      <c r="B13" s="5" t="n">
        <v>60</v>
      </c>
    </row>
    <row r="14">
      <c r="A14" t="inlineStr">
        <is>
          <t>Opening Inventory Balance</t>
        </is>
      </c>
      <c r="B14" s="3" t="n">
        <v>80000</v>
      </c>
    </row>
    <row r="16">
      <c r="A16" s="2" t="inlineStr">
        <is>
          <t>OPERATING EXPENSES</t>
        </is>
      </c>
    </row>
    <row r="17">
      <c r="A17" t="inlineStr">
        <is>
          <t>Salaries &amp; Wages (Monthly)</t>
        </is>
      </c>
      <c r="B17" s="3" t="n">
        <v>25000</v>
      </c>
    </row>
    <row r="18">
      <c r="A18" t="inlineStr">
        <is>
          <t>Rent (Monthly)</t>
        </is>
      </c>
      <c r="B18" s="3" t="n">
        <v>5000</v>
      </c>
    </row>
    <row r="19">
      <c r="A19" t="inlineStr">
        <is>
          <t>Marketing (Monthly)</t>
        </is>
      </c>
      <c r="B19" s="3" t="n">
        <v>8000</v>
      </c>
    </row>
    <row r="20">
      <c r="A20" t="inlineStr">
        <is>
          <t>Other OpEx (Monthly)</t>
        </is>
      </c>
      <c r="B20" s="3" t="n">
        <v>7000</v>
      </c>
    </row>
    <row r="22">
      <c r="A22" s="2" t="inlineStr">
        <is>
          <t>PREPAYMENTS</t>
        </is>
      </c>
    </row>
    <row r="23">
      <c r="A23" t="inlineStr">
        <is>
          <t>Opening Prepayments</t>
        </is>
      </c>
      <c r="B23" s="3" t="n">
        <v>15000</v>
      </c>
    </row>
    <row r="24">
      <c r="A24" t="inlineStr">
        <is>
          <t>Monthly Prepayment Additions</t>
        </is>
      </c>
      <c r="B24" s="3" t="n">
        <v>5000</v>
      </c>
    </row>
    <row r="25">
      <c r="A25" t="inlineStr">
        <is>
          <t>Monthly Prepayment Amortization</t>
        </is>
      </c>
      <c r="B25" s="3" t="n">
        <v>4000</v>
      </c>
    </row>
    <row r="27">
      <c r="A27" s="2" t="inlineStr">
        <is>
          <t>ACCOUNTS PAYABLE</t>
        </is>
      </c>
    </row>
    <row r="28">
      <c r="A28" t="inlineStr">
        <is>
          <t>Days Payable Outstanding (DPO)</t>
        </is>
      </c>
      <c r="B28" s="5" t="n">
        <v>30</v>
      </c>
    </row>
    <row r="30">
      <c r="A30" s="2" t="inlineStr">
        <is>
          <t>ACCRUED EXPENSES</t>
        </is>
      </c>
    </row>
    <row r="31">
      <c r="A31" t="inlineStr">
        <is>
          <t>Opening Accrued Expenses</t>
        </is>
      </c>
      <c r="B31" s="3" t="n">
        <v>12000</v>
      </c>
    </row>
    <row r="32">
      <c r="A32" t="inlineStr">
        <is>
          <t>Monthly Accrual Rate (% of OpEx)</t>
        </is>
      </c>
      <c r="B32" s="4" t="n">
        <v>0.15</v>
      </c>
    </row>
    <row r="34">
      <c r="A34" s="2" t="inlineStr">
        <is>
          <t>DEFERRED REVENUE</t>
        </is>
      </c>
    </row>
    <row r="35">
      <c r="A35" t="inlineStr">
        <is>
          <t>Opening Deferred Revenue</t>
        </is>
      </c>
      <c r="B35" s="3" t="n">
        <v>30000</v>
      </c>
    </row>
    <row r="36">
      <c r="A36" t="inlineStr">
        <is>
          <t>Monthly Cash Received in Advance</t>
        </is>
      </c>
      <c r="B36" s="3" t="n">
        <v>20000</v>
      </c>
    </row>
    <row r="37">
      <c r="A37" t="inlineStr">
        <is>
          <t>Monthly Recognition Rate</t>
        </is>
      </c>
      <c r="B37" s="3" t="n">
        <v>18000</v>
      </c>
    </row>
    <row r="39">
      <c r="A39" s="2" t="inlineStr">
        <is>
          <t>FIXED ASSETS (PP&amp;E)</t>
        </is>
      </c>
    </row>
    <row r="40">
      <c r="A40" t="inlineStr">
        <is>
          <t>Opening Gross PP&amp;E</t>
        </is>
      </c>
      <c r="B40" s="3" t="n">
        <v>500000</v>
      </c>
    </row>
    <row r="41">
      <c r="A41" t="inlineStr">
        <is>
          <t>Opening Accumulated Depreciation</t>
        </is>
      </c>
      <c r="B41" s="3" t="n">
        <v>100000</v>
      </c>
    </row>
    <row r="42">
      <c r="A42" t="inlineStr">
        <is>
          <t>Monthly CapEx</t>
        </is>
      </c>
      <c r="B42" s="3" t="n">
        <v>10000</v>
      </c>
    </row>
    <row r="43">
      <c r="A43" t="inlineStr">
        <is>
          <t>Monthly Depreciation</t>
        </is>
      </c>
      <c r="B43" s="3" t="n">
        <v>8333</v>
      </c>
    </row>
    <row r="45">
      <c r="A45" s="2" t="inlineStr">
        <is>
          <t>DEBT</t>
        </is>
      </c>
    </row>
    <row r="46">
      <c r="A46" t="inlineStr">
        <is>
          <t>Opening Debt Balance</t>
        </is>
      </c>
      <c r="B46" s="3" t="n">
        <v>200000</v>
      </c>
    </row>
    <row r="47">
      <c r="A47" t="inlineStr">
        <is>
          <t>Annual Interest Rate</t>
        </is>
      </c>
      <c r="B47" s="4" t="n">
        <v>0.06</v>
      </c>
    </row>
    <row r="48">
      <c r="A48" t="inlineStr">
        <is>
          <t>Monthly Principal Repayment</t>
        </is>
      </c>
      <c r="B48" s="3" t="n">
        <v>5000</v>
      </c>
    </row>
    <row r="49">
      <c r="A49" t="inlineStr">
        <is>
          <t>Debt Drawdown (Month 1)</t>
        </is>
      </c>
      <c r="B49" s="3" t="n">
        <v>50000</v>
      </c>
    </row>
    <row r="51">
      <c r="A51" s="2" t="inlineStr">
        <is>
          <t>EQUITY</t>
        </is>
      </c>
    </row>
    <row r="52">
      <c r="A52" t="inlineStr">
        <is>
          <t>Opening Share Capital</t>
        </is>
      </c>
      <c r="B52" s="3" t="n">
        <v>300000</v>
      </c>
    </row>
    <row r="53">
      <c r="A53" t="inlineStr">
        <is>
          <t>Opening Retained Earnings</t>
        </is>
      </c>
      <c r="B53" s="3" t="n">
        <v>50000</v>
      </c>
    </row>
    <row r="55">
      <c r="A55" s="2" t="inlineStr">
        <is>
          <t>CASH</t>
        </is>
      </c>
    </row>
    <row r="56">
      <c r="A56" t="inlineStr">
        <is>
          <t>Opening Cash Balance</t>
        </is>
      </c>
      <c r="B56" s="3" t="n">
        <v>150000</v>
      </c>
    </row>
    <row r="57">
      <c r="A57" s="2" t="inlineStr">
        <is>
          <t>TAX</t>
        </is>
      </c>
    </row>
    <row r="58">
      <c r="A58" t="inlineStr">
        <is>
          <t>Tax Rate</t>
        </is>
      </c>
      <c r="B58" s="4" t="n">
        <v>0.25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Control Accounts - Workings</t>
        </is>
      </c>
    </row>
    <row r="2">
      <c r="A2" s="6" t="inlineStr">
        <is>
          <t>Period</t>
        </is>
      </c>
      <c r="B2" s="7" t="inlineStr">
        <is>
          <t>Month 1</t>
        </is>
      </c>
      <c r="C2" s="7" t="inlineStr">
        <is>
          <t>Month 2</t>
        </is>
      </c>
      <c r="D2" s="7" t="inlineStr">
        <is>
          <t>Month 3</t>
        </is>
      </c>
      <c r="E2" s="7" t="inlineStr">
        <is>
          <t>Month 4</t>
        </is>
      </c>
      <c r="F2" s="7" t="inlineStr">
        <is>
          <t>Month 5</t>
        </is>
      </c>
      <c r="G2" s="7" t="inlineStr">
        <is>
          <t>Month 6</t>
        </is>
      </c>
      <c r="H2" s="7" t="inlineStr">
        <is>
          <t>Month 7</t>
        </is>
      </c>
      <c r="I2" s="7" t="inlineStr">
        <is>
          <t>Month 8</t>
        </is>
      </c>
      <c r="J2" s="7" t="inlineStr">
        <is>
          <t>Month 9</t>
        </is>
      </c>
      <c r="K2" s="7" t="inlineStr">
        <is>
          <t>Month 10</t>
        </is>
      </c>
      <c r="L2" s="7" t="inlineStr">
        <is>
          <t>Month 11</t>
        </is>
      </c>
      <c r="M2" s="7" t="inlineStr">
        <is>
          <t>Month 12</t>
        </is>
      </c>
    </row>
    <row r="4">
      <c r="A4" s="8" t="inlineStr">
        <is>
          <t>ACCOUNTS RECEIVABLE</t>
        </is>
      </c>
    </row>
    <row r="5">
      <c r="A5" t="inlineStr">
        <is>
          <t>Opening Balance</t>
        </is>
      </c>
      <c r="B5">
        <f>Inputs!$B$7*Inputs!$B$4*Inputs!$B$8/30</f>
        <v/>
      </c>
      <c r="C5">
        <f>B8</f>
        <v/>
      </c>
      <c r="D5">
        <f>C8</f>
        <v/>
      </c>
      <c r="E5">
        <f>D8</f>
        <v/>
      </c>
      <c r="F5">
        <f>E8</f>
        <v/>
      </c>
      <c r="G5">
        <f>F8</f>
        <v/>
      </c>
      <c r="H5">
        <f>G8</f>
        <v/>
      </c>
      <c r="I5">
        <f>H8</f>
        <v/>
      </c>
      <c r="J5">
        <f>I8</f>
        <v/>
      </c>
      <c r="K5">
        <f>J8</f>
        <v/>
      </c>
      <c r="L5">
        <f>K8</f>
        <v/>
      </c>
      <c r="M5">
        <f>L8</f>
        <v/>
      </c>
    </row>
    <row r="6">
      <c r="A6" t="inlineStr">
        <is>
          <t>Credit Sales (Increase)</t>
        </is>
      </c>
      <c r="B6">
        <f>'Income Statement'!B5*Inputs!$B$7</f>
        <v/>
      </c>
      <c r="C6">
        <f>'Income Statement'!C5*Inputs!$B$7</f>
        <v/>
      </c>
      <c r="D6">
        <f>'Income Statement'!D5*Inputs!$B$7</f>
        <v/>
      </c>
      <c r="E6">
        <f>'Income Statement'!E5*Inputs!$B$7</f>
        <v/>
      </c>
      <c r="F6">
        <f>'Income Statement'!F5*Inputs!$B$7</f>
        <v/>
      </c>
      <c r="G6">
        <f>'Income Statement'!G5*Inputs!$B$7</f>
        <v/>
      </c>
      <c r="H6">
        <f>'Income Statement'!H5*Inputs!$B$7</f>
        <v/>
      </c>
      <c r="I6">
        <f>'Income Statement'!I5*Inputs!$B$7</f>
        <v/>
      </c>
      <c r="J6">
        <f>'Income Statement'!J5*Inputs!$B$7</f>
        <v/>
      </c>
      <c r="K6">
        <f>'Income Statement'!K5*Inputs!$B$7</f>
        <v/>
      </c>
      <c r="L6">
        <f>'Income Statement'!L5*Inputs!$B$7</f>
        <v/>
      </c>
      <c r="M6">
        <f>'Income Statement'!M5*Inputs!$B$7</f>
        <v/>
      </c>
    </row>
    <row r="7">
      <c r="A7" t="inlineStr">
        <is>
          <t>Cash Collections (Decrease)</t>
        </is>
      </c>
      <c r="B7">
        <f>B5*0.5</f>
        <v/>
      </c>
      <c r="C7">
        <f>B6</f>
        <v/>
      </c>
      <c r="D7">
        <f>C6</f>
        <v/>
      </c>
      <c r="E7">
        <f>D6</f>
        <v/>
      </c>
      <c r="F7">
        <f>E6</f>
        <v/>
      </c>
      <c r="G7">
        <f>F6</f>
        <v/>
      </c>
      <c r="H7">
        <f>G6</f>
        <v/>
      </c>
      <c r="I7">
        <f>H6</f>
        <v/>
      </c>
      <c r="J7">
        <f>I6</f>
        <v/>
      </c>
      <c r="K7">
        <f>J6</f>
        <v/>
      </c>
      <c r="L7">
        <f>K6</f>
        <v/>
      </c>
      <c r="M7">
        <f>L6</f>
        <v/>
      </c>
    </row>
    <row r="8">
      <c r="A8" s="9" t="inlineStr">
        <is>
          <t>Closing Balance</t>
        </is>
      </c>
      <c r="B8">
        <f>B5+B6-B7</f>
        <v/>
      </c>
      <c r="C8">
        <f>C5+C6-C7</f>
        <v/>
      </c>
      <c r="D8">
        <f>D5+D6-D7</f>
        <v/>
      </c>
      <c r="E8">
        <f>E5+E6-E7</f>
        <v/>
      </c>
      <c r="F8">
        <f>F5+F6-F7</f>
        <v/>
      </c>
      <c r="G8">
        <f>G5+G6-G7</f>
        <v/>
      </c>
      <c r="H8">
        <f>H5+H6-H7</f>
        <v/>
      </c>
      <c r="I8">
        <f>I5+I6-I7</f>
        <v/>
      </c>
      <c r="J8">
        <f>J5+J6-J7</f>
        <v/>
      </c>
      <c r="K8">
        <f>K5+K6-K7</f>
        <v/>
      </c>
      <c r="L8">
        <f>L5+L6-L7</f>
        <v/>
      </c>
      <c r="M8">
        <f>M5+M6-M7</f>
        <v/>
      </c>
    </row>
    <row r="10">
      <c r="A10" s="8" t="inlineStr">
        <is>
          <t>INVENTORY</t>
        </is>
      </c>
    </row>
    <row r="11">
      <c r="A11" t="inlineStr">
        <is>
          <t>Opening Balance</t>
        </is>
      </c>
      <c r="B11">
        <f>Inputs!$B$16</f>
        <v/>
      </c>
      <c r="C11">
        <f>B14</f>
        <v/>
      </c>
      <c r="D11">
        <f>C14</f>
        <v/>
      </c>
      <c r="E11">
        <f>D14</f>
        <v/>
      </c>
      <c r="F11">
        <f>E14</f>
        <v/>
      </c>
      <c r="G11">
        <f>F14</f>
        <v/>
      </c>
      <c r="H11">
        <f>G14</f>
        <v/>
      </c>
      <c r="I11">
        <f>H14</f>
        <v/>
      </c>
      <c r="J11">
        <f>I14</f>
        <v/>
      </c>
      <c r="K11">
        <f>J14</f>
        <v/>
      </c>
      <c r="L11">
        <f>K14</f>
        <v/>
      </c>
      <c r="M11">
        <f>L14</f>
        <v/>
      </c>
    </row>
    <row r="12">
      <c r="A12" t="inlineStr">
        <is>
          <t>Purchases (Increase)</t>
        </is>
      </c>
      <c r="B12">
        <f>'Income Statement'!B7*Inputs!$B$15/30</f>
        <v/>
      </c>
      <c r="C12">
        <f>'Income Statement'!C7+'Income Statement'!D7*Inputs!$B$15/30-C11</f>
        <v/>
      </c>
      <c r="D12">
        <f>'Income Statement'!D7+'Income Statement'!E7*Inputs!$B$15/30-D11</f>
        <v/>
      </c>
      <c r="E12">
        <f>'Income Statement'!E7+'Income Statement'!F7*Inputs!$B$15/30-E11</f>
        <v/>
      </c>
      <c r="F12">
        <f>'Income Statement'!F7+'Income Statement'!G7*Inputs!$B$15/30-F11</f>
        <v/>
      </c>
      <c r="G12">
        <f>'Income Statement'!G7+'Income Statement'!H7*Inputs!$B$15/30-G11</f>
        <v/>
      </c>
      <c r="H12">
        <f>'Income Statement'!H7+'Income Statement'!I7*Inputs!$B$15/30-H11</f>
        <v/>
      </c>
      <c r="I12">
        <f>'Income Statement'!I7+'Income Statement'!J7*Inputs!$B$15/30-I11</f>
        <v/>
      </c>
      <c r="J12">
        <f>'Income Statement'!J7+'Income Statement'!K7*Inputs!$B$15/30-J11</f>
        <v/>
      </c>
      <c r="K12">
        <f>'Income Statement'!K7+'Income Statement'!L7*Inputs!$B$15/30-K11</f>
        <v/>
      </c>
      <c r="L12">
        <f>'Income Statement'!L7+'Income Statement'!M7*Inputs!$B$15/30-L11</f>
        <v/>
      </c>
      <c r="M12">
        <f>'Income Statement'!M7+'Income Statement'!M7*Inputs!$B$15/30-M11</f>
        <v/>
      </c>
    </row>
    <row r="13">
      <c r="A13" t="inlineStr">
        <is>
          <t>COGS Withdrawal (Decrease)</t>
        </is>
      </c>
      <c r="B13">
        <f>'Income Statement'!B7</f>
        <v/>
      </c>
      <c r="C13">
        <f>'Income Statement'!C7</f>
        <v/>
      </c>
      <c r="D13">
        <f>'Income Statement'!D7</f>
        <v/>
      </c>
      <c r="E13">
        <f>'Income Statement'!E7</f>
        <v/>
      </c>
      <c r="F13">
        <f>'Income Statement'!F7</f>
        <v/>
      </c>
      <c r="G13">
        <f>'Income Statement'!G7</f>
        <v/>
      </c>
      <c r="H13">
        <f>'Income Statement'!H7</f>
        <v/>
      </c>
      <c r="I13">
        <f>'Income Statement'!I7</f>
        <v/>
      </c>
      <c r="J13">
        <f>'Income Statement'!J7</f>
        <v/>
      </c>
      <c r="K13">
        <f>'Income Statement'!K7</f>
        <v/>
      </c>
      <c r="L13">
        <f>'Income Statement'!L7</f>
        <v/>
      </c>
      <c r="M13">
        <f>'Income Statement'!M7</f>
        <v/>
      </c>
    </row>
    <row r="14">
      <c r="A14" s="9" t="inlineStr">
        <is>
          <t>Closing Balance</t>
        </is>
      </c>
      <c r="B14">
        <f>B11+B12-B13</f>
        <v/>
      </c>
      <c r="C14">
        <f>C11+C12-C13</f>
        <v/>
      </c>
      <c r="D14">
        <f>D11+D12-D13</f>
        <v/>
      </c>
      <c r="E14">
        <f>E11+E12-E13</f>
        <v/>
      </c>
      <c r="F14">
        <f>F11+F12-F13</f>
        <v/>
      </c>
      <c r="G14">
        <f>G11+G12-G13</f>
        <v/>
      </c>
      <c r="H14">
        <f>H11+H12-H13</f>
        <v/>
      </c>
      <c r="I14">
        <f>I11+I12-I13</f>
        <v/>
      </c>
      <c r="J14">
        <f>J11+J12-J13</f>
        <v/>
      </c>
      <c r="K14">
        <f>K11+K12-K13</f>
        <v/>
      </c>
      <c r="L14">
        <f>L11+L12-L13</f>
        <v/>
      </c>
      <c r="M14">
        <f>M11+M12-M13</f>
        <v/>
      </c>
    </row>
    <row r="16">
      <c r="A16" s="8" t="inlineStr">
        <is>
          <t>PREPAYMENTS</t>
        </is>
      </c>
    </row>
    <row r="17">
      <c r="A17" t="inlineStr">
        <is>
          <t>Opening Balance</t>
        </is>
      </c>
      <c r="B17">
        <f>Inputs!$B$28</f>
        <v/>
      </c>
      <c r="C17">
        <f>B20</f>
        <v/>
      </c>
      <c r="D17">
        <f>C20</f>
        <v/>
      </c>
      <c r="E17">
        <f>D20</f>
        <v/>
      </c>
      <c r="F17">
        <f>E20</f>
        <v/>
      </c>
      <c r="G17">
        <f>F20</f>
        <v/>
      </c>
      <c r="H17">
        <f>G20</f>
        <v/>
      </c>
      <c r="I17">
        <f>H20</f>
        <v/>
      </c>
      <c r="J17">
        <f>I20</f>
        <v/>
      </c>
      <c r="K17">
        <f>J20</f>
        <v/>
      </c>
      <c r="L17">
        <f>K20</f>
        <v/>
      </c>
      <c r="M17">
        <f>L20</f>
        <v/>
      </c>
    </row>
    <row r="18">
      <c r="A18" t="inlineStr">
        <is>
          <t>Additions (Increase)</t>
        </is>
      </c>
      <c r="B18">
        <f>Inputs!$B$29</f>
        <v/>
      </c>
      <c r="C18">
        <f>Inputs!$B$29</f>
        <v/>
      </c>
      <c r="D18">
        <f>Inputs!$B$29</f>
        <v/>
      </c>
      <c r="E18">
        <f>Inputs!$B$29</f>
        <v/>
      </c>
      <c r="F18">
        <f>Inputs!$B$29</f>
        <v/>
      </c>
      <c r="G18">
        <f>Inputs!$B$29</f>
        <v/>
      </c>
      <c r="H18">
        <f>Inputs!$B$29</f>
        <v/>
      </c>
      <c r="I18">
        <f>Inputs!$B$29</f>
        <v/>
      </c>
      <c r="J18">
        <f>Inputs!$B$29</f>
        <v/>
      </c>
      <c r="K18">
        <f>Inputs!$B$29</f>
        <v/>
      </c>
      <c r="L18">
        <f>Inputs!$B$29</f>
        <v/>
      </c>
      <c r="M18">
        <f>Inputs!$B$29</f>
        <v/>
      </c>
    </row>
    <row r="19">
      <c r="A19" t="inlineStr">
        <is>
          <t>Amortization (Decrease)</t>
        </is>
      </c>
      <c r="B19">
        <f>Inputs!$B$30</f>
        <v/>
      </c>
      <c r="C19">
        <f>Inputs!$B$30</f>
        <v/>
      </c>
      <c r="D19">
        <f>Inputs!$B$30</f>
        <v/>
      </c>
      <c r="E19">
        <f>Inputs!$B$30</f>
        <v/>
      </c>
      <c r="F19">
        <f>Inputs!$B$30</f>
        <v/>
      </c>
      <c r="G19">
        <f>Inputs!$B$30</f>
        <v/>
      </c>
      <c r="H19">
        <f>Inputs!$B$30</f>
        <v/>
      </c>
      <c r="I19">
        <f>Inputs!$B$30</f>
        <v/>
      </c>
      <c r="J19">
        <f>Inputs!$B$30</f>
        <v/>
      </c>
      <c r="K19">
        <f>Inputs!$B$30</f>
        <v/>
      </c>
      <c r="L19">
        <f>Inputs!$B$30</f>
        <v/>
      </c>
      <c r="M19">
        <f>Inputs!$B$30</f>
        <v/>
      </c>
    </row>
    <row r="20">
      <c r="A20" s="9" t="inlineStr">
        <is>
          <t>Closing Balance</t>
        </is>
      </c>
      <c r="B20">
        <f>B17+B18-B19</f>
        <v/>
      </c>
      <c r="C20">
        <f>C17+C18-C19</f>
        <v/>
      </c>
      <c r="D20">
        <f>D17+D18-D19</f>
        <v/>
      </c>
      <c r="E20">
        <f>E17+E18-E19</f>
        <v/>
      </c>
      <c r="F20">
        <f>F17+F18-F19</f>
        <v/>
      </c>
      <c r="G20">
        <f>G17+G18-G19</f>
        <v/>
      </c>
      <c r="H20">
        <f>H17+H18-H19</f>
        <v/>
      </c>
      <c r="I20">
        <f>I17+I18-I19</f>
        <v/>
      </c>
      <c r="J20">
        <f>J17+J18-J19</f>
        <v/>
      </c>
      <c r="K20">
        <f>K17+K18-K19</f>
        <v/>
      </c>
      <c r="L20">
        <f>L17+L18-L19</f>
        <v/>
      </c>
      <c r="M20">
        <f>M17+M18-M19</f>
        <v/>
      </c>
    </row>
    <row r="22">
      <c r="A22" s="8" t="inlineStr">
        <is>
          <t>FIXED ASSETS - GROSS PP&amp;E</t>
        </is>
      </c>
    </row>
    <row r="23">
      <c r="A23" t="inlineStr">
        <is>
          <t>Opening Balance</t>
        </is>
      </c>
      <c r="B23">
        <f>Inputs!$B$46</f>
        <v/>
      </c>
      <c r="C23">
        <f>B26</f>
        <v/>
      </c>
      <c r="D23">
        <f>C26</f>
        <v/>
      </c>
      <c r="E23">
        <f>D26</f>
        <v/>
      </c>
      <c r="F23">
        <f>E26</f>
        <v/>
      </c>
      <c r="G23">
        <f>F26</f>
        <v/>
      </c>
      <c r="H23">
        <f>G26</f>
        <v/>
      </c>
      <c r="I23">
        <f>H26</f>
        <v/>
      </c>
      <c r="J23">
        <f>I26</f>
        <v/>
      </c>
      <c r="K23">
        <f>J26</f>
        <v/>
      </c>
      <c r="L23">
        <f>K26</f>
        <v/>
      </c>
      <c r="M23">
        <f>L26</f>
        <v/>
      </c>
    </row>
    <row r="24">
      <c r="A24" t="inlineStr">
        <is>
          <t>CapEx Additions (Increase)</t>
        </is>
      </c>
      <c r="B24">
        <f>Inputs!$B$48</f>
        <v/>
      </c>
      <c r="C24">
        <f>Inputs!$B$48</f>
        <v/>
      </c>
      <c r="D24">
        <f>Inputs!$B$48</f>
        <v/>
      </c>
      <c r="E24">
        <f>Inputs!$B$48</f>
        <v/>
      </c>
      <c r="F24">
        <f>Inputs!$B$48</f>
        <v/>
      </c>
      <c r="G24">
        <f>Inputs!$B$48</f>
        <v/>
      </c>
      <c r="H24">
        <f>Inputs!$B$48</f>
        <v/>
      </c>
      <c r="I24">
        <f>Inputs!$B$48</f>
        <v/>
      </c>
      <c r="J24">
        <f>Inputs!$B$48</f>
        <v/>
      </c>
      <c r="K24">
        <f>Inputs!$B$48</f>
        <v/>
      </c>
      <c r="L24">
        <f>Inputs!$B$48</f>
        <v/>
      </c>
      <c r="M24">
        <f>Inputs!$B$48</f>
        <v/>
      </c>
    </row>
    <row r="25">
      <c r="A25" t="inlineStr">
        <is>
          <t>Disposals (Decrease)</t>
        </is>
      </c>
      <c r="B25" t="n">
        <v>0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</row>
    <row r="26">
      <c r="A26" s="9" t="inlineStr">
        <is>
          <t>Closing Balance - Gross PP&amp;E</t>
        </is>
      </c>
      <c r="B26">
        <f>B23+B24-B25</f>
        <v/>
      </c>
      <c r="C26">
        <f>C23+C24-C25</f>
        <v/>
      </c>
      <c r="D26">
        <f>D23+D24-D25</f>
        <v/>
      </c>
      <c r="E26">
        <f>E23+E24-E25</f>
        <v/>
      </c>
      <c r="F26">
        <f>F23+F24-F25</f>
        <v/>
      </c>
      <c r="G26">
        <f>G23+G24-G25</f>
        <v/>
      </c>
      <c r="H26">
        <f>H23+H24-H25</f>
        <v/>
      </c>
      <c r="I26">
        <f>I23+I24-I25</f>
        <v/>
      </c>
      <c r="J26">
        <f>J23+J24-J25</f>
        <v/>
      </c>
      <c r="K26">
        <f>K23+K24-K25</f>
        <v/>
      </c>
      <c r="L26">
        <f>L23+L24-L25</f>
        <v/>
      </c>
      <c r="M26">
        <f>M23+M24-M25</f>
        <v/>
      </c>
    </row>
    <row r="28">
      <c r="A28" s="8" t="inlineStr">
        <is>
          <t>ACCUMULATED DEPRECIATION</t>
        </is>
      </c>
    </row>
    <row r="29">
      <c r="A29" t="inlineStr">
        <is>
          <t>Opening Balance</t>
        </is>
      </c>
      <c r="B29">
        <f>Inputs!$B$47</f>
        <v/>
      </c>
      <c r="C29">
        <f>B31</f>
        <v/>
      </c>
      <c r="D29">
        <f>C31</f>
        <v/>
      </c>
      <c r="E29">
        <f>D31</f>
        <v/>
      </c>
      <c r="F29">
        <f>E31</f>
        <v/>
      </c>
      <c r="G29">
        <f>F31</f>
        <v/>
      </c>
      <c r="H29">
        <f>G31</f>
        <v/>
      </c>
      <c r="I29">
        <f>H31</f>
        <v/>
      </c>
      <c r="J29">
        <f>I31</f>
        <v/>
      </c>
      <c r="K29">
        <f>J31</f>
        <v/>
      </c>
      <c r="L29">
        <f>K31</f>
        <v/>
      </c>
      <c r="M29">
        <f>L31</f>
        <v/>
      </c>
    </row>
    <row r="30">
      <c r="A30" t="inlineStr">
        <is>
          <t>Depreciation Expense (Increase)</t>
        </is>
      </c>
      <c r="B30">
        <f>Inputs!$B$49</f>
        <v/>
      </c>
      <c r="C30">
        <f>Inputs!$B$49</f>
        <v/>
      </c>
      <c r="D30">
        <f>Inputs!$B$49</f>
        <v/>
      </c>
      <c r="E30">
        <f>Inputs!$B$49</f>
        <v/>
      </c>
      <c r="F30">
        <f>Inputs!$B$49</f>
        <v/>
      </c>
      <c r="G30">
        <f>Inputs!$B$49</f>
        <v/>
      </c>
      <c r="H30">
        <f>Inputs!$B$49</f>
        <v/>
      </c>
      <c r="I30">
        <f>Inputs!$B$49</f>
        <v/>
      </c>
      <c r="J30">
        <f>Inputs!$B$49</f>
        <v/>
      </c>
      <c r="K30">
        <f>Inputs!$B$49</f>
        <v/>
      </c>
      <c r="L30">
        <f>Inputs!$B$49</f>
        <v/>
      </c>
      <c r="M30">
        <f>Inputs!$B$49</f>
        <v/>
      </c>
    </row>
    <row r="31">
      <c r="A31" s="9" t="inlineStr">
        <is>
          <t>Closing Balance - Accum Depr</t>
        </is>
      </c>
      <c r="B31">
        <f>B29+B30</f>
        <v/>
      </c>
      <c r="C31">
        <f>C29+C30</f>
        <v/>
      </c>
      <c r="D31">
        <f>D29+D30</f>
        <v/>
      </c>
      <c r="E31">
        <f>E29+E30</f>
        <v/>
      </c>
      <c r="F31">
        <f>F29+F30</f>
        <v/>
      </c>
      <c r="G31">
        <f>G29+G30</f>
        <v/>
      </c>
      <c r="H31">
        <f>H29+H30</f>
        <v/>
      </c>
      <c r="I31">
        <f>I29+I30</f>
        <v/>
      </c>
      <c r="J31">
        <f>J29+J30</f>
        <v/>
      </c>
      <c r="K31">
        <f>K29+K30</f>
        <v/>
      </c>
      <c r="L31">
        <f>L29+L30</f>
        <v/>
      </c>
      <c r="M31">
        <f>M29+M30</f>
        <v/>
      </c>
    </row>
    <row r="32">
      <c r="A32" s="2" t="inlineStr">
        <is>
          <t>Net PP&amp;E</t>
        </is>
      </c>
      <c r="B32">
        <f>B24-B31</f>
        <v/>
      </c>
      <c r="C32">
        <f>C24-C31</f>
        <v/>
      </c>
      <c r="D32">
        <f>D24-D31</f>
        <v/>
      </c>
      <c r="E32">
        <f>E24-E31</f>
        <v/>
      </c>
      <c r="F32">
        <f>F24-F31</f>
        <v/>
      </c>
      <c r="G32">
        <f>G24-G31</f>
        <v/>
      </c>
      <c r="H32">
        <f>H24-H31</f>
        <v/>
      </c>
      <c r="I32">
        <f>I24-I31</f>
        <v/>
      </c>
      <c r="J32">
        <f>J24-J31</f>
        <v/>
      </c>
      <c r="K32">
        <f>K24-K31</f>
        <v/>
      </c>
      <c r="L32">
        <f>L24-L31</f>
        <v/>
      </c>
      <c r="M32">
        <f>M24-M31</f>
        <v/>
      </c>
    </row>
    <row r="34">
      <c r="A34" s="8" t="inlineStr">
        <is>
          <t>ACCOUNTS PAYABLE</t>
        </is>
      </c>
    </row>
    <row r="35">
      <c r="A35" t="inlineStr">
        <is>
          <t>Opening Balance</t>
        </is>
      </c>
      <c r="B35">
        <f>Workings!B12*Inputs!$B$34/30</f>
        <v/>
      </c>
      <c r="C35">
        <f>B38</f>
        <v/>
      </c>
      <c r="D35">
        <f>C38</f>
        <v/>
      </c>
      <c r="E35">
        <f>D38</f>
        <v/>
      </c>
      <c r="F35">
        <f>E38</f>
        <v/>
      </c>
      <c r="G35">
        <f>F38</f>
        <v/>
      </c>
      <c r="H35">
        <f>G38</f>
        <v/>
      </c>
      <c r="I35">
        <f>H38</f>
        <v/>
      </c>
      <c r="J35">
        <f>I38</f>
        <v/>
      </c>
      <c r="K35">
        <f>J38</f>
        <v/>
      </c>
      <c r="L35">
        <f>K38</f>
        <v/>
      </c>
      <c r="M35">
        <f>L38</f>
        <v/>
      </c>
    </row>
    <row r="36">
      <c r="A36" t="inlineStr">
        <is>
          <t>Purchases on Credit (Increase)</t>
        </is>
      </c>
      <c r="B36">
        <f>Workings!B12</f>
        <v/>
      </c>
      <c r="C36">
        <f>Workings!C12</f>
        <v/>
      </c>
      <c r="D36">
        <f>Workings!D12</f>
        <v/>
      </c>
      <c r="E36">
        <f>Workings!E12</f>
        <v/>
      </c>
      <c r="F36">
        <f>Workings!F12</f>
        <v/>
      </c>
      <c r="G36">
        <f>Workings!G12</f>
        <v/>
      </c>
      <c r="H36">
        <f>Workings!H12</f>
        <v/>
      </c>
      <c r="I36">
        <f>Workings!I12</f>
        <v/>
      </c>
      <c r="J36">
        <f>Workings!J12</f>
        <v/>
      </c>
      <c r="K36">
        <f>Workings!K12</f>
        <v/>
      </c>
      <c r="L36">
        <f>Workings!L12</f>
        <v/>
      </c>
      <c r="M36">
        <f>Workings!M12</f>
        <v/>
      </c>
    </row>
    <row r="37">
      <c r="A37" t="inlineStr">
        <is>
          <t>Cash Payments (Decrease)</t>
        </is>
      </c>
      <c r="B37">
        <f>B35</f>
        <v/>
      </c>
      <c r="C37">
        <f>B36</f>
        <v/>
      </c>
      <c r="D37">
        <f>C36</f>
        <v/>
      </c>
      <c r="E37">
        <f>D36</f>
        <v/>
      </c>
      <c r="F37">
        <f>E36</f>
        <v/>
      </c>
      <c r="G37">
        <f>F36</f>
        <v/>
      </c>
      <c r="H37">
        <f>G36</f>
        <v/>
      </c>
      <c r="I37">
        <f>H36</f>
        <v/>
      </c>
      <c r="J37">
        <f>I36</f>
        <v/>
      </c>
      <c r="K37">
        <f>J36</f>
        <v/>
      </c>
      <c r="L37">
        <f>K36</f>
        <v/>
      </c>
      <c r="M37">
        <f>L36</f>
        <v/>
      </c>
    </row>
    <row r="38">
      <c r="A38" s="9" t="inlineStr">
        <is>
          <t>Closing Balance</t>
        </is>
      </c>
      <c r="B38">
        <f>B35+B36-B37</f>
        <v/>
      </c>
      <c r="C38">
        <f>C35+C36-C37</f>
        <v/>
      </c>
      <c r="D38">
        <f>D35+D36-D37</f>
        <v/>
      </c>
      <c r="E38">
        <f>E35+E36-E37</f>
        <v/>
      </c>
      <c r="F38">
        <f>F35+F36-F37</f>
        <v/>
      </c>
      <c r="G38">
        <f>G35+G36-G37</f>
        <v/>
      </c>
      <c r="H38">
        <f>H35+H36-H37</f>
        <v/>
      </c>
      <c r="I38">
        <f>I35+I36-I37</f>
        <v/>
      </c>
      <c r="J38">
        <f>J35+J36-J37</f>
        <v/>
      </c>
      <c r="K38">
        <f>K35+K36-K37</f>
        <v/>
      </c>
      <c r="L38">
        <f>L35+L36-L37</f>
        <v/>
      </c>
      <c r="M38">
        <f>M35+M36-M37</f>
        <v/>
      </c>
    </row>
    <row r="40">
      <c r="A40" s="8" t="inlineStr">
        <is>
          <t>ACCRUED EXPENSES</t>
        </is>
      </c>
    </row>
    <row r="41">
      <c r="A41" t="inlineStr">
        <is>
          <t>Opening Balance</t>
        </is>
      </c>
      <c r="B41">
        <f>Inputs!$B$38</f>
        <v/>
      </c>
      <c r="C41">
        <f>B44</f>
        <v/>
      </c>
      <c r="D41">
        <f>C44</f>
        <v/>
      </c>
      <c r="E41">
        <f>D44</f>
        <v/>
      </c>
      <c r="F41">
        <f>E44</f>
        <v/>
      </c>
      <c r="G41">
        <f>F44</f>
        <v/>
      </c>
      <c r="H41">
        <f>G44</f>
        <v/>
      </c>
      <c r="I41">
        <f>H44</f>
        <v/>
      </c>
      <c r="J41">
        <f>I44</f>
        <v/>
      </c>
      <c r="K41">
        <f>J44</f>
        <v/>
      </c>
      <c r="L41">
        <f>K44</f>
        <v/>
      </c>
      <c r="M41">
        <f>L44</f>
        <v/>
      </c>
    </row>
    <row r="42">
      <c r="A42" t="inlineStr">
        <is>
          <t>Expense Accruals (Increase)</t>
        </is>
      </c>
      <c r="B42">
        <f>'Income Statement'!B10*Inputs!$B$39</f>
        <v/>
      </c>
      <c r="C42">
        <f>'Income Statement'!C10*Inputs!$B$39</f>
        <v/>
      </c>
      <c r="D42">
        <f>'Income Statement'!D10*Inputs!$B$39</f>
        <v/>
      </c>
      <c r="E42">
        <f>'Income Statement'!E10*Inputs!$B$39</f>
        <v/>
      </c>
      <c r="F42">
        <f>'Income Statement'!F10*Inputs!$B$39</f>
        <v/>
      </c>
      <c r="G42">
        <f>'Income Statement'!G10*Inputs!$B$39</f>
        <v/>
      </c>
      <c r="H42">
        <f>'Income Statement'!H10*Inputs!$B$39</f>
        <v/>
      </c>
      <c r="I42">
        <f>'Income Statement'!I10*Inputs!$B$39</f>
        <v/>
      </c>
      <c r="J42">
        <f>'Income Statement'!J10*Inputs!$B$39</f>
        <v/>
      </c>
      <c r="K42">
        <f>'Income Statement'!K10*Inputs!$B$39</f>
        <v/>
      </c>
      <c r="L42">
        <f>'Income Statement'!L10*Inputs!$B$39</f>
        <v/>
      </c>
      <c r="M42">
        <f>'Income Statement'!M10*Inputs!$B$39</f>
        <v/>
      </c>
    </row>
    <row r="43">
      <c r="A43" t="inlineStr">
        <is>
          <t>Cash Payments (Decrease)</t>
        </is>
      </c>
      <c r="B43">
        <f>B41*0.5</f>
        <v/>
      </c>
      <c r="C43">
        <f>B42</f>
        <v/>
      </c>
      <c r="D43">
        <f>C42</f>
        <v/>
      </c>
      <c r="E43">
        <f>D42</f>
        <v/>
      </c>
      <c r="F43">
        <f>E42</f>
        <v/>
      </c>
      <c r="G43">
        <f>F42</f>
        <v/>
      </c>
      <c r="H43">
        <f>G42</f>
        <v/>
      </c>
      <c r="I43">
        <f>H42</f>
        <v/>
      </c>
      <c r="J43">
        <f>I42</f>
        <v/>
      </c>
      <c r="K43">
        <f>J42</f>
        <v/>
      </c>
      <c r="L43">
        <f>K42</f>
        <v/>
      </c>
      <c r="M43">
        <f>L42</f>
        <v/>
      </c>
    </row>
    <row r="44">
      <c r="A44" s="9" t="inlineStr">
        <is>
          <t>Closing Balance</t>
        </is>
      </c>
      <c r="B44">
        <f>B41+B42-B43</f>
        <v/>
      </c>
      <c r="C44">
        <f>C41+C42-C43</f>
        <v/>
      </c>
      <c r="D44">
        <f>D41+D42-D43</f>
        <v/>
      </c>
      <c r="E44">
        <f>E41+E42-E43</f>
        <v/>
      </c>
      <c r="F44">
        <f>F41+F42-F43</f>
        <v/>
      </c>
      <c r="G44">
        <f>G41+G42-G43</f>
        <v/>
      </c>
      <c r="H44">
        <f>H41+H42-H43</f>
        <v/>
      </c>
      <c r="I44">
        <f>I41+I42-I43</f>
        <v/>
      </c>
      <c r="J44">
        <f>J41+J42-J43</f>
        <v/>
      </c>
      <c r="K44">
        <f>K41+K42-K43</f>
        <v/>
      </c>
      <c r="L44">
        <f>L41+L42-L43</f>
        <v/>
      </c>
      <c r="M44">
        <f>M41+M42-M43</f>
        <v/>
      </c>
    </row>
    <row r="46">
      <c r="A46" s="8" t="inlineStr">
        <is>
          <t>DEFERRED REVENUE</t>
        </is>
      </c>
    </row>
    <row r="47">
      <c r="A47" t="inlineStr">
        <is>
          <t>Opening Balance</t>
        </is>
      </c>
      <c r="B47">
        <f>Inputs!$B$43</f>
        <v/>
      </c>
      <c r="C47">
        <f>B50</f>
        <v/>
      </c>
      <c r="D47">
        <f>C50</f>
        <v/>
      </c>
      <c r="E47">
        <f>D50</f>
        <v/>
      </c>
      <c r="F47">
        <f>E50</f>
        <v/>
      </c>
      <c r="G47">
        <f>F50</f>
        <v/>
      </c>
      <c r="H47">
        <f>G50</f>
        <v/>
      </c>
      <c r="I47">
        <f>H50</f>
        <v/>
      </c>
      <c r="J47">
        <f>I50</f>
        <v/>
      </c>
      <c r="K47">
        <f>J50</f>
        <v/>
      </c>
      <c r="L47">
        <f>K50</f>
        <v/>
      </c>
      <c r="M47">
        <f>L50</f>
        <v/>
      </c>
    </row>
    <row r="48">
      <c r="A48" t="inlineStr">
        <is>
          <t>Cash Received in Advance (Increase)</t>
        </is>
      </c>
      <c r="B48">
        <f>Inputs!$B$44</f>
        <v/>
      </c>
      <c r="C48">
        <f>Inputs!$B$44</f>
        <v/>
      </c>
      <c r="D48">
        <f>Inputs!$B$44</f>
        <v/>
      </c>
      <c r="E48">
        <f>Inputs!$B$44</f>
        <v/>
      </c>
      <c r="F48">
        <f>Inputs!$B$44</f>
        <v/>
      </c>
      <c r="G48">
        <f>Inputs!$B$44</f>
        <v/>
      </c>
      <c r="H48">
        <f>Inputs!$B$44</f>
        <v/>
      </c>
      <c r="I48">
        <f>Inputs!$B$44</f>
        <v/>
      </c>
      <c r="J48">
        <f>Inputs!$B$44</f>
        <v/>
      </c>
      <c r="K48">
        <f>Inputs!$B$44</f>
        <v/>
      </c>
      <c r="L48">
        <f>Inputs!$B$44</f>
        <v/>
      </c>
      <c r="M48">
        <f>Inputs!$B$44</f>
        <v/>
      </c>
    </row>
    <row r="49">
      <c r="A49" t="inlineStr">
        <is>
          <t>Revenue Recognition (Decrease)</t>
        </is>
      </c>
      <c r="B49">
        <f>Inputs!$B$45</f>
        <v/>
      </c>
      <c r="C49">
        <f>Inputs!$B$45</f>
        <v/>
      </c>
      <c r="D49">
        <f>Inputs!$B$45</f>
        <v/>
      </c>
      <c r="E49">
        <f>Inputs!$B$45</f>
        <v/>
      </c>
      <c r="F49">
        <f>Inputs!$B$45</f>
        <v/>
      </c>
      <c r="G49">
        <f>Inputs!$B$45</f>
        <v/>
      </c>
      <c r="H49">
        <f>Inputs!$B$45</f>
        <v/>
      </c>
      <c r="I49">
        <f>Inputs!$B$45</f>
        <v/>
      </c>
      <c r="J49">
        <f>Inputs!$B$45</f>
        <v/>
      </c>
      <c r="K49">
        <f>Inputs!$B$45</f>
        <v/>
      </c>
      <c r="L49">
        <f>Inputs!$B$45</f>
        <v/>
      </c>
      <c r="M49">
        <f>Inputs!$B$45</f>
        <v/>
      </c>
    </row>
    <row r="50">
      <c r="A50" s="9" t="inlineStr">
        <is>
          <t>Closing Balance</t>
        </is>
      </c>
      <c r="B50">
        <f>B47+B48-B49</f>
        <v/>
      </c>
      <c r="C50">
        <f>C47+C48-C49</f>
        <v/>
      </c>
      <c r="D50">
        <f>D47+D48-D49</f>
        <v/>
      </c>
      <c r="E50">
        <f>E47+E48-E49</f>
        <v/>
      </c>
      <c r="F50">
        <f>F47+F48-F49</f>
        <v/>
      </c>
      <c r="G50">
        <f>G47+G48-G49</f>
        <v/>
      </c>
      <c r="H50">
        <f>H47+H48-H49</f>
        <v/>
      </c>
      <c r="I50">
        <f>I47+I48-I49</f>
        <v/>
      </c>
      <c r="J50">
        <f>J47+J48-J49</f>
        <v/>
      </c>
      <c r="K50">
        <f>K47+K48-K49</f>
        <v/>
      </c>
      <c r="L50">
        <f>L47+L48-L49</f>
        <v/>
      </c>
      <c r="M50">
        <f>M47+M48-M49</f>
        <v/>
      </c>
    </row>
    <row r="52">
      <c r="A52" s="8" t="inlineStr">
        <is>
          <t>DEBT</t>
        </is>
      </c>
    </row>
    <row r="53">
      <c r="A53" t="inlineStr">
        <is>
          <t>Opening Balance</t>
        </is>
      </c>
      <c r="B53">
        <f>Inputs!$B$53</f>
        <v/>
      </c>
      <c r="C53">
        <f>B57</f>
        <v/>
      </c>
      <c r="D53">
        <f>C57</f>
        <v/>
      </c>
      <c r="E53">
        <f>D57</f>
        <v/>
      </c>
      <c r="F53">
        <f>E57</f>
        <v/>
      </c>
      <c r="G53">
        <f>F57</f>
        <v/>
      </c>
      <c r="H53">
        <f>G57</f>
        <v/>
      </c>
      <c r="I53">
        <f>H57</f>
        <v/>
      </c>
      <c r="J53">
        <f>I57</f>
        <v/>
      </c>
      <c r="K53">
        <f>J57</f>
        <v/>
      </c>
      <c r="L53">
        <f>K57</f>
        <v/>
      </c>
      <c r="M53">
        <f>L57</f>
        <v/>
      </c>
    </row>
    <row r="54">
      <c r="A54" t="inlineStr">
        <is>
          <t>Drawdowns (Increase)</t>
        </is>
      </c>
      <c r="B54">
        <f>Inputs!$B$56</f>
        <v/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</row>
    <row r="55">
      <c r="A55" t="inlineStr">
        <is>
          <t>Principal Repayments (Decrease)</t>
        </is>
      </c>
      <c r="B55">
        <f>Inputs!$B$55</f>
        <v/>
      </c>
      <c r="C55">
        <f>Inputs!$B$55</f>
        <v/>
      </c>
      <c r="D55">
        <f>Inputs!$B$55</f>
        <v/>
      </c>
      <c r="E55">
        <f>Inputs!$B$55</f>
        <v/>
      </c>
      <c r="F55">
        <f>Inputs!$B$55</f>
        <v/>
      </c>
      <c r="G55">
        <f>Inputs!$B$55</f>
        <v/>
      </c>
      <c r="H55">
        <f>Inputs!$B$55</f>
        <v/>
      </c>
      <c r="I55">
        <f>Inputs!$B$55</f>
        <v/>
      </c>
      <c r="J55">
        <f>Inputs!$B$55</f>
        <v/>
      </c>
      <c r="K55">
        <f>Inputs!$B$55</f>
        <v/>
      </c>
      <c r="L55">
        <f>Inputs!$B$55</f>
        <v/>
      </c>
      <c r="M55">
        <f>Inputs!$B$55</f>
        <v/>
      </c>
    </row>
    <row r="56">
      <c r="A56" t="inlineStr">
        <is>
          <t>Interest Expense</t>
        </is>
      </c>
      <c r="B56">
        <f>B53*Inputs!$B$54/12</f>
        <v/>
      </c>
      <c r="C56">
        <f>C53*Inputs!$B$54/12</f>
        <v/>
      </c>
      <c r="D56">
        <f>D53*Inputs!$B$54/12</f>
        <v/>
      </c>
      <c r="E56">
        <f>E53*Inputs!$B$54/12</f>
        <v/>
      </c>
      <c r="F56">
        <f>F53*Inputs!$B$54/12</f>
        <v/>
      </c>
      <c r="G56">
        <f>G53*Inputs!$B$54/12</f>
        <v/>
      </c>
      <c r="H56">
        <f>H53*Inputs!$B$54/12</f>
        <v/>
      </c>
      <c r="I56">
        <f>I53*Inputs!$B$54/12</f>
        <v/>
      </c>
      <c r="J56">
        <f>J53*Inputs!$B$54/12</f>
        <v/>
      </c>
      <c r="K56">
        <f>K53*Inputs!$B$54/12</f>
        <v/>
      </c>
      <c r="L56">
        <f>L53*Inputs!$B$54/12</f>
        <v/>
      </c>
      <c r="M56">
        <f>M53*Inputs!$B$54/12</f>
        <v/>
      </c>
    </row>
    <row r="57">
      <c r="A57" s="9" t="inlineStr">
        <is>
          <t>Closing Balance</t>
        </is>
      </c>
      <c r="B57">
        <f>B53+B54-B55</f>
        <v/>
      </c>
      <c r="C57">
        <f>C53+C54-C55</f>
        <v/>
      </c>
      <c r="D57">
        <f>D53+D54-D55</f>
        <v/>
      </c>
      <c r="E57">
        <f>E53+E54-E55</f>
        <v/>
      </c>
      <c r="F57">
        <f>F53+F54-F55</f>
        <v/>
      </c>
      <c r="G57">
        <f>G53+G54-G55</f>
        <v/>
      </c>
      <c r="H57">
        <f>H53+H54-H55</f>
        <v/>
      </c>
      <c r="I57">
        <f>I53+I54-I55</f>
        <v/>
      </c>
      <c r="J57">
        <f>J53+J54-J55</f>
        <v/>
      </c>
      <c r="K57">
        <f>K53+K54-K55</f>
        <v/>
      </c>
      <c r="L57">
        <f>L53+L54-L55</f>
        <v/>
      </c>
      <c r="M57">
        <f>M53+M54-M55</f>
        <v/>
      </c>
    </row>
    <row r="59">
      <c r="A59" s="8" t="inlineStr">
        <is>
          <t>RETAINED EARNINGS</t>
        </is>
      </c>
    </row>
    <row r="60">
      <c r="A60" t="inlineStr">
        <is>
          <t>Opening Balance</t>
        </is>
      </c>
      <c r="B60">
        <f>Inputs!$B$61</f>
        <v/>
      </c>
      <c r="C60">
        <f>B63</f>
        <v/>
      </c>
      <c r="D60">
        <f>C63</f>
        <v/>
      </c>
      <c r="E60">
        <f>D63</f>
        <v/>
      </c>
      <c r="F60">
        <f>E63</f>
        <v/>
      </c>
      <c r="G60">
        <f>F63</f>
        <v/>
      </c>
      <c r="H60">
        <f>G63</f>
        <v/>
      </c>
      <c r="I60">
        <f>H63</f>
        <v/>
      </c>
      <c r="J60">
        <f>I63</f>
        <v/>
      </c>
      <c r="K60">
        <f>J63</f>
        <v/>
      </c>
      <c r="L60">
        <f>K63</f>
        <v/>
      </c>
      <c r="M60">
        <f>L63</f>
        <v/>
      </c>
    </row>
    <row r="61">
      <c r="A61" t="inlineStr">
        <is>
          <t>Net Income (Increase)</t>
        </is>
      </c>
      <c r="B61">
        <f>'Income Statement'!B18</f>
        <v/>
      </c>
      <c r="C61">
        <f>'Income Statement'!C18</f>
        <v/>
      </c>
      <c r="D61">
        <f>'Income Statement'!D18</f>
        <v/>
      </c>
      <c r="E61">
        <f>'Income Statement'!E18</f>
        <v/>
      </c>
      <c r="F61">
        <f>'Income Statement'!F18</f>
        <v/>
      </c>
      <c r="G61">
        <f>'Income Statement'!G18</f>
        <v/>
      </c>
      <c r="H61">
        <f>'Income Statement'!H18</f>
        <v/>
      </c>
      <c r="I61">
        <f>'Income Statement'!I18</f>
        <v/>
      </c>
      <c r="J61">
        <f>'Income Statement'!J18</f>
        <v/>
      </c>
      <c r="K61">
        <f>'Income Statement'!K18</f>
        <v/>
      </c>
      <c r="L61">
        <f>'Income Statement'!L18</f>
        <v/>
      </c>
      <c r="M61">
        <f>'Income Statement'!M18</f>
        <v/>
      </c>
    </row>
    <row r="62">
      <c r="A62" t="inlineStr">
        <is>
          <t>Dividends (Decrease)</t>
        </is>
      </c>
      <c r="B62" t="n">
        <v>0</v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</row>
    <row r="63">
      <c r="A63" s="9" t="inlineStr">
        <is>
          <t>Closing Balance</t>
        </is>
      </c>
      <c r="B63">
        <f>B60+B61-B62</f>
        <v/>
      </c>
      <c r="C63">
        <f>C60+C61-C62</f>
        <v/>
      </c>
      <c r="D63">
        <f>D60+D61-D62</f>
        <v/>
      </c>
      <c r="E63">
        <f>E60+E61-E62</f>
        <v/>
      </c>
      <c r="F63">
        <f>F60+F61-F62</f>
        <v/>
      </c>
      <c r="G63">
        <f>G60+G61-G62</f>
        <v/>
      </c>
      <c r="H63">
        <f>H60+H61-H62</f>
        <v/>
      </c>
      <c r="I63">
        <f>I60+I61-I62</f>
        <v/>
      </c>
      <c r="J63">
        <f>J60+J61-J62</f>
        <v/>
      </c>
      <c r="K63">
        <f>K60+K61-K62</f>
        <v/>
      </c>
      <c r="L63">
        <f>L60+L61-L62</f>
        <v/>
      </c>
      <c r="M63">
        <f>M60+M61-M62</f>
        <v/>
      </c>
    </row>
    <row r="65">
      <c r="A65" s="8" t="inlineStr">
        <is>
          <t>CASH</t>
        </is>
      </c>
    </row>
    <row r="66">
      <c r="A66" t="inlineStr">
        <is>
          <t>Opening Balance</t>
        </is>
      </c>
      <c r="B66">
        <f>Inputs!$B$65</f>
        <v/>
      </c>
      <c r="C66">
        <f>'Cash Flow Statement'!C21</f>
        <v/>
      </c>
      <c r="D66">
        <f>'Cash Flow Statement'!D21</f>
        <v/>
      </c>
      <c r="E66">
        <f>'Cash Flow Statement'!E21</f>
        <v/>
      </c>
      <c r="F66">
        <f>'Cash Flow Statement'!F21</f>
        <v/>
      </c>
      <c r="G66">
        <f>'Cash Flow Statement'!G21</f>
        <v/>
      </c>
      <c r="H66">
        <f>'Cash Flow Statement'!H21</f>
        <v/>
      </c>
      <c r="I66">
        <f>'Cash Flow Statement'!I21</f>
        <v/>
      </c>
      <c r="J66">
        <f>'Cash Flow Statement'!J21</f>
        <v/>
      </c>
      <c r="K66">
        <f>'Cash Flow Statement'!K21</f>
        <v/>
      </c>
      <c r="L66">
        <f>'Cash Flow Statement'!L21</f>
        <v/>
      </c>
      <c r="M66">
        <f>'Cash Flow Statement'!M21</f>
        <v/>
      </c>
    </row>
    <row r="67">
      <c r="A67" t="inlineStr">
        <is>
          <t>Operating Cash Flow</t>
        </is>
      </c>
      <c r="B67">
        <f>'Cash Flow Statement'!B13</f>
        <v/>
      </c>
      <c r="C67">
        <f>'Cash Flow Statement'!C13</f>
        <v/>
      </c>
      <c r="D67">
        <f>'Cash Flow Statement'!D13</f>
        <v/>
      </c>
      <c r="E67">
        <f>'Cash Flow Statement'!E13</f>
        <v/>
      </c>
      <c r="F67">
        <f>'Cash Flow Statement'!F13</f>
        <v/>
      </c>
      <c r="G67">
        <f>'Cash Flow Statement'!G13</f>
        <v/>
      </c>
      <c r="H67">
        <f>'Cash Flow Statement'!H13</f>
        <v/>
      </c>
      <c r="I67">
        <f>'Cash Flow Statement'!I13</f>
        <v/>
      </c>
      <c r="J67">
        <f>'Cash Flow Statement'!J13</f>
        <v/>
      </c>
      <c r="K67">
        <f>'Cash Flow Statement'!K13</f>
        <v/>
      </c>
      <c r="L67">
        <f>'Cash Flow Statement'!L13</f>
        <v/>
      </c>
      <c r="M67">
        <f>'Cash Flow Statement'!M13</f>
        <v/>
      </c>
    </row>
    <row r="68">
      <c r="A68" t="inlineStr">
        <is>
          <t>Investing Cash Flow</t>
        </is>
      </c>
      <c r="B68">
        <f>'Cash Flow Statement'!B16</f>
        <v/>
      </c>
      <c r="C68">
        <f>'Cash Flow Statement'!C16</f>
        <v/>
      </c>
      <c r="D68">
        <f>'Cash Flow Statement'!D16</f>
        <v/>
      </c>
      <c r="E68">
        <f>'Cash Flow Statement'!E16</f>
        <v/>
      </c>
      <c r="F68">
        <f>'Cash Flow Statement'!F16</f>
        <v/>
      </c>
      <c r="G68">
        <f>'Cash Flow Statement'!G16</f>
        <v/>
      </c>
      <c r="H68">
        <f>'Cash Flow Statement'!H16</f>
        <v/>
      </c>
      <c r="I68">
        <f>'Cash Flow Statement'!I16</f>
        <v/>
      </c>
      <c r="J68">
        <f>'Cash Flow Statement'!J16</f>
        <v/>
      </c>
      <c r="K68">
        <f>'Cash Flow Statement'!K16</f>
        <v/>
      </c>
      <c r="L68">
        <f>'Cash Flow Statement'!L16</f>
        <v/>
      </c>
      <c r="M68">
        <f>'Cash Flow Statement'!M16</f>
        <v/>
      </c>
    </row>
    <row r="69">
      <c r="A69" t="inlineStr">
        <is>
          <t>Financing Cash Flow</t>
        </is>
      </c>
      <c r="B69">
        <f>'Cash Flow Statement'!B19</f>
        <v/>
      </c>
      <c r="C69">
        <f>'Cash Flow Statement'!C19</f>
        <v/>
      </c>
      <c r="D69">
        <f>'Cash Flow Statement'!D19</f>
        <v/>
      </c>
      <c r="E69">
        <f>'Cash Flow Statement'!E19</f>
        <v/>
      </c>
      <c r="F69">
        <f>'Cash Flow Statement'!F19</f>
        <v/>
      </c>
      <c r="G69">
        <f>'Cash Flow Statement'!G19</f>
        <v/>
      </c>
      <c r="H69">
        <f>'Cash Flow Statement'!H19</f>
        <v/>
      </c>
      <c r="I69">
        <f>'Cash Flow Statement'!I19</f>
        <v/>
      </c>
      <c r="J69">
        <f>'Cash Flow Statement'!J19</f>
        <v/>
      </c>
      <c r="K69">
        <f>'Cash Flow Statement'!K19</f>
        <v/>
      </c>
      <c r="L69">
        <f>'Cash Flow Statement'!L19</f>
        <v/>
      </c>
      <c r="M69">
        <f>'Cash Flow Statement'!M19</f>
        <v/>
      </c>
    </row>
    <row r="70">
      <c r="A70" s="9" t="inlineStr">
        <is>
          <t>Closing Balance</t>
        </is>
      </c>
      <c r="B70">
        <f>B65+B66+B67+B68</f>
        <v/>
      </c>
      <c r="C70">
        <f>C65+C66+C67+C68</f>
        <v/>
      </c>
      <c r="D70">
        <f>D65+D66+D67+D68</f>
        <v/>
      </c>
      <c r="E70">
        <f>E65+E66+E67+E68</f>
        <v/>
      </c>
      <c r="F70">
        <f>F65+F66+F67+F68</f>
        <v/>
      </c>
      <c r="G70">
        <f>G65+G66+G67+G68</f>
        <v/>
      </c>
      <c r="H70">
        <f>H65+H66+H67+H68</f>
        <v/>
      </c>
      <c r="I70">
        <f>I65+I66+I67+I68</f>
        <v/>
      </c>
      <c r="J70">
        <f>J65+J66+J67+J68</f>
        <v/>
      </c>
      <c r="K70">
        <f>K65+K66+K67+K68</f>
        <v/>
      </c>
      <c r="L70">
        <f>L65+L66+L67+L68</f>
        <v/>
      </c>
      <c r="M70">
        <f>M65+M66+M67+M68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Income Statement</t>
        </is>
      </c>
    </row>
    <row r="2">
      <c r="A2" s="6" t="inlineStr">
        <is>
          <t>Period</t>
        </is>
      </c>
      <c r="B2" s="7" t="inlineStr">
        <is>
          <t>Month 1</t>
        </is>
      </c>
      <c r="C2" s="7" t="inlineStr">
        <is>
          <t>Month 2</t>
        </is>
      </c>
      <c r="D2" s="7" t="inlineStr">
        <is>
          <t>Month 3</t>
        </is>
      </c>
      <c r="E2" s="7" t="inlineStr">
        <is>
          <t>Month 4</t>
        </is>
      </c>
      <c r="F2" s="7" t="inlineStr">
        <is>
          <t>Month 5</t>
        </is>
      </c>
      <c r="G2" s="7" t="inlineStr">
        <is>
          <t>Month 6</t>
        </is>
      </c>
      <c r="H2" s="7" t="inlineStr">
        <is>
          <t>Month 7</t>
        </is>
      </c>
      <c r="I2" s="7" t="inlineStr">
        <is>
          <t>Month 8</t>
        </is>
      </c>
      <c r="J2" s="7" t="inlineStr">
        <is>
          <t>Month 9</t>
        </is>
      </c>
      <c r="K2" s="7" t="inlineStr">
        <is>
          <t>Month 10</t>
        </is>
      </c>
      <c r="L2" s="7" t="inlineStr">
        <is>
          <t>Month 11</t>
        </is>
      </c>
      <c r="M2" s="7" t="inlineStr">
        <is>
          <t>Month 12</t>
        </is>
      </c>
    </row>
    <row r="4">
      <c r="A4" s="9" t="inlineStr">
        <is>
          <t>Revenue</t>
        </is>
      </c>
      <c r="B4" s="10">
        <f>Inputs!$B$4</f>
        <v/>
      </c>
      <c r="C4" s="10">
        <f>B4*(1+Inputs!$B$5)</f>
        <v/>
      </c>
      <c r="D4" s="10">
        <f>C4*(1+Inputs!$B$5)</f>
        <v/>
      </c>
      <c r="E4" s="10">
        <f>D4*(1+Inputs!$B$5)</f>
        <v/>
      </c>
      <c r="F4" s="10">
        <f>E4*(1+Inputs!$B$5)</f>
        <v/>
      </c>
      <c r="G4" s="10">
        <f>F4*(1+Inputs!$B$5)</f>
        <v/>
      </c>
      <c r="H4" s="10">
        <f>G4*(1+Inputs!$B$5)</f>
        <v/>
      </c>
      <c r="I4" s="10">
        <f>H4*(1+Inputs!$B$5)</f>
        <v/>
      </c>
      <c r="J4" s="10">
        <f>I4*(1+Inputs!$B$5)</f>
        <v/>
      </c>
      <c r="K4" s="10">
        <f>J4*(1+Inputs!$B$5)</f>
        <v/>
      </c>
      <c r="L4" s="10">
        <f>K4*(1+Inputs!$B$5)</f>
        <v/>
      </c>
      <c r="M4" s="10">
        <f>L4*(1+Inputs!$B$5)</f>
        <v/>
      </c>
    </row>
    <row r="5">
      <c r="A5" t="inlineStr"/>
    </row>
    <row r="6">
      <c r="A6" t="inlineStr">
        <is>
          <t>Cost of Goods Sold</t>
        </is>
      </c>
      <c r="B6" s="10">
        <f>-B5*Inputs!$B$13</f>
        <v/>
      </c>
      <c r="C6" s="10">
        <f>-C5*Inputs!$B$13</f>
        <v/>
      </c>
      <c r="D6" s="10">
        <f>-D5*Inputs!$B$13</f>
        <v/>
      </c>
      <c r="E6" s="10">
        <f>-E5*Inputs!$B$13</f>
        <v/>
      </c>
      <c r="F6" s="10">
        <f>-F5*Inputs!$B$13</f>
        <v/>
      </c>
      <c r="G6" s="10">
        <f>-G5*Inputs!$B$13</f>
        <v/>
      </c>
      <c r="H6" s="10">
        <f>-H5*Inputs!$B$13</f>
        <v/>
      </c>
      <c r="I6" s="10">
        <f>-I5*Inputs!$B$13</f>
        <v/>
      </c>
      <c r="J6" s="10">
        <f>-J5*Inputs!$B$13</f>
        <v/>
      </c>
      <c r="K6" s="10">
        <f>-K5*Inputs!$B$13</f>
        <v/>
      </c>
      <c r="L6" s="10">
        <f>-L5*Inputs!$B$13</f>
        <v/>
      </c>
      <c r="M6" s="10">
        <f>-M5*Inputs!$B$13</f>
        <v/>
      </c>
    </row>
    <row r="7">
      <c r="A7" s="2" t="inlineStr">
        <is>
          <t>Gross Profit</t>
        </is>
      </c>
      <c r="B7" s="10">
        <f>B5+B7</f>
        <v/>
      </c>
      <c r="C7" s="10">
        <f>C5+C7</f>
        <v/>
      </c>
      <c r="D7" s="10">
        <f>D5+D7</f>
        <v/>
      </c>
      <c r="E7" s="10">
        <f>E5+E7</f>
        <v/>
      </c>
      <c r="F7" s="10">
        <f>F5+F7</f>
        <v/>
      </c>
      <c r="G7" s="10">
        <f>G5+G7</f>
        <v/>
      </c>
      <c r="H7" s="10">
        <f>H5+H7</f>
        <v/>
      </c>
      <c r="I7" s="10">
        <f>I5+I7</f>
        <v/>
      </c>
      <c r="J7" s="10">
        <f>J5+J7</f>
        <v/>
      </c>
      <c r="K7" s="10">
        <f>K5+K7</f>
        <v/>
      </c>
      <c r="L7" s="10">
        <f>L5+L7</f>
        <v/>
      </c>
      <c r="M7" s="10">
        <f>M5+M7</f>
        <v/>
      </c>
    </row>
    <row r="8">
      <c r="A8" t="inlineStr"/>
    </row>
    <row r="9">
      <c r="A9" s="9" t="inlineStr">
        <is>
          <t>Operating Expenses</t>
        </is>
      </c>
      <c r="B9" s="10">
        <f>-(Inputs!$B$20+Inputs!$B$21+Inputs!$B$22+Inputs!$B$23)</f>
        <v/>
      </c>
      <c r="C9" s="10">
        <f>-(Inputs!$B$20+Inputs!$B$21+Inputs!$B$22+Inputs!$B$23)</f>
        <v/>
      </c>
      <c r="D9" s="10">
        <f>-(Inputs!$B$20+Inputs!$B$21+Inputs!$B$22+Inputs!$B$23)</f>
        <v/>
      </c>
      <c r="E9" s="10">
        <f>-(Inputs!$B$20+Inputs!$B$21+Inputs!$B$22+Inputs!$B$23)</f>
        <v/>
      </c>
      <c r="F9" s="10">
        <f>-(Inputs!$B$20+Inputs!$B$21+Inputs!$B$22+Inputs!$B$23)</f>
        <v/>
      </c>
      <c r="G9" s="10">
        <f>-(Inputs!$B$20+Inputs!$B$21+Inputs!$B$22+Inputs!$B$23)</f>
        <v/>
      </c>
      <c r="H9" s="10">
        <f>-(Inputs!$B$20+Inputs!$B$21+Inputs!$B$22+Inputs!$B$23)</f>
        <v/>
      </c>
      <c r="I9" s="10">
        <f>-(Inputs!$B$20+Inputs!$B$21+Inputs!$B$22+Inputs!$B$23)</f>
        <v/>
      </c>
      <c r="J9" s="10">
        <f>-(Inputs!$B$20+Inputs!$B$21+Inputs!$B$22+Inputs!$B$23)</f>
        <v/>
      </c>
      <c r="K9" s="10">
        <f>-(Inputs!$B$20+Inputs!$B$21+Inputs!$B$22+Inputs!$B$23)</f>
        <v/>
      </c>
      <c r="L9" s="10">
        <f>-(Inputs!$B$20+Inputs!$B$21+Inputs!$B$22+Inputs!$B$23)</f>
        <v/>
      </c>
      <c r="M9" s="10">
        <f>-(Inputs!$B$20+Inputs!$B$21+Inputs!$B$22+Inputs!$B$23)</f>
        <v/>
      </c>
    </row>
    <row r="10">
      <c r="A10" t="inlineStr">
        <is>
          <t>Depreciation</t>
        </is>
      </c>
      <c r="B10" s="10">
        <f>-Inputs!$B$49</f>
        <v/>
      </c>
      <c r="C10" s="10">
        <f>-Inputs!$B$49</f>
        <v/>
      </c>
      <c r="D10" s="10">
        <f>-Inputs!$B$49</f>
        <v/>
      </c>
      <c r="E10" s="10">
        <f>-Inputs!$B$49</f>
        <v/>
      </c>
      <c r="F10" s="10">
        <f>-Inputs!$B$49</f>
        <v/>
      </c>
      <c r="G10" s="10">
        <f>-Inputs!$B$49</f>
        <v/>
      </c>
      <c r="H10" s="10">
        <f>-Inputs!$B$49</f>
        <v/>
      </c>
      <c r="I10" s="10">
        <f>-Inputs!$B$49</f>
        <v/>
      </c>
      <c r="J10" s="10">
        <f>-Inputs!$B$49</f>
        <v/>
      </c>
      <c r="K10" s="10">
        <f>-Inputs!$B$49</f>
        <v/>
      </c>
      <c r="L10" s="10">
        <f>-Inputs!$B$49</f>
        <v/>
      </c>
      <c r="M10" s="10">
        <f>-Inputs!$B$49</f>
        <v/>
      </c>
    </row>
    <row r="11">
      <c r="A11" s="2" t="inlineStr">
        <is>
          <t>EBIT</t>
        </is>
      </c>
      <c r="B11" s="10">
        <f>B8+B10+B11</f>
        <v/>
      </c>
      <c r="C11" s="10">
        <f>C8+C10+C11</f>
        <v/>
      </c>
      <c r="D11" s="10">
        <f>D8+D10+D11</f>
        <v/>
      </c>
      <c r="E11" s="10">
        <f>E8+E10+E11</f>
        <v/>
      </c>
      <c r="F11" s="10">
        <f>F8+F10+F11</f>
        <v/>
      </c>
      <c r="G11" s="10">
        <f>G8+G10+G11</f>
        <v/>
      </c>
      <c r="H11" s="10">
        <f>H8+H10+H11</f>
        <v/>
      </c>
      <c r="I11" s="10">
        <f>I8+I10+I11</f>
        <v/>
      </c>
      <c r="J11" s="10">
        <f>J8+J10+J11</f>
        <v/>
      </c>
      <c r="K11" s="10">
        <f>K8+K10+K11</f>
        <v/>
      </c>
      <c r="L11" s="10">
        <f>L8+L10+L11</f>
        <v/>
      </c>
      <c r="M11" s="10">
        <f>M8+M10+M11</f>
        <v/>
      </c>
    </row>
    <row r="12">
      <c r="A12" t="inlineStr"/>
    </row>
    <row r="13">
      <c r="A13" t="inlineStr">
        <is>
          <t>Interest Expense</t>
        </is>
      </c>
      <c r="B13" s="10">
        <f>-Workings!B54</f>
        <v/>
      </c>
      <c r="C13" s="10">
        <f>-Workings!C54</f>
        <v/>
      </c>
      <c r="D13" s="10">
        <f>-Workings!D54</f>
        <v/>
      </c>
      <c r="E13" s="10">
        <f>-Workings!E54</f>
        <v/>
      </c>
      <c r="F13" s="10">
        <f>-Workings!F54</f>
        <v/>
      </c>
      <c r="G13" s="10">
        <f>-Workings!G54</f>
        <v/>
      </c>
      <c r="H13" s="10">
        <f>-Workings!H54</f>
        <v/>
      </c>
      <c r="I13" s="10">
        <f>-Workings!I54</f>
        <v/>
      </c>
      <c r="J13" s="10">
        <f>-Workings!J54</f>
        <v/>
      </c>
      <c r="K13" s="10">
        <f>-Workings!K54</f>
        <v/>
      </c>
      <c r="L13" s="10">
        <f>-Workings!L54</f>
        <v/>
      </c>
      <c r="M13" s="10">
        <f>-Workings!M54</f>
        <v/>
      </c>
    </row>
    <row r="14">
      <c r="A14" s="2" t="inlineStr">
        <is>
          <t>Earnings Before Tax</t>
        </is>
      </c>
      <c r="B14" s="10">
        <f>B12+B14</f>
        <v/>
      </c>
      <c r="C14" s="10">
        <f>C12+C14</f>
        <v/>
      </c>
      <c r="D14" s="10">
        <f>D12+D14</f>
        <v/>
      </c>
      <c r="E14" s="10">
        <f>E12+E14</f>
        <v/>
      </c>
      <c r="F14" s="10">
        <f>F12+F14</f>
        <v/>
      </c>
      <c r="G14" s="10">
        <f>G12+G14</f>
        <v/>
      </c>
      <c r="H14" s="10">
        <f>H12+H14</f>
        <v/>
      </c>
      <c r="I14" s="10">
        <f>I12+I14</f>
        <v/>
      </c>
      <c r="J14" s="10">
        <f>J12+J14</f>
        <v/>
      </c>
      <c r="K14" s="10">
        <f>K12+K14</f>
        <v/>
      </c>
      <c r="L14" s="10">
        <f>L12+L14</f>
        <v/>
      </c>
      <c r="M14" s="10">
        <f>M12+M14</f>
        <v/>
      </c>
    </row>
    <row r="15">
      <c r="A15" t="inlineStr">
        <is>
          <t>Tax Expense</t>
        </is>
      </c>
      <c r="B15" s="10">
        <f>-MAX(B15,0)*Inputs!$B$68</f>
        <v/>
      </c>
      <c r="C15" s="10">
        <f>-MAX(C15,0)*Inputs!$B$68</f>
        <v/>
      </c>
      <c r="D15" s="10">
        <f>-MAX(D15,0)*Inputs!$B$68</f>
        <v/>
      </c>
      <c r="E15" s="10">
        <f>-MAX(E15,0)*Inputs!$B$68</f>
        <v/>
      </c>
      <c r="F15" s="10">
        <f>-MAX(F15,0)*Inputs!$B$68</f>
        <v/>
      </c>
      <c r="G15" s="10">
        <f>-MAX(G15,0)*Inputs!$B$68</f>
        <v/>
      </c>
      <c r="H15" s="10">
        <f>-MAX(H15,0)*Inputs!$B$68</f>
        <v/>
      </c>
      <c r="I15" s="10">
        <f>-MAX(I15,0)*Inputs!$B$68</f>
        <v/>
      </c>
      <c r="J15" s="10">
        <f>-MAX(J15,0)*Inputs!$B$68</f>
        <v/>
      </c>
      <c r="K15" s="10">
        <f>-MAX(K15,0)*Inputs!$B$68</f>
        <v/>
      </c>
      <c r="L15" s="10">
        <f>-MAX(L15,0)*Inputs!$B$68</f>
        <v/>
      </c>
      <c r="M15" s="10">
        <f>-MAX(M15,0)*Inputs!$B$68</f>
        <v/>
      </c>
    </row>
    <row r="16">
      <c r="A16" t="inlineStr"/>
    </row>
    <row r="17">
      <c r="A17" s="11" t="inlineStr">
        <is>
          <t>Net Income</t>
        </is>
      </c>
      <c r="B17" s="10">
        <f>B15+B16</f>
        <v/>
      </c>
      <c r="C17" s="10">
        <f>C15+C16</f>
        <v/>
      </c>
      <c r="D17" s="10">
        <f>D15+D16</f>
        <v/>
      </c>
      <c r="E17" s="10">
        <f>E15+E16</f>
        <v/>
      </c>
      <c r="F17" s="10">
        <f>F15+F16</f>
        <v/>
      </c>
      <c r="G17" s="10">
        <f>G15+G16</f>
        <v/>
      </c>
      <c r="H17" s="10">
        <f>H15+H16</f>
        <v/>
      </c>
      <c r="I17" s="10">
        <f>I15+I16</f>
        <v/>
      </c>
      <c r="J17" s="10">
        <f>J15+J16</f>
        <v/>
      </c>
      <c r="K17" s="10">
        <f>K15+K16</f>
        <v/>
      </c>
      <c r="L17" s="10">
        <f>L15+L16</f>
        <v/>
      </c>
      <c r="M17" s="10">
        <f>M15+M16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Balance Sheet</t>
        </is>
      </c>
    </row>
    <row r="2">
      <c r="A2" s="6" t="inlineStr">
        <is>
          <t>Period</t>
        </is>
      </c>
      <c r="B2" s="7" t="inlineStr">
        <is>
          <t>Month 1</t>
        </is>
      </c>
      <c r="C2" s="7" t="inlineStr">
        <is>
          <t>Month 2</t>
        </is>
      </c>
      <c r="D2" s="7" t="inlineStr">
        <is>
          <t>Month 3</t>
        </is>
      </c>
      <c r="E2" s="7" t="inlineStr">
        <is>
          <t>Month 4</t>
        </is>
      </c>
      <c r="F2" s="7" t="inlineStr">
        <is>
          <t>Month 5</t>
        </is>
      </c>
      <c r="G2" s="7" t="inlineStr">
        <is>
          <t>Month 6</t>
        </is>
      </c>
      <c r="H2" s="7" t="inlineStr">
        <is>
          <t>Month 7</t>
        </is>
      </c>
      <c r="I2" s="7" t="inlineStr">
        <is>
          <t>Month 8</t>
        </is>
      </c>
      <c r="J2" s="7" t="inlineStr">
        <is>
          <t>Month 9</t>
        </is>
      </c>
      <c r="K2" s="7" t="inlineStr">
        <is>
          <t>Month 10</t>
        </is>
      </c>
      <c r="L2" s="7" t="inlineStr">
        <is>
          <t>Month 11</t>
        </is>
      </c>
      <c r="M2" s="7" t="inlineStr">
        <is>
          <t>Month 12</t>
        </is>
      </c>
    </row>
    <row r="4">
      <c r="A4" s="12" t="inlineStr">
        <is>
          <t>ASSETS</t>
        </is>
      </c>
    </row>
    <row r="5">
      <c r="A5" s="9" t="inlineStr">
        <is>
          <t>Current Assets</t>
        </is>
      </c>
    </row>
    <row r="6">
      <c r="A6" t="inlineStr">
        <is>
          <t>Cash</t>
        </is>
      </c>
      <c r="B6" s="10">
        <f>Workings!B77</f>
        <v/>
      </c>
      <c r="C6" s="10">
        <f>Workings!C77</f>
        <v/>
      </c>
      <c r="D6" s="10">
        <f>Workings!D77</f>
        <v/>
      </c>
      <c r="E6" s="10">
        <f>Workings!E77</f>
        <v/>
      </c>
      <c r="F6" s="10">
        <f>Workings!F77</f>
        <v/>
      </c>
      <c r="G6" s="10">
        <f>Workings!G77</f>
        <v/>
      </c>
      <c r="H6" s="10">
        <f>Workings!H77</f>
        <v/>
      </c>
      <c r="I6" s="10">
        <f>Workings!I77</f>
        <v/>
      </c>
      <c r="J6" s="10">
        <f>Workings!J77</f>
        <v/>
      </c>
      <c r="K6" s="10">
        <f>Workings!K77</f>
        <v/>
      </c>
      <c r="L6" s="10">
        <f>Workings!L77</f>
        <v/>
      </c>
      <c r="M6" s="10">
        <f>Workings!M77</f>
        <v/>
      </c>
    </row>
    <row r="7">
      <c r="A7" t="inlineStr">
        <is>
          <t>Accounts Receivable</t>
        </is>
      </c>
      <c r="B7" s="10">
        <f>Workings!B8</f>
        <v/>
      </c>
      <c r="C7" s="10">
        <f>Workings!C8</f>
        <v/>
      </c>
      <c r="D7" s="10">
        <f>Workings!D8</f>
        <v/>
      </c>
      <c r="E7" s="10">
        <f>Workings!E8</f>
        <v/>
      </c>
      <c r="F7" s="10">
        <f>Workings!F8</f>
        <v/>
      </c>
      <c r="G7" s="10">
        <f>Workings!G8</f>
        <v/>
      </c>
      <c r="H7" s="10">
        <f>Workings!H8</f>
        <v/>
      </c>
      <c r="I7" s="10">
        <f>Workings!I8</f>
        <v/>
      </c>
      <c r="J7" s="10">
        <f>Workings!J8</f>
        <v/>
      </c>
      <c r="K7" s="10">
        <f>Workings!K8</f>
        <v/>
      </c>
      <c r="L7" s="10">
        <f>Workings!L8</f>
        <v/>
      </c>
      <c r="M7" s="10">
        <f>Workings!M8</f>
        <v/>
      </c>
    </row>
    <row r="8">
      <c r="A8" t="inlineStr">
        <is>
          <t>Inventory</t>
        </is>
      </c>
      <c r="B8" s="10">
        <f>Workings!B14</f>
        <v/>
      </c>
      <c r="C8" s="10">
        <f>Workings!C14</f>
        <v/>
      </c>
      <c r="D8" s="10">
        <f>Workings!D14</f>
        <v/>
      </c>
      <c r="E8" s="10">
        <f>Workings!E14</f>
        <v/>
      </c>
      <c r="F8" s="10">
        <f>Workings!F14</f>
        <v/>
      </c>
      <c r="G8" s="10">
        <f>Workings!G14</f>
        <v/>
      </c>
      <c r="H8" s="10">
        <f>Workings!H14</f>
        <v/>
      </c>
      <c r="I8" s="10">
        <f>Workings!I14</f>
        <v/>
      </c>
      <c r="J8" s="10">
        <f>Workings!J14</f>
        <v/>
      </c>
      <c r="K8" s="10">
        <f>Workings!K14</f>
        <v/>
      </c>
      <c r="L8" s="10">
        <f>Workings!L14</f>
        <v/>
      </c>
      <c r="M8" s="10">
        <f>Workings!M14</f>
        <v/>
      </c>
    </row>
    <row r="9">
      <c r="A9" t="inlineStr">
        <is>
          <t>Prepayments</t>
        </is>
      </c>
      <c r="B9" s="10">
        <f>Workings!B20</f>
        <v/>
      </c>
      <c r="C9" s="10">
        <f>Workings!C20</f>
        <v/>
      </c>
      <c r="D9" s="10">
        <f>Workings!D20</f>
        <v/>
      </c>
      <c r="E9" s="10">
        <f>Workings!E20</f>
        <v/>
      </c>
      <c r="F9" s="10">
        <f>Workings!F20</f>
        <v/>
      </c>
      <c r="G9" s="10">
        <f>Workings!G20</f>
        <v/>
      </c>
      <c r="H9" s="10">
        <f>Workings!H20</f>
        <v/>
      </c>
      <c r="I9" s="10">
        <f>Workings!I20</f>
        <v/>
      </c>
      <c r="J9" s="10">
        <f>Workings!J20</f>
        <v/>
      </c>
      <c r="K9" s="10">
        <f>Workings!K20</f>
        <v/>
      </c>
      <c r="L9" s="10">
        <f>Workings!L20</f>
        <v/>
      </c>
      <c r="M9" s="10">
        <f>Workings!M20</f>
        <v/>
      </c>
    </row>
    <row r="10">
      <c r="A10" s="2" t="inlineStr">
        <is>
          <t>Total Current Assets</t>
        </is>
      </c>
      <c r="B10" s="10">
        <f>SUM(B6:B9)</f>
        <v/>
      </c>
      <c r="C10" s="10">
        <f>SUM(C6:C9)</f>
        <v/>
      </c>
      <c r="D10" s="10">
        <f>SUM(D6:D9)</f>
        <v/>
      </c>
      <c r="E10" s="10">
        <f>SUM(E6:E9)</f>
        <v/>
      </c>
      <c r="F10" s="10">
        <f>SUM(F6:F9)</f>
        <v/>
      </c>
      <c r="G10" s="10">
        <f>SUM(G6:G9)</f>
        <v/>
      </c>
      <c r="H10" s="10">
        <f>SUM(H6:H9)</f>
        <v/>
      </c>
      <c r="I10" s="10">
        <f>SUM(I6:I9)</f>
        <v/>
      </c>
      <c r="J10" s="10">
        <f>SUM(J6:J9)</f>
        <v/>
      </c>
      <c r="K10" s="10">
        <f>SUM(K6:K9)</f>
        <v/>
      </c>
      <c r="L10" s="10">
        <f>SUM(L6:L9)</f>
        <v/>
      </c>
      <c r="M10" s="10">
        <f>SUM(M6:M9)</f>
        <v/>
      </c>
    </row>
    <row r="11">
      <c r="A11" t="inlineStr"/>
    </row>
    <row r="12">
      <c r="A12" s="9" t="inlineStr">
        <is>
          <t>Non-Current Assets</t>
        </is>
      </c>
    </row>
    <row r="13">
      <c r="A13" t="inlineStr">
        <is>
          <t>Property, Plant &amp; Equipment</t>
        </is>
      </c>
      <c r="B13" s="10">
        <f>Workings!B32</f>
        <v/>
      </c>
      <c r="C13" s="10">
        <f>Workings!C32</f>
        <v/>
      </c>
      <c r="D13" s="10">
        <f>Workings!D32</f>
        <v/>
      </c>
      <c r="E13" s="10">
        <f>Workings!E32</f>
        <v/>
      </c>
      <c r="F13" s="10">
        <f>Workings!F32</f>
        <v/>
      </c>
      <c r="G13" s="10">
        <f>Workings!G32</f>
        <v/>
      </c>
      <c r="H13" s="10">
        <f>Workings!H32</f>
        <v/>
      </c>
      <c r="I13" s="10">
        <f>Workings!I32</f>
        <v/>
      </c>
      <c r="J13" s="10">
        <f>Workings!J32</f>
        <v/>
      </c>
      <c r="K13" s="10">
        <f>Workings!K32</f>
        <v/>
      </c>
      <c r="L13" s="10">
        <f>Workings!L32</f>
        <v/>
      </c>
      <c r="M13" s="10">
        <f>Workings!M32</f>
        <v/>
      </c>
    </row>
    <row r="14">
      <c r="A14" s="2" t="inlineStr">
        <is>
          <t>Total Non-Current Assets</t>
        </is>
      </c>
      <c r="B14" s="10">
        <f>B13</f>
        <v/>
      </c>
      <c r="C14" s="10">
        <f>C13</f>
        <v/>
      </c>
      <c r="D14" s="10">
        <f>D13</f>
        <v/>
      </c>
      <c r="E14" s="10">
        <f>E13</f>
        <v/>
      </c>
      <c r="F14" s="10">
        <f>F13</f>
        <v/>
      </c>
      <c r="G14" s="10">
        <f>G13</f>
        <v/>
      </c>
      <c r="H14" s="10">
        <f>H13</f>
        <v/>
      </c>
      <c r="I14" s="10">
        <f>I13</f>
        <v/>
      </c>
      <c r="J14" s="10">
        <f>J13</f>
        <v/>
      </c>
      <c r="K14" s="10">
        <f>K13</f>
        <v/>
      </c>
      <c r="L14" s="10">
        <f>L13</f>
        <v/>
      </c>
      <c r="M14" s="10">
        <f>M13</f>
        <v/>
      </c>
    </row>
    <row r="15">
      <c r="A15" t="inlineStr"/>
    </row>
    <row r="16">
      <c r="A16" s="11" t="inlineStr">
        <is>
          <t>TOTAL ASSETS</t>
        </is>
      </c>
      <c r="B16" s="10">
        <f>B10+B14</f>
        <v/>
      </c>
      <c r="C16" s="10">
        <f>C10+C14</f>
        <v/>
      </c>
      <c r="D16" s="10">
        <f>D10+D14</f>
        <v/>
      </c>
      <c r="E16" s="10">
        <f>E10+E14</f>
        <v/>
      </c>
      <c r="F16" s="10">
        <f>F10+F14</f>
        <v/>
      </c>
      <c r="G16" s="10">
        <f>G10+G14</f>
        <v/>
      </c>
      <c r="H16" s="10">
        <f>H10+H14</f>
        <v/>
      </c>
      <c r="I16" s="10">
        <f>I10+I14</f>
        <v/>
      </c>
      <c r="J16" s="10">
        <f>J10+J14</f>
        <v/>
      </c>
      <c r="K16" s="10">
        <f>K10+K14</f>
        <v/>
      </c>
      <c r="L16" s="10">
        <f>L10+L14</f>
        <v/>
      </c>
      <c r="M16" s="10">
        <f>M10+M14</f>
        <v/>
      </c>
    </row>
    <row r="18">
      <c r="A18" s="12" t="inlineStr">
        <is>
          <t>LIABILITIES &amp; EQUITY</t>
        </is>
      </c>
    </row>
    <row r="19">
      <c r="A19" s="9" t="inlineStr">
        <is>
          <t>Current Liabilities</t>
        </is>
      </c>
    </row>
    <row r="20">
      <c r="A20" t="inlineStr">
        <is>
          <t>Accounts Payable</t>
        </is>
      </c>
      <c r="B20" s="10">
        <f>Workings!B38</f>
        <v/>
      </c>
      <c r="C20" s="10">
        <f>Workings!C38</f>
        <v/>
      </c>
      <c r="D20" s="10">
        <f>Workings!D38</f>
        <v/>
      </c>
      <c r="E20" s="10">
        <f>Workings!E38</f>
        <v/>
      </c>
      <c r="F20" s="10">
        <f>Workings!F38</f>
        <v/>
      </c>
      <c r="G20" s="10">
        <f>Workings!G38</f>
        <v/>
      </c>
      <c r="H20" s="10">
        <f>Workings!H38</f>
        <v/>
      </c>
      <c r="I20" s="10">
        <f>Workings!I38</f>
        <v/>
      </c>
      <c r="J20" s="10">
        <f>Workings!J38</f>
        <v/>
      </c>
      <c r="K20" s="10">
        <f>Workings!K38</f>
        <v/>
      </c>
      <c r="L20" s="10">
        <f>Workings!L38</f>
        <v/>
      </c>
      <c r="M20" s="10">
        <f>Workings!M38</f>
        <v/>
      </c>
    </row>
    <row r="21">
      <c r="A21" t="inlineStr">
        <is>
          <t>Accrued Expenses</t>
        </is>
      </c>
      <c r="B21" s="10">
        <f>Workings!B44</f>
        <v/>
      </c>
      <c r="C21" s="10">
        <f>Workings!C44</f>
        <v/>
      </c>
      <c r="D21" s="10">
        <f>Workings!D44</f>
        <v/>
      </c>
      <c r="E21" s="10">
        <f>Workings!E44</f>
        <v/>
      </c>
      <c r="F21" s="10">
        <f>Workings!F44</f>
        <v/>
      </c>
      <c r="G21" s="10">
        <f>Workings!G44</f>
        <v/>
      </c>
      <c r="H21" s="10">
        <f>Workings!H44</f>
        <v/>
      </c>
      <c r="I21" s="10">
        <f>Workings!I44</f>
        <v/>
      </c>
      <c r="J21" s="10">
        <f>Workings!J44</f>
        <v/>
      </c>
      <c r="K21" s="10">
        <f>Workings!K44</f>
        <v/>
      </c>
      <c r="L21" s="10">
        <f>Workings!L44</f>
        <v/>
      </c>
      <c r="M21" s="10">
        <f>Workings!M44</f>
        <v/>
      </c>
    </row>
    <row r="22">
      <c r="A22" t="inlineStr">
        <is>
          <t>Deferred Revenue</t>
        </is>
      </c>
      <c r="B22" s="10">
        <f>Workings!B50</f>
        <v/>
      </c>
      <c r="C22" s="10">
        <f>Workings!C50</f>
        <v/>
      </c>
      <c r="D22" s="10">
        <f>Workings!D50</f>
        <v/>
      </c>
      <c r="E22" s="10">
        <f>Workings!E50</f>
        <v/>
      </c>
      <c r="F22" s="10">
        <f>Workings!F50</f>
        <v/>
      </c>
      <c r="G22" s="10">
        <f>Workings!G50</f>
        <v/>
      </c>
      <c r="H22" s="10">
        <f>Workings!H50</f>
        <v/>
      </c>
      <c r="I22" s="10">
        <f>Workings!I50</f>
        <v/>
      </c>
      <c r="J22" s="10">
        <f>Workings!J50</f>
        <v/>
      </c>
      <c r="K22" s="10">
        <f>Workings!K50</f>
        <v/>
      </c>
      <c r="L22" s="10">
        <f>Workings!L50</f>
        <v/>
      </c>
      <c r="M22" s="10">
        <f>Workings!M50</f>
        <v/>
      </c>
    </row>
    <row r="23">
      <c r="A23" s="2" t="inlineStr">
        <is>
          <t>Total Current Liabilities</t>
        </is>
      </c>
      <c r="B23" s="10">
        <f>SUM(B19:B21)</f>
        <v/>
      </c>
      <c r="C23" s="10">
        <f>SUM(C19:C21)</f>
        <v/>
      </c>
      <c r="D23" s="10">
        <f>SUM(D19:D21)</f>
        <v/>
      </c>
      <c r="E23" s="10">
        <f>SUM(E19:E21)</f>
        <v/>
      </c>
      <c r="F23" s="10">
        <f>SUM(F19:F21)</f>
        <v/>
      </c>
      <c r="G23" s="10">
        <f>SUM(G19:G21)</f>
        <v/>
      </c>
      <c r="H23" s="10">
        <f>SUM(H19:H21)</f>
        <v/>
      </c>
      <c r="I23" s="10">
        <f>SUM(I19:I21)</f>
        <v/>
      </c>
      <c r="J23" s="10">
        <f>SUM(J19:J21)</f>
        <v/>
      </c>
      <c r="K23" s="10">
        <f>SUM(K19:K21)</f>
        <v/>
      </c>
      <c r="L23" s="10">
        <f>SUM(L19:L21)</f>
        <v/>
      </c>
      <c r="M23" s="10">
        <f>SUM(M19:M21)</f>
        <v/>
      </c>
    </row>
    <row r="24">
      <c r="A24" t="inlineStr"/>
    </row>
    <row r="25">
      <c r="A25" s="9" t="inlineStr">
        <is>
          <t>Non-Current Liabilities</t>
        </is>
      </c>
    </row>
    <row r="26">
      <c r="A26" t="inlineStr">
        <is>
          <t>Long-term Debt</t>
        </is>
      </c>
      <c r="B26" s="10">
        <f>Workings!B55</f>
        <v/>
      </c>
      <c r="C26" s="10">
        <f>Workings!C55</f>
        <v/>
      </c>
      <c r="D26" s="10">
        <f>Workings!D55</f>
        <v/>
      </c>
      <c r="E26" s="10">
        <f>Workings!E55</f>
        <v/>
      </c>
      <c r="F26" s="10">
        <f>Workings!F55</f>
        <v/>
      </c>
      <c r="G26" s="10">
        <f>Workings!G55</f>
        <v/>
      </c>
      <c r="H26" s="10">
        <f>Workings!H55</f>
        <v/>
      </c>
      <c r="I26" s="10">
        <f>Workings!I55</f>
        <v/>
      </c>
      <c r="J26" s="10">
        <f>Workings!J55</f>
        <v/>
      </c>
      <c r="K26" s="10">
        <f>Workings!K55</f>
        <v/>
      </c>
      <c r="L26" s="10">
        <f>Workings!L55</f>
        <v/>
      </c>
      <c r="M26" s="10">
        <f>Workings!M55</f>
        <v/>
      </c>
    </row>
    <row r="27">
      <c r="A27" s="2" t="inlineStr">
        <is>
          <t>Total Non-Current Liabilities</t>
        </is>
      </c>
      <c r="B27" s="10">
        <f>B25</f>
        <v/>
      </c>
      <c r="C27" s="10">
        <f>C25</f>
        <v/>
      </c>
      <c r="D27" s="10">
        <f>D25</f>
        <v/>
      </c>
      <c r="E27" s="10">
        <f>E25</f>
        <v/>
      </c>
      <c r="F27" s="10">
        <f>F25</f>
        <v/>
      </c>
      <c r="G27" s="10">
        <f>G25</f>
        <v/>
      </c>
      <c r="H27" s="10">
        <f>H25</f>
        <v/>
      </c>
      <c r="I27" s="10">
        <f>I25</f>
        <v/>
      </c>
      <c r="J27" s="10">
        <f>J25</f>
        <v/>
      </c>
      <c r="K27" s="10">
        <f>K25</f>
        <v/>
      </c>
      <c r="L27" s="10">
        <f>L25</f>
        <v/>
      </c>
      <c r="M27" s="10">
        <f>M25</f>
        <v/>
      </c>
    </row>
    <row r="28">
      <c r="A28" t="inlineStr"/>
    </row>
    <row r="29">
      <c r="A29" s="11" t="inlineStr">
        <is>
          <t>TOTAL LIABILITIES</t>
        </is>
      </c>
      <c r="B29" s="10">
        <f>B22+B26</f>
        <v/>
      </c>
      <c r="C29" s="10">
        <f>C22+C26</f>
        <v/>
      </c>
      <c r="D29" s="10">
        <f>D22+D26</f>
        <v/>
      </c>
      <c r="E29" s="10">
        <f>E22+E26</f>
        <v/>
      </c>
      <c r="F29" s="10">
        <f>F22+F26</f>
        <v/>
      </c>
      <c r="G29" s="10">
        <f>G22+G26</f>
        <v/>
      </c>
      <c r="H29" s="10">
        <f>H22+H26</f>
        <v/>
      </c>
      <c r="I29" s="10">
        <f>I22+I26</f>
        <v/>
      </c>
      <c r="J29" s="10">
        <f>J22+J26</f>
        <v/>
      </c>
      <c r="K29" s="10">
        <f>K22+K26</f>
        <v/>
      </c>
      <c r="L29" s="10">
        <f>L22+L26</f>
        <v/>
      </c>
      <c r="M29" s="10">
        <f>M22+M26</f>
        <v/>
      </c>
    </row>
    <row r="31">
      <c r="A31" s="9" t="inlineStr">
        <is>
          <t>Equity</t>
        </is>
      </c>
    </row>
    <row r="32">
      <c r="A32" t="inlineStr">
        <is>
          <t>Share Capital</t>
        </is>
      </c>
      <c r="B32" s="10">
        <f>Inputs!$B$60</f>
        <v/>
      </c>
      <c r="C32" s="10">
        <f>Inputs!$B$60</f>
        <v/>
      </c>
      <c r="D32" s="10">
        <f>Inputs!$B$60</f>
        <v/>
      </c>
      <c r="E32" s="10">
        <f>Inputs!$B$60</f>
        <v/>
      </c>
      <c r="F32" s="10">
        <f>Inputs!$B$60</f>
        <v/>
      </c>
      <c r="G32" s="10">
        <f>Inputs!$B$60</f>
        <v/>
      </c>
      <c r="H32" s="10">
        <f>Inputs!$B$60</f>
        <v/>
      </c>
      <c r="I32" s="10">
        <f>Inputs!$B$60</f>
        <v/>
      </c>
      <c r="J32" s="10">
        <f>Inputs!$B$60</f>
        <v/>
      </c>
      <c r="K32" s="10">
        <f>Inputs!$B$60</f>
        <v/>
      </c>
      <c r="L32" s="10">
        <f>Inputs!$B$60</f>
        <v/>
      </c>
      <c r="M32" s="10">
        <f>Inputs!$B$60</f>
        <v/>
      </c>
    </row>
    <row r="33">
      <c r="A33" t="inlineStr">
        <is>
          <t>Retained Earnings</t>
        </is>
      </c>
      <c r="B33" s="10">
        <f>Workings!B61</f>
        <v/>
      </c>
      <c r="C33" s="10">
        <f>Workings!C61</f>
        <v/>
      </c>
      <c r="D33" s="10">
        <f>Workings!D61</f>
        <v/>
      </c>
      <c r="E33" s="10">
        <f>Workings!E61</f>
        <v/>
      </c>
      <c r="F33" s="10">
        <f>Workings!F61</f>
        <v/>
      </c>
      <c r="G33" s="10">
        <f>Workings!G61</f>
        <v/>
      </c>
      <c r="H33" s="10">
        <f>Workings!H61</f>
        <v/>
      </c>
      <c r="I33" s="10">
        <f>Workings!I61</f>
        <v/>
      </c>
      <c r="J33" s="10">
        <f>Workings!J61</f>
        <v/>
      </c>
      <c r="K33" s="10">
        <f>Workings!K61</f>
        <v/>
      </c>
      <c r="L33" s="10">
        <f>Workings!L61</f>
        <v/>
      </c>
      <c r="M33" s="10">
        <f>Workings!M61</f>
        <v/>
      </c>
    </row>
    <row r="34">
      <c r="A34" s="2" t="inlineStr">
        <is>
          <t>Total Equity</t>
        </is>
      </c>
      <c r="B34" s="10">
        <f>SUM(B31:B32)</f>
        <v/>
      </c>
      <c r="C34" s="10">
        <f>SUM(C31:C32)</f>
        <v/>
      </c>
      <c r="D34" s="10">
        <f>SUM(D31:D32)</f>
        <v/>
      </c>
      <c r="E34" s="10">
        <f>SUM(E31:E32)</f>
        <v/>
      </c>
      <c r="F34" s="10">
        <f>SUM(F31:F32)</f>
        <v/>
      </c>
      <c r="G34" s="10">
        <f>SUM(G31:G32)</f>
        <v/>
      </c>
      <c r="H34" s="10">
        <f>SUM(H31:H32)</f>
        <v/>
      </c>
      <c r="I34" s="10">
        <f>SUM(I31:I32)</f>
        <v/>
      </c>
      <c r="J34" s="10">
        <f>SUM(J31:J32)</f>
        <v/>
      </c>
      <c r="K34" s="10">
        <f>SUM(K31:K32)</f>
        <v/>
      </c>
      <c r="L34" s="10">
        <f>SUM(L31:L32)</f>
        <v/>
      </c>
      <c r="M34" s="10">
        <f>SUM(M31:M32)</f>
        <v/>
      </c>
    </row>
    <row r="35">
      <c r="A35" t="inlineStr"/>
    </row>
    <row r="36">
      <c r="A36" s="11" t="inlineStr">
        <is>
          <t>TOTAL LIABILITIES &amp; EQUITY</t>
        </is>
      </c>
      <c r="B36" s="10">
        <f>B28+B33</f>
        <v/>
      </c>
      <c r="C36" s="10">
        <f>C28+C33</f>
        <v/>
      </c>
      <c r="D36" s="10">
        <f>D28+D33</f>
        <v/>
      </c>
      <c r="E36" s="10">
        <f>E28+E33</f>
        <v/>
      </c>
      <c r="F36" s="10">
        <f>F28+F33</f>
        <v/>
      </c>
      <c r="G36" s="10">
        <f>G28+G33</f>
        <v/>
      </c>
      <c r="H36" s="10">
        <f>H28+H33</f>
        <v/>
      </c>
      <c r="I36" s="10">
        <f>I28+I33</f>
        <v/>
      </c>
      <c r="J36" s="10">
        <f>J28+J33</f>
        <v/>
      </c>
      <c r="K36" s="10">
        <f>K28+K33</f>
        <v/>
      </c>
      <c r="L36" s="10">
        <f>L28+L33</f>
        <v/>
      </c>
      <c r="M36" s="10">
        <f>M28+M33</f>
        <v/>
      </c>
    </row>
    <row r="38">
      <c r="A38" s="13" t="inlineStr">
        <is>
          <t>BALANCE CHECK (should be 0)</t>
        </is>
      </c>
      <c r="B38" s="14">
        <f>B16-B35</f>
        <v/>
      </c>
      <c r="C38" s="14">
        <f>C16-C35</f>
        <v/>
      </c>
      <c r="D38" s="14">
        <f>D16-D35</f>
        <v/>
      </c>
      <c r="E38" s="14">
        <f>E16-E35</f>
        <v/>
      </c>
      <c r="F38" s="14">
        <f>F16-F35</f>
        <v/>
      </c>
      <c r="G38" s="14">
        <f>G16-G35</f>
        <v/>
      </c>
      <c r="H38" s="14">
        <f>H16-H35</f>
        <v/>
      </c>
      <c r="I38" s="14">
        <f>I16-I35</f>
        <v/>
      </c>
      <c r="J38" s="14">
        <f>J16-J35</f>
        <v/>
      </c>
      <c r="K38" s="14">
        <f>K16-K35</f>
        <v/>
      </c>
      <c r="L38" s="14">
        <f>L16-L35</f>
        <v/>
      </c>
      <c r="M38" s="14">
        <f>M16-M35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Cash Flow Statement (Indirect Method)</t>
        </is>
      </c>
    </row>
    <row r="2">
      <c r="A2" s="6" t="inlineStr">
        <is>
          <t>Period</t>
        </is>
      </c>
      <c r="B2" s="7" t="inlineStr">
        <is>
          <t>Month 1</t>
        </is>
      </c>
      <c r="C2" s="7" t="inlineStr">
        <is>
          <t>Month 2</t>
        </is>
      </c>
      <c r="D2" s="7" t="inlineStr">
        <is>
          <t>Month 3</t>
        </is>
      </c>
      <c r="E2" s="7" t="inlineStr">
        <is>
          <t>Month 4</t>
        </is>
      </c>
      <c r="F2" s="7" t="inlineStr">
        <is>
          <t>Month 5</t>
        </is>
      </c>
      <c r="G2" s="7" t="inlineStr">
        <is>
          <t>Month 6</t>
        </is>
      </c>
      <c r="H2" s="7" t="inlineStr">
        <is>
          <t>Month 7</t>
        </is>
      </c>
      <c r="I2" s="7" t="inlineStr">
        <is>
          <t>Month 8</t>
        </is>
      </c>
      <c r="J2" s="7" t="inlineStr">
        <is>
          <t>Month 9</t>
        </is>
      </c>
      <c r="K2" s="7" t="inlineStr">
        <is>
          <t>Month 10</t>
        </is>
      </c>
      <c r="L2" s="7" t="inlineStr">
        <is>
          <t>Month 11</t>
        </is>
      </c>
      <c r="M2" s="7" t="inlineStr">
        <is>
          <t>Month 12</t>
        </is>
      </c>
    </row>
    <row r="4">
      <c r="A4" s="15" t="inlineStr">
        <is>
          <t>OPERATING ACTIVITIES</t>
        </is>
      </c>
    </row>
    <row r="5">
      <c r="A5" t="inlineStr">
        <is>
          <t>Net Income</t>
        </is>
      </c>
      <c r="B5" s="10">
        <f>'Income Statement'!B18</f>
        <v/>
      </c>
      <c r="C5" s="10">
        <f>'Income Statement'!C18</f>
        <v/>
      </c>
      <c r="D5" s="10">
        <f>'Income Statement'!D18</f>
        <v/>
      </c>
      <c r="E5" s="10">
        <f>'Income Statement'!E18</f>
        <v/>
      </c>
      <c r="F5" s="10">
        <f>'Income Statement'!F18</f>
        <v/>
      </c>
      <c r="G5" s="10">
        <f>'Income Statement'!G18</f>
        <v/>
      </c>
      <c r="H5" s="10">
        <f>'Income Statement'!H18</f>
        <v/>
      </c>
      <c r="I5" s="10">
        <f>'Income Statement'!I18</f>
        <v/>
      </c>
      <c r="J5" s="10">
        <f>'Income Statement'!J18</f>
        <v/>
      </c>
      <c r="K5" s="10">
        <f>'Income Statement'!K18</f>
        <v/>
      </c>
      <c r="L5" s="10">
        <f>'Income Statement'!L18</f>
        <v/>
      </c>
      <c r="M5" s="10">
        <f>'Income Statement'!M18</f>
        <v/>
      </c>
    </row>
    <row r="6">
      <c r="A6" t="inlineStr">
        <is>
          <t>Add: Depreciation</t>
        </is>
      </c>
      <c r="B6" s="10">
        <f>-'Income Statement'!B11</f>
        <v/>
      </c>
      <c r="C6" s="10">
        <f>-'Income Statement'!C11</f>
        <v/>
      </c>
      <c r="D6" s="10">
        <f>-'Income Statement'!D11</f>
        <v/>
      </c>
      <c r="E6" s="10">
        <f>-'Income Statement'!E11</f>
        <v/>
      </c>
      <c r="F6" s="10">
        <f>-'Income Statement'!F11</f>
        <v/>
      </c>
      <c r="G6" s="10">
        <f>-'Income Statement'!G11</f>
        <v/>
      </c>
      <c r="H6" s="10">
        <f>-'Income Statement'!H11</f>
        <v/>
      </c>
      <c r="I6" s="10">
        <f>-'Income Statement'!I11</f>
        <v/>
      </c>
      <c r="J6" s="10">
        <f>-'Income Statement'!J11</f>
        <v/>
      </c>
      <c r="K6" s="10">
        <f>-'Income Statement'!K11</f>
        <v/>
      </c>
      <c r="L6" s="10">
        <f>-'Income Statement'!L11</f>
        <v/>
      </c>
      <c r="M6" s="10">
        <f>-'Income Statement'!M11</f>
        <v/>
      </c>
    </row>
    <row r="7">
      <c r="A7" t="inlineStr">
        <is>
          <t>Increase in Accounts Receivable</t>
        </is>
      </c>
      <c r="B7" s="10">
        <f>-(Workings!B8-Workings!B5)</f>
        <v/>
      </c>
      <c r="C7" s="10">
        <f>-(Workings!C8-Workings!B8)</f>
        <v/>
      </c>
      <c r="D7" s="10">
        <f>-(Workings!D8-Workings!C8)</f>
        <v/>
      </c>
      <c r="E7" s="10">
        <f>-(Workings!E8-Workings!D8)</f>
        <v/>
      </c>
      <c r="F7" s="10">
        <f>-(Workings!F8-Workings!E8)</f>
        <v/>
      </c>
      <c r="G7" s="10">
        <f>-(Workings!G8-Workings!F8)</f>
        <v/>
      </c>
      <c r="H7" s="10">
        <f>-(Workings!H8-Workings!G8)</f>
        <v/>
      </c>
      <c r="I7" s="10">
        <f>-(Workings!I8-Workings!H8)</f>
        <v/>
      </c>
      <c r="J7" s="10">
        <f>-(Workings!J8-Workings!I8)</f>
        <v/>
      </c>
      <c r="K7" s="10">
        <f>-(Workings!K8-Workings!J8)</f>
        <v/>
      </c>
      <c r="L7" s="10">
        <f>-(Workings!L8-Workings!K8)</f>
        <v/>
      </c>
      <c r="M7" s="10">
        <f>-(Workings!M8-Workings!L8)</f>
        <v/>
      </c>
    </row>
    <row r="8">
      <c r="A8" t="inlineStr">
        <is>
          <t>Increase in Inventory</t>
        </is>
      </c>
      <c r="B8" s="10">
        <f>-(Workings!B14-Workings!B11)</f>
        <v/>
      </c>
      <c r="C8" s="10">
        <f>-(Workings!C14-Workings!B14)</f>
        <v/>
      </c>
      <c r="D8" s="10">
        <f>-(Workings!D14-Workings!C14)</f>
        <v/>
      </c>
      <c r="E8" s="10">
        <f>-(Workings!E14-Workings!D14)</f>
        <v/>
      </c>
      <c r="F8" s="10">
        <f>-(Workings!F14-Workings!E14)</f>
        <v/>
      </c>
      <c r="G8" s="10">
        <f>-(Workings!G14-Workings!F14)</f>
        <v/>
      </c>
      <c r="H8" s="10">
        <f>-(Workings!H14-Workings!G14)</f>
        <v/>
      </c>
      <c r="I8" s="10">
        <f>-(Workings!I14-Workings!H14)</f>
        <v/>
      </c>
      <c r="J8" s="10">
        <f>-(Workings!J14-Workings!I14)</f>
        <v/>
      </c>
      <c r="K8" s="10">
        <f>-(Workings!K14-Workings!J14)</f>
        <v/>
      </c>
      <c r="L8" s="10">
        <f>-(Workings!L14-Workings!K14)</f>
        <v/>
      </c>
      <c r="M8" s="10">
        <f>-(Workings!M14-Workings!L14)</f>
        <v/>
      </c>
    </row>
    <row r="9">
      <c r="A9" t="inlineStr">
        <is>
          <t>Increase in Prepayments</t>
        </is>
      </c>
      <c r="B9" s="10">
        <f>-(Workings!B20-Workings!B17)</f>
        <v/>
      </c>
      <c r="C9" s="10">
        <f>-(Workings!C20-Workings!B20)</f>
        <v/>
      </c>
      <c r="D9" s="10">
        <f>-(Workings!D20-Workings!C20)</f>
        <v/>
      </c>
      <c r="E9" s="10">
        <f>-(Workings!E20-Workings!D20)</f>
        <v/>
      </c>
      <c r="F9" s="10">
        <f>-(Workings!F20-Workings!E20)</f>
        <v/>
      </c>
      <c r="G9" s="10">
        <f>-(Workings!G20-Workings!F20)</f>
        <v/>
      </c>
      <c r="H9" s="10">
        <f>-(Workings!H20-Workings!G20)</f>
        <v/>
      </c>
      <c r="I9" s="10">
        <f>-(Workings!I20-Workings!H20)</f>
        <v/>
      </c>
      <c r="J9" s="10">
        <f>-(Workings!J20-Workings!I20)</f>
        <v/>
      </c>
      <c r="K9" s="10">
        <f>-(Workings!K20-Workings!J20)</f>
        <v/>
      </c>
      <c r="L9" s="10">
        <f>-(Workings!L20-Workings!K20)</f>
        <v/>
      </c>
      <c r="M9" s="10">
        <f>-(Workings!M20-Workings!L20)</f>
        <v/>
      </c>
    </row>
    <row r="10">
      <c r="A10" t="inlineStr">
        <is>
          <t>Increase in Accounts Payable</t>
        </is>
      </c>
      <c r="B10" s="10">
        <f>Workings!B38-Workings!B35</f>
        <v/>
      </c>
      <c r="C10" s="10">
        <f>Workings!C38-Workings!B38</f>
        <v/>
      </c>
      <c r="D10" s="10">
        <f>Workings!D38-Workings!C38</f>
        <v/>
      </c>
      <c r="E10" s="10">
        <f>Workings!E38-Workings!D38</f>
        <v/>
      </c>
      <c r="F10" s="10">
        <f>Workings!F38-Workings!E38</f>
        <v/>
      </c>
      <c r="G10" s="10">
        <f>Workings!G38-Workings!F38</f>
        <v/>
      </c>
      <c r="H10" s="10">
        <f>Workings!H38-Workings!G38</f>
        <v/>
      </c>
      <c r="I10" s="10">
        <f>Workings!I38-Workings!H38</f>
        <v/>
      </c>
      <c r="J10" s="10">
        <f>Workings!J38-Workings!I38</f>
        <v/>
      </c>
      <c r="K10" s="10">
        <f>Workings!K38-Workings!J38</f>
        <v/>
      </c>
      <c r="L10" s="10">
        <f>Workings!L38-Workings!K38</f>
        <v/>
      </c>
      <c r="M10" s="10">
        <f>Workings!M38-Workings!L38</f>
        <v/>
      </c>
    </row>
    <row r="11">
      <c r="A11" t="inlineStr">
        <is>
          <t>Increase in Accrued Expenses</t>
        </is>
      </c>
      <c r="B11" s="10">
        <f>Workings!B44-Workings!B41</f>
        <v/>
      </c>
      <c r="C11" s="10">
        <f>Workings!C44-Workings!B44</f>
        <v/>
      </c>
      <c r="D11" s="10">
        <f>Workings!D44-Workings!C44</f>
        <v/>
      </c>
      <c r="E11" s="10">
        <f>Workings!E44-Workings!D44</f>
        <v/>
      </c>
      <c r="F11" s="10">
        <f>Workings!F44-Workings!E44</f>
        <v/>
      </c>
      <c r="G11" s="10">
        <f>Workings!G44-Workings!F44</f>
        <v/>
      </c>
      <c r="H11" s="10">
        <f>Workings!H44-Workings!G44</f>
        <v/>
      </c>
      <c r="I11" s="10">
        <f>Workings!I44-Workings!H44</f>
        <v/>
      </c>
      <c r="J11" s="10">
        <f>Workings!J44-Workings!I44</f>
        <v/>
      </c>
      <c r="K11" s="10">
        <f>Workings!K44-Workings!J44</f>
        <v/>
      </c>
      <c r="L11" s="10">
        <f>Workings!L44-Workings!K44</f>
        <v/>
      </c>
      <c r="M11" s="10">
        <f>Workings!M44-Workings!L44</f>
        <v/>
      </c>
    </row>
    <row r="12">
      <c r="A12" t="inlineStr">
        <is>
          <t>Increase in Deferred Revenue</t>
        </is>
      </c>
      <c r="B12" s="10">
        <f>Workings!B50-Workings!B47</f>
        <v/>
      </c>
      <c r="C12" s="10">
        <f>Workings!C50-Workings!B50</f>
        <v/>
      </c>
      <c r="D12" s="10">
        <f>Workings!D50-Workings!C50</f>
        <v/>
      </c>
      <c r="E12" s="10">
        <f>Workings!E50-Workings!D50</f>
        <v/>
      </c>
      <c r="F12" s="10">
        <f>Workings!F50-Workings!E50</f>
        <v/>
      </c>
      <c r="G12" s="10">
        <f>Workings!G50-Workings!F50</f>
        <v/>
      </c>
      <c r="H12" s="10">
        <f>Workings!H50-Workings!G50</f>
        <v/>
      </c>
      <c r="I12" s="10">
        <f>Workings!I50-Workings!H50</f>
        <v/>
      </c>
      <c r="J12" s="10">
        <f>Workings!J50-Workings!I50</f>
        <v/>
      </c>
      <c r="K12" s="10">
        <f>Workings!K50-Workings!J50</f>
        <v/>
      </c>
      <c r="L12" s="10">
        <f>Workings!L50-Workings!K50</f>
        <v/>
      </c>
      <c r="M12" s="10">
        <f>Workings!M50-Workings!L50</f>
        <v/>
      </c>
    </row>
    <row r="13">
      <c r="A13" s="2" t="inlineStr">
        <is>
          <t>Net Cash from Operating Activities</t>
        </is>
      </c>
      <c r="B13" s="10">
        <f>SUM(B5:B12)</f>
        <v/>
      </c>
      <c r="C13" s="10">
        <f>SUM(C5:C12)</f>
        <v/>
      </c>
      <c r="D13" s="10">
        <f>SUM(D5:D12)</f>
        <v/>
      </c>
      <c r="E13" s="10">
        <f>SUM(E5:E12)</f>
        <v/>
      </c>
      <c r="F13" s="10">
        <f>SUM(F5:F12)</f>
        <v/>
      </c>
      <c r="G13" s="10">
        <f>SUM(G5:G12)</f>
        <v/>
      </c>
      <c r="H13" s="10">
        <f>SUM(H5:H12)</f>
        <v/>
      </c>
      <c r="I13" s="10">
        <f>SUM(I5:I12)</f>
        <v/>
      </c>
      <c r="J13" s="10">
        <f>SUM(J5:J12)</f>
        <v/>
      </c>
      <c r="K13" s="10">
        <f>SUM(K5:K12)</f>
        <v/>
      </c>
      <c r="L13" s="10">
        <f>SUM(L5:L12)</f>
        <v/>
      </c>
      <c r="M13" s="10">
        <f>SUM(M5:M12)</f>
        <v/>
      </c>
    </row>
    <row r="14">
      <c r="A14" t="inlineStr"/>
    </row>
    <row r="15">
      <c r="A15" s="15" t="inlineStr">
        <is>
          <t>INVESTING ACTIVITIES</t>
        </is>
      </c>
    </row>
    <row r="16">
      <c r="A16" t="inlineStr">
        <is>
          <t>Capital Expenditure</t>
        </is>
      </c>
      <c r="B16" s="10">
        <f>-Workings!B24</f>
        <v/>
      </c>
      <c r="C16" s="10">
        <f>-Workings!C24</f>
        <v/>
      </c>
      <c r="D16" s="10">
        <f>-Workings!D24</f>
        <v/>
      </c>
      <c r="E16" s="10">
        <f>-Workings!E24</f>
        <v/>
      </c>
      <c r="F16" s="10">
        <f>-Workings!F24</f>
        <v/>
      </c>
      <c r="G16" s="10">
        <f>-Workings!G24</f>
        <v/>
      </c>
      <c r="H16" s="10">
        <f>-Workings!H24</f>
        <v/>
      </c>
      <c r="I16" s="10">
        <f>-Workings!I24</f>
        <v/>
      </c>
      <c r="J16" s="10">
        <f>-Workings!J24</f>
        <v/>
      </c>
      <c r="K16" s="10">
        <f>-Workings!K24</f>
        <v/>
      </c>
      <c r="L16" s="10">
        <f>-Workings!L24</f>
        <v/>
      </c>
      <c r="M16" s="10">
        <f>-Workings!M24</f>
        <v/>
      </c>
    </row>
    <row r="17">
      <c r="A17" s="2" t="inlineStr">
        <is>
          <t>Net Cash from Investing Activities</t>
        </is>
      </c>
      <c r="B17" s="10">
        <f>B15</f>
        <v/>
      </c>
      <c r="C17" s="10">
        <f>C15</f>
        <v/>
      </c>
      <c r="D17" s="10">
        <f>D15</f>
        <v/>
      </c>
      <c r="E17" s="10">
        <f>E15</f>
        <v/>
      </c>
      <c r="F17" s="10">
        <f>F15</f>
        <v/>
      </c>
      <c r="G17" s="10">
        <f>G15</f>
        <v/>
      </c>
      <c r="H17" s="10">
        <f>H15</f>
        <v/>
      </c>
      <c r="I17" s="10">
        <f>I15</f>
        <v/>
      </c>
      <c r="J17" s="10">
        <f>J15</f>
        <v/>
      </c>
      <c r="K17" s="10">
        <f>K15</f>
        <v/>
      </c>
      <c r="L17" s="10">
        <f>L15</f>
        <v/>
      </c>
      <c r="M17" s="10">
        <f>M15</f>
        <v/>
      </c>
    </row>
    <row r="18">
      <c r="A18" t="inlineStr"/>
    </row>
    <row r="19">
      <c r="A19" s="15" t="inlineStr">
        <is>
          <t>FINANCING ACTIVITIES</t>
        </is>
      </c>
    </row>
    <row r="20">
      <c r="A20" t="inlineStr">
        <is>
          <t>Debt Drawdowns</t>
        </is>
      </c>
      <c r="B20" s="10">
        <f>Workings!B52</f>
        <v/>
      </c>
      <c r="C20" s="10">
        <f>Workings!C52</f>
        <v/>
      </c>
      <c r="D20" s="10">
        <f>Workings!D52</f>
        <v/>
      </c>
      <c r="E20" s="10">
        <f>Workings!E52</f>
        <v/>
      </c>
      <c r="F20" s="10">
        <f>Workings!F52</f>
        <v/>
      </c>
      <c r="G20" s="10">
        <f>Workings!G52</f>
        <v/>
      </c>
      <c r="H20" s="10">
        <f>Workings!H52</f>
        <v/>
      </c>
      <c r="I20" s="10">
        <f>Workings!I52</f>
        <v/>
      </c>
      <c r="J20" s="10">
        <f>Workings!J52</f>
        <v/>
      </c>
      <c r="K20" s="10">
        <f>Workings!K52</f>
        <v/>
      </c>
      <c r="L20" s="10">
        <f>Workings!L52</f>
        <v/>
      </c>
      <c r="M20" s="10">
        <f>Workings!M52</f>
        <v/>
      </c>
    </row>
    <row r="21">
      <c r="A21" t="inlineStr">
        <is>
          <t>Debt Repayments</t>
        </is>
      </c>
      <c r="B21" s="10">
        <f>-Workings!B53</f>
        <v/>
      </c>
      <c r="C21" s="10">
        <f>-Workings!C53</f>
        <v/>
      </c>
      <c r="D21" s="10">
        <f>-Workings!D53</f>
        <v/>
      </c>
      <c r="E21" s="10">
        <f>-Workings!E53</f>
        <v/>
      </c>
      <c r="F21" s="10">
        <f>-Workings!F53</f>
        <v/>
      </c>
      <c r="G21" s="10">
        <f>-Workings!G53</f>
        <v/>
      </c>
      <c r="H21" s="10">
        <f>-Workings!H53</f>
        <v/>
      </c>
      <c r="I21" s="10">
        <f>-Workings!I53</f>
        <v/>
      </c>
      <c r="J21" s="10">
        <f>-Workings!J53</f>
        <v/>
      </c>
      <c r="K21" s="10">
        <f>-Workings!K53</f>
        <v/>
      </c>
      <c r="L21" s="10">
        <f>-Workings!L53</f>
        <v/>
      </c>
      <c r="M21" s="10">
        <f>-Workings!M53</f>
        <v/>
      </c>
    </row>
    <row r="22">
      <c r="A22" s="2" t="inlineStr">
        <is>
          <t>Net Cash from Financing Activities</t>
        </is>
      </c>
      <c r="B22" s="10">
        <f>SUM(B18:B19)</f>
        <v/>
      </c>
      <c r="C22" s="10">
        <f>SUM(C18:C19)</f>
        <v/>
      </c>
      <c r="D22" s="10">
        <f>SUM(D18:D19)</f>
        <v/>
      </c>
      <c r="E22" s="10">
        <f>SUM(E18:E19)</f>
        <v/>
      </c>
      <c r="F22" s="10">
        <f>SUM(F18:F19)</f>
        <v/>
      </c>
      <c r="G22" s="10">
        <f>SUM(G18:G19)</f>
        <v/>
      </c>
      <c r="H22" s="10">
        <f>SUM(H18:H19)</f>
        <v/>
      </c>
      <c r="I22" s="10">
        <f>SUM(I18:I19)</f>
        <v/>
      </c>
      <c r="J22" s="10">
        <f>SUM(J18:J19)</f>
        <v/>
      </c>
      <c r="K22" s="10">
        <f>SUM(K18:K19)</f>
        <v/>
      </c>
      <c r="L22" s="10">
        <f>SUM(L18:L19)</f>
        <v/>
      </c>
      <c r="M22" s="10">
        <f>SUM(M18:M19)</f>
        <v/>
      </c>
    </row>
    <row r="23">
      <c r="A23" t="inlineStr"/>
    </row>
    <row r="24">
      <c r="A24" s="9" t="inlineStr">
        <is>
          <t>Net Change in Cash</t>
        </is>
      </c>
      <c r="B24" s="10">
        <f>B13+B16+B19</f>
        <v/>
      </c>
      <c r="C24" s="10">
        <f>C13+C16+C19</f>
        <v/>
      </c>
      <c r="D24" s="10">
        <f>D13+D16+D19</f>
        <v/>
      </c>
      <c r="E24" s="10">
        <f>E13+E16+E19</f>
        <v/>
      </c>
      <c r="F24" s="10">
        <f>F13+F16+F19</f>
        <v/>
      </c>
      <c r="G24" s="10">
        <f>G13+G16+G19</f>
        <v/>
      </c>
      <c r="H24" s="10">
        <f>H13+H16+H19</f>
        <v/>
      </c>
      <c r="I24" s="10">
        <f>I13+I16+I19</f>
        <v/>
      </c>
      <c r="J24" s="10">
        <f>J13+J16+J19</f>
        <v/>
      </c>
      <c r="K24" s="10">
        <f>K13+K16+K19</f>
        <v/>
      </c>
      <c r="L24" s="10">
        <f>L13+L16+L19</f>
        <v/>
      </c>
      <c r="M24" s="10">
        <f>M13+M16+M19</f>
        <v/>
      </c>
    </row>
    <row r="25">
      <c r="A25" t="inlineStr">
        <is>
          <t>Opening Cash</t>
        </is>
      </c>
      <c r="B25" s="10">
        <f>Workings!B68</f>
        <v/>
      </c>
      <c r="C25" s="10">
        <f>Workings!C68</f>
        <v/>
      </c>
      <c r="D25" s="10">
        <f>Workings!D68</f>
        <v/>
      </c>
      <c r="E25" s="10">
        <f>Workings!E68</f>
        <v/>
      </c>
      <c r="F25" s="10">
        <f>Workings!F68</f>
        <v/>
      </c>
      <c r="G25" s="10">
        <f>Workings!G68</f>
        <v/>
      </c>
      <c r="H25" s="10">
        <f>Workings!H68</f>
        <v/>
      </c>
      <c r="I25" s="10">
        <f>Workings!I68</f>
        <v/>
      </c>
      <c r="J25" s="10">
        <f>Workings!J68</f>
        <v/>
      </c>
      <c r="K25" s="10">
        <f>Workings!K68</f>
        <v/>
      </c>
      <c r="L25" s="10">
        <f>Workings!L68</f>
        <v/>
      </c>
      <c r="M25" s="10">
        <f>Workings!M68</f>
        <v/>
      </c>
    </row>
    <row r="26">
      <c r="A26" s="11" t="inlineStr">
        <is>
          <t>Closing Cash</t>
        </is>
      </c>
      <c r="B26" s="10">
        <f>B20+B21</f>
        <v/>
      </c>
      <c r="C26" s="10">
        <f>C20+C21</f>
        <v/>
      </c>
      <c r="D26" s="10">
        <f>D20+D21</f>
        <v/>
      </c>
      <c r="E26" s="10">
        <f>E20+E21</f>
        <v/>
      </c>
      <c r="F26" s="10">
        <f>F20+F21</f>
        <v/>
      </c>
      <c r="G26" s="10">
        <f>G20+G21</f>
        <v/>
      </c>
      <c r="H26" s="10">
        <f>H20+H21</f>
        <v/>
      </c>
      <c r="I26" s="10">
        <f>I20+I21</f>
        <v/>
      </c>
      <c r="J26" s="10">
        <f>J20+J21</f>
        <v/>
      </c>
      <c r="K26" s="10">
        <f>K20+K21</f>
        <v/>
      </c>
      <c r="L26" s="10">
        <f>L20+L21</f>
        <v/>
      </c>
      <c r="M26" s="10">
        <f>M20+M21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2025-11-17T22:30:10Z</dcterms:created>
  <dcterms:modified xsi:type="dcterms:W3CDTF">2025-11-17T22:30:10Z</dcterms:modified>
</cp:coreProperties>
</file>