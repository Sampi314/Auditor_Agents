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Workings" sheetId="2" state="visible" r:id="rId2"/>
    <sheet name="Income Statement" sheetId="3" state="visible" r:id="rId3"/>
    <sheet name="Balance Sheet" sheetId="4" state="visible" r:id="rId4"/>
    <sheet name="Cash Flow Stat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u val="single"/>
    </font>
    <font>
      <b val="1"/>
      <color rgb="00FFFFFF"/>
    </font>
    <font>
      <b val="1"/>
      <sz val="11"/>
      <u val="single"/>
    </font>
    <font>
      <b val="1"/>
      <sz val="11"/>
    </font>
    <font>
      <b val="1"/>
      <sz val="12"/>
      <u val="single"/>
    </font>
    <font>
      <b val="1"/>
      <color rgb="00FF0000"/>
    </font>
    <font>
      <i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3" fontId="0" fillId="2" borderId="0" pivotButton="0" quotePrefix="0" xfId="0"/>
    <xf numFmtId="164" fontId="0" fillId="2" borderId="0" pivotButton="0" quotePrefix="0" xfId="0"/>
    <xf numFmtId="1" fontId="0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0" fontId="7" fillId="0" borderId="0" pivotButton="0" quotePrefix="0" xfId="0"/>
    <xf numFmtId="3" fontId="3" fillId="4" borderId="0" pivotButton="0" quotePrefix="0" xfId="0"/>
    <xf numFmtId="0" fontId="8" fillId="0" borderId="0" pivotButton="0" quotePrefix="0" xfId="0"/>
    <xf numFmtId="3" fontId="3" fillId="2" borderId="0" pivotButton="0" quotePrefix="0" xfId="0"/>
    <xf numFmtId="0" fontId="9" fillId="0" borderId="0" pivotButton="0" quotePrefix="0" xfId="0"/>
    <xf numFmtId="3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FINANCIAL MODEL INPUTS</t>
        </is>
      </c>
    </row>
    <row r="3">
      <c r="A3" s="2" t="inlineStr">
        <is>
          <t>MODEL ASSUMPTIONS &amp; DRIVERS</t>
        </is>
      </c>
    </row>
    <row r="5">
      <c r="A5" s="3" t="inlineStr">
        <is>
          <t>Timeline</t>
        </is>
      </c>
    </row>
    <row r="6">
      <c r="A6" t="inlineStr">
        <is>
          <t>Number of Periods (Months)</t>
        </is>
      </c>
      <c r="B6" s="4" t="n">
        <v>12</v>
      </c>
    </row>
    <row r="9">
      <c r="A9" s="5" t="inlineStr">
        <is>
          <t>REVENUE ASSUMPTIONS</t>
        </is>
      </c>
    </row>
    <row r="10">
      <c r="A10" t="inlineStr">
        <is>
          <t>Month 1 Revenue</t>
        </is>
      </c>
      <c r="B10" s="6" t="n">
        <v>100000</v>
      </c>
    </row>
    <row r="11">
      <c r="A11" t="inlineStr">
        <is>
          <t>Monthly Revenue Growth %</t>
        </is>
      </c>
      <c r="B11" s="7" t="n">
        <v>0.05</v>
      </c>
    </row>
    <row r="13">
      <c r="A13" s="5" t="inlineStr">
        <is>
          <t>COST OF GOODS SOLD</t>
        </is>
      </c>
    </row>
    <row r="14">
      <c r="A14" t="inlineStr">
        <is>
          <t>COGS % of Revenue</t>
        </is>
      </c>
      <c r="B14" s="7" t="n">
        <v>0.4</v>
      </c>
    </row>
    <row r="16">
      <c r="A16" s="5" t="inlineStr">
        <is>
          <t>OPERATING EXPENSES</t>
        </is>
      </c>
    </row>
    <row r="17">
      <c r="A17" t="inlineStr">
        <is>
          <t>Sales &amp; Marketing (Monthly)</t>
        </is>
      </c>
      <c r="B17" s="6" t="n">
        <v>15000</v>
      </c>
    </row>
    <row r="18">
      <c r="A18" t="inlineStr">
        <is>
          <t>General &amp; Admin (Monthly)</t>
        </is>
      </c>
      <c r="B18" s="6" t="n">
        <v>20000</v>
      </c>
    </row>
    <row r="20">
      <c r="A20" s="5" t="inlineStr">
        <is>
          <t>WORKING CAPITAL ASSUMPTIONS</t>
        </is>
      </c>
    </row>
    <row r="21">
      <c r="A21" t="inlineStr">
        <is>
          <t>AR Collection Period (Days)</t>
        </is>
      </c>
      <c r="B21" s="8" t="n">
        <v>45</v>
      </c>
    </row>
    <row r="22">
      <c r="A22" t="inlineStr">
        <is>
          <t>Inventory Days on Hand</t>
        </is>
      </c>
      <c r="B22" s="8" t="n">
        <v>60</v>
      </c>
    </row>
    <row r="23">
      <c r="A23" t="inlineStr">
        <is>
          <t>AP Payment Period (Days)</t>
        </is>
      </c>
      <c r="B23" s="8" t="n">
        <v>30</v>
      </c>
    </row>
    <row r="24">
      <c r="A24" t="inlineStr">
        <is>
          <t>Prepayments (% of Monthly OpEx)</t>
        </is>
      </c>
      <c r="B24" s="7" t="n">
        <v>0.1</v>
      </c>
    </row>
    <row r="25">
      <c r="A25" t="inlineStr">
        <is>
          <t>Accrued Expenses (% of Monthly OpEx)</t>
        </is>
      </c>
      <c r="B25" s="7" t="n">
        <v>0.15</v>
      </c>
    </row>
    <row r="26">
      <c r="A26" t="inlineStr">
        <is>
          <t>Deferred Revenue (% of Monthly Revenue)</t>
        </is>
      </c>
      <c r="B26" s="7" t="n">
        <v>0.2</v>
      </c>
    </row>
    <row r="28">
      <c r="A28" s="5" t="inlineStr">
        <is>
          <t>FIXED ASSETS</t>
        </is>
      </c>
    </row>
    <row r="29">
      <c r="A29" t="inlineStr">
        <is>
          <t>Opening PP&amp;E (Gross)</t>
        </is>
      </c>
      <c r="B29" s="6" t="n">
        <v>500000</v>
      </c>
    </row>
    <row r="30">
      <c r="A30" t="inlineStr">
        <is>
          <t>Opening Accumulated Depreciation</t>
        </is>
      </c>
      <c r="B30" s="6" t="n">
        <v>100000</v>
      </c>
    </row>
    <row r="31">
      <c r="A31" t="inlineStr">
        <is>
          <t>Monthly Capex</t>
        </is>
      </c>
      <c r="B31" s="6" t="n">
        <v>10000</v>
      </c>
    </row>
    <row r="32">
      <c r="A32" t="inlineStr">
        <is>
          <t>Depreciation Rate (Annual %)</t>
        </is>
      </c>
      <c r="B32" s="7" t="n">
        <v>0.2</v>
      </c>
    </row>
    <row r="34">
      <c r="A34" s="5" t="inlineStr">
        <is>
          <t>DEBT</t>
        </is>
      </c>
    </row>
    <row r="35">
      <c r="A35" t="inlineStr">
        <is>
          <t>Opening Debt Balance</t>
        </is>
      </c>
      <c r="B35" s="6" t="n">
        <v>200000</v>
      </c>
    </row>
    <row r="36">
      <c r="A36" t="inlineStr">
        <is>
          <t>Interest Rate (Annual %)</t>
        </is>
      </c>
      <c r="B36" s="7" t="n">
        <v>0.06</v>
      </c>
    </row>
    <row r="37">
      <c r="A37" t="inlineStr">
        <is>
          <t>Monthly Principal Repayment</t>
        </is>
      </c>
      <c r="B37" s="6" t="n">
        <v>5000</v>
      </c>
    </row>
    <row r="39">
      <c r="A39" s="5" t="inlineStr">
        <is>
          <t>EQUITY</t>
        </is>
      </c>
    </row>
    <row r="40">
      <c r="A40" t="inlineStr">
        <is>
          <t>Opening Share Capital</t>
        </is>
      </c>
      <c r="B40" s="6" t="n">
        <v>300000</v>
      </c>
    </row>
    <row r="41">
      <c r="A41" t="inlineStr">
        <is>
          <t>Opening Retained Earnings</t>
        </is>
      </c>
      <c r="B41" s="6" t="n">
        <v>150000</v>
      </c>
    </row>
    <row r="43">
      <c r="A43" s="5" t="inlineStr">
        <is>
          <t>CASH</t>
        </is>
      </c>
    </row>
    <row r="44">
      <c r="A44" t="inlineStr">
        <is>
          <t>Opening Cash Balance</t>
        </is>
      </c>
      <c r="B44" s="6" t="n">
        <v>200000</v>
      </c>
    </row>
    <row r="46">
      <c r="A46" s="5" t="inlineStr">
        <is>
          <t>TAX</t>
        </is>
      </c>
    </row>
    <row r="47">
      <c r="A47" t="inlineStr">
        <is>
          <t>Corporate Tax Rate %</t>
        </is>
      </c>
      <c r="B47" s="7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CONTROL ACCOUNTS - WORKINGS</t>
        </is>
      </c>
    </row>
    <row r="3">
      <c r="A3" s="9" t="inlineStr">
        <is>
          <t>Period</t>
        </is>
      </c>
      <c r="B3" s="10" t="inlineStr">
        <is>
          <t>Jan-25</t>
        </is>
      </c>
      <c r="C3" s="10" t="inlineStr">
        <is>
          <t>Feb-25</t>
        </is>
      </c>
      <c r="D3" s="10" t="inlineStr">
        <is>
          <t>Mar-25</t>
        </is>
      </c>
      <c r="E3" s="10" t="inlineStr">
        <is>
          <t>Apr-25</t>
        </is>
      </c>
      <c r="F3" s="10" t="inlineStr">
        <is>
          <t>May-25</t>
        </is>
      </c>
      <c r="G3" s="10" t="inlineStr">
        <is>
          <t>Jun-25</t>
        </is>
      </c>
      <c r="H3" s="10" t="inlineStr">
        <is>
          <t>Jul-25</t>
        </is>
      </c>
      <c r="I3" s="10" t="inlineStr">
        <is>
          <t>Aug-25</t>
        </is>
      </c>
      <c r="J3" s="10" t="inlineStr">
        <is>
          <t>Sep-25</t>
        </is>
      </c>
      <c r="K3" s="10" t="inlineStr">
        <is>
          <t>Oct-25</t>
        </is>
      </c>
      <c r="L3" s="10" t="inlineStr">
        <is>
          <t>Nov-25</t>
        </is>
      </c>
      <c r="M3" s="10" t="inlineStr">
        <is>
          <t>Dec-25</t>
        </is>
      </c>
    </row>
    <row r="5">
      <c r="A5" s="11" t="inlineStr">
        <is>
          <t>REVENUE &amp; COGS DRIVERS</t>
        </is>
      </c>
    </row>
    <row r="6">
      <c r="A6" t="inlineStr">
        <is>
          <t>Revenue (Credit Sales)</t>
        </is>
      </c>
      <c r="B6" s="12">
        <f>Inputs!$B$10</f>
        <v/>
      </c>
      <c r="C6" s="12">
        <f>B6*(1+Inputs!$B$11)</f>
        <v/>
      </c>
      <c r="D6" s="12">
        <f>C6*(1+Inputs!$B$11)</f>
        <v/>
      </c>
      <c r="E6" s="12">
        <f>D6*(1+Inputs!$B$11)</f>
        <v/>
      </c>
      <c r="F6" s="12">
        <f>E6*(1+Inputs!$B$11)</f>
        <v/>
      </c>
      <c r="G6" s="12">
        <f>F6*(1+Inputs!$B$11)</f>
        <v/>
      </c>
      <c r="H6" s="12">
        <f>G6*(1+Inputs!$B$11)</f>
        <v/>
      </c>
      <c r="I6" s="12">
        <f>H6*(1+Inputs!$B$11)</f>
        <v/>
      </c>
      <c r="J6" s="12">
        <f>I6*(1+Inputs!$B$11)</f>
        <v/>
      </c>
      <c r="K6" s="12">
        <f>J6*(1+Inputs!$B$11)</f>
        <v/>
      </c>
      <c r="L6" s="12">
        <f>K6*(1+Inputs!$B$11)</f>
        <v/>
      </c>
      <c r="M6" s="12">
        <f>L6*(1+Inputs!$B$11)</f>
        <v/>
      </c>
    </row>
    <row r="7">
      <c r="A7" t="inlineStr">
        <is>
          <t>Cost of Goods Sold</t>
        </is>
      </c>
      <c r="B7" s="12">
        <f>B6*Inputs!$B$15</f>
        <v/>
      </c>
      <c r="C7" s="12">
        <f>C6*Inputs!$B$15</f>
        <v/>
      </c>
      <c r="D7" s="12">
        <f>D6*Inputs!$B$15</f>
        <v/>
      </c>
      <c r="E7" s="12">
        <f>E6*Inputs!$B$15</f>
        <v/>
      </c>
      <c r="F7" s="12">
        <f>F6*Inputs!$B$15</f>
        <v/>
      </c>
      <c r="G7" s="12">
        <f>G6*Inputs!$B$15</f>
        <v/>
      </c>
      <c r="H7" s="12">
        <f>H6*Inputs!$B$15</f>
        <v/>
      </c>
      <c r="I7" s="12">
        <f>I6*Inputs!$B$15</f>
        <v/>
      </c>
      <c r="J7" s="12">
        <f>J6*Inputs!$B$15</f>
        <v/>
      </c>
      <c r="K7" s="12">
        <f>K6*Inputs!$B$15</f>
        <v/>
      </c>
      <c r="L7" s="12">
        <f>L6*Inputs!$B$15</f>
        <v/>
      </c>
      <c r="M7" s="12">
        <f>M6*Inputs!$B$15</f>
        <v/>
      </c>
    </row>
    <row r="8">
      <c r="A8" t="inlineStr">
        <is>
          <t>Inventory Purchases</t>
        </is>
      </c>
      <c r="B8" s="12">
        <f>B7*1.1</f>
        <v/>
      </c>
      <c r="C8" s="12">
        <f>C7*1.1</f>
        <v/>
      </c>
      <c r="D8" s="12">
        <f>D7*1.1</f>
        <v/>
      </c>
      <c r="E8" s="12">
        <f>E7*1.1</f>
        <v/>
      </c>
      <c r="F8" s="12">
        <f>F7*1.1</f>
        <v/>
      </c>
      <c r="G8" s="12">
        <f>G7*1.1</f>
        <v/>
      </c>
      <c r="H8" s="12">
        <f>H7*1.1</f>
        <v/>
      </c>
      <c r="I8" s="12">
        <f>I7*1.1</f>
        <v/>
      </c>
      <c r="J8" s="12">
        <f>J7*1.1</f>
        <v/>
      </c>
      <c r="K8" s="12">
        <f>K7*1.1</f>
        <v/>
      </c>
      <c r="L8" s="12">
        <f>L7*1.1</f>
        <v/>
      </c>
      <c r="M8" s="12">
        <f>M7*1.1</f>
        <v/>
      </c>
    </row>
    <row r="10">
      <c r="A10" s="11" t="inlineStr">
        <is>
          <t>ACCOUNTS RECEIVABLE CONTROL</t>
        </is>
      </c>
    </row>
    <row r="11">
      <c r="A11" t="inlineStr">
        <is>
          <t>Opening Balance</t>
        </is>
      </c>
      <c r="B11" s="12">
        <f>Inputs!$B$10*Inputs!$B$21/30</f>
        <v/>
      </c>
      <c r="C11" s="12">
        <f>B14</f>
        <v/>
      </c>
      <c r="D11" s="12">
        <f>C14</f>
        <v/>
      </c>
      <c r="E11" s="12">
        <f>D14</f>
        <v/>
      </c>
      <c r="F11" s="12">
        <f>E14</f>
        <v/>
      </c>
      <c r="G11" s="12">
        <f>F14</f>
        <v/>
      </c>
      <c r="H11" s="12">
        <f>G14</f>
        <v/>
      </c>
      <c r="I11" s="12">
        <f>H14</f>
        <v/>
      </c>
      <c r="J11" s="12">
        <f>I14</f>
        <v/>
      </c>
      <c r="K11" s="12">
        <f>J14</f>
        <v/>
      </c>
      <c r="L11" s="12">
        <f>K14</f>
        <v/>
      </c>
      <c r="M11" s="12">
        <f>L14</f>
        <v/>
      </c>
    </row>
    <row r="12">
      <c r="A12" t="inlineStr">
        <is>
          <t xml:space="preserve">  + Credit Sales</t>
        </is>
      </c>
      <c r="B12" s="12">
        <f>B6</f>
        <v/>
      </c>
      <c r="C12" s="12">
        <f>C6</f>
        <v/>
      </c>
      <c r="D12" s="12">
        <f>D6</f>
        <v/>
      </c>
      <c r="E12" s="12">
        <f>E6</f>
        <v/>
      </c>
      <c r="F12" s="12">
        <f>F6</f>
        <v/>
      </c>
      <c r="G12" s="12">
        <f>G6</f>
        <v/>
      </c>
      <c r="H12" s="12">
        <f>H6</f>
        <v/>
      </c>
      <c r="I12" s="12">
        <f>I6</f>
        <v/>
      </c>
      <c r="J12" s="12">
        <f>J6</f>
        <v/>
      </c>
      <c r="K12" s="12">
        <f>K6</f>
        <v/>
      </c>
      <c r="L12" s="12">
        <f>L6</f>
        <v/>
      </c>
      <c r="M12" s="12">
        <f>M6</f>
        <v/>
      </c>
    </row>
    <row r="13">
      <c r="A13" t="inlineStr">
        <is>
          <t xml:space="preserve">  - Cash Collections</t>
        </is>
      </c>
      <c r="B13" s="12">
        <f>B11*30/Inputs!$B$21</f>
        <v/>
      </c>
      <c r="C13" s="12">
        <f>C11*30/Inputs!$B$21</f>
        <v/>
      </c>
      <c r="D13" s="12">
        <f>D11*30/Inputs!$B$21</f>
        <v/>
      </c>
      <c r="E13" s="12">
        <f>E11*30/Inputs!$B$21</f>
        <v/>
      </c>
      <c r="F13" s="12">
        <f>F11*30/Inputs!$B$21</f>
        <v/>
      </c>
      <c r="G13" s="12">
        <f>G11*30/Inputs!$B$21</f>
        <v/>
      </c>
      <c r="H13" s="12">
        <f>H11*30/Inputs!$B$21</f>
        <v/>
      </c>
      <c r="I13" s="12">
        <f>I11*30/Inputs!$B$21</f>
        <v/>
      </c>
      <c r="J13" s="12">
        <f>J11*30/Inputs!$B$21</f>
        <v/>
      </c>
      <c r="K13" s="12">
        <f>K11*30/Inputs!$B$21</f>
        <v/>
      </c>
      <c r="L13" s="12">
        <f>L11*30/Inputs!$B$21</f>
        <v/>
      </c>
      <c r="M13" s="12">
        <f>M11*30/Inputs!$B$21</f>
        <v/>
      </c>
    </row>
    <row r="14">
      <c r="A14" s="3" t="inlineStr">
        <is>
          <t>Closing Balance</t>
        </is>
      </c>
      <c r="B14" s="13">
        <f>B11+B12-B13</f>
        <v/>
      </c>
      <c r="C14" s="13">
        <f>C11+C12-C13</f>
        <v/>
      </c>
      <c r="D14" s="13">
        <f>D11+D12-D13</f>
        <v/>
      </c>
      <c r="E14" s="13">
        <f>E11+E12-E13</f>
        <v/>
      </c>
      <c r="F14" s="13">
        <f>F11+F12-F13</f>
        <v/>
      </c>
      <c r="G14" s="13">
        <f>G11+G12-G13</f>
        <v/>
      </c>
      <c r="H14" s="13">
        <f>H11+H12-H13</f>
        <v/>
      </c>
      <c r="I14" s="13">
        <f>I11+I12-I13</f>
        <v/>
      </c>
      <c r="J14" s="13">
        <f>J11+J12-J13</f>
        <v/>
      </c>
      <c r="K14" s="13">
        <f>K11+K12-K13</f>
        <v/>
      </c>
      <c r="L14" s="13">
        <f>L11+L12-L13</f>
        <v/>
      </c>
      <c r="M14" s="13">
        <f>M11+M12-M13</f>
        <v/>
      </c>
    </row>
    <row r="16">
      <c r="A16" s="11" t="inlineStr">
        <is>
          <t>INVENTORY CONTROL</t>
        </is>
      </c>
    </row>
    <row r="17">
      <c r="A17" t="inlineStr">
        <is>
          <t>Opening Balance</t>
        </is>
      </c>
      <c r="B17" s="12">
        <f>Inputs!$B$15*Inputs!$B$10*Inputs!$B$22/30</f>
        <v/>
      </c>
      <c r="C17" s="12">
        <f>B20</f>
        <v/>
      </c>
      <c r="D17" s="12">
        <f>C20</f>
        <v/>
      </c>
      <c r="E17" s="12">
        <f>D20</f>
        <v/>
      </c>
      <c r="F17" s="12">
        <f>E20</f>
        <v/>
      </c>
      <c r="G17" s="12">
        <f>F20</f>
        <v/>
      </c>
      <c r="H17" s="12">
        <f>G20</f>
        <v/>
      </c>
      <c r="I17" s="12">
        <f>H20</f>
        <v/>
      </c>
      <c r="J17" s="12">
        <f>I20</f>
        <v/>
      </c>
      <c r="K17" s="12">
        <f>J20</f>
        <v/>
      </c>
      <c r="L17" s="12">
        <f>K20</f>
        <v/>
      </c>
      <c r="M17" s="12">
        <f>L20</f>
        <v/>
      </c>
    </row>
    <row r="18">
      <c r="A18" t="inlineStr">
        <is>
          <t xml:space="preserve">  + Purchases</t>
        </is>
      </c>
      <c r="B18" s="12">
        <f>B8</f>
        <v/>
      </c>
      <c r="C18" s="12">
        <f>C8</f>
        <v/>
      </c>
      <c r="D18" s="12">
        <f>D8</f>
        <v/>
      </c>
      <c r="E18" s="12">
        <f>E8</f>
        <v/>
      </c>
      <c r="F18" s="12">
        <f>F8</f>
        <v/>
      </c>
      <c r="G18" s="12">
        <f>G8</f>
        <v/>
      </c>
      <c r="H18" s="12">
        <f>H8</f>
        <v/>
      </c>
      <c r="I18" s="12">
        <f>I8</f>
        <v/>
      </c>
      <c r="J18" s="12">
        <f>J8</f>
        <v/>
      </c>
      <c r="K18" s="12">
        <f>K8</f>
        <v/>
      </c>
      <c r="L18" s="12">
        <f>L8</f>
        <v/>
      </c>
      <c r="M18" s="12">
        <f>M8</f>
        <v/>
      </c>
    </row>
    <row r="19">
      <c r="A19" t="inlineStr">
        <is>
          <t xml:space="preserve">  - COGS Withdrawal</t>
        </is>
      </c>
      <c r="B19" s="12">
        <f>B7</f>
        <v/>
      </c>
      <c r="C19" s="12">
        <f>C7</f>
        <v/>
      </c>
      <c r="D19" s="12">
        <f>D7</f>
        <v/>
      </c>
      <c r="E19" s="12">
        <f>E7</f>
        <v/>
      </c>
      <c r="F19" s="12">
        <f>F7</f>
        <v/>
      </c>
      <c r="G19" s="12">
        <f>G7</f>
        <v/>
      </c>
      <c r="H19" s="12">
        <f>H7</f>
        <v/>
      </c>
      <c r="I19" s="12">
        <f>I7</f>
        <v/>
      </c>
      <c r="J19" s="12">
        <f>J7</f>
        <v/>
      </c>
      <c r="K19" s="12">
        <f>K7</f>
        <v/>
      </c>
      <c r="L19" s="12">
        <f>L7</f>
        <v/>
      </c>
      <c r="M19" s="12">
        <f>M7</f>
        <v/>
      </c>
    </row>
    <row r="20">
      <c r="A20" s="3" t="inlineStr">
        <is>
          <t>Closing Balance</t>
        </is>
      </c>
      <c r="B20" s="13">
        <f>B17+B18-B19</f>
        <v/>
      </c>
      <c r="C20" s="13">
        <f>C17+C18-C19</f>
        <v/>
      </c>
      <c r="D20" s="13">
        <f>D17+D18-D19</f>
        <v/>
      </c>
      <c r="E20" s="13">
        <f>E17+E18-E19</f>
        <v/>
      </c>
      <c r="F20" s="13">
        <f>F17+F18-F19</f>
        <v/>
      </c>
      <c r="G20" s="13">
        <f>G17+G18-G19</f>
        <v/>
      </c>
      <c r="H20" s="13">
        <f>H17+H18-H19</f>
        <v/>
      </c>
      <c r="I20" s="13">
        <f>I17+I18-I19</f>
        <v/>
      </c>
      <c r="J20" s="13">
        <f>J17+J18-J19</f>
        <v/>
      </c>
      <c r="K20" s="13">
        <f>K17+K18-K19</f>
        <v/>
      </c>
      <c r="L20" s="13">
        <f>L17+L18-L19</f>
        <v/>
      </c>
      <c r="M20" s="13">
        <f>M17+M18-M19</f>
        <v/>
      </c>
    </row>
    <row r="22">
      <c r="A22" s="11" t="inlineStr">
        <is>
          <t>PREPAYMENTS CONTROL</t>
        </is>
      </c>
    </row>
    <row r="23">
      <c r="A23" t="inlineStr">
        <is>
          <t>Opening Balance</t>
        </is>
      </c>
      <c r="B23" s="12">
        <f>(Inputs!$B$17+Inputs!$B$18)*Inputs!$B$24</f>
        <v/>
      </c>
      <c r="C23" s="12">
        <f>B26</f>
        <v/>
      </c>
      <c r="D23" s="12">
        <f>C26</f>
        <v/>
      </c>
      <c r="E23" s="12">
        <f>D26</f>
        <v/>
      </c>
      <c r="F23" s="12">
        <f>E26</f>
        <v/>
      </c>
      <c r="G23" s="12">
        <f>F26</f>
        <v/>
      </c>
      <c r="H23" s="12">
        <f>G26</f>
        <v/>
      </c>
      <c r="I23" s="12">
        <f>H26</f>
        <v/>
      </c>
      <c r="J23" s="12">
        <f>I26</f>
        <v/>
      </c>
      <c r="K23" s="12">
        <f>J26</f>
        <v/>
      </c>
      <c r="L23" s="12">
        <f>K26</f>
        <v/>
      </c>
      <c r="M23" s="12">
        <f>L26</f>
        <v/>
      </c>
    </row>
    <row r="24">
      <c r="A24" t="inlineStr">
        <is>
          <t xml:space="preserve">  + Cash Prepayments</t>
        </is>
      </c>
      <c r="B24" s="12">
        <f>(Inputs!$B$17+Inputs!$B$18)*Inputs!$B$24</f>
        <v/>
      </c>
      <c r="C24" s="12">
        <f>(Inputs!$B$17+Inputs!$B$18)*Inputs!$B$24</f>
        <v/>
      </c>
      <c r="D24" s="12">
        <f>(Inputs!$B$17+Inputs!$B$18)*Inputs!$B$24</f>
        <v/>
      </c>
      <c r="E24" s="12">
        <f>(Inputs!$B$17+Inputs!$B$18)*Inputs!$B$24</f>
        <v/>
      </c>
      <c r="F24" s="12">
        <f>(Inputs!$B$17+Inputs!$B$18)*Inputs!$B$24</f>
        <v/>
      </c>
      <c r="G24" s="12">
        <f>(Inputs!$B$17+Inputs!$B$18)*Inputs!$B$24</f>
        <v/>
      </c>
      <c r="H24" s="12">
        <f>(Inputs!$B$17+Inputs!$B$18)*Inputs!$B$24</f>
        <v/>
      </c>
      <c r="I24" s="12">
        <f>(Inputs!$B$17+Inputs!$B$18)*Inputs!$B$24</f>
        <v/>
      </c>
      <c r="J24" s="12">
        <f>(Inputs!$B$17+Inputs!$B$18)*Inputs!$B$24</f>
        <v/>
      </c>
      <c r="K24" s="12">
        <f>(Inputs!$B$17+Inputs!$B$18)*Inputs!$B$24</f>
        <v/>
      </c>
      <c r="L24" s="12">
        <f>(Inputs!$B$17+Inputs!$B$18)*Inputs!$B$24</f>
        <v/>
      </c>
      <c r="M24" s="12">
        <f>(Inputs!$B$17+Inputs!$B$18)*Inputs!$B$24</f>
        <v/>
      </c>
    </row>
    <row r="25">
      <c r="A25" t="inlineStr">
        <is>
          <t xml:space="preserve">  - Expensed to P&amp;L</t>
        </is>
      </c>
      <c r="B25" s="12">
        <f>(Inputs!$B$17+Inputs!$B$18)*Inputs!$B$24</f>
        <v/>
      </c>
      <c r="C25" s="12">
        <f>(Inputs!$B$17+Inputs!$B$18)*Inputs!$B$24</f>
        <v/>
      </c>
      <c r="D25" s="12">
        <f>(Inputs!$B$17+Inputs!$B$18)*Inputs!$B$24</f>
        <v/>
      </c>
      <c r="E25" s="12">
        <f>(Inputs!$B$17+Inputs!$B$18)*Inputs!$B$24</f>
        <v/>
      </c>
      <c r="F25" s="12">
        <f>(Inputs!$B$17+Inputs!$B$18)*Inputs!$B$24</f>
        <v/>
      </c>
      <c r="G25" s="12">
        <f>(Inputs!$B$17+Inputs!$B$18)*Inputs!$B$24</f>
        <v/>
      </c>
      <c r="H25" s="12">
        <f>(Inputs!$B$17+Inputs!$B$18)*Inputs!$B$24</f>
        <v/>
      </c>
      <c r="I25" s="12">
        <f>(Inputs!$B$17+Inputs!$B$18)*Inputs!$B$24</f>
        <v/>
      </c>
      <c r="J25" s="12">
        <f>(Inputs!$B$17+Inputs!$B$18)*Inputs!$B$24</f>
        <v/>
      </c>
      <c r="K25" s="12">
        <f>(Inputs!$B$17+Inputs!$B$18)*Inputs!$B$24</f>
        <v/>
      </c>
      <c r="L25" s="12">
        <f>(Inputs!$B$17+Inputs!$B$18)*Inputs!$B$24</f>
        <v/>
      </c>
      <c r="M25" s="12">
        <f>(Inputs!$B$17+Inputs!$B$18)*Inputs!$B$24</f>
        <v/>
      </c>
    </row>
    <row r="26">
      <c r="A26" s="3" t="inlineStr">
        <is>
          <t>Closing Balance</t>
        </is>
      </c>
      <c r="B26" s="13">
        <f>B23+B24-B25</f>
        <v/>
      </c>
      <c r="C26" s="13">
        <f>C23+C24-C25</f>
        <v/>
      </c>
      <c r="D26" s="13">
        <f>D23+D24-D25</f>
        <v/>
      </c>
      <c r="E26" s="13">
        <f>E23+E24-E25</f>
        <v/>
      </c>
      <c r="F26" s="13">
        <f>F23+F24-F25</f>
        <v/>
      </c>
      <c r="G26" s="13">
        <f>G23+G24-G25</f>
        <v/>
      </c>
      <c r="H26" s="13">
        <f>H23+H24-H25</f>
        <v/>
      </c>
      <c r="I26" s="13">
        <f>I23+I24-I25</f>
        <v/>
      </c>
      <c r="J26" s="13">
        <f>J23+J24-J25</f>
        <v/>
      </c>
      <c r="K26" s="13">
        <f>K23+K24-K25</f>
        <v/>
      </c>
      <c r="L26" s="13">
        <f>L23+L24-L25</f>
        <v/>
      </c>
      <c r="M26" s="13">
        <f>M23+M24-M25</f>
        <v/>
      </c>
    </row>
    <row r="28">
      <c r="A28" s="11" t="inlineStr">
        <is>
          <t>ACCOUNTS PAYABLE CONTROL</t>
        </is>
      </c>
    </row>
    <row r="29">
      <c r="A29" t="inlineStr">
        <is>
          <t>Opening Balance</t>
        </is>
      </c>
      <c r="B29" s="12">
        <f>B8*Inputs!$B$23/30</f>
        <v/>
      </c>
      <c r="C29" s="12">
        <f>B32</f>
        <v/>
      </c>
      <c r="D29" s="12">
        <f>C32</f>
        <v/>
      </c>
      <c r="E29" s="12">
        <f>D32</f>
        <v/>
      </c>
      <c r="F29" s="12">
        <f>E32</f>
        <v/>
      </c>
      <c r="G29" s="12">
        <f>F32</f>
        <v/>
      </c>
      <c r="H29" s="12">
        <f>G32</f>
        <v/>
      </c>
      <c r="I29" s="12">
        <f>H32</f>
        <v/>
      </c>
      <c r="J29" s="12">
        <f>I32</f>
        <v/>
      </c>
      <c r="K29" s="12">
        <f>J32</f>
        <v/>
      </c>
      <c r="L29" s="12">
        <f>K32</f>
        <v/>
      </c>
      <c r="M29" s="12">
        <f>L32</f>
        <v/>
      </c>
    </row>
    <row r="30">
      <c r="A30" t="inlineStr">
        <is>
          <t xml:space="preserve">  + Credit Purchases</t>
        </is>
      </c>
      <c r="B30" s="12">
        <f>B8</f>
        <v/>
      </c>
      <c r="C30" s="12">
        <f>C8</f>
        <v/>
      </c>
      <c r="D30" s="12">
        <f>D8</f>
        <v/>
      </c>
      <c r="E30" s="12">
        <f>E8</f>
        <v/>
      </c>
      <c r="F30" s="12">
        <f>F8</f>
        <v/>
      </c>
      <c r="G30" s="12">
        <f>G8</f>
        <v/>
      </c>
      <c r="H30" s="12">
        <f>H8</f>
        <v/>
      </c>
      <c r="I30" s="12">
        <f>I8</f>
        <v/>
      </c>
      <c r="J30" s="12">
        <f>J8</f>
        <v/>
      </c>
      <c r="K30" s="12">
        <f>K8</f>
        <v/>
      </c>
      <c r="L30" s="12">
        <f>L8</f>
        <v/>
      </c>
      <c r="M30" s="12">
        <f>M8</f>
        <v/>
      </c>
    </row>
    <row r="31">
      <c r="A31" t="inlineStr">
        <is>
          <t xml:space="preserve">  - Cash Payments</t>
        </is>
      </c>
      <c r="B31" s="12">
        <f>B29*30/Inputs!$B$23</f>
        <v/>
      </c>
      <c r="C31" s="12">
        <f>C29*30/Inputs!$B$23</f>
        <v/>
      </c>
      <c r="D31" s="12">
        <f>D29*30/Inputs!$B$23</f>
        <v/>
      </c>
      <c r="E31" s="12">
        <f>E29*30/Inputs!$B$23</f>
        <v/>
      </c>
      <c r="F31" s="12">
        <f>F29*30/Inputs!$B$23</f>
        <v/>
      </c>
      <c r="G31" s="12">
        <f>G29*30/Inputs!$B$23</f>
        <v/>
      </c>
      <c r="H31" s="12">
        <f>H29*30/Inputs!$B$23</f>
        <v/>
      </c>
      <c r="I31" s="12">
        <f>I29*30/Inputs!$B$23</f>
        <v/>
      </c>
      <c r="J31" s="12">
        <f>J29*30/Inputs!$B$23</f>
        <v/>
      </c>
      <c r="K31" s="12">
        <f>K29*30/Inputs!$B$23</f>
        <v/>
      </c>
      <c r="L31" s="12">
        <f>L29*30/Inputs!$B$23</f>
        <v/>
      </c>
      <c r="M31" s="12">
        <f>M29*30/Inputs!$B$23</f>
        <v/>
      </c>
    </row>
    <row r="32">
      <c r="A32" s="3" t="inlineStr">
        <is>
          <t>Closing Balance</t>
        </is>
      </c>
      <c r="B32" s="13">
        <f>B29+B30-B31</f>
        <v/>
      </c>
      <c r="C32" s="13">
        <f>C29+C30-C31</f>
        <v/>
      </c>
      <c r="D32" s="13">
        <f>D29+D30-D31</f>
        <v/>
      </c>
      <c r="E32" s="13">
        <f>E29+E30-E31</f>
        <v/>
      </c>
      <c r="F32" s="13">
        <f>F29+F30-F31</f>
        <v/>
      </c>
      <c r="G32" s="13">
        <f>G29+G30-G31</f>
        <v/>
      </c>
      <c r="H32" s="13">
        <f>H29+H30-H31</f>
        <v/>
      </c>
      <c r="I32" s="13">
        <f>I29+I30-I31</f>
        <v/>
      </c>
      <c r="J32" s="13">
        <f>J29+J30-J31</f>
        <v/>
      </c>
      <c r="K32" s="13">
        <f>K29+K30-K31</f>
        <v/>
      </c>
      <c r="L32" s="13">
        <f>L29+L30-L31</f>
        <v/>
      </c>
      <c r="M32" s="13">
        <f>M29+M30-M31</f>
        <v/>
      </c>
    </row>
    <row r="34">
      <c r="A34" s="11" t="inlineStr">
        <is>
          <t>ACCRUED EXPENSES CONTROL</t>
        </is>
      </c>
    </row>
    <row r="35">
      <c r="A35" t="inlineStr">
        <is>
          <t>Opening Balance</t>
        </is>
      </c>
      <c r="B35" s="12">
        <f>(Inputs!$B$17+Inputs!$B$18)*Inputs!$B$25</f>
        <v/>
      </c>
      <c r="C35" s="12">
        <f>B38</f>
        <v/>
      </c>
      <c r="D35" s="12">
        <f>C38</f>
        <v/>
      </c>
      <c r="E35" s="12">
        <f>D38</f>
        <v/>
      </c>
      <c r="F35" s="12">
        <f>E38</f>
        <v/>
      </c>
      <c r="G35" s="12">
        <f>F38</f>
        <v/>
      </c>
      <c r="H35" s="12">
        <f>G38</f>
        <v/>
      </c>
      <c r="I35" s="12">
        <f>H38</f>
        <v/>
      </c>
      <c r="J35" s="12">
        <f>I38</f>
        <v/>
      </c>
      <c r="K35" s="12">
        <f>J38</f>
        <v/>
      </c>
      <c r="L35" s="12">
        <f>K38</f>
        <v/>
      </c>
      <c r="M35" s="12">
        <f>L38</f>
        <v/>
      </c>
    </row>
    <row r="36">
      <c r="A36" t="inlineStr">
        <is>
          <t xml:space="preserve">  + Expenses Accrued</t>
        </is>
      </c>
      <c r="B36" s="12">
        <f>(Inputs!$B$17+Inputs!$B$18)*Inputs!$B$25</f>
        <v/>
      </c>
      <c r="C36" s="12">
        <f>(Inputs!$B$17+Inputs!$B$18)*Inputs!$B$25</f>
        <v/>
      </c>
      <c r="D36" s="12">
        <f>(Inputs!$B$17+Inputs!$B$18)*Inputs!$B$25</f>
        <v/>
      </c>
      <c r="E36" s="12">
        <f>(Inputs!$B$17+Inputs!$B$18)*Inputs!$B$25</f>
        <v/>
      </c>
      <c r="F36" s="12">
        <f>(Inputs!$B$17+Inputs!$B$18)*Inputs!$B$25</f>
        <v/>
      </c>
      <c r="G36" s="12">
        <f>(Inputs!$B$17+Inputs!$B$18)*Inputs!$B$25</f>
        <v/>
      </c>
      <c r="H36" s="12">
        <f>(Inputs!$B$17+Inputs!$B$18)*Inputs!$B$25</f>
        <v/>
      </c>
      <c r="I36" s="12">
        <f>(Inputs!$B$17+Inputs!$B$18)*Inputs!$B$25</f>
        <v/>
      </c>
      <c r="J36" s="12">
        <f>(Inputs!$B$17+Inputs!$B$18)*Inputs!$B$25</f>
        <v/>
      </c>
      <c r="K36" s="12">
        <f>(Inputs!$B$17+Inputs!$B$18)*Inputs!$B$25</f>
        <v/>
      </c>
      <c r="L36" s="12">
        <f>(Inputs!$B$17+Inputs!$B$18)*Inputs!$B$25</f>
        <v/>
      </c>
      <c r="M36" s="12">
        <f>(Inputs!$B$17+Inputs!$B$18)*Inputs!$B$25</f>
        <v/>
      </c>
    </row>
    <row r="37">
      <c r="A37" t="inlineStr">
        <is>
          <t xml:space="preserve">  - Cash Payments</t>
        </is>
      </c>
      <c r="B37" s="12">
        <f>(Inputs!$B$17+Inputs!$B$18)*Inputs!$B$25</f>
        <v/>
      </c>
      <c r="C37" s="12">
        <f>(Inputs!$B$17+Inputs!$B$18)*Inputs!$B$25</f>
        <v/>
      </c>
      <c r="D37" s="12">
        <f>(Inputs!$B$17+Inputs!$B$18)*Inputs!$B$25</f>
        <v/>
      </c>
      <c r="E37" s="12">
        <f>(Inputs!$B$17+Inputs!$B$18)*Inputs!$B$25</f>
        <v/>
      </c>
      <c r="F37" s="12">
        <f>(Inputs!$B$17+Inputs!$B$18)*Inputs!$B$25</f>
        <v/>
      </c>
      <c r="G37" s="12">
        <f>(Inputs!$B$17+Inputs!$B$18)*Inputs!$B$25</f>
        <v/>
      </c>
      <c r="H37" s="12">
        <f>(Inputs!$B$17+Inputs!$B$18)*Inputs!$B$25</f>
        <v/>
      </c>
      <c r="I37" s="12">
        <f>(Inputs!$B$17+Inputs!$B$18)*Inputs!$B$25</f>
        <v/>
      </c>
      <c r="J37" s="12">
        <f>(Inputs!$B$17+Inputs!$B$18)*Inputs!$B$25</f>
        <v/>
      </c>
      <c r="K37" s="12">
        <f>(Inputs!$B$17+Inputs!$B$18)*Inputs!$B$25</f>
        <v/>
      </c>
      <c r="L37" s="12">
        <f>(Inputs!$B$17+Inputs!$B$18)*Inputs!$B$25</f>
        <v/>
      </c>
      <c r="M37" s="12">
        <f>(Inputs!$B$17+Inputs!$B$18)*Inputs!$B$25</f>
        <v/>
      </c>
    </row>
    <row r="38">
      <c r="A38" s="3" t="inlineStr">
        <is>
          <t>Closing Balance</t>
        </is>
      </c>
      <c r="B38" s="13">
        <f>B35+B36-B37</f>
        <v/>
      </c>
      <c r="C38" s="13">
        <f>C35+C36-C37</f>
        <v/>
      </c>
      <c r="D38" s="13">
        <f>D35+D36-D37</f>
        <v/>
      </c>
      <c r="E38" s="13">
        <f>E35+E36-E37</f>
        <v/>
      </c>
      <c r="F38" s="13">
        <f>F35+F36-F37</f>
        <v/>
      </c>
      <c r="G38" s="13">
        <f>G35+G36-G37</f>
        <v/>
      </c>
      <c r="H38" s="13">
        <f>H35+H36-H37</f>
        <v/>
      </c>
      <c r="I38" s="13">
        <f>I35+I36-I37</f>
        <v/>
      </c>
      <c r="J38" s="13">
        <f>J35+J36-J37</f>
        <v/>
      </c>
      <c r="K38" s="13">
        <f>K35+K36-K37</f>
        <v/>
      </c>
      <c r="L38" s="13">
        <f>L35+L36-L37</f>
        <v/>
      </c>
      <c r="M38" s="13">
        <f>M35+M36-M37</f>
        <v/>
      </c>
    </row>
    <row r="40">
      <c r="A40" s="11" t="inlineStr">
        <is>
          <t>DEFERRED REVENUE CONTROL</t>
        </is>
      </c>
    </row>
    <row r="41">
      <c r="A41" t="inlineStr">
        <is>
          <t>Opening Balance</t>
        </is>
      </c>
      <c r="B41" s="12">
        <f>Inputs!$B$10*Inputs!$B$26</f>
        <v/>
      </c>
      <c r="C41" s="12">
        <f>B44</f>
        <v/>
      </c>
      <c r="D41" s="12">
        <f>C44</f>
        <v/>
      </c>
      <c r="E41" s="12">
        <f>D44</f>
        <v/>
      </c>
      <c r="F41" s="12">
        <f>E44</f>
        <v/>
      </c>
      <c r="G41" s="12">
        <f>F44</f>
        <v/>
      </c>
      <c r="H41" s="12">
        <f>G44</f>
        <v/>
      </c>
      <c r="I41" s="12">
        <f>H44</f>
        <v/>
      </c>
      <c r="J41" s="12">
        <f>I44</f>
        <v/>
      </c>
      <c r="K41" s="12">
        <f>J44</f>
        <v/>
      </c>
      <c r="L41" s="12">
        <f>K44</f>
        <v/>
      </c>
      <c r="M41" s="12">
        <f>L44</f>
        <v/>
      </c>
    </row>
    <row r="42">
      <c r="A42" t="inlineStr">
        <is>
          <t xml:space="preserve">  + Cash Received in Advance</t>
        </is>
      </c>
      <c r="B42" s="12">
        <f>B6*Inputs!$B$26</f>
        <v/>
      </c>
      <c r="C42" s="12">
        <f>C6*Inputs!$B$26</f>
        <v/>
      </c>
      <c r="D42" s="12">
        <f>D6*Inputs!$B$26</f>
        <v/>
      </c>
      <c r="E42" s="12">
        <f>E6*Inputs!$B$26</f>
        <v/>
      </c>
      <c r="F42" s="12">
        <f>F6*Inputs!$B$26</f>
        <v/>
      </c>
      <c r="G42" s="12">
        <f>G6*Inputs!$B$26</f>
        <v/>
      </c>
      <c r="H42" s="12">
        <f>H6*Inputs!$B$26</f>
        <v/>
      </c>
      <c r="I42" s="12">
        <f>I6*Inputs!$B$26</f>
        <v/>
      </c>
      <c r="J42" s="12">
        <f>J6*Inputs!$B$26</f>
        <v/>
      </c>
      <c r="K42" s="12">
        <f>K6*Inputs!$B$26</f>
        <v/>
      </c>
      <c r="L42" s="12">
        <f>L6*Inputs!$B$26</f>
        <v/>
      </c>
      <c r="M42" s="12">
        <f>M6*Inputs!$B$26</f>
        <v/>
      </c>
    </row>
    <row r="43">
      <c r="A43" t="inlineStr">
        <is>
          <t xml:space="preserve">  - Revenue Recognized</t>
        </is>
      </c>
      <c r="B43" s="12">
        <f>B6*Inputs!$B$26</f>
        <v/>
      </c>
      <c r="C43" s="12">
        <f>C6*Inputs!$B$26</f>
        <v/>
      </c>
      <c r="D43" s="12">
        <f>D6*Inputs!$B$26</f>
        <v/>
      </c>
      <c r="E43" s="12">
        <f>E6*Inputs!$B$26</f>
        <v/>
      </c>
      <c r="F43" s="12">
        <f>F6*Inputs!$B$26</f>
        <v/>
      </c>
      <c r="G43" s="12">
        <f>G6*Inputs!$B$26</f>
        <v/>
      </c>
      <c r="H43" s="12">
        <f>H6*Inputs!$B$26</f>
        <v/>
      </c>
      <c r="I43" s="12">
        <f>I6*Inputs!$B$26</f>
        <v/>
      </c>
      <c r="J43" s="12">
        <f>J6*Inputs!$B$26</f>
        <v/>
      </c>
      <c r="K43" s="12">
        <f>K6*Inputs!$B$26</f>
        <v/>
      </c>
      <c r="L43" s="12">
        <f>L6*Inputs!$B$26</f>
        <v/>
      </c>
      <c r="M43" s="12">
        <f>M6*Inputs!$B$26</f>
        <v/>
      </c>
    </row>
    <row r="44">
      <c r="A44" s="3" t="inlineStr">
        <is>
          <t>Closing Balance</t>
        </is>
      </c>
      <c r="B44" s="13">
        <f>B41+B42-B43</f>
        <v/>
      </c>
      <c r="C44" s="13">
        <f>C41+C42-C43</f>
        <v/>
      </c>
      <c r="D44" s="13">
        <f>D41+D42-D43</f>
        <v/>
      </c>
      <c r="E44" s="13">
        <f>E41+E42-E43</f>
        <v/>
      </c>
      <c r="F44" s="13">
        <f>F41+F42-F43</f>
        <v/>
      </c>
      <c r="G44" s="13">
        <f>G41+G42-G43</f>
        <v/>
      </c>
      <c r="H44" s="13">
        <f>H41+H42-H43</f>
        <v/>
      </c>
      <c r="I44" s="13">
        <f>I41+I42-I43</f>
        <v/>
      </c>
      <c r="J44" s="13">
        <f>J41+J42-J43</f>
        <v/>
      </c>
      <c r="K44" s="13">
        <f>K41+K42-K43</f>
        <v/>
      </c>
      <c r="L44" s="13">
        <f>L41+L42-L43</f>
        <v/>
      </c>
      <c r="M44" s="13">
        <f>M41+M42-M43</f>
        <v/>
      </c>
    </row>
    <row r="46">
      <c r="A46" s="11" t="inlineStr">
        <is>
          <t>PP&amp;E GROSS CONTROL</t>
        </is>
      </c>
    </row>
    <row r="47">
      <c r="A47" t="inlineStr">
        <is>
          <t>Opening Balance</t>
        </is>
      </c>
      <c r="B47" s="12">
        <f>Inputs!$B$30</f>
        <v/>
      </c>
      <c r="C47" s="12">
        <f>B50</f>
        <v/>
      </c>
      <c r="D47" s="12">
        <f>C50</f>
        <v/>
      </c>
      <c r="E47" s="12">
        <f>D50</f>
        <v/>
      </c>
      <c r="F47" s="12">
        <f>E50</f>
        <v/>
      </c>
      <c r="G47" s="12">
        <f>F50</f>
        <v/>
      </c>
      <c r="H47" s="12">
        <f>G50</f>
        <v/>
      </c>
      <c r="I47" s="12">
        <f>H50</f>
        <v/>
      </c>
      <c r="J47" s="12">
        <f>I50</f>
        <v/>
      </c>
      <c r="K47" s="12">
        <f>J50</f>
        <v/>
      </c>
      <c r="L47" s="12">
        <f>K50</f>
        <v/>
      </c>
      <c r="M47" s="12">
        <f>L50</f>
        <v/>
      </c>
    </row>
    <row r="48">
      <c r="A48" t="inlineStr">
        <is>
          <t xml:space="preserve">  + Capital Expenditure</t>
        </is>
      </c>
      <c r="B48" s="12">
        <f>Inputs!$B$32</f>
        <v/>
      </c>
      <c r="C48" s="12">
        <f>Inputs!$B$32</f>
        <v/>
      </c>
      <c r="D48" s="12">
        <f>Inputs!$B$32</f>
        <v/>
      </c>
      <c r="E48" s="12">
        <f>Inputs!$B$32</f>
        <v/>
      </c>
      <c r="F48" s="12">
        <f>Inputs!$B$32</f>
        <v/>
      </c>
      <c r="G48" s="12">
        <f>Inputs!$B$32</f>
        <v/>
      </c>
      <c r="H48" s="12">
        <f>Inputs!$B$32</f>
        <v/>
      </c>
      <c r="I48" s="12">
        <f>Inputs!$B$32</f>
        <v/>
      </c>
      <c r="J48" s="12">
        <f>Inputs!$B$32</f>
        <v/>
      </c>
      <c r="K48" s="12">
        <f>Inputs!$B$32</f>
        <v/>
      </c>
      <c r="L48" s="12">
        <f>Inputs!$B$32</f>
        <v/>
      </c>
      <c r="M48" s="12">
        <f>Inputs!$B$32</f>
        <v/>
      </c>
    </row>
    <row r="49">
      <c r="A49" t="inlineStr">
        <is>
          <t xml:space="preserve">  - Disposals</t>
        </is>
      </c>
      <c r="B49" s="12" t="n">
        <v>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</row>
    <row r="50">
      <c r="A50" s="3" t="inlineStr">
        <is>
          <t>Closing Balance</t>
        </is>
      </c>
      <c r="B50" s="13">
        <f>B47+B48-B49</f>
        <v/>
      </c>
      <c r="C50" s="13">
        <f>C47+C48-C49</f>
        <v/>
      </c>
      <c r="D50" s="13">
        <f>D47+D48-D49</f>
        <v/>
      </c>
      <c r="E50" s="13">
        <f>E47+E48-E49</f>
        <v/>
      </c>
      <c r="F50" s="13">
        <f>F47+F48-F49</f>
        <v/>
      </c>
      <c r="G50" s="13">
        <f>G47+G48-G49</f>
        <v/>
      </c>
      <c r="H50" s="13">
        <f>H47+H48-H49</f>
        <v/>
      </c>
      <c r="I50" s="13">
        <f>I47+I48-I49</f>
        <v/>
      </c>
      <c r="J50" s="13">
        <f>J47+J48-J49</f>
        <v/>
      </c>
      <c r="K50" s="13">
        <f>K47+K48-K49</f>
        <v/>
      </c>
      <c r="L50" s="13">
        <f>L47+L48-L49</f>
        <v/>
      </c>
      <c r="M50" s="13">
        <f>M47+M48-M49</f>
        <v/>
      </c>
    </row>
    <row r="52">
      <c r="A52" s="11" t="inlineStr">
        <is>
          <t>ACCUMULATED DEPRECIATION CONTROL</t>
        </is>
      </c>
    </row>
    <row r="53">
      <c r="A53" t="inlineStr">
        <is>
          <t>Opening Balance</t>
        </is>
      </c>
      <c r="B53" s="12">
        <f>Inputs!$B$31</f>
        <v/>
      </c>
      <c r="C53" s="12">
        <f>B56</f>
        <v/>
      </c>
      <c r="D53" s="12">
        <f>C56</f>
        <v/>
      </c>
      <c r="E53" s="12">
        <f>D56</f>
        <v/>
      </c>
      <c r="F53" s="12">
        <f>E56</f>
        <v/>
      </c>
      <c r="G53" s="12">
        <f>F56</f>
        <v/>
      </c>
      <c r="H53" s="12">
        <f>G56</f>
        <v/>
      </c>
      <c r="I53" s="12">
        <f>H56</f>
        <v/>
      </c>
      <c r="J53" s="12">
        <f>I56</f>
        <v/>
      </c>
      <c r="K53" s="12">
        <f>J56</f>
        <v/>
      </c>
      <c r="L53" s="12">
        <f>K56</f>
        <v/>
      </c>
      <c r="M53" s="12">
        <f>L56</f>
        <v/>
      </c>
    </row>
    <row r="54">
      <c r="A54" t="inlineStr">
        <is>
          <t xml:space="preserve">  + Depreciation Expense</t>
        </is>
      </c>
      <c r="B54" s="12">
        <f>B47*Inputs!$B$33/12</f>
        <v/>
      </c>
      <c r="C54" s="12">
        <f>C47*Inputs!$B$33/12</f>
        <v/>
      </c>
      <c r="D54" s="12">
        <f>D47*Inputs!$B$33/12</f>
        <v/>
      </c>
      <c r="E54" s="12">
        <f>E47*Inputs!$B$33/12</f>
        <v/>
      </c>
      <c r="F54" s="12">
        <f>F47*Inputs!$B$33/12</f>
        <v/>
      </c>
      <c r="G54" s="12">
        <f>G47*Inputs!$B$33/12</f>
        <v/>
      </c>
      <c r="H54" s="12">
        <f>H47*Inputs!$B$33/12</f>
        <v/>
      </c>
      <c r="I54" s="12">
        <f>I47*Inputs!$B$33/12</f>
        <v/>
      </c>
      <c r="J54" s="12">
        <f>J47*Inputs!$B$33/12</f>
        <v/>
      </c>
      <c r="K54" s="12">
        <f>K47*Inputs!$B$33/12</f>
        <v/>
      </c>
      <c r="L54" s="12">
        <f>L47*Inputs!$B$33/12</f>
        <v/>
      </c>
      <c r="M54" s="12">
        <f>M47*Inputs!$B$33/12</f>
        <v/>
      </c>
    </row>
    <row r="55">
      <c r="A55" t="inlineStr">
        <is>
          <t xml:space="preserve">  - Disposals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</row>
    <row r="56">
      <c r="A56" s="3" t="inlineStr">
        <is>
          <t>Closing Balance</t>
        </is>
      </c>
      <c r="B56" s="13">
        <f>B53+B54-B55</f>
        <v/>
      </c>
      <c r="C56" s="13">
        <f>C53+C54-C55</f>
        <v/>
      </c>
      <c r="D56" s="13">
        <f>D53+D54-D55</f>
        <v/>
      </c>
      <c r="E56" s="13">
        <f>E53+E54-E55</f>
        <v/>
      </c>
      <c r="F56" s="13">
        <f>F53+F54-F55</f>
        <v/>
      </c>
      <c r="G56" s="13">
        <f>G53+G54-G55</f>
        <v/>
      </c>
      <c r="H56" s="13">
        <f>H53+H54-H55</f>
        <v/>
      </c>
      <c r="I56" s="13">
        <f>I53+I54-I55</f>
        <v/>
      </c>
      <c r="J56" s="13">
        <f>J53+J54-J55</f>
        <v/>
      </c>
      <c r="K56" s="13">
        <f>K53+K54-K55</f>
        <v/>
      </c>
      <c r="L56" s="13">
        <f>L53+L54-L55</f>
        <v/>
      </c>
      <c r="M56" s="13">
        <f>M53+M54-M55</f>
        <v/>
      </c>
    </row>
    <row r="58">
      <c r="A58" s="11" t="inlineStr">
        <is>
          <t>DEBT CONTROL</t>
        </is>
      </c>
    </row>
    <row r="59">
      <c r="A59" t="inlineStr">
        <is>
          <t>Opening Balance</t>
        </is>
      </c>
      <c r="B59" s="12">
        <f>Inputs!$B$37</f>
        <v/>
      </c>
      <c r="C59" s="12">
        <f>B62</f>
        <v/>
      </c>
      <c r="D59" s="12">
        <f>C62</f>
        <v/>
      </c>
      <c r="E59" s="12">
        <f>D62</f>
        <v/>
      </c>
      <c r="F59" s="12">
        <f>E62</f>
        <v/>
      </c>
      <c r="G59" s="12">
        <f>F62</f>
        <v/>
      </c>
      <c r="H59" s="12">
        <f>G62</f>
        <v/>
      </c>
      <c r="I59" s="12">
        <f>H62</f>
        <v/>
      </c>
      <c r="J59" s="12">
        <f>I62</f>
        <v/>
      </c>
      <c r="K59" s="12">
        <f>J62</f>
        <v/>
      </c>
      <c r="L59" s="12">
        <f>K62</f>
        <v/>
      </c>
      <c r="M59" s="12">
        <f>L62</f>
        <v/>
      </c>
    </row>
    <row r="60">
      <c r="A60" t="inlineStr">
        <is>
          <t xml:space="preserve">  + Drawdowns</t>
        </is>
      </c>
      <c r="B60" s="12" t="n">
        <v>0</v>
      </c>
      <c r="C60" s="12" t="n">
        <v>0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</row>
    <row r="61">
      <c r="A61" t="inlineStr">
        <is>
          <t xml:space="preserve">  - Principal Repayments</t>
        </is>
      </c>
      <c r="B61" s="12">
        <f>Inputs!$B$39</f>
        <v/>
      </c>
      <c r="C61" s="12">
        <f>Inputs!$B$39</f>
        <v/>
      </c>
      <c r="D61" s="12">
        <f>Inputs!$B$39</f>
        <v/>
      </c>
      <c r="E61" s="12">
        <f>Inputs!$B$39</f>
        <v/>
      </c>
      <c r="F61" s="12">
        <f>Inputs!$B$39</f>
        <v/>
      </c>
      <c r="G61" s="12">
        <f>Inputs!$B$39</f>
        <v/>
      </c>
      <c r="H61" s="12">
        <f>Inputs!$B$39</f>
        <v/>
      </c>
      <c r="I61" s="12">
        <f>Inputs!$B$39</f>
        <v/>
      </c>
      <c r="J61" s="12">
        <f>Inputs!$B$39</f>
        <v/>
      </c>
      <c r="K61" s="12">
        <f>Inputs!$B$39</f>
        <v/>
      </c>
      <c r="L61" s="12">
        <f>Inputs!$B$39</f>
        <v/>
      </c>
      <c r="M61" s="12">
        <f>Inputs!$B$39</f>
        <v/>
      </c>
    </row>
    <row r="62">
      <c r="A62" s="3" t="inlineStr">
        <is>
          <t>Closing Balance</t>
        </is>
      </c>
      <c r="B62" s="13">
        <f>B59+B60-B61</f>
        <v/>
      </c>
      <c r="C62" s="13">
        <f>C59+C60-C61</f>
        <v/>
      </c>
      <c r="D62" s="13">
        <f>D59+D60-D61</f>
        <v/>
      </c>
      <c r="E62" s="13">
        <f>E59+E60-E61</f>
        <v/>
      </c>
      <c r="F62" s="13">
        <f>F59+F60-F61</f>
        <v/>
      </c>
      <c r="G62" s="13">
        <f>G59+G60-G61</f>
        <v/>
      </c>
      <c r="H62" s="13">
        <f>H59+H60-H61</f>
        <v/>
      </c>
      <c r="I62" s="13">
        <f>I59+I60-I61</f>
        <v/>
      </c>
      <c r="J62" s="13">
        <f>J59+J60-J61</f>
        <v/>
      </c>
      <c r="K62" s="13">
        <f>K59+K60-K61</f>
        <v/>
      </c>
      <c r="L62" s="13">
        <f>L59+L60-L61</f>
        <v/>
      </c>
      <c r="M62" s="13">
        <f>M59+M60-M61</f>
        <v/>
      </c>
    </row>
    <row r="64">
      <c r="A64" t="inlineStr">
        <is>
          <t>Interest Expense (Monthly)</t>
        </is>
      </c>
      <c r="B64" s="12">
        <f>B59*Inputs!$B$38/12</f>
        <v/>
      </c>
      <c r="C64" s="12">
        <f>C59*Inputs!$B$38/12</f>
        <v/>
      </c>
      <c r="D64" s="12">
        <f>D59*Inputs!$B$38/12</f>
        <v/>
      </c>
      <c r="E64" s="12">
        <f>E59*Inputs!$B$38/12</f>
        <v/>
      </c>
      <c r="F64" s="12">
        <f>F59*Inputs!$B$38/12</f>
        <v/>
      </c>
      <c r="G64" s="12">
        <f>G59*Inputs!$B$38/12</f>
        <v/>
      </c>
      <c r="H64" s="12">
        <f>H59*Inputs!$B$38/12</f>
        <v/>
      </c>
      <c r="I64" s="12">
        <f>I59*Inputs!$B$38/12</f>
        <v/>
      </c>
      <c r="J64" s="12">
        <f>J59*Inputs!$B$38/12</f>
        <v/>
      </c>
      <c r="K64" s="12">
        <f>K59*Inputs!$B$38/12</f>
        <v/>
      </c>
      <c r="L64" s="12">
        <f>L59*Inputs!$B$38/12</f>
        <v/>
      </c>
      <c r="M64" s="12">
        <f>M59*Inputs!$B$38/12</f>
        <v/>
      </c>
    </row>
    <row r="66">
      <c r="A66" s="11" t="inlineStr">
        <is>
          <t>SHARE CAPITAL CONTROL</t>
        </is>
      </c>
    </row>
    <row r="67">
      <c r="A67" t="inlineStr">
        <is>
          <t>Opening Balance</t>
        </is>
      </c>
      <c r="B67" s="12">
        <f>Inputs!$B$43</f>
        <v/>
      </c>
      <c r="C67" s="12">
        <f>B70</f>
        <v/>
      </c>
      <c r="D67" s="12">
        <f>C70</f>
        <v/>
      </c>
      <c r="E67" s="12">
        <f>D70</f>
        <v/>
      </c>
      <c r="F67" s="12">
        <f>E70</f>
        <v/>
      </c>
      <c r="G67" s="12">
        <f>F70</f>
        <v/>
      </c>
      <c r="H67" s="12">
        <f>G70</f>
        <v/>
      </c>
      <c r="I67" s="12">
        <f>H70</f>
        <v/>
      </c>
      <c r="J67" s="12">
        <f>I70</f>
        <v/>
      </c>
      <c r="K67" s="12">
        <f>J70</f>
        <v/>
      </c>
      <c r="L67" s="12">
        <f>K70</f>
        <v/>
      </c>
      <c r="M67" s="12">
        <f>L70</f>
        <v/>
      </c>
    </row>
    <row r="68">
      <c r="A68" t="inlineStr">
        <is>
          <t xml:space="preserve">  + New Issuances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</row>
    <row r="69">
      <c r="A69" t="inlineStr">
        <is>
          <t xml:space="preserve">  - Buybacks</t>
        </is>
      </c>
      <c r="B69" s="12" t="n">
        <v>0</v>
      </c>
      <c r="C69" s="12" t="n">
        <v>0</v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</row>
    <row r="70">
      <c r="A70" s="3" t="inlineStr">
        <is>
          <t>Closing Balance</t>
        </is>
      </c>
      <c r="B70" s="13">
        <f>B67+B68-B69</f>
        <v/>
      </c>
      <c r="C70" s="13">
        <f>C67+C68-C69</f>
        <v/>
      </c>
      <c r="D70" s="13">
        <f>D67+D68-D69</f>
        <v/>
      </c>
      <c r="E70" s="13">
        <f>E67+E68-E69</f>
        <v/>
      </c>
      <c r="F70" s="13">
        <f>F67+F68-F69</f>
        <v/>
      </c>
      <c r="G70" s="13">
        <f>G67+G68-G69</f>
        <v/>
      </c>
      <c r="H70" s="13">
        <f>H67+H68-H69</f>
        <v/>
      </c>
      <c r="I70" s="13">
        <f>I67+I68-I69</f>
        <v/>
      </c>
      <c r="J70" s="13">
        <f>J67+J68-J69</f>
        <v/>
      </c>
      <c r="K70" s="13">
        <f>K67+K68-K69</f>
        <v/>
      </c>
      <c r="L70" s="13">
        <f>L67+L68-L69</f>
        <v/>
      </c>
      <c r="M70" s="13">
        <f>M67+M68-M69</f>
        <v/>
      </c>
    </row>
    <row r="72">
      <c r="A72" s="11" t="inlineStr">
        <is>
          <t>RETAINED EARNINGS CONTROL</t>
        </is>
      </c>
    </row>
    <row r="73">
      <c r="A73" t="inlineStr">
        <is>
          <t>Opening Balance</t>
        </is>
      </c>
      <c r="B73" s="12">
        <f>Inputs!$B$44</f>
        <v/>
      </c>
      <c r="C73" s="12">
        <f>B76</f>
        <v/>
      </c>
      <c r="D73" s="12">
        <f>C76</f>
        <v/>
      </c>
      <c r="E73" s="12">
        <f>D76</f>
        <v/>
      </c>
      <c r="F73" s="12">
        <f>E76</f>
        <v/>
      </c>
      <c r="G73" s="12">
        <f>F76</f>
        <v/>
      </c>
      <c r="H73" s="12">
        <f>G76</f>
        <v/>
      </c>
      <c r="I73" s="12">
        <f>H76</f>
        <v/>
      </c>
      <c r="J73" s="12">
        <f>I76</f>
        <v/>
      </c>
      <c r="K73" s="12">
        <f>J76</f>
        <v/>
      </c>
      <c r="L73" s="12">
        <f>K76</f>
        <v/>
      </c>
      <c r="M73" s="12">
        <f>L76</f>
        <v/>
      </c>
    </row>
    <row r="74">
      <c r="A74" t="inlineStr">
        <is>
          <t xml:space="preserve">  + Net Income</t>
        </is>
      </c>
      <c r="B74" s="12">
        <f>'Income Statement'!B19</f>
        <v/>
      </c>
      <c r="C74" s="12">
        <f>'Income Statement'!C19</f>
        <v/>
      </c>
      <c r="D74" s="12">
        <f>'Income Statement'!D19</f>
        <v/>
      </c>
      <c r="E74" s="12">
        <f>'Income Statement'!E19</f>
        <v/>
      </c>
      <c r="F74" s="12">
        <f>'Income Statement'!F19</f>
        <v/>
      </c>
      <c r="G74" s="12">
        <f>'Income Statement'!G19</f>
        <v/>
      </c>
      <c r="H74" s="12">
        <f>'Income Statement'!H19</f>
        <v/>
      </c>
      <c r="I74" s="12">
        <f>'Income Statement'!I19</f>
        <v/>
      </c>
      <c r="J74" s="12">
        <f>'Income Statement'!J19</f>
        <v/>
      </c>
      <c r="K74" s="12">
        <f>'Income Statement'!K19</f>
        <v/>
      </c>
      <c r="L74" s="12">
        <f>'Income Statement'!L19</f>
        <v/>
      </c>
      <c r="M74" s="12">
        <f>'Income Statement'!M19</f>
        <v/>
      </c>
    </row>
    <row r="75">
      <c r="A75" t="inlineStr">
        <is>
          <t xml:space="preserve">  - Dividends</t>
        </is>
      </c>
      <c r="B75" s="12" t="n">
        <v>0</v>
      </c>
      <c r="C75" s="12" t="n">
        <v>0</v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</row>
    <row r="76">
      <c r="A76" s="3" t="inlineStr">
        <is>
          <t>Closing Balance</t>
        </is>
      </c>
      <c r="B76" s="13">
        <f>B73+B74-B75</f>
        <v/>
      </c>
      <c r="C76" s="13">
        <f>C73+C74-C75</f>
        <v/>
      </c>
      <c r="D76" s="13">
        <f>D73+D74-D75</f>
        <v/>
      </c>
      <c r="E76" s="13">
        <f>E73+E74-E75</f>
        <v/>
      </c>
      <c r="F76" s="13">
        <f>F73+F74-F75</f>
        <v/>
      </c>
      <c r="G76" s="13">
        <f>G73+G74-G75</f>
        <v/>
      </c>
      <c r="H76" s="13">
        <f>H73+H74-H75</f>
        <v/>
      </c>
      <c r="I76" s="13">
        <f>I73+I74-I75</f>
        <v/>
      </c>
      <c r="J76" s="13">
        <f>J73+J74-J75</f>
        <v/>
      </c>
      <c r="K76" s="13">
        <f>K73+K74-K75</f>
        <v/>
      </c>
      <c r="L76" s="13">
        <f>L73+L74-L75</f>
        <v/>
      </c>
      <c r="M76" s="13">
        <f>M73+M74-M75</f>
        <v/>
      </c>
    </row>
    <row r="78">
      <c r="A78" s="11" t="inlineStr">
        <is>
          <t>CASH CONTROL</t>
        </is>
      </c>
    </row>
    <row r="79">
      <c r="A79" t="inlineStr">
        <is>
          <t>Opening Balance</t>
        </is>
      </c>
      <c r="B79" s="12">
        <f>Inputs!$B$47</f>
        <v/>
      </c>
      <c r="C79" s="12">
        <f>B80</f>
        <v/>
      </c>
      <c r="D79" s="12">
        <f>C80</f>
        <v/>
      </c>
      <c r="E79" s="12">
        <f>D80</f>
        <v/>
      </c>
      <c r="F79" s="12">
        <f>E80</f>
        <v/>
      </c>
      <c r="G79" s="12">
        <f>F80</f>
        <v/>
      </c>
      <c r="H79" s="12">
        <f>G80</f>
        <v/>
      </c>
      <c r="I79" s="12">
        <f>H80</f>
        <v/>
      </c>
      <c r="J79" s="12">
        <f>I80</f>
        <v/>
      </c>
      <c r="K79" s="12">
        <f>J80</f>
        <v/>
      </c>
      <c r="L79" s="12">
        <f>K80</f>
        <v/>
      </c>
      <c r="M79" s="12">
        <f>L80</f>
        <v/>
      </c>
    </row>
    <row r="80">
      <c r="A80" s="3" t="inlineStr">
        <is>
          <t>Closing Balance</t>
        </is>
      </c>
      <c r="B80" s="13">
        <f>'Cash Flow Statement'!B31</f>
        <v/>
      </c>
      <c r="C80" s="13">
        <f>'Cash Flow Statement'!C31</f>
        <v/>
      </c>
      <c r="D80" s="13">
        <f>'Cash Flow Statement'!D31</f>
        <v/>
      </c>
      <c r="E80" s="13">
        <f>'Cash Flow Statement'!E31</f>
        <v/>
      </c>
      <c r="F80" s="13">
        <f>'Cash Flow Statement'!F31</f>
        <v/>
      </c>
      <c r="G80" s="13">
        <f>'Cash Flow Statement'!G31</f>
        <v/>
      </c>
      <c r="H80" s="13">
        <f>'Cash Flow Statement'!H31</f>
        <v/>
      </c>
      <c r="I80" s="13">
        <f>'Cash Flow Statement'!I31</f>
        <v/>
      </c>
      <c r="J80" s="13">
        <f>'Cash Flow Statement'!J31</f>
        <v/>
      </c>
      <c r="K80" s="13">
        <f>'Cash Flow Statement'!K31</f>
        <v/>
      </c>
      <c r="L80" s="13">
        <f>'Cash Flow Statement'!L31</f>
        <v/>
      </c>
      <c r="M80" s="13">
        <f>'Cash Flow Statement'!M31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INCOME STATEMENT</t>
        </is>
      </c>
    </row>
    <row r="3">
      <c r="A3" s="9" t="inlineStr">
        <is>
          <t>Period</t>
        </is>
      </c>
      <c r="B3" s="10" t="inlineStr">
        <is>
          <t>Jan-25</t>
        </is>
      </c>
      <c r="C3" s="10" t="inlineStr">
        <is>
          <t>Feb-25</t>
        </is>
      </c>
      <c r="D3" s="10" t="inlineStr">
        <is>
          <t>Mar-25</t>
        </is>
      </c>
      <c r="E3" s="10" t="inlineStr">
        <is>
          <t>Apr-25</t>
        </is>
      </c>
      <c r="F3" s="10" t="inlineStr">
        <is>
          <t>May-25</t>
        </is>
      </c>
      <c r="G3" s="10" t="inlineStr">
        <is>
          <t>Jun-25</t>
        </is>
      </c>
      <c r="H3" s="10" t="inlineStr">
        <is>
          <t>Jul-25</t>
        </is>
      </c>
      <c r="I3" s="10" t="inlineStr">
        <is>
          <t>Aug-25</t>
        </is>
      </c>
      <c r="J3" s="10" t="inlineStr">
        <is>
          <t>Sep-25</t>
        </is>
      </c>
      <c r="K3" s="10" t="inlineStr">
        <is>
          <t>Oct-25</t>
        </is>
      </c>
      <c r="L3" s="10" t="inlineStr">
        <is>
          <t>Nov-25</t>
        </is>
      </c>
      <c r="M3" s="10" t="inlineStr">
        <is>
          <t>Dec-25</t>
        </is>
      </c>
    </row>
    <row r="5">
      <c r="A5" t="inlineStr">
        <is>
          <t>Revenue</t>
        </is>
      </c>
      <c r="B5" s="12">
        <f>Workings!B6</f>
        <v/>
      </c>
      <c r="C5" s="12">
        <f>Workings!C6</f>
        <v/>
      </c>
      <c r="D5" s="12">
        <f>Workings!D6</f>
        <v/>
      </c>
      <c r="E5" s="12">
        <f>Workings!E6</f>
        <v/>
      </c>
      <c r="F5" s="12">
        <f>Workings!F6</f>
        <v/>
      </c>
      <c r="G5" s="12">
        <f>Workings!G6</f>
        <v/>
      </c>
      <c r="H5" s="12">
        <f>Workings!H6</f>
        <v/>
      </c>
      <c r="I5" s="12">
        <f>Workings!I6</f>
        <v/>
      </c>
      <c r="J5" s="12">
        <f>Workings!J6</f>
        <v/>
      </c>
      <c r="K5" s="12">
        <f>Workings!K6</f>
        <v/>
      </c>
      <c r="L5" s="12">
        <f>Workings!L6</f>
        <v/>
      </c>
      <c r="M5" s="12">
        <f>Workings!M6</f>
        <v/>
      </c>
    </row>
    <row r="6">
      <c r="A6" t="inlineStr">
        <is>
          <t>Cost of Goods Sold</t>
        </is>
      </c>
      <c r="B6" s="12">
        <f>-Workings!B7</f>
        <v/>
      </c>
      <c r="C6" s="12">
        <f>-Workings!C7</f>
        <v/>
      </c>
      <c r="D6" s="12">
        <f>-Workings!D7</f>
        <v/>
      </c>
      <c r="E6" s="12">
        <f>-Workings!E7</f>
        <v/>
      </c>
      <c r="F6" s="12">
        <f>-Workings!F7</f>
        <v/>
      </c>
      <c r="G6" s="12">
        <f>-Workings!G7</f>
        <v/>
      </c>
      <c r="H6" s="12">
        <f>-Workings!H7</f>
        <v/>
      </c>
      <c r="I6" s="12">
        <f>-Workings!I7</f>
        <v/>
      </c>
      <c r="J6" s="12">
        <f>-Workings!J7</f>
        <v/>
      </c>
      <c r="K6" s="12">
        <f>-Workings!K7</f>
        <v/>
      </c>
      <c r="L6" s="12">
        <f>-Workings!L7</f>
        <v/>
      </c>
      <c r="M6" s="12">
        <f>-Workings!M7</f>
        <v/>
      </c>
    </row>
    <row r="7">
      <c r="A7" s="3" t="inlineStr">
        <is>
          <t>Gross Profit</t>
        </is>
      </c>
      <c r="B7" s="13">
        <f>B5+B6</f>
        <v/>
      </c>
      <c r="C7" s="13">
        <f>C5+C6</f>
        <v/>
      </c>
      <c r="D7" s="13">
        <f>D5+D6</f>
        <v/>
      </c>
      <c r="E7" s="13">
        <f>E5+E6</f>
        <v/>
      </c>
      <c r="F7" s="13">
        <f>F5+F6</f>
        <v/>
      </c>
      <c r="G7" s="13">
        <f>G5+G6</f>
        <v/>
      </c>
      <c r="H7" s="13">
        <f>H5+H6</f>
        <v/>
      </c>
      <c r="I7" s="13">
        <f>I5+I6</f>
        <v/>
      </c>
      <c r="J7" s="13">
        <f>J5+J6</f>
        <v/>
      </c>
      <c r="K7" s="13">
        <f>K5+K6</f>
        <v/>
      </c>
      <c r="L7" s="13">
        <f>L5+L6</f>
        <v/>
      </c>
      <c r="M7" s="13">
        <f>M5+M6</f>
        <v/>
      </c>
    </row>
    <row r="9">
      <c r="A9" s="3" t="inlineStr">
        <is>
          <t>Operating Expenses:</t>
        </is>
      </c>
    </row>
    <row r="10">
      <c r="A10" t="inlineStr">
        <is>
          <t xml:space="preserve">  Sales &amp; Marketing</t>
        </is>
      </c>
      <c r="B10" s="12">
        <f>-Inputs!$B$17</f>
        <v/>
      </c>
      <c r="C10" s="12">
        <f>-Inputs!$B$17</f>
        <v/>
      </c>
      <c r="D10" s="12">
        <f>-Inputs!$B$17</f>
        <v/>
      </c>
      <c r="E10" s="12">
        <f>-Inputs!$B$17</f>
        <v/>
      </c>
      <c r="F10" s="12">
        <f>-Inputs!$B$17</f>
        <v/>
      </c>
      <c r="G10" s="12">
        <f>-Inputs!$B$17</f>
        <v/>
      </c>
      <c r="H10" s="12">
        <f>-Inputs!$B$17</f>
        <v/>
      </c>
      <c r="I10" s="12">
        <f>-Inputs!$B$17</f>
        <v/>
      </c>
      <c r="J10" s="12">
        <f>-Inputs!$B$17</f>
        <v/>
      </c>
      <c r="K10" s="12">
        <f>-Inputs!$B$17</f>
        <v/>
      </c>
      <c r="L10" s="12">
        <f>-Inputs!$B$17</f>
        <v/>
      </c>
      <c r="M10" s="12">
        <f>-Inputs!$B$17</f>
        <v/>
      </c>
    </row>
    <row r="11">
      <c r="A11" t="inlineStr">
        <is>
          <t xml:space="preserve">  General &amp; Administrative</t>
        </is>
      </c>
      <c r="B11" s="12">
        <f>-Inputs!$B$18</f>
        <v/>
      </c>
      <c r="C11" s="12">
        <f>-Inputs!$B$18</f>
        <v/>
      </c>
      <c r="D11" s="12">
        <f>-Inputs!$B$18</f>
        <v/>
      </c>
      <c r="E11" s="12">
        <f>-Inputs!$B$18</f>
        <v/>
      </c>
      <c r="F11" s="12">
        <f>-Inputs!$B$18</f>
        <v/>
      </c>
      <c r="G11" s="12">
        <f>-Inputs!$B$18</f>
        <v/>
      </c>
      <c r="H11" s="12">
        <f>-Inputs!$B$18</f>
        <v/>
      </c>
      <c r="I11" s="12">
        <f>-Inputs!$B$18</f>
        <v/>
      </c>
      <c r="J11" s="12">
        <f>-Inputs!$B$18</f>
        <v/>
      </c>
      <c r="K11" s="12">
        <f>-Inputs!$B$18</f>
        <v/>
      </c>
      <c r="L11" s="12">
        <f>-Inputs!$B$18</f>
        <v/>
      </c>
      <c r="M11" s="12">
        <f>-Inputs!$B$18</f>
        <v/>
      </c>
    </row>
    <row r="12">
      <c r="A12" t="inlineStr">
        <is>
          <t xml:space="preserve">  Depreciation</t>
        </is>
      </c>
      <c r="B12" s="12">
        <f>-Workings!B54</f>
        <v/>
      </c>
      <c r="C12" s="12">
        <f>-Workings!C54</f>
        <v/>
      </c>
      <c r="D12" s="12">
        <f>-Workings!D54</f>
        <v/>
      </c>
      <c r="E12" s="12">
        <f>-Workings!E54</f>
        <v/>
      </c>
      <c r="F12" s="12">
        <f>-Workings!F54</f>
        <v/>
      </c>
      <c r="G12" s="12">
        <f>-Workings!G54</f>
        <v/>
      </c>
      <c r="H12" s="12">
        <f>-Workings!H54</f>
        <v/>
      </c>
      <c r="I12" s="12">
        <f>-Workings!I54</f>
        <v/>
      </c>
      <c r="J12" s="12">
        <f>-Workings!J54</f>
        <v/>
      </c>
      <c r="K12" s="12">
        <f>-Workings!K54</f>
        <v/>
      </c>
      <c r="L12" s="12">
        <f>-Workings!L54</f>
        <v/>
      </c>
      <c r="M12" s="12">
        <f>-Workings!M54</f>
        <v/>
      </c>
    </row>
    <row r="13">
      <c r="A13" s="3" t="inlineStr">
        <is>
          <t>EBIT</t>
        </is>
      </c>
      <c r="B13" s="13">
        <f>B7+B10+B11+B12</f>
        <v/>
      </c>
      <c r="C13" s="13">
        <f>C7+C10+C11+C12</f>
        <v/>
      </c>
      <c r="D13" s="13">
        <f>D7+D10+D11+D12</f>
        <v/>
      </c>
      <c r="E13" s="13">
        <f>E7+E10+E11+E12</f>
        <v/>
      </c>
      <c r="F13" s="13">
        <f>F7+F10+F11+F12</f>
        <v/>
      </c>
      <c r="G13" s="13">
        <f>G7+G10+G11+G12</f>
        <v/>
      </c>
      <c r="H13" s="13">
        <f>H7+H10+H11+H12</f>
        <v/>
      </c>
      <c r="I13" s="13">
        <f>I7+I10+I11+I12</f>
        <v/>
      </c>
      <c r="J13" s="13">
        <f>J7+J10+J11+J12</f>
        <v/>
      </c>
      <c r="K13" s="13">
        <f>K7+K10+K11+K12</f>
        <v/>
      </c>
      <c r="L13" s="13">
        <f>L7+L10+L11+L12</f>
        <v/>
      </c>
      <c r="M13" s="13">
        <f>M7+M10+M11+M12</f>
        <v/>
      </c>
    </row>
    <row r="15">
      <c r="A15" t="inlineStr">
        <is>
          <t>Interest Expense</t>
        </is>
      </c>
      <c r="B15" s="12">
        <f>-Workings!B64</f>
        <v/>
      </c>
      <c r="C15" s="12">
        <f>-Workings!C64</f>
        <v/>
      </c>
      <c r="D15" s="12">
        <f>-Workings!D64</f>
        <v/>
      </c>
      <c r="E15" s="12">
        <f>-Workings!E64</f>
        <v/>
      </c>
      <c r="F15" s="12">
        <f>-Workings!F64</f>
        <v/>
      </c>
      <c r="G15" s="12">
        <f>-Workings!G64</f>
        <v/>
      </c>
      <c r="H15" s="12">
        <f>-Workings!H64</f>
        <v/>
      </c>
      <c r="I15" s="12">
        <f>-Workings!I64</f>
        <v/>
      </c>
      <c r="J15" s="12">
        <f>-Workings!J64</f>
        <v/>
      </c>
      <c r="K15" s="12">
        <f>-Workings!K64</f>
        <v/>
      </c>
      <c r="L15" s="12">
        <f>-Workings!L64</f>
        <v/>
      </c>
      <c r="M15" s="12">
        <f>-Workings!M64</f>
        <v/>
      </c>
    </row>
    <row r="16">
      <c r="A16" s="3" t="inlineStr">
        <is>
          <t>Earnings Before Tax</t>
        </is>
      </c>
      <c r="B16" s="13">
        <f>B14+B15</f>
        <v/>
      </c>
      <c r="C16" s="13">
        <f>C14+C15</f>
        <v/>
      </c>
      <c r="D16" s="13">
        <f>D14+D15</f>
        <v/>
      </c>
      <c r="E16" s="13">
        <f>E14+E15</f>
        <v/>
      </c>
      <c r="F16" s="13">
        <f>F14+F15</f>
        <v/>
      </c>
      <c r="G16" s="13">
        <f>G14+G15</f>
        <v/>
      </c>
      <c r="H16" s="13">
        <f>H14+H15</f>
        <v/>
      </c>
      <c r="I16" s="13">
        <f>I14+I15</f>
        <v/>
      </c>
      <c r="J16" s="13">
        <f>J14+J15</f>
        <v/>
      </c>
      <c r="K16" s="13">
        <f>K14+K15</f>
        <v/>
      </c>
      <c r="L16" s="13">
        <f>L14+L15</f>
        <v/>
      </c>
      <c r="M16" s="13">
        <f>M14+M15</f>
        <v/>
      </c>
    </row>
    <row r="18">
      <c r="A18" t="inlineStr">
        <is>
          <t>Income Tax</t>
        </is>
      </c>
      <c r="B18" s="12">
        <f>-MAX(B17,0)*Inputs!$B$50</f>
        <v/>
      </c>
      <c r="C18" s="12">
        <f>-MAX(C17,0)*Inputs!$B$50</f>
        <v/>
      </c>
      <c r="D18" s="12">
        <f>-MAX(D17,0)*Inputs!$B$50</f>
        <v/>
      </c>
      <c r="E18" s="12">
        <f>-MAX(E17,0)*Inputs!$B$50</f>
        <v/>
      </c>
      <c r="F18" s="12">
        <f>-MAX(F17,0)*Inputs!$B$50</f>
        <v/>
      </c>
      <c r="G18" s="12">
        <f>-MAX(G17,0)*Inputs!$B$50</f>
        <v/>
      </c>
      <c r="H18" s="12">
        <f>-MAX(H17,0)*Inputs!$B$50</f>
        <v/>
      </c>
      <c r="I18" s="12">
        <f>-MAX(I17,0)*Inputs!$B$50</f>
        <v/>
      </c>
      <c r="J18" s="12">
        <f>-MAX(J17,0)*Inputs!$B$50</f>
        <v/>
      </c>
      <c r="K18" s="12">
        <f>-MAX(K17,0)*Inputs!$B$50</f>
        <v/>
      </c>
      <c r="L18" s="12">
        <f>-MAX(L17,0)*Inputs!$B$50</f>
        <v/>
      </c>
      <c r="M18" s="12">
        <f>-MAX(M17,0)*Inputs!$B$50</f>
        <v/>
      </c>
    </row>
    <row r="19">
      <c r="A19" s="14" t="inlineStr">
        <is>
          <t>Net Income</t>
        </is>
      </c>
      <c r="B19" s="15">
        <f>B17+B18</f>
        <v/>
      </c>
      <c r="C19" s="15">
        <f>C17+C18</f>
        <v/>
      </c>
      <c r="D19" s="15">
        <f>D17+D18</f>
        <v/>
      </c>
      <c r="E19" s="15">
        <f>E17+E18</f>
        <v/>
      </c>
      <c r="F19" s="15">
        <f>F17+F18</f>
        <v/>
      </c>
      <c r="G19" s="15">
        <f>G17+G18</f>
        <v/>
      </c>
      <c r="H19" s="15">
        <f>H17+H18</f>
        <v/>
      </c>
      <c r="I19" s="15">
        <f>I17+I18</f>
        <v/>
      </c>
      <c r="J19" s="15">
        <f>J17+J18</f>
        <v/>
      </c>
      <c r="K19" s="15">
        <f>K17+K18</f>
        <v/>
      </c>
      <c r="L19" s="15">
        <f>L17+L18</f>
        <v/>
      </c>
      <c r="M19" s="15">
        <f>M17+M18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BALANCE SHEET</t>
        </is>
      </c>
    </row>
    <row r="3">
      <c r="A3" s="9" t="inlineStr">
        <is>
          <t>Period</t>
        </is>
      </c>
      <c r="B3" s="10" t="inlineStr">
        <is>
          <t>Jan-25</t>
        </is>
      </c>
      <c r="C3" s="10" t="inlineStr">
        <is>
          <t>Feb-25</t>
        </is>
      </c>
      <c r="D3" s="10" t="inlineStr">
        <is>
          <t>Mar-25</t>
        </is>
      </c>
      <c r="E3" s="10" t="inlineStr">
        <is>
          <t>Apr-25</t>
        </is>
      </c>
      <c r="F3" s="10" t="inlineStr">
        <is>
          <t>May-25</t>
        </is>
      </c>
      <c r="G3" s="10" t="inlineStr">
        <is>
          <t>Jun-25</t>
        </is>
      </c>
      <c r="H3" s="10" t="inlineStr">
        <is>
          <t>Jul-25</t>
        </is>
      </c>
      <c r="I3" s="10" t="inlineStr">
        <is>
          <t>Aug-25</t>
        </is>
      </c>
      <c r="J3" s="10" t="inlineStr">
        <is>
          <t>Sep-25</t>
        </is>
      </c>
      <c r="K3" s="10" t="inlineStr">
        <is>
          <t>Oct-25</t>
        </is>
      </c>
      <c r="L3" s="10" t="inlineStr">
        <is>
          <t>Nov-25</t>
        </is>
      </c>
      <c r="M3" s="10" t="inlineStr">
        <is>
          <t>Dec-25</t>
        </is>
      </c>
    </row>
    <row r="5">
      <c r="A5" s="16" t="inlineStr">
        <is>
          <t>ASSETS</t>
        </is>
      </c>
    </row>
    <row r="6">
      <c r="A6" s="3" t="inlineStr">
        <is>
          <t>Current Assets:</t>
        </is>
      </c>
    </row>
    <row r="7">
      <c r="A7" t="inlineStr">
        <is>
          <t xml:space="preserve">  Cash</t>
        </is>
      </c>
      <c r="B7" s="12">
        <f>Workings!B80</f>
        <v/>
      </c>
      <c r="C7" s="12">
        <f>Workings!C80</f>
        <v/>
      </c>
      <c r="D7" s="12">
        <f>Workings!D80</f>
        <v/>
      </c>
      <c r="E7" s="12">
        <f>Workings!E80</f>
        <v/>
      </c>
      <c r="F7" s="12">
        <f>Workings!F80</f>
        <v/>
      </c>
      <c r="G7" s="12">
        <f>Workings!G80</f>
        <v/>
      </c>
      <c r="H7" s="12">
        <f>Workings!H80</f>
        <v/>
      </c>
      <c r="I7" s="12">
        <f>Workings!I80</f>
        <v/>
      </c>
      <c r="J7" s="12">
        <f>Workings!J80</f>
        <v/>
      </c>
      <c r="K7" s="12">
        <f>Workings!K80</f>
        <v/>
      </c>
      <c r="L7" s="12">
        <f>Workings!L80</f>
        <v/>
      </c>
      <c r="M7" s="12">
        <f>Workings!M80</f>
        <v/>
      </c>
    </row>
    <row r="8">
      <c r="A8" t="inlineStr">
        <is>
          <t xml:space="preserve">  Accounts Receivable</t>
        </is>
      </c>
      <c r="B8" s="12">
        <f>Workings!B14</f>
        <v/>
      </c>
      <c r="C8" s="12">
        <f>Workings!C14</f>
        <v/>
      </c>
      <c r="D8" s="12">
        <f>Workings!D14</f>
        <v/>
      </c>
      <c r="E8" s="12">
        <f>Workings!E14</f>
        <v/>
      </c>
      <c r="F8" s="12">
        <f>Workings!F14</f>
        <v/>
      </c>
      <c r="G8" s="12">
        <f>Workings!G14</f>
        <v/>
      </c>
      <c r="H8" s="12">
        <f>Workings!H14</f>
        <v/>
      </c>
      <c r="I8" s="12">
        <f>Workings!I14</f>
        <v/>
      </c>
      <c r="J8" s="12">
        <f>Workings!J14</f>
        <v/>
      </c>
      <c r="K8" s="12">
        <f>Workings!K14</f>
        <v/>
      </c>
      <c r="L8" s="12">
        <f>Workings!L14</f>
        <v/>
      </c>
      <c r="M8" s="12">
        <f>Workings!M14</f>
        <v/>
      </c>
    </row>
    <row r="9">
      <c r="A9" t="inlineStr">
        <is>
          <t xml:space="preserve">  Inventory</t>
        </is>
      </c>
      <c r="B9" s="12">
        <f>Workings!B20</f>
        <v/>
      </c>
      <c r="C9" s="12">
        <f>Workings!C20</f>
        <v/>
      </c>
      <c r="D9" s="12">
        <f>Workings!D20</f>
        <v/>
      </c>
      <c r="E9" s="12">
        <f>Workings!E20</f>
        <v/>
      </c>
      <c r="F9" s="12">
        <f>Workings!F20</f>
        <v/>
      </c>
      <c r="G9" s="12">
        <f>Workings!G20</f>
        <v/>
      </c>
      <c r="H9" s="12">
        <f>Workings!H20</f>
        <v/>
      </c>
      <c r="I9" s="12">
        <f>Workings!I20</f>
        <v/>
      </c>
      <c r="J9" s="12">
        <f>Workings!J20</f>
        <v/>
      </c>
      <c r="K9" s="12">
        <f>Workings!K20</f>
        <v/>
      </c>
      <c r="L9" s="12">
        <f>Workings!L20</f>
        <v/>
      </c>
      <c r="M9" s="12">
        <f>Workings!M20</f>
        <v/>
      </c>
    </row>
    <row r="10">
      <c r="A10" t="inlineStr">
        <is>
          <t xml:space="preserve">  Prepayments</t>
        </is>
      </c>
      <c r="B10" s="12">
        <f>Workings!B26</f>
        <v/>
      </c>
      <c r="C10" s="12">
        <f>Workings!C26</f>
        <v/>
      </c>
      <c r="D10" s="12">
        <f>Workings!D26</f>
        <v/>
      </c>
      <c r="E10" s="12">
        <f>Workings!E26</f>
        <v/>
      </c>
      <c r="F10" s="12">
        <f>Workings!F26</f>
        <v/>
      </c>
      <c r="G10" s="12">
        <f>Workings!G26</f>
        <v/>
      </c>
      <c r="H10" s="12">
        <f>Workings!H26</f>
        <v/>
      </c>
      <c r="I10" s="12">
        <f>Workings!I26</f>
        <v/>
      </c>
      <c r="J10" s="12">
        <f>Workings!J26</f>
        <v/>
      </c>
      <c r="K10" s="12">
        <f>Workings!K26</f>
        <v/>
      </c>
      <c r="L10" s="12">
        <f>Workings!L26</f>
        <v/>
      </c>
      <c r="M10" s="12">
        <f>Workings!M26</f>
        <v/>
      </c>
    </row>
    <row r="11">
      <c r="A11" s="3" t="inlineStr">
        <is>
          <t>Total Current Assets</t>
        </is>
      </c>
      <c r="B11" s="13">
        <f>SUM(B7:B10)</f>
        <v/>
      </c>
      <c r="C11" s="13">
        <f>SUM(C7:C10)</f>
        <v/>
      </c>
      <c r="D11" s="13">
        <f>SUM(D7:D10)</f>
        <v/>
      </c>
      <c r="E11" s="13">
        <f>SUM(E7:E10)</f>
        <v/>
      </c>
      <c r="F11" s="13">
        <f>SUM(F7:F10)</f>
        <v/>
      </c>
      <c r="G11" s="13">
        <f>SUM(G7:G10)</f>
        <v/>
      </c>
      <c r="H11" s="13">
        <f>SUM(H7:H10)</f>
        <v/>
      </c>
      <c r="I11" s="13">
        <f>SUM(I7:I10)</f>
        <v/>
      </c>
      <c r="J11" s="13">
        <f>SUM(J7:J10)</f>
        <v/>
      </c>
      <c r="K11" s="13">
        <f>SUM(K7:K10)</f>
        <v/>
      </c>
      <c r="L11" s="13">
        <f>SUM(L7:L10)</f>
        <v/>
      </c>
      <c r="M11" s="13">
        <f>SUM(M7:M10)</f>
        <v/>
      </c>
    </row>
    <row r="13">
      <c r="A13" s="3" t="inlineStr">
        <is>
          <t>Fixed Assets:</t>
        </is>
      </c>
    </row>
    <row r="14">
      <c r="A14" t="inlineStr">
        <is>
          <t xml:space="preserve">  PP&amp;E (Gross)</t>
        </is>
      </c>
      <c r="B14" s="12">
        <f>Workings!B50</f>
        <v/>
      </c>
      <c r="C14" s="12">
        <f>Workings!C50</f>
        <v/>
      </c>
      <c r="D14" s="12">
        <f>Workings!D50</f>
        <v/>
      </c>
      <c r="E14" s="12">
        <f>Workings!E50</f>
        <v/>
      </c>
      <c r="F14" s="12">
        <f>Workings!F50</f>
        <v/>
      </c>
      <c r="G14" s="12">
        <f>Workings!G50</f>
        <v/>
      </c>
      <c r="H14" s="12">
        <f>Workings!H50</f>
        <v/>
      </c>
      <c r="I14" s="12">
        <f>Workings!I50</f>
        <v/>
      </c>
      <c r="J14" s="12">
        <f>Workings!J50</f>
        <v/>
      </c>
      <c r="K14" s="12">
        <f>Workings!K50</f>
        <v/>
      </c>
      <c r="L14" s="12">
        <f>Workings!L50</f>
        <v/>
      </c>
      <c r="M14" s="12">
        <f>Workings!M50</f>
        <v/>
      </c>
    </row>
    <row r="15">
      <c r="A15" t="inlineStr">
        <is>
          <t xml:space="preserve">  Less: Accumulated Depreciation</t>
        </is>
      </c>
      <c r="B15" s="12">
        <f>-Workings!B56</f>
        <v/>
      </c>
      <c r="C15" s="12">
        <f>-Workings!C56</f>
        <v/>
      </c>
      <c r="D15" s="12">
        <f>-Workings!D56</f>
        <v/>
      </c>
      <c r="E15" s="12">
        <f>-Workings!E56</f>
        <v/>
      </c>
      <c r="F15" s="12">
        <f>-Workings!F56</f>
        <v/>
      </c>
      <c r="G15" s="12">
        <f>-Workings!G56</f>
        <v/>
      </c>
      <c r="H15" s="12">
        <f>-Workings!H56</f>
        <v/>
      </c>
      <c r="I15" s="12">
        <f>-Workings!I56</f>
        <v/>
      </c>
      <c r="J15" s="12">
        <f>-Workings!J56</f>
        <v/>
      </c>
      <c r="K15" s="12">
        <f>-Workings!K56</f>
        <v/>
      </c>
      <c r="L15" s="12">
        <f>-Workings!L56</f>
        <v/>
      </c>
      <c r="M15" s="12">
        <f>-Workings!M56</f>
        <v/>
      </c>
    </row>
    <row r="16">
      <c r="A16" s="3" t="inlineStr">
        <is>
          <t>Net PP&amp;E</t>
        </is>
      </c>
      <c r="B16" s="13">
        <f>B14+B15</f>
        <v/>
      </c>
      <c r="C16" s="13">
        <f>C14+C15</f>
        <v/>
      </c>
      <c r="D16" s="13">
        <f>D14+D15</f>
        <v/>
      </c>
      <c r="E16" s="13">
        <f>E14+E15</f>
        <v/>
      </c>
      <c r="F16" s="13">
        <f>F14+F15</f>
        <v/>
      </c>
      <c r="G16" s="13">
        <f>G14+G15</f>
        <v/>
      </c>
      <c r="H16" s="13">
        <f>H14+H15</f>
        <v/>
      </c>
      <c r="I16" s="13">
        <f>I14+I15</f>
        <v/>
      </c>
      <c r="J16" s="13">
        <f>J14+J15</f>
        <v/>
      </c>
      <c r="K16" s="13">
        <f>K14+K15</f>
        <v/>
      </c>
      <c r="L16" s="13">
        <f>L14+L15</f>
        <v/>
      </c>
      <c r="M16" s="13">
        <f>M14+M15</f>
        <v/>
      </c>
    </row>
    <row r="18">
      <c r="A18" s="14" t="inlineStr">
        <is>
          <t>TOTAL ASSETS</t>
        </is>
      </c>
      <c r="B18" s="15">
        <f>B11+B16</f>
        <v/>
      </c>
      <c r="C18" s="15">
        <f>C11+C16</f>
        <v/>
      </c>
      <c r="D18" s="15">
        <f>D11+D16</f>
        <v/>
      </c>
      <c r="E18" s="15">
        <f>E11+E16</f>
        <v/>
      </c>
      <c r="F18" s="15">
        <f>F11+F16</f>
        <v/>
      </c>
      <c r="G18" s="15">
        <f>G11+G16</f>
        <v/>
      </c>
      <c r="H18" s="15">
        <f>H11+H16</f>
        <v/>
      </c>
      <c r="I18" s="15">
        <f>I11+I16</f>
        <v/>
      </c>
      <c r="J18" s="15">
        <f>J11+J16</f>
        <v/>
      </c>
      <c r="K18" s="15">
        <f>K11+K16</f>
        <v/>
      </c>
      <c r="L18" s="15">
        <f>L11+L16</f>
        <v/>
      </c>
      <c r="M18" s="15">
        <f>M11+M16</f>
        <v/>
      </c>
    </row>
    <row r="20">
      <c r="A20" s="16" t="inlineStr">
        <is>
          <t>LIABILITIES</t>
        </is>
      </c>
    </row>
    <row r="21">
      <c r="A21" s="3" t="inlineStr">
        <is>
          <t>Current Liabilities:</t>
        </is>
      </c>
    </row>
    <row r="22">
      <c r="A22" t="inlineStr">
        <is>
          <t xml:space="preserve">  Accounts Payable</t>
        </is>
      </c>
      <c r="B22" s="12">
        <f>Workings!B32</f>
        <v/>
      </c>
      <c r="C22" s="12">
        <f>Workings!C32</f>
        <v/>
      </c>
      <c r="D22" s="12">
        <f>Workings!D32</f>
        <v/>
      </c>
      <c r="E22" s="12">
        <f>Workings!E32</f>
        <v/>
      </c>
      <c r="F22" s="12">
        <f>Workings!F32</f>
        <v/>
      </c>
      <c r="G22" s="12">
        <f>Workings!G32</f>
        <v/>
      </c>
      <c r="H22" s="12">
        <f>Workings!H32</f>
        <v/>
      </c>
      <c r="I22" s="12">
        <f>Workings!I32</f>
        <v/>
      </c>
      <c r="J22" s="12">
        <f>Workings!J32</f>
        <v/>
      </c>
      <c r="K22" s="12">
        <f>Workings!K32</f>
        <v/>
      </c>
      <c r="L22" s="12">
        <f>Workings!L32</f>
        <v/>
      </c>
      <c r="M22" s="12">
        <f>Workings!M32</f>
        <v/>
      </c>
    </row>
    <row r="23">
      <c r="A23" t="inlineStr">
        <is>
          <t xml:space="preserve">  Accrued Expenses</t>
        </is>
      </c>
      <c r="B23" s="12">
        <f>Workings!B38</f>
        <v/>
      </c>
      <c r="C23" s="12">
        <f>Workings!C38</f>
        <v/>
      </c>
      <c r="D23" s="12">
        <f>Workings!D38</f>
        <v/>
      </c>
      <c r="E23" s="12">
        <f>Workings!E38</f>
        <v/>
      </c>
      <c r="F23" s="12">
        <f>Workings!F38</f>
        <v/>
      </c>
      <c r="G23" s="12">
        <f>Workings!G38</f>
        <v/>
      </c>
      <c r="H23" s="12">
        <f>Workings!H38</f>
        <v/>
      </c>
      <c r="I23" s="12">
        <f>Workings!I38</f>
        <v/>
      </c>
      <c r="J23" s="12">
        <f>Workings!J38</f>
        <v/>
      </c>
      <c r="K23" s="12">
        <f>Workings!K38</f>
        <v/>
      </c>
      <c r="L23" s="12">
        <f>Workings!L38</f>
        <v/>
      </c>
      <c r="M23" s="12">
        <f>Workings!M38</f>
        <v/>
      </c>
    </row>
    <row r="24">
      <c r="A24" t="inlineStr">
        <is>
          <t xml:space="preserve">  Deferred Revenue</t>
        </is>
      </c>
      <c r="B24" s="12">
        <f>Workings!B44</f>
        <v/>
      </c>
      <c r="C24" s="12">
        <f>Workings!C44</f>
        <v/>
      </c>
      <c r="D24" s="12">
        <f>Workings!D44</f>
        <v/>
      </c>
      <c r="E24" s="12">
        <f>Workings!E44</f>
        <v/>
      </c>
      <c r="F24" s="12">
        <f>Workings!F44</f>
        <v/>
      </c>
      <c r="G24" s="12">
        <f>Workings!G44</f>
        <v/>
      </c>
      <c r="H24" s="12">
        <f>Workings!H44</f>
        <v/>
      </c>
      <c r="I24" s="12">
        <f>Workings!I44</f>
        <v/>
      </c>
      <c r="J24" s="12">
        <f>Workings!J44</f>
        <v/>
      </c>
      <c r="K24" s="12">
        <f>Workings!K44</f>
        <v/>
      </c>
      <c r="L24" s="12">
        <f>Workings!L44</f>
        <v/>
      </c>
      <c r="M24" s="12">
        <f>Workings!M44</f>
        <v/>
      </c>
    </row>
    <row r="25">
      <c r="A25" s="3" t="inlineStr">
        <is>
          <t>Total Current Liabilities</t>
        </is>
      </c>
      <c r="B25" s="13">
        <f>SUM(B22:B24)</f>
        <v/>
      </c>
      <c r="C25" s="13">
        <f>SUM(C22:C24)</f>
        <v/>
      </c>
      <c r="D25" s="13">
        <f>SUM(D22:D24)</f>
        <v/>
      </c>
      <c r="E25" s="13">
        <f>SUM(E22:E24)</f>
        <v/>
      </c>
      <c r="F25" s="13">
        <f>SUM(F22:F24)</f>
        <v/>
      </c>
      <c r="G25" s="13">
        <f>SUM(G22:G24)</f>
        <v/>
      </c>
      <c r="H25" s="13">
        <f>SUM(H22:H24)</f>
        <v/>
      </c>
      <c r="I25" s="13">
        <f>SUM(I22:I24)</f>
        <v/>
      </c>
      <c r="J25" s="13">
        <f>SUM(J22:J24)</f>
        <v/>
      </c>
      <c r="K25" s="13">
        <f>SUM(K22:K24)</f>
        <v/>
      </c>
      <c r="L25" s="13">
        <f>SUM(L22:L24)</f>
        <v/>
      </c>
      <c r="M25" s="13">
        <f>SUM(M22:M24)</f>
        <v/>
      </c>
    </row>
    <row r="27">
      <c r="A27" s="3" t="inlineStr">
        <is>
          <t>Long-term Liabilities:</t>
        </is>
      </c>
    </row>
    <row r="28">
      <c r="A28" t="inlineStr">
        <is>
          <t xml:space="preserve">  Long-term Debt</t>
        </is>
      </c>
      <c r="B28" s="12">
        <f>Workings!B62</f>
        <v/>
      </c>
      <c r="C28" s="12">
        <f>Workings!C62</f>
        <v/>
      </c>
      <c r="D28" s="12">
        <f>Workings!D62</f>
        <v/>
      </c>
      <c r="E28" s="12">
        <f>Workings!E62</f>
        <v/>
      </c>
      <c r="F28" s="12">
        <f>Workings!F62</f>
        <v/>
      </c>
      <c r="G28" s="12">
        <f>Workings!G62</f>
        <v/>
      </c>
      <c r="H28" s="12">
        <f>Workings!H62</f>
        <v/>
      </c>
      <c r="I28" s="12">
        <f>Workings!I62</f>
        <v/>
      </c>
      <c r="J28" s="12">
        <f>Workings!J62</f>
        <v/>
      </c>
      <c r="K28" s="12">
        <f>Workings!K62</f>
        <v/>
      </c>
      <c r="L28" s="12">
        <f>Workings!L62</f>
        <v/>
      </c>
      <c r="M28" s="12">
        <f>Workings!M62</f>
        <v/>
      </c>
    </row>
    <row r="29">
      <c r="A29" s="3" t="inlineStr">
        <is>
          <t>Total Long-term Liabilities</t>
        </is>
      </c>
      <c r="B29" s="13">
        <f>B28</f>
        <v/>
      </c>
      <c r="C29" s="13">
        <f>C28</f>
        <v/>
      </c>
      <c r="D29" s="13">
        <f>D28</f>
        <v/>
      </c>
      <c r="E29" s="13">
        <f>E28</f>
        <v/>
      </c>
      <c r="F29" s="13">
        <f>F28</f>
        <v/>
      </c>
      <c r="G29" s="13">
        <f>G28</f>
        <v/>
      </c>
      <c r="H29" s="13">
        <f>H28</f>
        <v/>
      </c>
      <c r="I29" s="13">
        <f>I28</f>
        <v/>
      </c>
      <c r="J29" s="13">
        <f>J28</f>
        <v/>
      </c>
      <c r="K29" s="13">
        <f>K28</f>
        <v/>
      </c>
      <c r="L29" s="13">
        <f>L28</f>
        <v/>
      </c>
      <c r="M29" s="13">
        <f>M28</f>
        <v/>
      </c>
    </row>
    <row r="31">
      <c r="A31" s="14" t="inlineStr">
        <is>
          <t>TOTAL LIABILITIES</t>
        </is>
      </c>
      <c r="B31" s="15">
        <f>B25+B29</f>
        <v/>
      </c>
      <c r="C31" s="15">
        <f>C25+C29</f>
        <v/>
      </c>
      <c r="D31" s="15">
        <f>D25+D29</f>
        <v/>
      </c>
      <c r="E31" s="15">
        <f>E25+E29</f>
        <v/>
      </c>
      <c r="F31" s="15">
        <f>F25+F29</f>
        <v/>
      </c>
      <c r="G31" s="15">
        <f>G25+G29</f>
        <v/>
      </c>
      <c r="H31" s="15">
        <f>H25+H29</f>
        <v/>
      </c>
      <c r="I31" s="15">
        <f>I25+I29</f>
        <v/>
      </c>
      <c r="J31" s="15">
        <f>J25+J29</f>
        <v/>
      </c>
      <c r="K31" s="15">
        <f>K25+K29</f>
        <v/>
      </c>
      <c r="L31" s="15">
        <f>L25+L29</f>
        <v/>
      </c>
      <c r="M31" s="15">
        <f>M25+M29</f>
        <v/>
      </c>
    </row>
    <row r="33">
      <c r="A33" s="16" t="inlineStr">
        <is>
          <t>EQUITY</t>
        </is>
      </c>
    </row>
    <row r="34">
      <c r="A34" t="inlineStr">
        <is>
          <t xml:space="preserve">  Share Capital</t>
        </is>
      </c>
      <c r="B34" s="12">
        <f>Workings!B70</f>
        <v/>
      </c>
      <c r="C34" s="12">
        <f>Workings!C70</f>
        <v/>
      </c>
      <c r="D34" s="12">
        <f>Workings!D70</f>
        <v/>
      </c>
      <c r="E34" s="12">
        <f>Workings!E70</f>
        <v/>
      </c>
      <c r="F34" s="12">
        <f>Workings!F70</f>
        <v/>
      </c>
      <c r="G34" s="12">
        <f>Workings!G70</f>
        <v/>
      </c>
      <c r="H34" s="12">
        <f>Workings!H70</f>
        <v/>
      </c>
      <c r="I34" s="12">
        <f>Workings!I70</f>
        <v/>
      </c>
      <c r="J34" s="12">
        <f>Workings!J70</f>
        <v/>
      </c>
      <c r="K34" s="12">
        <f>Workings!K70</f>
        <v/>
      </c>
      <c r="L34" s="12">
        <f>Workings!L70</f>
        <v/>
      </c>
      <c r="M34" s="12">
        <f>Workings!M70</f>
        <v/>
      </c>
    </row>
    <row r="35">
      <c r="A35" t="inlineStr">
        <is>
          <t xml:space="preserve">  Retained Earnings</t>
        </is>
      </c>
      <c r="B35" s="12">
        <f>Workings!B76</f>
        <v/>
      </c>
      <c r="C35" s="12">
        <f>Workings!C76</f>
        <v/>
      </c>
      <c r="D35" s="12">
        <f>Workings!D76</f>
        <v/>
      </c>
      <c r="E35" s="12">
        <f>Workings!E76</f>
        <v/>
      </c>
      <c r="F35" s="12">
        <f>Workings!F76</f>
        <v/>
      </c>
      <c r="G35" s="12">
        <f>Workings!G76</f>
        <v/>
      </c>
      <c r="H35" s="12">
        <f>Workings!H76</f>
        <v/>
      </c>
      <c r="I35" s="12">
        <f>Workings!I76</f>
        <v/>
      </c>
      <c r="J35" s="12">
        <f>Workings!J76</f>
        <v/>
      </c>
      <c r="K35" s="12">
        <f>Workings!K76</f>
        <v/>
      </c>
      <c r="L35" s="12">
        <f>Workings!L76</f>
        <v/>
      </c>
      <c r="M35" s="12">
        <f>Workings!M76</f>
        <v/>
      </c>
    </row>
    <row r="36">
      <c r="A36" s="14" t="inlineStr">
        <is>
          <t>TOTAL EQUITY</t>
        </is>
      </c>
      <c r="B36" s="15">
        <f>SUM(B34:B35)</f>
        <v/>
      </c>
      <c r="C36" s="15">
        <f>SUM(C34:C35)</f>
        <v/>
      </c>
      <c r="D36" s="15">
        <f>SUM(D34:D35)</f>
        <v/>
      </c>
      <c r="E36" s="15">
        <f>SUM(E34:E35)</f>
        <v/>
      </c>
      <c r="F36" s="15">
        <f>SUM(F34:F35)</f>
        <v/>
      </c>
      <c r="G36" s="15">
        <f>SUM(G34:G35)</f>
        <v/>
      </c>
      <c r="H36" s="15">
        <f>SUM(H34:H35)</f>
        <v/>
      </c>
      <c r="I36" s="15">
        <f>SUM(I34:I35)</f>
        <v/>
      </c>
      <c r="J36" s="15">
        <f>SUM(J34:J35)</f>
        <v/>
      </c>
      <c r="K36" s="15">
        <f>SUM(K34:K35)</f>
        <v/>
      </c>
      <c r="L36" s="15">
        <f>SUM(L34:L35)</f>
        <v/>
      </c>
      <c r="M36" s="15">
        <f>SUM(M34:M35)</f>
        <v/>
      </c>
    </row>
    <row r="38">
      <c r="A38" s="14" t="inlineStr">
        <is>
          <t>TOTAL LIABILITIES &amp; EQUITY</t>
        </is>
      </c>
      <c r="B38" s="17">
        <f>B31+B36</f>
        <v/>
      </c>
      <c r="C38" s="17">
        <f>C31+C36</f>
        <v/>
      </c>
      <c r="D38" s="17">
        <f>D31+D36</f>
        <v/>
      </c>
      <c r="E38" s="17">
        <f>E31+E36</f>
        <v/>
      </c>
      <c r="F38" s="17">
        <f>F31+F36</f>
        <v/>
      </c>
      <c r="G38" s="17">
        <f>G31+G36</f>
        <v/>
      </c>
      <c r="H38" s="17">
        <f>H31+H36</f>
        <v/>
      </c>
      <c r="I38" s="17">
        <f>I31+I36</f>
        <v/>
      </c>
      <c r="J38" s="17">
        <f>J31+J36</f>
        <v/>
      </c>
      <c r="K38" s="17">
        <f>K31+K36</f>
        <v/>
      </c>
      <c r="L38" s="17">
        <f>L31+L36</f>
        <v/>
      </c>
      <c r="M38" s="17">
        <f>M31+M36</f>
        <v/>
      </c>
    </row>
    <row r="40">
      <c r="A40" s="18" t="inlineStr">
        <is>
          <t>BALANCE CHECK (Should be 0)</t>
        </is>
      </c>
      <c r="B40" s="19">
        <f>B18-B38</f>
        <v/>
      </c>
      <c r="C40" s="19">
        <f>C18-C38</f>
        <v/>
      </c>
      <c r="D40" s="19">
        <f>D18-D38</f>
        <v/>
      </c>
      <c r="E40" s="19">
        <f>E18-E38</f>
        <v/>
      </c>
      <c r="F40" s="19">
        <f>F18-F38</f>
        <v/>
      </c>
      <c r="G40" s="19">
        <f>G18-G38</f>
        <v/>
      </c>
      <c r="H40" s="19">
        <f>H18-H38</f>
        <v/>
      </c>
      <c r="I40" s="19">
        <f>I18-I38</f>
        <v/>
      </c>
      <c r="J40" s="19">
        <f>J18-J38</f>
        <v/>
      </c>
      <c r="K40" s="19">
        <f>K18-K38</f>
        <v/>
      </c>
      <c r="L40" s="19">
        <f>L18-L38</f>
        <v/>
      </c>
      <c r="M40" s="19">
        <f>M18-M38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CASH FLOW STATEMENT (Indirect Method)</t>
        </is>
      </c>
    </row>
    <row r="3">
      <c r="A3" s="9" t="inlineStr">
        <is>
          <t>Period</t>
        </is>
      </c>
      <c r="B3" s="10" t="inlineStr">
        <is>
          <t>Jan-25</t>
        </is>
      </c>
      <c r="C3" s="10" t="inlineStr">
        <is>
          <t>Feb-25</t>
        </is>
      </c>
      <c r="D3" s="10" t="inlineStr">
        <is>
          <t>Mar-25</t>
        </is>
      </c>
      <c r="E3" s="10" t="inlineStr">
        <is>
          <t>Apr-25</t>
        </is>
      </c>
      <c r="F3" s="10" t="inlineStr">
        <is>
          <t>May-25</t>
        </is>
      </c>
      <c r="G3" s="10" t="inlineStr">
        <is>
          <t>Jun-25</t>
        </is>
      </c>
      <c r="H3" s="10" t="inlineStr">
        <is>
          <t>Jul-25</t>
        </is>
      </c>
      <c r="I3" s="10" t="inlineStr">
        <is>
          <t>Aug-25</t>
        </is>
      </c>
      <c r="J3" s="10" t="inlineStr">
        <is>
          <t>Sep-25</t>
        </is>
      </c>
      <c r="K3" s="10" t="inlineStr">
        <is>
          <t>Oct-25</t>
        </is>
      </c>
      <c r="L3" s="10" t="inlineStr">
        <is>
          <t>Nov-25</t>
        </is>
      </c>
      <c r="M3" s="10" t="inlineStr">
        <is>
          <t>Dec-25</t>
        </is>
      </c>
    </row>
    <row r="5">
      <c r="A5" s="11" t="inlineStr">
        <is>
          <t>OPERATING ACTIVITIES</t>
        </is>
      </c>
    </row>
    <row r="6">
      <c r="A6" t="inlineStr">
        <is>
          <t>Net Income</t>
        </is>
      </c>
      <c r="B6" s="12">
        <f>'Income Statement'!B19</f>
        <v/>
      </c>
      <c r="C6" s="12">
        <f>'Income Statement'!C19</f>
        <v/>
      </c>
      <c r="D6" s="12">
        <f>'Income Statement'!D19</f>
        <v/>
      </c>
      <c r="E6" s="12">
        <f>'Income Statement'!E19</f>
        <v/>
      </c>
      <c r="F6" s="12">
        <f>'Income Statement'!F19</f>
        <v/>
      </c>
      <c r="G6" s="12">
        <f>'Income Statement'!G19</f>
        <v/>
      </c>
      <c r="H6" s="12">
        <f>'Income Statement'!H19</f>
        <v/>
      </c>
      <c r="I6" s="12">
        <f>'Income Statement'!I19</f>
        <v/>
      </c>
      <c r="J6" s="12">
        <f>'Income Statement'!J19</f>
        <v/>
      </c>
      <c r="K6" s="12">
        <f>'Income Statement'!K19</f>
        <v/>
      </c>
      <c r="L6" s="12">
        <f>'Income Statement'!L19</f>
        <v/>
      </c>
      <c r="M6" s="12">
        <f>'Income Statement'!M19</f>
        <v/>
      </c>
    </row>
    <row r="7">
      <c r="A7" s="20" t="inlineStr">
        <is>
          <t>Adjustments:</t>
        </is>
      </c>
    </row>
    <row r="8">
      <c r="A8" t="inlineStr">
        <is>
          <t xml:space="preserve">  + Depreciation</t>
        </is>
      </c>
      <c r="B8" s="12">
        <f>Workings!B54</f>
        <v/>
      </c>
      <c r="C8" s="12">
        <f>Workings!C54</f>
        <v/>
      </c>
      <c r="D8" s="12">
        <f>Workings!D54</f>
        <v/>
      </c>
      <c r="E8" s="12">
        <f>Workings!E54</f>
        <v/>
      </c>
      <c r="F8" s="12">
        <f>Workings!F54</f>
        <v/>
      </c>
      <c r="G8" s="12">
        <f>Workings!G54</f>
        <v/>
      </c>
      <c r="H8" s="12">
        <f>Workings!H54</f>
        <v/>
      </c>
      <c r="I8" s="12">
        <f>Workings!I54</f>
        <v/>
      </c>
      <c r="J8" s="12">
        <f>Workings!J54</f>
        <v/>
      </c>
      <c r="K8" s="12">
        <f>Workings!K54</f>
        <v/>
      </c>
      <c r="L8" s="12">
        <f>Workings!L54</f>
        <v/>
      </c>
      <c r="M8" s="12">
        <f>Workings!M54</f>
        <v/>
      </c>
    </row>
    <row r="9">
      <c r="A9" s="20" t="inlineStr">
        <is>
          <t>Changes in Working Capital:</t>
        </is>
      </c>
    </row>
    <row r="10">
      <c r="A10" t="inlineStr">
        <is>
          <t xml:space="preserve">  - Increase in AR</t>
        </is>
      </c>
      <c r="B10" s="12">
        <f>-(Workings!B14-Workings!B11)</f>
        <v/>
      </c>
      <c r="C10" s="12">
        <f>-(Workings!C14-Workings!B14)</f>
        <v/>
      </c>
      <c r="D10" s="12">
        <f>-(Workings!D14-Workings!C14)</f>
        <v/>
      </c>
      <c r="E10" s="12">
        <f>-(Workings!E14-Workings!D14)</f>
        <v/>
      </c>
      <c r="F10" s="12">
        <f>-(Workings!F14-Workings!E14)</f>
        <v/>
      </c>
      <c r="G10" s="12">
        <f>-(Workings!G14-Workings!F14)</f>
        <v/>
      </c>
      <c r="H10" s="12">
        <f>-(Workings!H14-Workings!G14)</f>
        <v/>
      </c>
      <c r="I10" s="12">
        <f>-(Workings!I14-Workings!H14)</f>
        <v/>
      </c>
      <c r="J10" s="12">
        <f>-(Workings!J14-Workings!I14)</f>
        <v/>
      </c>
      <c r="K10" s="12">
        <f>-(Workings!K14-Workings!J14)</f>
        <v/>
      </c>
      <c r="L10" s="12">
        <f>-(Workings!L14-Workings!K14)</f>
        <v/>
      </c>
      <c r="M10" s="12">
        <f>-(Workings!M14-Workings!L14)</f>
        <v/>
      </c>
    </row>
    <row r="11">
      <c r="A11" t="inlineStr">
        <is>
          <t xml:space="preserve">  - Increase in Inventory</t>
        </is>
      </c>
      <c r="B11" s="12">
        <f>-(Workings!B20-Workings!B17)</f>
        <v/>
      </c>
      <c r="C11" s="12">
        <f>-(Workings!C20-Workings!B20)</f>
        <v/>
      </c>
      <c r="D11" s="12">
        <f>-(Workings!D20-Workings!C20)</f>
        <v/>
      </c>
      <c r="E11" s="12">
        <f>-(Workings!E20-Workings!D20)</f>
        <v/>
      </c>
      <c r="F11" s="12">
        <f>-(Workings!F20-Workings!E20)</f>
        <v/>
      </c>
      <c r="G11" s="12">
        <f>-(Workings!G20-Workings!F20)</f>
        <v/>
      </c>
      <c r="H11" s="12">
        <f>-(Workings!H20-Workings!G20)</f>
        <v/>
      </c>
      <c r="I11" s="12">
        <f>-(Workings!I20-Workings!H20)</f>
        <v/>
      </c>
      <c r="J11" s="12">
        <f>-(Workings!J20-Workings!I20)</f>
        <v/>
      </c>
      <c r="K11" s="12">
        <f>-(Workings!K20-Workings!J20)</f>
        <v/>
      </c>
      <c r="L11" s="12">
        <f>-(Workings!L20-Workings!K20)</f>
        <v/>
      </c>
      <c r="M11" s="12">
        <f>-(Workings!M20-Workings!L20)</f>
        <v/>
      </c>
    </row>
    <row r="12">
      <c r="A12" t="inlineStr">
        <is>
          <t xml:space="preserve">  - Increase in Prepayments</t>
        </is>
      </c>
      <c r="B12" s="12">
        <f>-(Workings!B26-Workings!B23)</f>
        <v/>
      </c>
      <c r="C12" s="12">
        <f>-(Workings!C26-Workings!B26)</f>
        <v/>
      </c>
      <c r="D12" s="12">
        <f>-(Workings!D26-Workings!C26)</f>
        <v/>
      </c>
      <c r="E12" s="12">
        <f>-(Workings!E26-Workings!D26)</f>
        <v/>
      </c>
      <c r="F12" s="12">
        <f>-(Workings!F26-Workings!E26)</f>
        <v/>
      </c>
      <c r="G12" s="12">
        <f>-(Workings!G26-Workings!F26)</f>
        <v/>
      </c>
      <c r="H12" s="12">
        <f>-(Workings!H26-Workings!G26)</f>
        <v/>
      </c>
      <c r="I12" s="12">
        <f>-(Workings!I26-Workings!H26)</f>
        <v/>
      </c>
      <c r="J12" s="12">
        <f>-(Workings!J26-Workings!I26)</f>
        <v/>
      </c>
      <c r="K12" s="12">
        <f>-(Workings!K26-Workings!J26)</f>
        <v/>
      </c>
      <c r="L12" s="12">
        <f>-(Workings!L26-Workings!K26)</f>
        <v/>
      </c>
      <c r="M12" s="12">
        <f>-(Workings!M26-Workings!L26)</f>
        <v/>
      </c>
    </row>
    <row r="13">
      <c r="A13" t="inlineStr">
        <is>
          <t xml:space="preserve">  + Increase in AP</t>
        </is>
      </c>
      <c r="B13" s="12">
        <f>Workings!B32-Workings!B29</f>
        <v/>
      </c>
      <c r="C13" s="12">
        <f>Workings!C32-Workings!B32</f>
        <v/>
      </c>
      <c r="D13" s="12">
        <f>Workings!D32-Workings!C32</f>
        <v/>
      </c>
      <c r="E13" s="12">
        <f>Workings!E32-Workings!D32</f>
        <v/>
      </c>
      <c r="F13" s="12">
        <f>Workings!F32-Workings!E32</f>
        <v/>
      </c>
      <c r="G13" s="12">
        <f>Workings!G32-Workings!F32</f>
        <v/>
      </c>
      <c r="H13" s="12">
        <f>Workings!H32-Workings!G32</f>
        <v/>
      </c>
      <c r="I13" s="12">
        <f>Workings!I32-Workings!H32</f>
        <v/>
      </c>
      <c r="J13" s="12">
        <f>Workings!J32-Workings!I32</f>
        <v/>
      </c>
      <c r="K13" s="12">
        <f>Workings!K32-Workings!J32</f>
        <v/>
      </c>
      <c r="L13" s="12">
        <f>Workings!L32-Workings!K32</f>
        <v/>
      </c>
      <c r="M13" s="12">
        <f>Workings!M32-Workings!L32</f>
        <v/>
      </c>
    </row>
    <row r="14">
      <c r="A14" t="inlineStr">
        <is>
          <t xml:space="preserve">  + Increase in Accrued Expenses</t>
        </is>
      </c>
      <c r="B14" s="12">
        <f>Workings!B38-Workings!B35</f>
        <v/>
      </c>
      <c r="C14" s="12">
        <f>Workings!C38-Workings!B38</f>
        <v/>
      </c>
      <c r="D14" s="12">
        <f>Workings!D38-Workings!C38</f>
        <v/>
      </c>
      <c r="E14" s="12">
        <f>Workings!E38-Workings!D38</f>
        <v/>
      </c>
      <c r="F14" s="12">
        <f>Workings!F38-Workings!E38</f>
        <v/>
      </c>
      <c r="G14" s="12">
        <f>Workings!G38-Workings!F38</f>
        <v/>
      </c>
      <c r="H14" s="12">
        <f>Workings!H38-Workings!G38</f>
        <v/>
      </c>
      <c r="I14" s="12">
        <f>Workings!I38-Workings!H38</f>
        <v/>
      </c>
      <c r="J14" s="12">
        <f>Workings!J38-Workings!I38</f>
        <v/>
      </c>
      <c r="K14" s="12">
        <f>Workings!K38-Workings!J38</f>
        <v/>
      </c>
      <c r="L14" s="12">
        <f>Workings!L38-Workings!K38</f>
        <v/>
      </c>
      <c r="M14" s="12">
        <f>Workings!M38-Workings!L38</f>
        <v/>
      </c>
    </row>
    <row r="15">
      <c r="A15" t="inlineStr">
        <is>
          <t xml:space="preserve">  + Increase in Deferred Revenue</t>
        </is>
      </c>
      <c r="B15" s="12">
        <f>Workings!B44-Workings!B41</f>
        <v/>
      </c>
      <c r="C15" s="12">
        <f>Workings!C44-Workings!B44</f>
        <v/>
      </c>
      <c r="D15" s="12">
        <f>Workings!D44-Workings!C44</f>
        <v/>
      </c>
      <c r="E15" s="12">
        <f>Workings!E44-Workings!D44</f>
        <v/>
      </c>
      <c r="F15" s="12">
        <f>Workings!F44-Workings!E44</f>
        <v/>
      </c>
      <c r="G15" s="12">
        <f>Workings!G44-Workings!F44</f>
        <v/>
      </c>
      <c r="H15" s="12">
        <f>Workings!H44-Workings!G44</f>
        <v/>
      </c>
      <c r="I15" s="12">
        <f>Workings!I44-Workings!H44</f>
        <v/>
      </c>
      <c r="J15" s="12">
        <f>Workings!J44-Workings!I44</f>
        <v/>
      </c>
      <c r="K15" s="12">
        <f>Workings!K44-Workings!J44</f>
        <v/>
      </c>
      <c r="L15" s="12">
        <f>Workings!L44-Workings!K44</f>
        <v/>
      </c>
      <c r="M15" s="12">
        <f>Workings!M44-Workings!L44</f>
        <v/>
      </c>
    </row>
    <row r="16">
      <c r="A16" s="3" t="inlineStr">
        <is>
          <t>Cash from Operating Activities</t>
        </is>
      </c>
      <c r="B16" s="13">
        <f>B6+B8+SUM(B10:B15)</f>
        <v/>
      </c>
      <c r="C16" s="13">
        <f>C6+C8+SUM(C10:C15)</f>
        <v/>
      </c>
      <c r="D16" s="13">
        <f>D6+D8+SUM(D10:D15)</f>
        <v/>
      </c>
      <c r="E16" s="13">
        <f>E6+E8+SUM(E10:E15)</f>
        <v/>
      </c>
      <c r="F16" s="13">
        <f>F6+F8+SUM(F10:F15)</f>
        <v/>
      </c>
      <c r="G16" s="13">
        <f>G6+G8+SUM(G10:G15)</f>
        <v/>
      </c>
      <c r="H16" s="13">
        <f>H6+H8+SUM(H10:H15)</f>
        <v/>
      </c>
      <c r="I16" s="13">
        <f>I6+I8+SUM(I10:I15)</f>
        <v/>
      </c>
      <c r="J16" s="13">
        <f>J6+J8+SUM(J10:J15)</f>
        <v/>
      </c>
      <c r="K16" s="13">
        <f>K6+K8+SUM(K10:K15)</f>
        <v/>
      </c>
      <c r="L16" s="13">
        <f>L6+L8+SUM(L10:L15)</f>
        <v/>
      </c>
      <c r="M16" s="13">
        <f>M6+M8+SUM(M10:M15)</f>
        <v/>
      </c>
    </row>
    <row r="18">
      <c r="A18" s="11" t="inlineStr">
        <is>
          <t>INVESTING ACTIVITIES</t>
        </is>
      </c>
    </row>
    <row r="19">
      <c r="A19" t="inlineStr">
        <is>
          <t xml:space="preserve">  Capital Expenditure</t>
        </is>
      </c>
      <c r="B19" s="12">
        <f>-Workings!B48</f>
        <v/>
      </c>
      <c r="C19" s="12">
        <f>-Workings!C48</f>
        <v/>
      </c>
      <c r="D19" s="12">
        <f>-Workings!D48</f>
        <v/>
      </c>
      <c r="E19" s="12">
        <f>-Workings!E48</f>
        <v/>
      </c>
      <c r="F19" s="12">
        <f>-Workings!F48</f>
        <v/>
      </c>
      <c r="G19" s="12">
        <f>-Workings!G48</f>
        <v/>
      </c>
      <c r="H19" s="12">
        <f>-Workings!H48</f>
        <v/>
      </c>
      <c r="I19" s="12">
        <f>-Workings!I48</f>
        <v/>
      </c>
      <c r="J19" s="12">
        <f>-Workings!J48</f>
        <v/>
      </c>
      <c r="K19" s="12">
        <f>-Workings!K48</f>
        <v/>
      </c>
      <c r="L19" s="12">
        <f>-Workings!L48</f>
        <v/>
      </c>
      <c r="M19" s="12">
        <f>-Workings!M48</f>
        <v/>
      </c>
    </row>
    <row r="20">
      <c r="A20" s="3" t="inlineStr">
        <is>
          <t>Cash from Investing Activities</t>
        </is>
      </c>
      <c r="B20" s="13">
        <f>B19</f>
        <v/>
      </c>
      <c r="C20" s="13">
        <f>C19</f>
        <v/>
      </c>
      <c r="D20" s="13">
        <f>D19</f>
        <v/>
      </c>
      <c r="E20" s="13">
        <f>E19</f>
        <v/>
      </c>
      <c r="F20" s="13">
        <f>F19</f>
        <v/>
      </c>
      <c r="G20" s="13">
        <f>G19</f>
        <v/>
      </c>
      <c r="H20" s="13">
        <f>H19</f>
        <v/>
      </c>
      <c r="I20" s="13">
        <f>I19</f>
        <v/>
      </c>
      <c r="J20" s="13">
        <f>J19</f>
        <v/>
      </c>
      <c r="K20" s="13">
        <f>K19</f>
        <v/>
      </c>
      <c r="L20" s="13">
        <f>L19</f>
        <v/>
      </c>
      <c r="M20" s="13">
        <f>M19</f>
        <v/>
      </c>
    </row>
    <row r="22">
      <c r="A22" s="11" t="inlineStr">
        <is>
          <t>FINANCING ACTIVITIES</t>
        </is>
      </c>
    </row>
    <row r="23">
      <c r="A23" t="inlineStr">
        <is>
          <t xml:space="preserve">  Debt Repayments</t>
        </is>
      </c>
      <c r="B23" s="12">
        <f>-Workings!B61</f>
        <v/>
      </c>
      <c r="C23" s="12">
        <f>-Workings!C61</f>
        <v/>
      </c>
      <c r="D23" s="12">
        <f>-Workings!D61</f>
        <v/>
      </c>
      <c r="E23" s="12">
        <f>-Workings!E61</f>
        <v/>
      </c>
      <c r="F23" s="12">
        <f>-Workings!F61</f>
        <v/>
      </c>
      <c r="G23" s="12">
        <f>-Workings!G61</f>
        <v/>
      </c>
      <c r="H23" s="12">
        <f>-Workings!H61</f>
        <v/>
      </c>
      <c r="I23" s="12">
        <f>-Workings!I61</f>
        <v/>
      </c>
      <c r="J23" s="12">
        <f>-Workings!J61</f>
        <v/>
      </c>
      <c r="K23" s="12">
        <f>-Workings!K61</f>
        <v/>
      </c>
      <c r="L23" s="12">
        <f>-Workings!L61</f>
        <v/>
      </c>
      <c r="M23" s="12">
        <f>-Workings!M61</f>
        <v/>
      </c>
    </row>
    <row r="24">
      <c r="A24" t="inlineStr">
        <is>
          <t xml:space="preserve">  Dividends Paid</t>
        </is>
      </c>
      <c r="B24" s="12" t="n">
        <v>0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</row>
    <row r="25">
      <c r="A25" s="3" t="inlineStr">
        <is>
          <t>Cash from Financing Activities</t>
        </is>
      </c>
      <c r="B25" s="13">
        <f>SUM(B23:B24)</f>
        <v/>
      </c>
      <c r="C25" s="13">
        <f>SUM(C23:C24)</f>
        <v/>
      </c>
      <c r="D25" s="13">
        <f>SUM(D23:D24)</f>
        <v/>
      </c>
      <c r="E25" s="13">
        <f>SUM(E23:E24)</f>
        <v/>
      </c>
      <c r="F25" s="13">
        <f>SUM(F23:F24)</f>
        <v/>
      </c>
      <c r="G25" s="13">
        <f>SUM(G23:G24)</f>
        <v/>
      </c>
      <c r="H25" s="13">
        <f>SUM(H23:H24)</f>
        <v/>
      </c>
      <c r="I25" s="13">
        <f>SUM(I23:I24)</f>
        <v/>
      </c>
      <c r="J25" s="13">
        <f>SUM(J23:J24)</f>
        <v/>
      </c>
      <c r="K25" s="13">
        <f>SUM(K23:K24)</f>
        <v/>
      </c>
      <c r="L25" s="13">
        <f>SUM(L23:L24)</f>
        <v/>
      </c>
      <c r="M25" s="13">
        <f>SUM(M23:M24)</f>
        <v/>
      </c>
    </row>
    <row r="27">
      <c r="A27" s="14" t="inlineStr">
        <is>
          <t>Net Change in Cash</t>
        </is>
      </c>
      <c r="B27" s="15">
        <f>B16+B20+B25</f>
        <v/>
      </c>
      <c r="C27" s="15">
        <f>C16+C20+C25</f>
        <v/>
      </c>
      <c r="D27" s="15">
        <f>D16+D20+D25</f>
        <v/>
      </c>
      <c r="E27" s="15">
        <f>E16+E20+E25</f>
        <v/>
      </c>
      <c r="F27" s="15">
        <f>F16+F20+F25</f>
        <v/>
      </c>
      <c r="G27" s="15">
        <f>G16+G20+G25</f>
        <v/>
      </c>
      <c r="H27" s="15">
        <f>H16+H20+H25</f>
        <v/>
      </c>
      <c r="I27" s="15">
        <f>I16+I20+I25</f>
        <v/>
      </c>
      <c r="J27" s="15">
        <f>J16+J20+J25</f>
        <v/>
      </c>
      <c r="K27" s="15">
        <f>K16+K20+K25</f>
        <v/>
      </c>
      <c r="L27" s="15">
        <f>L16+L20+L25</f>
        <v/>
      </c>
      <c r="M27" s="15">
        <f>M16+M20+M25</f>
        <v/>
      </c>
    </row>
    <row r="29">
      <c r="A29" t="inlineStr">
        <is>
          <t>Opening Cash</t>
        </is>
      </c>
      <c r="B29" s="12">
        <f>Workings!B79</f>
        <v/>
      </c>
      <c r="C29" s="12">
        <f>Workings!C79</f>
        <v/>
      </c>
      <c r="D29" s="12">
        <f>Workings!D79</f>
        <v/>
      </c>
      <c r="E29" s="12">
        <f>Workings!E79</f>
        <v/>
      </c>
      <c r="F29" s="12">
        <f>Workings!F79</f>
        <v/>
      </c>
      <c r="G29" s="12">
        <f>Workings!G79</f>
        <v/>
      </c>
      <c r="H29" s="12">
        <f>Workings!H79</f>
        <v/>
      </c>
      <c r="I29" s="12">
        <f>Workings!I79</f>
        <v/>
      </c>
      <c r="J29" s="12">
        <f>Workings!J79</f>
        <v/>
      </c>
      <c r="K29" s="12">
        <f>Workings!K79</f>
        <v/>
      </c>
      <c r="L29" s="12">
        <f>Workings!L79</f>
        <v/>
      </c>
      <c r="M29" s="12">
        <f>Workings!M79</f>
        <v/>
      </c>
    </row>
    <row r="30">
      <c r="A30" s="14" t="inlineStr">
        <is>
          <t>Closing Cash</t>
        </is>
      </c>
      <c r="B30" s="17">
        <f>B29+B27</f>
        <v/>
      </c>
      <c r="C30" s="17">
        <f>C29+C27</f>
        <v/>
      </c>
      <c r="D30" s="17">
        <f>D29+D27</f>
        <v/>
      </c>
      <c r="E30" s="17">
        <f>E29+E27</f>
        <v/>
      </c>
      <c r="F30" s="17">
        <f>F29+F27</f>
        <v/>
      </c>
      <c r="G30" s="17">
        <f>G29+G27</f>
        <v/>
      </c>
      <c r="H30" s="17">
        <f>H29+H27</f>
        <v/>
      </c>
      <c r="I30" s="17">
        <f>I29+I27</f>
        <v/>
      </c>
      <c r="J30" s="17">
        <f>J29+J27</f>
        <v/>
      </c>
      <c r="K30" s="17">
        <f>K29+K27</f>
        <v/>
      </c>
      <c r="L30" s="17">
        <f>L29+L27</f>
        <v/>
      </c>
      <c r="M30" s="17">
        <f>M29+M27</f>
        <v/>
      </c>
    </row>
    <row r="32">
      <c r="A32" s="18" t="inlineStr">
        <is>
          <t>Check vs Balance Sheet (Should be 0)</t>
        </is>
      </c>
      <c r="B32" s="19">
        <f>B30-'Balance Sheet'!B7</f>
        <v/>
      </c>
      <c r="C32" s="19">
        <f>C30-'Balance Sheet'!C7</f>
        <v/>
      </c>
      <c r="D32" s="19">
        <f>D30-'Balance Sheet'!D7</f>
        <v/>
      </c>
      <c r="E32" s="19">
        <f>E30-'Balance Sheet'!E7</f>
        <v/>
      </c>
      <c r="F32" s="19">
        <f>F30-'Balance Sheet'!F7</f>
        <v/>
      </c>
      <c r="G32" s="19">
        <f>G30-'Balance Sheet'!G7</f>
        <v/>
      </c>
      <c r="H32" s="19">
        <f>H30-'Balance Sheet'!H7</f>
        <v/>
      </c>
      <c r="I32" s="19">
        <f>I30-'Balance Sheet'!I7</f>
        <v/>
      </c>
      <c r="J32" s="19">
        <f>J30-'Balance Sheet'!J7</f>
        <v/>
      </c>
      <c r="K32" s="19">
        <f>K30-'Balance Sheet'!K7</f>
        <v/>
      </c>
      <c r="L32" s="19">
        <f>L30-'Balance Sheet'!L7</f>
        <v/>
      </c>
      <c r="M32" s="19">
        <f>M30-'Balance Sheet'!M7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2025-11-17T00:46:59Z</dcterms:created>
  <dcterms:modified xsi:type="dcterms:W3CDTF">2025-11-17T00:46:59Z</dcterms:modified>
</cp:coreProperties>
</file>