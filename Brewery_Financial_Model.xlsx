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Control" sheetId="1" r:id="rId1"/>
    <sheet name="02_Inputs" sheetId="2" r:id="rId2"/>
    <sheet name="03_Calcs" sheetId="3" r:id="rId3"/>
    <sheet name="04_Outputs" sheetId="4" r:id="rId4"/>
    <sheet name="05_Dashboard" sheetId="5" r:id="rId5"/>
  </sheets>
  <calcPr calcId="124519" fullCalcOnLoad="1"/>
</workbook>
</file>

<file path=xl/sharedStrings.xml><?xml version="1.0" encoding="utf-8"?>
<sst xmlns="http://schemas.openxmlformats.org/spreadsheetml/2006/main" count="117" uniqueCount="104">
  <si>
    <t>MODEL CONTROL PANEL</t>
  </si>
  <si>
    <t>Scenario Selector (1=Base, 2=Spike)</t>
  </si>
  <si>
    <t>Scenario Assumptions</t>
  </si>
  <si>
    <t>Malt Price Spike (%)</t>
  </si>
  <si>
    <t>Hops Price Spike (%)</t>
  </si>
  <si>
    <t>OPERATIONAL INPUTS</t>
  </si>
  <si>
    <t>Base Malt Price ($/kg)</t>
  </si>
  <si>
    <t>Base Hops Price ($/kg)</t>
  </si>
  <si>
    <t>Live Malt Price</t>
  </si>
  <si>
    <t>Live Hops Price</t>
  </si>
  <si>
    <t>Seasonality</t>
  </si>
  <si>
    <t>Loss Rate</t>
  </si>
  <si>
    <t>Channel Split On-Trade %</t>
  </si>
  <si>
    <t>Labor</t>
  </si>
  <si>
    <t>Brewing</t>
  </si>
  <si>
    <t>Packaging</t>
  </si>
  <si>
    <t>Sales</t>
  </si>
  <si>
    <t>Admin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</si>
  <si>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</si>
  <si>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</si>
  <si>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</si>
  <si>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</si>
  <si>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</si>
  <si>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</si>
  <si>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</si>
  <si>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</si>
  <si>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</si>
  <si>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</si>
  <si>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</si>
  <si>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</si>
  <si>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</si>
  <si>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</si>
  <si>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</si>
  <si>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</si>
  <si>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</si>
  <si>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</si>
  <si>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</si>
  <si>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</si>
  <si>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</si>
  <si>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</si>
  <si>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</si>
  <si>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</si>
  <si>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</si>
  <si>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</si>
  <si>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</si>
  <si>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</si>
  <si>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</si>
  <si>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</si>
  <si>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</si>
  <si>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</si>
  <si>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</si>
  <si>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</si>
  <si>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</si>
  <si>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</si>
  <si>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</si>
  <si>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</si>
  <si>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</si>
  <si>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</si>
  <si>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</si>
  <si>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</si>
  <si>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</si>
  <si>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</si>
  <si>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</si>
  <si>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</si>
  <si>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</si>
  <si>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</si>
  <si>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</si>
  <si>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</si>
  <si>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</si>
  <si>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</si>
  <si>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</si>
  <si>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</si>
  <si>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</si>
  <si>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</si>
  <si>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</si>
  <si>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</si>
  <si>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</si>
  <si>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</si>
  <si>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Crisp Lager</t>
  </si>
  <si>
    <t>Pacific Pale</t>
  </si>
  <si>
    <t>Hops Smash IPA</t>
  </si>
  <si>
    <t>Night Owl Stout</t>
  </si>
  <si>
    <t>Summer Ale</t>
  </si>
  <si>
    <t>Barrel Aged Ltd</t>
  </si>
  <si>
    <t>Total Volume HL</t>
  </si>
  <si>
    <t>Net Revenue</t>
  </si>
  <si>
    <t>Total COGS</t>
  </si>
  <si>
    <t>Total OpEx</t>
  </si>
  <si>
    <t>Y2</t>
  </si>
  <si>
    <t>Y3</t>
  </si>
  <si>
    <t>Y4</t>
  </si>
  <si>
    <t>Y5</t>
  </si>
  <si>
    <t>INCOME STATEMENT</t>
  </si>
  <si>
    <t>COGS</t>
  </si>
  <si>
    <t>OpEx</t>
  </si>
  <si>
    <t>EBITDA</t>
  </si>
  <si>
    <t>BALANCE SHEET</t>
  </si>
  <si>
    <t>Cash Asset</t>
  </si>
  <si>
    <t>CASH FLOW</t>
  </si>
  <si>
    <t>Net Cash Flow</t>
  </si>
  <si>
    <t>Opening Cash</t>
  </si>
  <si>
    <t>Closing Cash</t>
  </si>
  <si>
    <t>BREWERY KPI DASHBOARD</t>
  </si>
  <si>
    <t>Year 1 EBITDA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</si>
</sst>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#,##0"/>
  </numFmts>
  <fonts count="5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4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5" fontId="2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40.7109375" customWidth="1"/>
  </cols>
  <sheetData>
    <row r="1" spans="1:2">
      <c r="A1" s="1" t="s">
        <v>0</v>
      </c>
    </row>
    <row r="3" spans="1:2">
      <c r="A3" s="2" t="s">
        <v>1</v>
      </c>
      <c r="B3" s="3">
        <v>1</v>
      </c>
    </row>
    <row r="5" spans="1:2">
      <c r="A5" s="2" t="s">
        <v>2</v>
      </c>
    </row>
    <row r="6" spans="1:2">
      <c r="A6" s="4" t="s">
        <v>3</v>
      </c>
      <c r="B6" s="5">
        <v>0.25</v>
      </c>
    </row>
    <row r="7" spans="1:2">
      <c r="A7" s="4" t="s">
        <v>4</v>
      </c>
      <c r="B7" s="5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cols>
    <col min="1" max="1" width="25.7109375" customWidth="1"/>
  </cols>
  <sheetData>
    <row r="1" spans="1:12">
      <c r="A1" s="1" t="s">
        <v>5</v>
      </c>
    </row>
    <row r="3" spans="1:12">
      <c r="A3" s="2" t="s">
        <v>6</v>
      </c>
      <c r="B3" s="3">
        <v>1.25</v>
      </c>
    </row>
    <row r="4" spans="1:12">
      <c r="A4" s="2" t="s">
        <v>7</v>
      </c>
      <c r="B4" s="3">
        <v>48</v>
      </c>
    </row>
    <row r="6" spans="1:12">
      <c r="A6" s="4" t="s">
        <v>8</v>
      </c>
      <c r="B6" s="6">
        <f>IF('01_Control'!$B$3=2, $B$3*(1+'01_Control'!$B$6), $B$3)</f>
        <v>0</v>
      </c>
    </row>
    <row r="7" spans="1:12">
      <c r="A7" s="4" t="s">
        <v>9</v>
      </c>
      <c r="B7" s="6">
        <f>IF('01_Control'!$B$3=2, $B$4*(1+'01_Control'!$B$7), $B$4)</f>
        <v>0</v>
      </c>
    </row>
    <row r="9" spans="1:12">
      <c r="A9" s="2" t="s">
        <v>10</v>
      </c>
    </row>
    <row r="11" spans="1:12">
      <c r="A11" s="3">
        <v>1.2</v>
      </c>
      <c r="B11" s="3">
        <v>1.1</v>
      </c>
      <c r="C11" s="3">
        <v>0.9</v>
      </c>
      <c r="D11" s="3">
        <v>0.8</v>
      </c>
      <c r="E11" s="3">
        <v>0.7</v>
      </c>
      <c r="F11" s="3">
        <v>0.8</v>
      </c>
      <c r="G11" s="3">
        <v>0.9</v>
      </c>
      <c r="H11" s="3">
        <v>1</v>
      </c>
      <c r="I11" s="3">
        <v>1.1</v>
      </c>
      <c r="J11" s="3">
        <v>1.2</v>
      </c>
      <c r="K11" s="3">
        <v>1.3</v>
      </c>
      <c r="L11" s="3">
        <v>1.4</v>
      </c>
    </row>
    <row r="12" spans="1:12">
      <c r="A12" s="4" t="s">
        <v>11</v>
      </c>
      <c r="B12" s="5">
        <v>0.07000000000000001</v>
      </c>
    </row>
    <row r="13" spans="1:12">
      <c r="A13" s="4" t="s">
        <v>12</v>
      </c>
      <c r="B13" s="5">
        <v>0.35</v>
      </c>
    </row>
    <row r="15" spans="1:12">
      <c r="A15" s="2" t="s">
        <v>13</v>
      </c>
    </row>
    <row r="17" spans="1:3">
      <c r="A17" s="4" t="s">
        <v>14</v>
      </c>
      <c r="B17" s="3">
        <v>4</v>
      </c>
      <c r="C17" s="3">
        <v>85000</v>
      </c>
    </row>
    <row r="18" spans="1:3">
      <c r="A18" s="4" t="s">
        <v>15</v>
      </c>
      <c r="B18" s="3">
        <v>3</v>
      </c>
      <c r="C18" s="3">
        <v>65000</v>
      </c>
    </row>
    <row r="19" spans="1:3">
      <c r="A19" s="4" t="s">
        <v>16</v>
      </c>
      <c r="B19" s="3">
        <v>3</v>
      </c>
      <c r="C19" s="3">
        <v>95000</v>
      </c>
    </row>
    <row r="20" spans="1:3">
      <c r="A20" s="4" t="s">
        <v>17</v>
      </c>
      <c r="B20" s="3">
        <v>2</v>
      </c>
      <c r="C20" s="3">
        <v>80000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BI17"/>
  <sheetViews>
    <sheetView workbookViewId="0"/>
  </sheetViews>
  <sheetFormatPr defaultRowHeight="15"/>
  <cols>
    <col min="1" max="1" width="35.7109375" customWidth="1"/>
  </cols>
  <sheetData>
    <row r="3" spans="1:61"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31</v>
      </c>
      <c r="P3" s="2" t="s">
        <v>32</v>
      </c>
      <c r="Q3" s="2" t="s">
        <v>33</v>
      </c>
      <c r="R3" s="2" t="s">
        <v>34</v>
      </c>
      <c r="S3" s="2" t="s">
        <v>35</v>
      </c>
      <c r="T3" s="2" t="s">
        <v>36</v>
      </c>
      <c r="U3" s="2" t="s">
        <v>37</v>
      </c>
      <c r="V3" s="2" t="s">
        <v>38</v>
      </c>
      <c r="W3" s="2" t="s">
        <v>39</v>
      </c>
      <c r="X3" s="2" t="s">
        <v>40</v>
      </c>
      <c r="Y3" s="2" t="s">
        <v>41</v>
      </c>
      <c r="Z3" s="2" t="s">
        <v>42</v>
      </c>
      <c r="AA3" s="2" t="s">
        <v>43</v>
      </c>
      <c r="AB3" s="2" t="s">
        <v>44</v>
      </c>
      <c r="AC3" s="2" t="s">
        <v>45</v>
      </c>
      <c r="AD3" s="2" t="s">
        <v>46</v>
      </c>
      <c r="AE3" s="2" t="s">
        <v>47</v>
      </c>
      <c r="AF3" s="2" t="s">
        <v>48</v>
      </c>
      <c r="AG3" s="2" t="s">
        <v>49</v>
      </c>
      <c r="AH3" s="2" t="s">
        <v>50</v>
      </c>
      <c r="AI3" s="2" t="s">
        <v>51</v>
      </c>
      <c r="AJ3" s="2" t="s">
        <v>52</v>
      </c>
      <c r="AK3" s="2" t="s">
        <v>53</v>
      </c>
      <c r="AL3" s="2" t="s">
        <v>54</v>
      </c>
      <c r="AM3" s="2" t="s">
        <v>55</v>
      </c>
      <c r="AN3" s="2" t="s">
        <v>56</v>
      </c>
      <c r="AO3" s="2" t="s">
        <v>57</v>
      </c>
      <c r="AP3" s="2" t="s">
        <v>58</v>
      </c>
      <c r="AQ3" s="2" t="s">
        <v>59</v>
      </c>
      <c r="AR3" s="2" t="s">
        <v>60</v>
      </c>
      <c r="AS3" s="2" t="s">
        <v>61</v>
      </c>
      <c r="AT3" s="2" t="s">
        <v>62</v>
      </c>
      <c r="AU3" s="2" t="s">
        <v>63</v>
      </c>
      <c r="AV3" s="2" t="s">
        <v>64</v>
      </c>
      <c r="AW3" s="2" t="s">
        <v>65</v>
      </c>
      <c r="AX3" s="2" t="s">
        <v>66</v>
      </c>
      <c r="AY3" s="2" t="s">
        <v>67</v>
      </c>
      <c r="AZ3" s="2" t="s">
        <v>68</v>
      </c>
      <c r="BA3" s="2" t="s">
        <v>69</v>
      </c>
      <c r="BB3" s="2" t="s">
        <v>70</v>
      </c>
      <c r="BC3" s="2" t="s">
        <v>71</v>
      </c>
      <c r="BD3" s="2" t="s">
        <v>72</v>
      </c>
      <c r="BE3" s="2" t="s">
        <v>73</v>
      </c>
      <c r="BF3" s="2" t="s">
        <v>74</v>
      </c>
      <c r="BG3" s="2" t="s">
        <v>75</v>
      </c>
      <c r="BH3" s="2" t="s">
        <v>76</v>
      </c>
      <c r="BI3" s="2" t="s">
        <v>77</v>
      </c>
    </row>
    <row r="5" spans="1:61">
      <c r="A5" s="4" t="s">
        <v>78</v>
      </c>
      <c r="B5" s="7">
        <f>800 * '02_Inputs'!A11 * (1.005^0)</f>
        <v>0</v>
      </c>
      <c r="C5" s="7">
        <f>800 * '02_Inputs'!B11 * (1.005^1)</f>
        <v>0</v>
      </c>
      <c r="D5" s="7">
        <f>800 * '02_Inputs'!C11 * (1.005^2)</f>
        <v>0</v>
      </c>
      <c r="E5" s="7">
        <f>800 * '02_Inputs'!D11 * (1.005^3)</f>
        <v>0</v>
      </c>
      <c r="F5" s="7">
        <f>800 * '02_Inputs'!E11 * (1.005^4)</f>
        <v>0</v>
      </c>
      <c r="G5" s="7">
        <f>800 * '02_Inputs'!F11 * (1.005^5)</f>
        <v>0</v>
      </c>
      <c r="H5" s="7">
        <f>800 * '02_Inputs'!G11 * (1.005^6)</f>
        <v>0</v>
      </c>
      <c r="I5" s="7">
        <f>800 * '02_Inputs'!H11 * (1.005^7)</f>
        <v>0</v>
      </c>
      <c r="J5" s="7">
        <f>800 * '02_Inputs'!I11 * (1.005^8)</f>
        <v>0</v>
      </c>
      <c r="K5" s="7">
        <f>800 * '02_Inputs'!J11 * (1.005^9)</f>
        <v>0</v>
      </c>
      <c r="L5" s="7">
        <f>800 * '02_Inputs'!K11 * (1.005^10)</f>
        <v>0</v>
      </c>
      <c r="M5" s="7">
        <f>800 * '02_Inputs'!L11 * (1.005^11)</f>
        <v>0</v>
      </c>
      <c r="N5" s="7">
        <f>800 * '02_Inputs'!A11 * (1.005^12)</f>
        <v>0</v>
      </c>
      <c r="O5" s="7">
        <f>800 * '02_Inputs'!B11 * (1.005^13)</f>
        <v>0</v>
      </c>
      <c r="P5" s="7">
        <f>800 * '02_Inputs'!C11 * (1.005^14)</f>
        <v>0</v>
      </c>
      <c r="Q5" s="7">
        <f>800 * '02_Inputs'!D11 * (1.005^15)</f>
        <v>0</v>
      </c>
      <c r="R5" s="7">
        <f>800 * '02_Inputs'!E11 * (1.005^16)</f>
        <v>0</v>
      </c>
      <c r="S5" s="7">
        <f>800 * '02_Inputs'!F11 * (1.005^17)</f>
        <v>0</v>
      </c>
      <c r="T5" s="7">
        <f>800 * '02_Inputs'!G11 * (1.005^18)</f>
        <v>0</v>
      </c>
      <c r="U5" s="7">
        <f>800 * '02_Inputs'!H11 * (1.005^19)</f>
        <v>0</v>
      </c>
      <c r="V5" s="7">
        <f>800 * '02_Inputs'!I11 * (1.005^20)</f>
        <v>0</v>
      </c>
      <c r="W5" s="7">
        <f>800 * '02_Inputs'!J11 * (1.005^21)</f>
        <v>0</v>
      </c>
      <c r="X5" s="7">
        <f>800 * '02_Inputs'!K11 * (1.005^22)</f>
        <v>0</v>
      </c>
      <c r="Y5" s="7">
        <f>800 * '02_Inputs'!L11 * (1.005^23)</f>
        <v>0</v>
      </c>
      <c r="Z5" s="7">
        <f>800 * '02_Inputs'!A11 * (1.005^24)</f>
        <v>0</v>
      </c>
      <c r="AA5" s="7">
        <f>800 * '02_Inputs'!B11 * (1.005^25)</f>
        <v>0</v>
      </c>
      <c r="AB5" s="7">
        <f>800 * '02_Inputs'!C11 * (1.005^26)</f>
        <v>0</v>
      </c>
      <c r="AC5" s="7">
        <f>800 * '02_Inputs'!D11 * (1.005^27)</f>
        <v>0</v>
      </c>
      <c r="AD5" s="7">
        <f>800 * '02_Inputs'!E11 * (1.005^28)</f>
        <v>0</v>
      </c>
      <c r="AE5" s="7">
        <f>800 * '02_Inputs'!F11 * (1.005^29)</f>
        <v>0</v>
      </c>
      <c r="AF5" s="7">
        <f>800 * '02_Inputs'!G11 * (1.005^30)</f>
        <v>0</v>
      </c>
      <c r="AG5" s="7">
        <f>800 * '02_Inputs'!H11 * (1.005^31)</f>
        <v>0</v>
      </c>
      <c r="AH5" s="7">
        <f>800 * '02_Inputs'!I11 * (1.005^32)</f>
        <v>0</v>
      </c>
      <c r="AI5" s="7">
        <f>800 * '02_Inputs'!J11 * (1.005^33)</f>
        <v>0</v>
      </c>
      <c r="AJ5" s="7">
        <f>800 * '02_Inputs'!K11 * (1.005^34)</f>
        <v>0</v>
      </c>
      <c r="AK5" s="7">
        <f>800 * '02_Inputs'!L11 * (1.005^35)</f>
        <v>0</v>
      </c>
      <c r="AL5" s="7">
        <f>800 * '02_Inputs'!A11 * (1.005^36)</f>
        <v>0</v>
      </c>
      <c r="AM5" s="7">
        <f>800 * '02_Inputs'!B11 * (1.005^37)</f>
        <v>0</v>
      </c>
      <c r="AN5" s="7">
        <f>800 * '02_Inputs'!C11 * (1.005^38)</f>
        <v>0</v>
      </c>
      <c r="AO5" s="7">
        <f>800 * '02_Inputs'!D11 * (1.005^39)</f>
        <v>0</v>
      </c>
      <c r="AP5" s="7">
        <f>800 * '02_Inputs'!E11 * (1.005^40)</f>
        <v>0</v>
      </c>
      <c r="AQ5" s="7">
        <f>800 * '02_Inputs'!F11 * (1.005^41)</f>
        <v>0</v>
      </c>
      <c r="AR5" s="7">
        <f>800 * '02_Inputs'!G11 * (1.005^42)</f>
        <v>0</v>
      </c>
      <c r="AS5" s="7">
        <f>800 * '02_Inputs'!H11 * (1.005^43)</f>
        <v>0</v>
      </c>
      <c r="AT5" s="7">
        <f>800 * '02_Inputs'!I11 * (1.005^44)</f>
        <v>0</v>
      </c>
      <c r="AU5" s="7">
        <f>800 * '02_Inputs'!J11 * (1.005^45)</f>
        <v>0</v>
      </c>
      <c r="AV5" s="7">
        <f>800 * '02_Inputs'!K11 * (1.005^46)</f>
        <v>0</v>
      </c>
      <c r="AW5" s="7">
        <f>800 * '02_Inputs'!L11 * (1.005^47)</f>
        <v>0</v>
      </c>
      <c r="AX5" s="7">
        <f>800 * '02_Inputs'!A11 * (1.005^48)</f>
        <v>0</v>
      </c>
      <c r="AY5" s="7">
        <f>800 * '02_Inputs'!B11 * (1.005^49)</f>
        <v>0</v>
      </c>
      <c r="AZ5" s="7">
        <f>800 * '02_Inputs'!C11 * (1.005^50)</f>
        <v>0</v>
      </c>
      <c r="BA5" s="7">
        <f>800 * '02_Inputs'!D11 * (1.005^51)</f>
        <v>0</v>
      </c>
      <c r="BB5" s="7">
        <f>800 * '02_Inputs'!E11 * (1.005^52)</f>
        <v>0</v>
      </c>
      <c r="BC5" s="7">
        <f>800 * '02_Inputs'!F11 * (1.005^53)</f>
        <v>0</v>
      </c>
      <c r="BD5" s="7">
        <f>800 * '02_Inputs'!G11 * (1.005^54)</f>
        <v>0</v>
      </c>
      <c r="BE5" s="7">
        <f>800 * '02_Inputs'!H11 * (1.005^55)</f>
        <v>0</v>
      </c>
      <c r="BF5" s="7">
        <f>800 * '02_Inputs'!I11 * (1.005^56)</f>
        <v>0</v>
      </c>
      <c r="BG5" s="7">
        <f>800 * '02_Inputs'!J11 * (1.005^57)</f>
        <v>0</v>
      </c>
      <c r="BH5" s="7">
        <f>800 * '02_Inputs'!K11 * (1.005^58)</f>
        <v>0</v>
      </c>
      <c r="BI5" s="7">
        <f>800 * '02_Inputs'!L11 * (1.005^59)</f>
        <v>0</v>
      </c>
    </row>
    <row r="6" spans="1:61">
      <c r="A6" s="4" t="s">
        <v>79</v>
      </c>
      <c r="B6" s="7">
        <f>600 * '02_Inputs'!A11 * (1.005^0)</f>
        <v>0</v>
      </c>
      <c r="C6" s="7">
        <f>600 * '02_Inputs'!B11 * (1.005^1)</f>
        <v>0</v>
      </c>
      <c r="D6" s="7">
        <f>600 * '02_Inputs'!C11 * (1.005^2)</f>
        <v>0</v>
      </c>
      <c r="E6" s="7">
        <f>600 * '02_Inputs'!D11 * (1.005^3)</f>
        <v>0</v>
      </c>
      <c r="F6" s="7">
        <f>600 * '02_Inputs'!E11 * (1.005^4)</f>
        <v>0</v>
      </c>
      <c r="G6" s="7">
        <f>600 * '02_Inputs'!F11 * (1.005^5)</f>
        <v>0</v>
      </c>
      <c r="H6" s="7">
        <f>600 * '02_Inputs'!G11 * (1.005^6)</f>
        <v>0</v>
      </c>
      <c r="I6" s="7">
        <f>600 * '02_Inputs'!H11 * (1.005^7)</f>
        <v>0</v>
      </c>
      <c r="J6" s="7">
        <f>600 * '02_Inputs'!I11 * (1.005^8)</f>
        <v>0</v>
      </c>
      <c r="K6" s="7">
        <f>600 * '02_Inputs'!J11 * (1.005^9)</f>
        <v>0</v>
      </c>
      <c r="L6" s="7">
        <f>600 * '02_Inputs'!K11 * (1.005^10)</f>
        <v>0</v>
      </c>
      <c r="M6" s="7">
        <f>600 * '02_Inputs'!L11 * (1.005^11)</f>
        <v>0</v>
      </c>
      <c r="N6" s="7">
        <f>600 * '02_Inputs'!A11 * (1.005^12)</f>
        <v>0</v>
      </c>
      <c r="O6" s="7">
        <f>600 * '02_Inputs'!B11 * (1.005^13)</f>
        <v>0</v>
      </c>
      <c r="P6" s="7">
        <f>600 * '02_Inputs'!C11 * (1.005^14)</f>
        <v>0</v>
      </c>
      <c r="Q6" s="7">
        <f>600 * '02_Inputs'!D11 * (1.005^15)</f>
        <v>0</v>
      </c>
      <c r="R6" s="7">
        <f>600 * '02_Inputs'!E11 * (1.005^16)</f>
        <v>0</v>
      </c>
      <c r="S6" s="7">
        <f>600 * '02_Inputs'!F11 * (1.005^17)</f>
        <v>0</v>
      </c>
      <c r="T6" s="7">
        <f>600 * '02_Inputs'!G11 * (1.005^18)</f>
        <v>0</v>
      </c>
      <c r="U6" s="7">
        <f>600 * '02_Inputs'!H11 * (1.005^19)</f>
        <v>0</v>
      </c>
      <c r="V6" s="7">
        <f>600 * '02_Inputs'!I11 * (1.005^20)</f>
        <v>0</v>
      </c>
      <c r="W6" s="7">
        <f>600 * '02_Inputs'!J11 * (1.005^21)</f>
        <v>0</v>
      </c>
      <c r="X6" s="7">
        <f>600 * '02_Inputs'!K11 * (1.005^22)</f>
        <v>0</v>
      </c>
      <c r="Y6" s="7">
        <f>600 * '02_Inputs'!L11 * (1.005^23)</f>
        <v>0</v>
      </c>
      <c r="Z6" s="7">
        <f>600 * '02_Inputs'!A11 * (1.005^24)</f>
        <v>0</v>
      </c>
      <c r="AA6" s="7">
        <f>600 * '02_Inputs'!B11 * (1.005^25)</f>
        <v>0</v>
      </c>
      <c r="AB6" s="7">
        <f>600 * '02_Inputs'!C11 * (1.005^26)</f>
        <v>0</v>
      </c>
      <c r="AC6" s="7">
        <f>600 * '02_Inputs'!D11 * (1.005^27)</f>
        <v>0</v>
      </c>
      <c r="AD6" s="7">
        <f>600 * '02_Inputs'!E11 * (1.005^28)</f>
        <v>0</v>
      </c>
      <c r="AE6" s="7">
        <f>600 * '02_Inputs'!F11 * (1.005^29)</f>
        <v>0</v>
      </c>
      <c r="AF6" s="7">
        <f>600 * '02_Inputs'!G11 * (1.005^30)</f>
        <v>0</v>
      </c>
      <c r="AG6" s="7">
        <f>600 * '02_Inputs'!H11 * (1.005^31)</f>
        <v>0</v>
      </c>
      <c r="AH6" s="7">
        <f>600 * '02_Inputs'!I11 * (1.005^32)</f>
        <v>0</v>
      </c>
      <c r="AI6" s="7">
        <f>600 * '02_Inputs'!J11 * (1.005^33)</f>
        <v>0</v>
      </c>
      <c r="AJ6" s="7">
        <f>600 * '02_Inputs'!K11 * (1.005^34)</f>
        <v>0</v>
      </c>
      <c r="AK6" s="7">
        <f>600 * '02_Inputs'!L11 * (1.005^35)</f>
        <v>0</v>
      </c>
      <c r="AL6" s="7">
        <f>600 * '02_Inputs'!A11 * (1.005^36)</f>
        <v>0</v>
      </c>
      <c r="AM6" s="7">
        <f>600 * '02_Inputs'!B11 * (1.005^37)</f>
        <v>0</v>
      </c>
      <c r="AN6" s="7">
        <f>600 * '02_Inputs'!C11 * (1.005^38)</f>
        <v>0</v>
      </c>
      <c r="AO6" s="7">
        <f>600 * '02_Inputs'!D11 * (1.005^39)</f>
        <v>0</v>
      </c>
      <c r="AP6" s="7">
        <f>600 * '02_Inputs'!E11 * (1.005^40)</f>
        <v>0</v>
      </c>
      <c r="AQ6" s="7">
        <f>600 * '02_Inputs'!F11 * (1.005^41)</f>
        <v>0</v>
      </c>
      <c r="AR6" s="7">
        <f>600 * '02_Inputs'!G11 * (1.005^42)</f>
        <v>0</v>
      </c>
      <c r="AS6" s="7">
        <f>600 * '02_Inputs'!H11 * (1.005^43)</f>
        <v>0</v>
      </c>
      <c r="AT6" s="7">
        <f>600 * '02_Inputs'!I11 * (1.005^44)</f>
        <v>0</v>
      </c>
      <c r="AU6" s="7">
        <f>600 * '02_Inputs'!J11 * (1.005^45)</f>
        <v>0</v>
      </c>
      <c r="AV6" s="7">
        <f>600 * '02_Inputs'!K11 * (1.005^46)</f>
        <v>0</v>
      </c>
      <c r="AW6" s="7">
        <f>600 * '02_Inputs'!L11 * (1.005^47)</f>
        <v>0</v>
      </c>
      <c r="AX6" s="7">
        <f>600 * '02_Inputs'!A11 * (1.005^48)</f>
        <v>0</v>
      </c>
      <c r="AY6" s="7">
        <f>600 * '02_Inputs'!B11 * (1.005^49)</f>
        <v>0</v>
      </c>
      <c r="AZ6" s="7">
        <f>600 * '02_Inputs'!C11 * (1.005^50)</f>
        <v>0</v>
      </c>
      <c r="BA6" s="7">
        <f>600 * '02_Inputs'!D11 * (1.005^51)</f>
        <v>0</v>
      </c>
      <c r="BB6" s="7">
        <f>600 * '02_Inputs'!E11 * (1.005^52)</f>
        <v>0</v>
      </c>
      <c r="BC6" s="7">
        <f>600 * '02_Inputs'!F11 * (1.005^53)</f>
        <v>0</v>
      </c>
      <c r="BD6" s="7">
        <f>600 * '02_Inputs'!G11 * (1.005^54)</f>
        <v>0</v>
      </c>
      <c r="BE6" s="7">
        <f>600 * '02_Inputs'!H11 * (1.005^55)</f>
        <v>0</v>
      </c>
      <c r="BF6" s="7">
        <f>600 * '02_Inputs'!I11 * (1.005^56)</f>
        <v>0</v>
      </c>
      <c r="BG6" s="7">
        <f>600 * '02_Inputs'!J11 * (1.005^57)</f>
        <v>0</v>
      </c>
      <c r="BH6" s="7">
        <f>600 * '02_Inputs'!K11 * (1.005^58)</f>
        <v>0</v>
      </c>
      <c r="BI6" s="7">
        <f>600 * '02_Inputs'!L11 * (1.005^59)</f>
        <v>0</v>
      </c>
    </row>
    <row r="7" spans="1:61">
      <c r="A7" s="4" t="s">
        <v>80</v>
      </c>
      <c r="B7" s="7">
        <f>300 * '02_Inputs'!A11 * (1.005^0)</f>
        <v>0</v>
      </c>
      <c r="C7" s="7">
        <f>300 * '02_Inputs'!B11 * (1.005^1)</f>
        <v>0</v>
      </c>
      <c r="D7" s="7">
        <f>300 * '02_Inputs'!C11 * (1.005^2)</f>
        <v>0</v>
      </c>
      <c r="E7" s="7">
        <f>300 * '02_Inputs'!D11 * (1.005^3)</f>
        <v>0</v>
      </c>
      <c r="F7" s="7">
        <f>300 * '02_Inputs'!E11 * (1.005^4)</f>
        <v>0</v>
      </c>
      <c r="G7" s="7">
        <f>300 * '02_Inputs'!F11 * (1.005^5)</f>
        <v>0</v>
      </c>
      <c r="H7" s="7">
        <f>300 * '02_Inputs'!G11 * (1.005^6)</f>
        <v>0</v>
      </c>
      <c r="I7" s="7">
        <f>300 * '02_Inputs'!H11 * (1.005^7)</f>
        <v>0</v>
      </c>
      <c r="J7" s="7">
        <f>300 * '02_Inputs'!I11 * (1.005^8)</f>
        <v>0</v>
      </c>
      <c r="K7" s="7">
        <f>300 * '02_Inputs'!J11 * (1.005^9)</f>
        <v>0</v>
      </c>
      <c r="L7" s="7">
        <f>300 * '02_Inputs'!K11 * (1.005^10)</f>
        <v>0</v>
      </c>
      <c r="M7" s="7">
        <f>300 * '02_Inputs'!L11 * (1.005^11)</f>
        <v>0</v>
      </c>
      <c r="N7" s="7">
        <f>300 * '02_Inputs'!A11 * (1.005^12)</f>
        <v>0</v>
      </c>
      <c r="O7" s="7">
        <f>300 * '02_Inputs'!B11 * (1.005^13)</f>
        <v>0</v>
      </c>
      <c r="P7" s="7">
        <f>300 * '02_Inputs'!C11 * (1.005^14)</f>
        <v>0</v>
      </c>
      <c r="Q7" s="7">
        <f>300 * '02_Inputs'!D11 * (1.005^15)</f>
        <v>0</v>
      </c>
      <c r="R7" s="7">
        <f>300 * '02_Inputs'!E11 * (1.005^16)</f>
        <v>0</v>
      </c>
      <c r="S7" s="7">
        <f>300 * '02_Inputs'!F11 * (1.005^17)</f>
        <v>0</v>
      </c>
      <c r="T7" s="7">
        <f>300 * '02_Inputs'!G11 * (1.005^18)</f>
        <v>0</v>
      </c>
      <c r="U7" s="7">
        <f>300 * '02_Inputs'!H11 * (1.005^19)</f>
        <v>0</v>
      </c>
      <c r="V7" s="7">
        <f>300 * '02_Inputs'!I11 * (1.005^20)</f>
        <v>0</v>
      </c>
      <c r="W7" s="7">
        <f>300 * '02_Inputs'!J11 * (1.005^21)</f>
        <v>0</v>
      </c>
      <c r="X7" s="7">
        <f>300 * '02_Inputs'!K11 * (1.005^22)</f>
        <v>0</v>
      </c>
      <c r="Y7" s="7">
        <f>300 * '02_Inputs'!L11 * (1.005^23)</f>
        <v>0</v>
      </c>
      <c r="Z7" s="7">
        <f>300 * '02_Inputs'!A11 * (1.005^24)</f>
        <v>0</v>
      </c>
      <c r="AA7" s="7">
        <f>300 * '02_Inputs'!B11 * (1.005^25)</f>
        <v>0</v>
      </c>
      <c r="AB7" s="7">
        <f>300 * '02_Inputs'!C11 * (1.005^26)</f>
        <v>0</v>
      </c>
      <c r="AC7" s="7">
        <f>300 * '02_Inputs'!D11 * (1.005^27)</f>
        <v>0</v>
      </c>
      <c r="AD7" s="7">
        <f>300 * '02_Inputs'!E11 * (1.005^28)</f>
        <v>0</v>
      </c>
      <c r="AE7" s="7">
        <f>300 * '02_Inputs'!F11 * (1.005^29)</f>
        <v>0</v>
      </c>
      <c r="AF7" s="7">
        <f>300 * '02_Inputs'!G11 * (1.005^30)</f>
        <v>0</v>
      </c>
      <c r="AG7" s="7">
        <f>300 * '02_Inputs'!H11 * (1.005^31)</f>
        <v>0</v>
      </c>
      <c r="AH7" s="7">
        <f>300 * '02_Inputs'!I11 * (1.005^32)</f>
        <v>0</v>
      </c>
      <c r="AI7" s="7">
        <f>300 * '02_Inputs'!J11 * (1.005^33)</f>
        <v>0</v>
      </c>
      <c r="AJ7" s="7">
        <f>300 * '02_Inputs'!K11 * (1.005^34)</f>
        <v>0</v>
      </c>
      <c r="AK7" s="7">
        <f>300 * '02_Inputs'!L11 * (1.005^35)</f>
        <v>0</v>
      </c>
      <c r="AL7" s="7">
        <f>300 * '02_Inputs'!A11 * (1.005^36)</f>
        <v>0</v>
      </c>
      <c r="AM7" s="7">
        <f>300 * '02_Inputs'!B11 * (1.005^37)</f>
        <v>0</v>
      </c>
      <c r="AN7" s="7">
        <f>300 * '02_Inputs'!C11 * (1.005^38)</f>
        <v>0</v>
      </c>
      <c r="AO7" s="7">
        <f>300 * '02_Inputs'!D11 * (1.005^39)</f>
        <v>0</v>
      </c>
      <c r="AP7" s="7">
        <f>300 * '02_Inputs'!E11 * (1.005^40)</f>
        <v>0</v>
      </c>
      <c r="AQ7" s="7">
        <f>300 * '02_Inputs'!F11 * (1.005^41)</f>
        <v>0</v>
      </c>
      <c r="AR7" s="7">
        <f>300 * '02_Inputs'!G11 * (1.005^42)</f>
        <v>0</v>
      </c>
      <c r="AS7" s="7">
        <f>300 * '02_Inputs'!H11 * (1.005^43)</f>
        <v>0</v>
      </c>
      <c r="AT7" s="7">
        <f>300 * '02_Inputs'!I11 * (1.005^44)</f>
        <v>0</v>
      </c>
      <c r="AU7" s="7">
        <f>300 * '02_Inputs'!J11 * (1.005^45)</f>
        <v>0</v>
      </c>
      <c r="AV7" s="7">
        <f>300 * '02_Inputs'!K11 * (1.005^46)</f>
        <v>0</v>
      </c>
      <c r="AW7" s="7">
        <f>300 * '02_Inputs'!L11 * (1.005^47)</f>
        <v>0</v>
      </c>
      <c r="AX7" s="7">
        <f>300 * '02_Inputs'!A11 * (1.005^48)</f>
        <v>0</v>
      </c>
      <c r="AY7" s="7">
        <f>300 * '02_Inputs'!B11 * (1.005^49)</f>
        <v>0</v>
      </c>
      <c r="AZ7" s="7">
        <f>300 * '02_Inputs'!C11 * (1.005^50)</f>
        <v>0</v>
      </c>
      <c r="BA7" s="7">
        <f>300 * '02_Inputs'!D11 * (1.005^51)</f>
        <v>0</v>
      </c>
      <c r="BB7" s="7">
        <f>300 * '02_Inputs'!E11 * (1.005^52)</f>
        <v>0</v>
      </c>
      <c r="BC7" s="7">
        <f>300 * '02_Inputs'!F11 * (1.005^53)</f>
        <v>0</v>
      </c>
      <c r="BD7" s="7">
        <f>300 * '02_Inputs'!G11 * (1.005^54)</f>
        <v>0</v>
      </c>
      <c r="BE7" s="7">
        <f>300 * '02_Inputs'!H11 * (1.005^55)</f>
        <v>0</v>
      </c>
      <c r="BF7" s="7">
        <f>300 * '02_Inputs'!I11 * (1.005^56)</f>
        <v>0</v>
      </c>
      <c r="BG7" s="7">
        <f>300 * '02_Inputs'!J11 * (1.005^57)</f>
        <v>0</v>
      </c>
      <c r="BH7" s="7">
        <f>300 * '02_Inputs'!K11 * (1.005^58)</f>
        <v>0</v>
      </c>
      <c r="BI7" s="7">
        <f>300 * '02_Inputs'!L11 * (1.005^59)</f>
        <v>0</v>
      </c>
    </row>
    <row r="8" spans="1:61">
      <c r="A8" s="4" t="s">
        <v>81</v>
      </c>
      <c r="B8" s="7">
        <f>150 * '02_Inputs'!A11 * (1.005^0)</f>
        <v>0</v>
      </c>
      <c r="C8" s="7">
        <f>150 * '02_Inputs'!B11 * (1.005^1)</f>
        <v>0</v>
      </c>
      <c r="D8" s="7">
        <f>150 * '02_Inputs'!C11 * (1.005^2)</f>
        <v>0</v>
      </c>
      <c r="E8" s="7">
        <f>150 * '02_Inputs'!D11 * (1.005^3)</f>
        <v>0</v>
      </c>
      <c r="F8" s="7">
        <f>150 * '02_Inputs'!E11 * (1.005^4)</f>
        <v>0</v>
      </c>
      <c r="G8" s="7">
        <f>150 * '02_Inputs'!F11 * (1.005^5)</f>
        <v>0</v>
      </c>
      <c r="H8" s="7">
        <f>150 * '02_Inputs'!G11 * (1.005^6)</f>
        <v>0</v>
      </c>
      <c r="I8" s="7">
        <f>150 * '02_Inputs'!H11 * (1.005^7)</f>
        <v>0</v>
      </c>
      <c r="J8" s="7">
        <f>150 * '02_Inputs'!I11 * (1.005^8)</f>
        <v>0</v>
      </c>
      <c r="K8" s="7">
        <f>150 * '02_Inputs'!J11 * (1.005^9)</f>
        <v>0</v>
      </c>
      <c r="L8" s="7">
        <f>150 * '02_Inputs'!K11 * (1.005^10)</f>
        <v>0</v>
      </c>
      <c r="M8" s="7">
        <f>150 * '02_Inputs'!L11 * (1.005^11)</f>
        <v>0</v>
      </c>
      <c r="N8" s="7">
        <f>150 * '02_Inputs'!A11 * (1.005^12)</f>
        <v>0</v>
      </c>
      <c r="O8" s="7">
        <f>150 * '02_Inputs'!B11 * (1.005^13)</f>
        <v>0</v>
      </c>
      <c r="P8" s="7">
        <f>150 * '02_Inputs'!C11 * (1.005^14)</f>
        <v>0</v>
      </c>
      <c r="Q8" s="7">
        <f>150 * '02_Inputs'!D11 * (1.005^15)</f>
        <v>0</v>
      </c>
      <c r="R8" s="7">
        <f>150 * '02_Inputs'!E11 * (1.005^16)</f>
        <v>0</v>
      </c>
      <c r="S8" s="7">
        <f>150 * '02_Inputs'!F11 * (1.005^17)</f>
        <v>0</v>
      </c>
      <c r="T8" s="7">
        <f>150 * '02_Inputs'!G11 * (1.005^18)</f>
        <v>0</v>
      </c>
      <c r="U8" s="7">
        <f>150 * '02_Inputs'!H11 * (1.005^19)</f>
        <v>0</v>
      </c>
      <c r="V8" s="7">
        <f>150 * '02_Inputs'!I11 * (1.005^20)</f>
        <v>0</v>
      </c>
      <c r="W8" s="7">
        <f>150 * '02_Inputs'!J11 * (1.005^21)</f>
        <v>0</v>
      </c>
      <c r="X8" s="7">
        <f>150 * '02_Inputs'!K11 * (1.005^22)</f>
        <v>0</v>
      </c>
      <c r="Y8" s="7">
        <f>150 * '02_Inputs'!L11 * (1.005^23)</f>
        <v>0</v>
      </c>
      <c r="Z8" s="7">
        <f>150 * '02_Inputs'!A11 * (1.005^24)</f>
        <v>0</v>
      </c>
      <c r="AA8" s="7">
        <f>150 * '02_Inputs'!B11 * (1.005^25)</f>
        <v>0</v>
      </c>
      <c r="AB8" s="7">
        <f>150 * '02_Inputs'!C11 * (1.005^26)</f>
        <v>0</v>
      </c>
      <c r="AC8" s="7">
        <f>150 * '02_Inputs'!D11 * (1.005^27)</f>
        <v>0</v>
      </c>
      <c r="AD8" s="7">
        <f>150 * '02_Inputs'!E11 * (1.005^28)</f>
        <v>0</v>
      </c>
      <c r="AE8" s="7">
        <f>150 * '02_Inputs'!F11 * (1.005^29)</f>
        <v>0</v>
      </c>
      <c r="AF8" s="7">
        <f>150 * '02_Inputs'!G11 * (1.005^30)</f>
        <v>0</v>
      </c>
      <c r="AG8" s="7">
        <f>150 * '02_Inputs'!H11 * (1.005^31)</f>
        <v>0</v>
      </c>
      <c r="AH8" s="7">
        <f>150 * '02_Inputs'!I11 * (1.005^32)</f>
        <v>0</v>
      </c>
      <c r="AI8" s="7">
        <f>150 * '02_Inputs'!J11 * (1.005^33)</f>
        <v>0</v>
      </c>
      <c r="AJ8" s="7">
        <f>150 * '02_Inputs'!K11 * (1.005^34)</f>
        <v>0</v>
      </c>
      <c r="AK8" s="7">
        <f>150 * '02_Inputs'!L11 * (1.005^35)</f>
        <v>0</v>
      </c>
      <c r="AL8" s="7">
        <f>150 * '02_Inputs'!A11 * (1.005^36)</f>
        <v>0</v>
      </c>
      <c r="AM8" s="7">
        <f>150 * '02_Inputs'!B11 * (1.005^37)</f>
        <v>0</v>
      </c>
      <c r="AN8" s="7">
        <f>150 * '02_Inputs'!C11 * (1.005^38)</f>
        <v>0</v>
      </c>
      <c r="AO8" s="7">
        <f>150 * '02_Inputs'!D11 * (1.005^39)</f>
        <v>0</v>
      </c>
      <c r="AP8" s="7">
        <f>150 * '02_Inputs'!E11 * (1.005^40)</f>
        <v>0</v>
      </c>
      <c r="AQ8" s="7">
        <f>150 * '02_Inputs'!F11 * (1.005^41)</f>
        <v>0</v>
      </c>
      <c r="AR8" s="7">
        <f>150 * '02_Inputs'!G11 * (1.005^42)</f>
        <v>0</v>
      </c>
      <c r="AS8" s="7">
        <f>150 * '02_Inputs'!H11 * (1.005^43)</f>
        <v>0</v>
      </c>
      <c r="AT8" s="7">
        <f>150 * '02_Inputs'!I11 * (1.005^44)</f>
        <v>0</v>
      </c>
      <c r="AU8" s="7">
        <f>150 * '02_Inputs'!J11 * (1.005^45)</f>
        <v>0</v>
      </c>
      <c r="AV8" s="7">
        <f>150 * '02_Inputs'!K11 * (1.005^46)</f>
        <v>0</v>
      </c>
      <c r="AW8" s="7">
        <f>150 * '02_Inputs'!L11 * (1.005^47)</f>
        <v>0</v>
      </c>
      <c r="AX8" s="7">
        <f>150 * '02_Inputs'!A11 * (1.005^48)</f>
        <v>0</v>
      </c>
      <c r="AY8" s="7">
        <f>150 * '02_Inputs'!B11 * (1.005^49)</f>
        <v>0</v>
      </c>
      <c r="AZ8" s="7">
        <f>150 * '02_Inputs'!C11 * (1.005^50)</f>
        <v>0</v>
      </c>
      <c r="BA8" s="7">
        <f>150 * '02_Inputs'!D11 * (1.005^51)</f>
        <v>0</v>
      </c>
      <c r="BB8" s="7">
        <f>150 * '02_Inputs'!E11 * (1.005^52)</f>
        <v>0</v>
      </c>
      <c r="BC8" s="7">
        <f>150 * '02_Inputs'!F11 * (1.005^53)</f>
        <v>0</v>
      </c>
      <c r="BD8" s="7">
        <f>150 * '02_Inputs'!G11 * (1.005^54)</f>
        <v>0</v>
      </c>
      <c r="BE8" s="7">
        <f>150 * '02_Inputs'!H11 * (1.005^55)</f>
        <v>0</v>
      </c>
      <c r="BF8" s="7">
        <f>150 * '02_Inputs'!I11 * (1.005^56)</f>
        <v>0</v>
      </c>
      <c r="BG8" s="7">
        <f>150 * '02_Inputs'!J11 * (1.005^57)</f>
        <v>0</v>
      </c>
      <c r="BH8" s="7">
        <f>150 * '02_Inputs'!K11 * (1.005^58)</f>
        <v>0</v>
      </c>
      <c r="BI8" s="7">
        <f>150 * '02_Inputs'!L11 * (1.005^59)</f>
        <v>0</v>
      </c>
    </row>
    <row r="9" spans="1:61">
      <c r="A9" s="4" t="s">
        <v>82</v>
      </c>
      <c r="B9" s="7">
        <f>400 * '02_Inputs'!A11 * (1.005^0)</f>
        <v>0</v>
      </c>
      <c r="C9" s="7">
        <f>400 * '02_Inputs'!B11 * (1.005^1)</f>
        <v>0</v>
      </c>
      <c r="D9" s="7">
        <f>400 * '02_Inputs'!C11 * (1.005^2)</f>
        <v>0</v>
      </c>
      <c r="E9" s="7">
        <f>400 * '02_Inputs'!D11 * (1.005^3)</f>
        <v>0</v>
      </c>
      <c r="F9" s="7">
        <f>400 * '02_Inputs'!E11 * (1.005^4)</f>
        <v>0</v>
      </c>
      <c r="G9" s="7">
        <f>400 * '02_Inputs'!F11 * (1.005^5)</f>
        <v>0</v>
      </c>
      <c r="H9" s="7">
        <f>400 * '02_Inputs'!G11 * (1.005^6)</f>
        <v>0</v>
      </c>
      <c r="I9" s="7">
        <f>400 * '02_Inputs'!H11 * (1.005^7)</f>
        <v>0</v>
      </c>
      <c r="J9" s="7">
        <f>400 * '02_Inputs'!I11 * (1.005^8)</f>
        <v>0</v>
      </c>
      <c r="K9" s="7">
        <f>400 * '02_Inputs'!J11 * (1.005^9)</f>
        <v>0</v>
      </c>
      <c r="L9" s="7">
        <f>400 * '02_Inputs'!K11 * (1.005^10)</f>
        <v>0</v>
      </c>
      <c r="M9" s="7">
        <f>400 * '02_Inputs'!L11 * (1.005^11)</f>
        <v>0</v>
      </c>
      <c r="N9" s="7">
        <f>400 * '02_Inputs'!A11 * (1.005^12)</f>
        <v>0</v>
      </c>
      <c r="O9" s="7">
        <f>400 * '02_Inputs'!B11 * (1.005^13)</f>
        <v>0</v>
      </c>
      <c r="P9" s="7">
        <f>400 * '02_Inputs'!C11 * (1.005^14)</f>
        <v>0</v>
      </c>
      <c r="Q9" s="7">
        <f>400 * '02_Inputs'!D11 * (1.005^15)</f>
        <v>0</v>
      </c>
      <c r="R9" s="7">
        <f>400 * '02_Inputs'!E11 * (1.005^16)</f>
        <v>0</v>
      </c>
      <c r="S9" s="7">
        <f>400 * '02_Inputs'!F11 * (1.005^17)</f>
        <v>0</v>
      </c>
      <c r="T9" s="7">
        <f>400 * '02_Inputs'!G11 * (1.005^18)</f>
        <v>0</v>
      </c>
      <c r="U9" s="7">
        <f>400 * '02_Inputs'!H11 * (1.005^19)</f>
        <v>0</v>
      </c>
      <c r="V9" s="7">
        <f>400 * '02_Inputs'!I11 * (1.005^20)</f>
        <v>0</v>
      </c>
      <c r="W9" s="7">
        <f>400 * '02_Inputs'!J11 * (1.005^21)</f>
        <v>0</v>
      </c>
      <c r="X9" s="7">
        <f>400 * '02_Inputs'!K11 * (1.005^22)</f>
        <v>0</v>
      </c>
      <c r="Y9" s="7">
        <f>400 * '02_Inputs'!L11 * (1.005^23)</f>
        <v>0</v>
      </c>
      <c r="Z9" s="7">
        <f>400 * '02_Inputs'!A11 * (1.005^24)</f>
        <v>0</v>
      </c>
      <c r="AA9" s="7">
        <f>400 * '02_Inputs'!B11 * (1.005^25)</f>
        <v>0</v>
      </c>
      <c r="AB9" s="7">
        <f>400 * '02_Inputs'!C11 * (1.005^26)</f>
        <v>0</v>
      </c>
      <c r="AC9" s="7">
        <f>400 * '02_Inputs'!D11 * (1.005^27)</f>
        <v>0</v>
      </c>
      <c r="AD9" s="7">
        <f>400 * '02_Inputs'!E11 * (1.005^28)</f>
        <v>0</v>
      </c>
      <c r="AE9" s="7">
        <f>400 * '02_Inputs'!F11 * (1.005^29)</f>
        <v>0</v>
      </c>
      <c r="AF9" s="7">
        <f>400 * '02_Inputs'!G11 * (1.005^30)</f>
        <v>0</v>
      </c>
      <c r="AG9" s="7">
        <f>400 * '02_Inputs'!H11 * (1.005^31)</f>
        <v>0</v>
      </c>
      <c r="AH9" s="7">
        <f>400 * '02_Inputs'!I11 * (1.005^32)</f>
        <v>0</v>
      </c>
      <c r="AI9" s="7">
        <f>400 * '02_Inputs'!J11 * (1.005^33)</f>
        <v>0</v>
      </c>
      <c r="AJ9" s="7">
        <f>400 * '02_Inputs'!K11 * (1.005^34)</f>
        <v>0</v>
      </c>
      <c r="AK9" s="7">
        <f>400 * '02_Inputs'!L11 * (1.005^35)</f>
        <v>0</v>
      </c>
      <c r="AL9" s="7">
        <f>400 * '02_Inputs'!A11 * (1.005^36)</f>
        <v>0</v>
      </c>
      <c r="AM9" s="7">
        <f>400 * '02_Inputs'!B11 * (1.005^37)</f>
        <v>0</v>
      </c>
      <c r="AN9" s="7">
        <f>400 * '02_Inputs'!C11 * (1.005^38)</f>
        <v>0</v>
      </c>
      <c r="AO9" s="7">
        <f>400 * '02_Inputs'!D11 * (1.005^39)</f>
        <v>0</v>
      </c>
      <c r="AP9" s="7">
        <f>400 * '02_Inputs'!E11 * (1.005^40)</f>
        <v>0</v>
      </c>
      <c r="AQ9" s="7">
        <f>400 * '02_Inputs'!F11 * (1.005^41)</f>
        <v>0</v>
      </c>
      <c r="AR9" s="7">
        <f>400 * '02_Inputs'!G11 * (1.005^42)</f>
        <v>0</v>
      </c>
      <c r="AS9" s="7">
        <f>400 * '02_Inputs'!H11 * (1.005^43)</f>
        <v>0</v>
      </c>
      <c r="AT9" s="7">
        <f>400 * '02_Inputs'!I11 * (1.005^44)</f>
        <v>0</v>
      </c>
      <c r="AU9" s="7">
        <f>400 * '02_Inputs'!J11 * (1.005^45)</f>
        <v>0</v>
      </c>
      <c r="AV9" s="7">
        <f>400 * '02_Inputs'!K11 * (1.005^46)</f>
        <v>0</v>
      </c>
      <c r="AW9" s="7">
        <f>400 * '02_Inputs'!L11 * (1.005^47)</f>
        <v>0</v>
      </c>
      <c r="AX9" s="7">
        <f>400 * '02_Inputs'!A11 * (1.005^48)</f>
        <v>0</v>
      </c>
      <c r="AY9" s="7">
        <f>400 * '02_Inputs'!B11 * (1.005^49)</f>
        <v>0</v>
      </c>
      <c r="AZ9" s="7">
        <f>400 * '02_Inputs'!C11 * (1.005^50)</f>
        <v>0</v>
      </c>
      <c r="BA9" s="7">
        <f>400 * '02_Inputs'!D11 * (1.005^51)</f>
        <v>0</v>
      </c>
      <c r="BB9" s="7">
        <f>400 * '02_Inputs'!E11 * (1.005^52)</f>
        <v>0</v>
      </c>
      <c r="BC9" s="7">
        <f>400 * '02_Inputs'!F11 * (1.005^53)</f>
        <v>0</v>
      </c>
      <c r="BD9" s="7">
        <f>400 * '02_Inputs'!G11 * (1.005^54)</f>
        <v>0</v>
      </c>
      <c r="BE9" s="7">
        <f>400 * '02_Inputs'!H11 * (1.005^55)</f>
        <v>0</v>
      </c>
      <c r="BF9" s="7">
        <f>400 * '02_Inputs'!I11 * (1.005^56)</f>
        <v>0</v>
      </c>
      <c r="BG9" s="7">
        <f>400 * '02_Inputs'!J11 * (1.005^57)</f>
        <v>0</v>
      </c>
      <c r="BH9" s="7">
        <f>400 * '02_Inputs'!K11 * (1.005^58)</f>
        <v>0</v>
      </c>
      <c r="BI9" s="7">
        <f>400 * '02_Inputs'!L11 * (1.005^59)</f>
        <v>0</v>
      </c>
    </row>
    <row r="10" spans="1:61">
      <c r="A10" s="4" t="s">
        <v>83</v>
      </c>
      <c r="B10" s="7">
        <f>80 * '02_Inputs'!A11 * (1.005^0)</f>
        <v>0</v>
      </c>
      <c r="C10" s="7">
        <f>80 * '02_Inputs'!B11 * (1.005^1)</f>
        <v>0</v>
      </c>
      <c r="D10" s="7">
        <f>80 * '02_Inputs'!C11 * (1.005^2)</f>
        <v>0</v>
      </c>
      <c r="E10" s="7">
        <f>80 * '02_Inputs'!D11 * (1.005^3)</f>
        <v>0</v>
      </c>
      <c r="F10" s="7">
        <f>80 * '02_Inputs'!E11 * (1.005^4)</f>
        <v>0</v>
      </c>
      <c r="G10" s="7">
        <f>80 * '02_Inputs'!F11 * (1.005^5)</f>
        <v>0</v>
      </c>
      <c r="H10" s="7">
        <f>80 * '02_Inputs'!G11 * (1.005^6)</f>
        <v>0</v>
      </c>
      <c r="I10" s="7">
        <f>80 * '02_Inputs'!H11 * (1.005^7)</f>
        <v>0</v>
      </c>
      <c r="J10" s="7">
        <f>80 * '02_Inputs'!I11 * (1.005^8)</f>
        <v>0</v>
      </c>
      <c r="K10" s="7">
        <f>80 * '02_Inputs'!J11 * (1.005^9)</f>
        <v>0</v>
      </c>
      <c r="L10" s="7">
        <f>80 * '02_Inputs'!K11 * (1.005^10)</f>
        <v>0</v>
      </c>
      <c r="M10" s="7">
        <f>80 * '02_Inputs'!L11 * (1.005^11)</f>
        <v>0</v>
      </c>
      <c r="N10" s="7">
        <f>80 * '02_Inputs'!A11 * (1.005^12)</f>
        <v>0</v>
      </c>
      <c r="O10" s="7">
        <f>80 * '02_Inputs'!B11 * (1.005^13)</f>
        <v>0</v>
      </c>
      <c r="P10" s="7">
        <f>80 * '02_Inputs'!C11 * (1.005^14)</f>
        <v>0</v>
      </c>
      <c r="Q10" s="7">
        <f>80 * '02_Inputs'!D11 * (1.005^15)</f>
        <v>0</v>
      </c>
      <c r="R10" s="7">
        <f>80 * '02_Inputs'!E11 * (1.005^16)</f>
        <v>0</v>
      </c>
      <c r="S10" s="7">
        <f>80 * '02_Inputs'!F11 * (1.005^17)</f>
        <v>0</v>
      </c>
      <c r="T10" s="7">
        <f>80 * '02_Inputs'!G11 * (1.005^18)</f>
        <v>0</v>
      </c>
      <c r="U10" s="7">
        <f>80 * '02_Inputs'!H11 * (1.005^19)</f>
        <v>0</v>
      </c>
      <c r="V10" s="7">
        <f>80 * '02_Inputs'!I11 * (1.005^20)</f>
        <v>0</v>
      </c>
      <c r="W10" s="7">
        <f>80 * '02_Inputs'!J11 * (1.005^21)</f>
        <v>0</v>
      </c>
      <c r="X10" s="7">
        <f>80 * '02_Inputs'!K11 * (1.005^22)</f>
        <v>0</v>
      </c>
      <c r="Y10" s="7">
        <f>80 * '02_Inputs'!L11 * (1.005^23)</f>
        <v>0</v>
      </c>
      <c r="Z10" s="7">
        <f>80 * '02_Inputs'!A11 * (1.005^24)</f>
        <v>0</v>
      </c>
      <c r="AA10" s="7">
        <f>80 * '02_Inputs'!B11 * (1.005^25)</f>
        <v>0</v>
      </c>
      <c r="AB10" s="7">
        <f>80 * '02_Inputs'!C11 * (1.005^26)</f>
        <v>0</v>
      </c>
      <c r="AC10" s="7">
        <f>80 * '02_Inputs'!D11 * (1.005^27)</f>
        <v>0</v>
      </c>
      <c r="AD10" s="7">
        <f>80 * '02_Inputs'!E11 * (1.005^28)</f>
        <v>0</v>
      </c>
      <c r="AE10" s="7">
        <f>80 * '02_Inputs'!F11 * (1.005^29)</f>
        <v>0</v>
      </c>
      <c r="AF10" s="7">
        <f>80 * '02_Inputs'!G11 * (1.005^30)</f>
        <v>0</v>
      </c>
      <c r="AG10" s="7">
        <f>80 * '02_Inputs'!H11 * (1.005^31)</f>
        <v>0</v>
      </c>
      <c r="AH10" s="7">
        <f>80 * '02_Inputs'!I11 * (1.005^32)</f>
        <v>0</v>
      </c>
      <c r="AI10" s="7">
        <f>80 * '02_Inputs'!J11 * (1.005^33)</f>
        <v>0</v>
      </c>
      <c r="AJ10" s="7">
        <f>80 * '02_Inputs'!K11 * (1.005^34)</f>
        <v>0</v>
      </c>
      <c r="AK10" s="7">
        <f>80 * '02_Inputs'!L11 * (1.005^35)</f>
        <v>0</v>
      </c>
      <c r="AL10" s="7">
        <f>80 * '02_Inputs'!A11 * (1.005^36)</f>
        <v>0</v>
      </c>
      <c r="AM10" s="7">
        <f>80 * '02_Inputs'!B11 * (1.005^37)</f>
        <v>0</v>
      </c>
      <c r="AN10" s="7">
        <f>80 * '02_Inputs'!C11 * (1.005^38)</f>
        <v>0</v>
      </c>
      <c r="AO10" s="7">
        <f>80 * '02_Inputs'!D11 * (1.005^39)</f>
        <v>0</v>
      </c>
      <c r="AP10" s="7">
        <f>80 * '02_Inputs'!E11 * (1.005^40)</f>
        <v>0</v>
      </c>
      <c r="AQ10" s="7">
        <f>80 * '02_Inputs'!F11 * (1.005^41)</f>
        <v>0</v>
      </c>
      <c r="AR10" s="7">
        <f>80 * '02_Inputs'!G11 * (1.005^42)</f>
        <v>0</v>
      </c>
      <c r="AS10" s="7">
        <f>80 * '02_Inputs'!H11 * (1.005^43)</f>
        <v>0</v>
      </c>
      <c r="AT10" s="7">
        <f>80 * '02_Inputs'!I11 * (1.005^44)</f>
        <v>0</v>
      </c>
      <c r="AU10" s="7">
        <f>80 * '02_Inputs'!J11 * (1.005^45)</f>
        <v>0</v>
      </c>
      <c r="AV10" s="7">
        <f>80 * '02_Inputs'!K11 * (1.005^46)</f>
        <v>0</v>
      </c>
      <c r="AW10" s="7">
        <f>80 * '02_Inputs'!L11 * (1.005^47)</f>
        <v>0</v>
      </c>
      <c r="AX10" s="7">
        <f>80 * '02_Inputs'!A11 * (1.005^48)</f>
        <v>0</v>
      </c>
      <c r="AY10" s="7">
        <f>80 * '02_Inputs'!B11 * (1.005^49)</f>
        <v>0</v>
      </c>
      <c r="AZ10" s="7">
        <f>80 * '02_Inputs'!C11 * (1.005^50)</f>
        <v>0</v>
      </c>
      <c r="BA10" s="7">
        <f>80 * '02_Inputs'!D11 * (1.005^51)</f>
        <v>0</v>
      </c>
      <c r="BB10" s="7">
        <f>80 * '02_Inputs'!E11 * (1.005^52)</f>
        <v>0</v>
      </c>
      <c r="BC10" s="7">
        <f>80 * '02_Inputs'!F11 * (1.005^53)</f>
        <v>0</v>
      </c>
      <c r="BD10" s="7">
        <f>80 * '02_Inputs'!G11 * (1.005^54)</f>
        <v>0</v>
      </c>
      <c r="BE10" s="7">
        <f>80 * '02_Inputs'!H11 * (1.005^55)</f>
        <v>0</v>
      </c>
      <c r="BF10" s="7">
        <f>80 * '02_Inputs'!I11 * (1.005^56)</f>
        <v>0</v>
      </c>
      <c r="BG10" s="7">
        <f>80 * '02_Inputs'!J11 * (1.005^57)</f>
        <v>0</v>
      </c>
      <c r="BH10" s="7">
        <f>80 * '02_Inputs'!K11 * (1.005^58)</f>
        <v>0</v>
      </c>
      <c r="BI10" s="7">
        <f>80 * '02_Inputs'!L11 * (1.005^59)</f>
        <v>0</v>
      </c>
    </row>
    <row r="11" spans="1:61">
      <c r="A11" s="2" t="s">
        <v>84</v>
      </c>
      <c r="B11" s="7">
        <f>SUM(B5:B10)</f>
        <v>0</v>
      </c>
      <c r="C11" s="7">
        <f>SUM(C5:C10)</f>
        <v>0</v>
      </c>
      <c r="D11" s="7">
        <f>SUM(D5:D10)</f>
        <v>0</v>
      </c>
      <c r="E11" s="7">
        <f>SUM(E5:E10)</f>
        <v>0</v>
      </c>
      <c r="F11" s="7">
        <f>SUM(F5:F10)</f>
        <v>0</v>
      </c>
      <c r="G11" s="7">
        <f>SUM(G5:G10)</f>
        <v>0</v>
      </c>
      <c r="H11" s="7">
        <f>SUM(H5:H10)</f>
        <v>0</v>
      </c>
      <c r="I11" s="7">
        <f>SUM(I5:I10)</f>
        <v>0</v>
      </c>
      <c r="J11" s="7">
        <f>SUM(J5:J10)</f>
        <v>0</v>
      </c>
      <c r="K11" s="7">
        <f>SUM(K5:K10)</f>
        <v>0</v>
      </c>
      <c r="L11" s="7">
        <f>SUM(L5:L10)</f>
        <v>0</v>
      </c>
      <c r="M11" s="7">
        <f>SUM(M5:M10)</f>
        <v>0</v>
      </c>
      <c r="N11" s="7">
        <f>SUM(N5:N10)</f>
        <v>0</v>
      </c>
      <c r="O11" s="7">
        <f>SUM(O5:O10)</f>
        <v>0</v>
      </c>
      <c r="P11" s="7">
        <f>SUM(P5:P10)</f>
        <v>0</v>
      </c>
      <c r="Q11" s="7">
        <f>SUM(Q5:Q10)</f>
        <v>0</v>
      </c>
      <c r="R11" s="7">
        <f>SUM(R5:R10)</f>
        <v>0</v>
      </c>
      <c r="S11" s="7">
        <f>SUM(S5:S10)</f>
        <v>0</v>
      </c>
      <c r="T11" s="7">
        <f>SUM(T5:T10)</f>
        <v>0</v>
      </c>
      <c r="U11" s="7">
        <f>SUM(U5:U10)</f>
        <v>0</v>
      </c>
      <c r="V11" s="7">
        <f>SUM(V5:V10)</f>
        <v>0</v>
      </c>
      <c r="W11" s="7">
        <f>SUM(W5:W10)</f>
        <v>0</v>
      </c>
      <c r="X11" s="7">
        <f>SUM(X5:X10)</f>
        <v>0</v>
      </c>
      <c r="Y11" s="7">
        <f>SUM(Y5:Y10)</f>
        <v>0</v>
      </c>
      <c r="Z11" s="7">
        <f>SUM(Z5:Z10)</f>
        <v>0</v>
      </c>
      <c r="AA11" s="7">
        <f>SUM(AA5:AA10)</f>
        <v>0</v>
      </c>
      <c r="AB11" s="7">
        <f>SUM(AB5:AB10)</f>
        <v>0</v>
      </c>
      <c r="AC11" s="7">
        <f>SUM(AC5:AC10)</f>
        <v>0</v>
      </c>
      <c r="AD11" s="7">
        <f>SUM(AD5:AD10)</f>
        <v>0</v>
      </c>
      <c r="AE11" s="7">
        <f>SUM(AE5:AE10)</f>
        <v>0</v>
      </c>
      <c r="AF11" s="7">
        <f>SUM(AF5:AF10)</f>
        <v>0</v>
      </c>
      <c r="AG11" s="7">
        <f>SUM(AG5:AG10)</f>
        <v>0</v>
      </c>
      <c r="AH11" s="7">
        <f>SUM(AH5:AH10)</f>
        <v>0</v>
      </c>
      <c r="AI11" s="7">
        <f>SUM(AI5:AI10)</f>
        <v>0</v>
      </c>
      <c r="AJ11" s="7">
        <f>SUM(AJ5:AJ10)</f>
        <v>0</v>
      </c>
      <c r="AK11" s="7">
        <f>SUM(AK5:AK10)</f>
        <v>0</v>
      </c>
      <c r="AL11" s="7">
        <f>SUM(AL5:AL10)</f>
        <v>0</v>
      </c>
      <c r="AM11" s="7">
        <f>SUM(AM5:AM10)</f>
        <v>0</v>
      </c>
      <c r="AN11" s="7">
        <f>SUM(AN5:AN10)</f>
        <v>0</v>
      </c>
      <c r="AO11" s="7">
        <f>SUM(AO5:AO10)</f>
        <v>0</v>
      </c>
      <c r="AP11" s="7">
        <f>SUM(AP5:AP10)</f>
        <v>0</v>
      </c>
      <c r="AQ11" s="7">
        <f>SUM(AQ5:AQ10)</f>
        <v>0</v>
      </c>
      <c r="AR11" s="7">
        <f>SUM(AR5:AR10)</f>
        <v>0</v>
      </c>
      <c r="AS11" s="7">
        <f>SUM(AS5:AS10)</f>
        <v>0</v>
      </c>
      <c r="AT11" s="7">
        <f>SUM(AT5:AT10)</f>
        <v>0</v>
      </c>
      <c r="AU11" s="7">
        <f>SUM(AU5:AU10)</f>
        <v>0</v>
      </c>
      <c r="AV11" s="7">
        <f>SUM(AV5:AV10)</f>
        <v>0</v>
      </c>
      <c r="AW11" s="7">
        <f>SUM(AW5:AW10)</f>
        <v>0</v>
      </c>
      <c r="AX11" s="7">
        <f>SUM(AX5:AX10)</f>
        <v>0</v>
      </c>
      <c r="AY11" s="7">
        <f>SUM(AY5:AY10)</f>
        <v>0</v>
      </c>
      <c r="AZ11" s="7">
        <f>SUM(AZ5:AZ10)</f>
        <v>0</v>
      </c>
      <c r="BA11" s="7">
        <f>SUM(BA5:BA10)</f>
        <v>0</v>
      </c>
      <c r="BB11" s="7">
        <f>SUM(BB5:BB10)</f>
        <v>0</v>
      </c>
      <c r="BC11" s="7">
        <f>SUM(BC5:BC10)</f>
        <v>0</v>
      </c>
      <c r="BD11" s="7">
        <f>SUM(BD5:BD10)</f>
        <v>0</v>
      </c>
      <c r="BE11" s="7">
        <f>SUM(BE5:BE10)</f>
        <v>0</v>
      </c>
      <c r="BF11" s="7">
        <f>SUM(BF5:BF10)</f>
        <v>0</v>
      </c>
      <c r="BG11" s="7">
        <f>SUM(BG5:BG10)</f>
        <v>0</v>
      </c>
      <c r="BH11" s="7">
        <f>SUM(BH5:BH10)</f>
        <v>0</v>
      </c>
      <c r="BI11" s="7">
        <f>SUM(BI5:BI10)</f>
        <v>0</v>
      </c>
    </row>
    <row r="13" spans="1:61">
      <c r="A13" s="2" t="s">
        <v>85</v>
      </c>
      <c r="B13" s="6">
        <f>B5*('02_Inputs'!$B$13*420+(1-'02_Inputs'!$B$13)*380)*0.85 + B6*('02_Inputs'!$B$13*550+(1-'02_Inputs'!$B$13)*480)*0.85 + B7*('02_Inputs'!$B$13*680+(1-'02_Inputs'!$B$13)*600)*0.85 + B8*('02_Inputs'!$B$13*620+(1-'02_Inputs'!$B$13)*540)*0.85 + B9*('02_Inputs'!$B$13*480+(1-'02_Inputs'!$B$13)*420)*0.85 + B10*('02_Inputs'!$B$13*980+(1-'02_Inputs'!$B$13)*880)*0.85</f>
        <v>0</v>
      </c>
      <c r="C13" s="6">
        <f>C5*('02_Inputs'!$B$13*420+(1-'02_Inputs'!$B$13)*380)*0.85 + C6*('02_Inputs'!$B$13*550+(1-'02_Inputs'!$B$13)*480)*0.85 + C7*('02_Inputs'!$B$13*680+(1-'02_Inputs'!$B$13)*600)*0.85 + C8*('02_Inputs'!$B$13*620+(1-'02_Inputs'!$B$13)*540)*0.85 + C9*('02_Inputs'!$B$13*480+(1-'02_Inputs'!$B$13)*420)*0.85 + C10*('02_Inputs'!$B$13*980+(1-'02_Inputs'!$B$13)*880)*0.85</f>
        <v>0</v>
      </c>
      <c r="D13" s="6">
        <f>D5*('02_Inputs'!$B$13*420+(1-'02_Inputs'!$B$13)*380)*0.85 + D6*('02_Inputs'!$B$13*550+(1-'02_Inputs'!$B$13)*480)*0.85 + D7*('02_Inputs'!$B$13*680+(1-'02_Inputs'!$B$13)*600)*0.85 + D8*('02_Inputs'!$B$13*620+(1-'02_Inputs'!$B$13)*540)*0.85 + D9*('02_Inputs'!$B$13*480+(1-'02_Inputs'!$B$13)*420)*0.85 + D10*('02_Inputs'!$B$13*980+(1-'02_Inputs'!$B$13)*880)*0.85</f>
        <v>0</v>
      </c>
      <c r="E13" s="6">
        <f>E5*('02_Inputs'!$B$13*420+(1-'02_Inputs'!$B$13)*380)*0.85 + E6*('02_Inputs'!$B$13*550+(1-'02_Inputs'!$B$13)*480)*0.85 + E7*('02_Inputs'!$B$13*680+(1-'02_Inputs'!$B$13)*600)*0.85 + E8*('02_Inputs'!$B$13*620+(1-'02_Inputs'!$B$13)*540)*0.85 + E9*('02_Inputs'!$B$13*480+(1-'02_Inputs'!$B$13)*420)*0.85 + E10*('02_Inputs'!$B$13*980+(1-'02_Inputs'!$B$13)*880)*0.85</f>
        <v>0</v>
      </c>
      <c r="F13" s="6">
        <f>F5*('02_Inputs'!$B$13*420+(1-'02_Inputs'!$B$13)*380)*0.85 + F6*('02_Inputs'!$B$13*550+(1-'02_Inputs'!$B$13)*480)*0.85 + F7*('02_Inputs'!$B$13*680+(1-'02_Inputs'!$B$13)*600)*0.85 + F8*('02_Inputs'!$B$13*620+(1-'02_Inputs'!$B$13)*540)*0.85 + F9*('02_Inputs'!$B$13*480+(1-'02_Inputs'!$B$13)*420)*0.85 + F10*('02_Inputs'!$B$13*980+(1-'02_Inputs'!$B$13)*880)*0.85</f>
        <v>0</v>
      </c>
      <c r="G13" s="6">
        <f>G5*('02_Inputs'!$B$13*420+(1-'02_Inputs'!$B$13)*380)*0.85 + G6*('02_Inputs'!$B$13*550+(1-'02_Inputs'!$B$13)*480)*0.85 + G7*('02_Inputs'!$B$13*680+(1-'02_Inputs'!$B$13)*600)*0.85 + G8*('02_Inputs'!$B$13*620+(1-'02_Inputs'!$B$13)*540)*0.85 + G9*('02_Inputs'!$B$13*480+(1-'02_Inputs'!$B$13)*420)*0.85 + G10*('02_Inputs'!$B$13*980+(1-'02_Inputs'!$B$13)*880)*0.85</f>
        <v>0</v>
      </c>
      <c r="H13" s="6">
        <f>H5*('02_Inputs'!$B$13*420+(1-'02_Inputs'!$B$13)*380)*0.85 + H6*('02_Inputs'!$B$13*550+(1-'02_Inputs'!$B$13)*480)*0.85 + H7*('02_Inputs'!$B$13*680+(1-'02_Inputs'!$B$13)*600)*0.85 + H8*('02_Inputs'!$B$13*620+(1-'02_Inputs'!$B$13)*540)*0.85 + H9*('02_Inputs'!$B$13*480+(1-'02_Inputs'!$B$13)*420)*0.85 + H10*('02_Inputs'!$B$13*980+(1-'02_Inputs'!$B$13)*880)*0.85</f>
        <v>0</v>
      </c>
      <c r="I13" s="6">
        <f>I5*('02_Inputs'!$B$13*420+(1-'02_Inputs'!$B$13)*380)*0.85 + I6*('02_Inputs'!$B$13*550+(1-'02_Inputs'!$B$13)*480)*0.85 + I7*('02_Inputs'!$B$13*680+(1-'02_Inputs'!$B$13)*600)*0.85 + I8*('02_Inputs'!$B$13*620+(1-'02_Inputs'!$B$13)*540)*0.85 + I9*('02_Inputs'!$B$13*480+(1-'02_Inputs'!$B$13)*420)*0.85 + I10*('02_Inputs'!$B$13*980+(1-'02_Inputs'!$B$13)*880)*0.85</f>
        <v>0</v>
      </c>
      <c r="J13" s="6">
        <f>J5*('02_Inputs'!$B$13*420+(1-'02_Inputs'!$B$13)*380)*0.85 + J6*('02_Inputs'!$B$13*550+(1-'02_Inputs'!$B$13)*480)*0.85 + J7*('02_Inputs'!$B$13*680+(1-'02_Inputs'!$B$13)*600)*0.85 + J8*('02_Inputs'!$B$13*620+(1-'02_Inputs'!$B$13)*540)*0.85 + J9*('02_Inputs'!$B$13*480+(1-'02_Inputs'!$B$13)*420)*0.85 + J10*('02_Inputs'!$B$13*980+(1-'02_Inputs'!$B$13)*880)*0.85</f>
        <v>0</v>
      </c>
      <c r="K13" s="6">
        <f>K5*('02_Inputs'!$B$13*420+(1-'02_Inputs'!$B$13)*380)*0.85 + K6*('02_Inputs'!$B$13*550+(1-'02_Inputs'!$B$13)*480)*0.85 + K7*('02_Inputs'!$B$13*680+(1-'02_Inputs'!$B$13)*600)*0.85 + K8*('02_Inputs'!$B$13*620+(1-'02_Inputs'!$B$13)*540)*0.85 + K9*('02_Inputs'!$B$13*480+(1-'02_Inputs'!$B$13)*420)*0.85 + K10*('02_Inputs'!$B$13*980+(1-'02_Inputs'!$B$13)*880)*0.85</f>
        <v>0</v>
      </c>
      <c r="L13" s="6">
        <f>L5*('02_Inputs'!$B$13*420+(1-'02_Inputs'!$B$13)*380)*0.85 + L6*('02_Inputs'!$B$13*550+(1-'02_Inputs'!$B$13)*480)*0.85 + L7*('02_Inputs'!$B$13*680+(1-'02_Inputs'!$B$13)*600)*0.85 + L8*('02_Inputs'!$B$13*620+(1-'02_Inputs'!$B$13)*540)*0.85 + L9*('02_Inputs'!$B$13*480+(1-'02_Inputs'!$B$13)*420)*0.85 + L10*('02_Inputs'!$B$13*980+(1-'02_Inputs'!$B$13)*880)*0.85</f>
        <v>0</v>
      </c>
      <c r="M13" s="6">
        <f>M5*('02_Inputs'!$B$13*420+(1-'02_Inputs'!$B$13)*380)*0.85 + M6*('02_Inputs'!$B$13*550+(1-'02_Inputs'!$B$13)*480)*0.85 + M7*('02_Inputs'!$B$13*680+(1-'02_Inputs'!$B$13)*600)*0.85 + M8*('02_Inputs'!$B$13*620+(1-'02_Inputs'!$B$13)*540)*0.85 + M9*('02_Inputs'!$B$13*480+(1-'02_Inputs'!$B$13)*420)*0.85 + M10*('02_Inputs'!$B$13*980+(1-'02_Inputs'!$B$13)*880)*0.85</f>
        <v>0</v>
      </c>
      <c r="N13" s="6">
        <f>N5*('02_Inputs'!$B$13*420+(1-'02_Inputs'!$B$13)*380)*0.85 + N6*('02_Inputs'!$B$13*550+(1-'02_Inputs'!$B$13)*480)*0.85 + N7*('02_Inputs'!$B$13*680+(1-'02_Inputs'!$B$13)*600)*0.85 + N8*('02_Inputs'!$B$13*620+(1-'02_Inputs'!$B$13)*540)*0.85 + N9*('02_Inputs'!$B$13*480+(1-'02_Inputs'!$B$13)*420)*0.85 + N10*('02_Inputs'!$B$13*980+(1-'02_Inputs'!$B$13)*880)*0.85</f>
        <v>0</v>
      </c>
      <c r="O13" s="6">
        <f>O5*('02_Inputs'!$B$13*420+(1-'02_Inputs'!$B$13)*380)*0.85 + O6*('02_Inputs'!$B$13*550+(1-'02_Inputs'!$B$13)*480)*0.85 + O7*('02_Inputs'!$B$13*680+(1-'02_Inputs'!$B$13)*600)*0.85 + O8*('02_Inputs'!$B$13*620+(1-'02_Inputs'!$B$13)*540)*0.85 + O9*('02_Inputs'!$B$13*480+(1-'02_Inputs'!$B$13)*420)*0.85 + O10*('02_Inputs'!$B$13*980+(1-'02_Inputs'!$B$13)*880)*0.85</f>
        <v>0</v>
      </c>
      <c r="P13" s="6">
        <f>P5*('02_Inputs'!$B$13*420+(1-'02_Inputs'!$B$13)*380)*0.85 + P6*('02_Inputs'!$B$13*550+(1-'02_Inputs'!$B$13)*480)*0.85 + P7*('02_Inputs'!$B$13*680+(1-'02_Inputs'!$B$13)*600)*0.85 + P8*('02_Inputs'!$B$13*620+(1-'02_Inputs'!$B$13)*540)*0.85 + P9*('02_Inputs'!$B$13*480+(1-'02_Inputs'!$B$13)*420)*0.85 + P10*('02_Inputs'!$B$13*980+(1-'02_Inputs'!$B$13)*880)*0.85</f>
        <v>0</v>
      </c>
      <c r="Q13" s="6">
        <f>Q5*('02_Inputs'!$B$13*420+(1-'02_Inputs'!$B$13)*380)*0.85 + Q6*('02_Inputs'!$B$13*550+(1-'02_Inputs'!$B$13)*480)*0.85 + Q7*('02_Inputs'!$B$13*680+(1-'02_Inputs'!$B$13)*600)*0.85 + Q8*('02_Inputs'!$B$13*620+(1-'02_Inputs'!$B$13)*540)*0.85 + Q9*('02_Inputs'!$B$13*480+(1-'02_Inputs'!$B$13)*420)*0.85 + Q10*('02_Inputs'!$B$13*980+(1-'02_Inputs'!$B$13)*880)*0.85</f>
        <v>0</v>
      </c>
      <c r="R13" s="6">
        <f>R5*('02_Inputs'!$B$13*420+(1-'02_Inputs'!$B$13)*380)*0.85 + R6*('02_Inputs'!$B$13*550+(1-'02_Inputs'!$B$13)*480)*0.85 + R7*('02_Inputs'!$B$13*680+(1-'02_Inputs'!$B$13)*600)*0.85 + R8*('02_Inputs'!$B$13*620+(1-'02_Inputs'!$B$13)*540)*0.85 + R9*('02_Inputs'!$B$13*480+(1-'02_Inputs'!$B$13)*420)*0.85 + R10*('02_Inputs'!$B$13*980+(1-'02_Inputs'!$B$13)*880)*0.85</f>
        <v>0</v>
      </c>
      <c r="S13" s="6">
        <f>S5*('02_Inputs'!$B$13*420+(1-'02_Inputs'!$B$13)*380)*0.85 + S6*('02_Inputs'!$B$13*550+(1-'02_Inputs'!$B$13)*480)*0.85 + S7*('02_Inputs'!$B$13*680+(1-'02_Inputs'!$B$13)*600)*0.85 + S8*('02_Inputs'!$B$13*620+(1-'02_Inputs'!$B$13)*540)*0.85 + S9*('02_Inputs'!$B$13*480+(1-'02_Inputs'!$B$13)*420)*0.85 + S10*('02_Inputs'!$B$13*980+(1-'02_Inputs'!$B$13)*880)*0.85</f>
        <v>0</v>
      </c>
      <c r="T13" s="6">
        <f>T5*('02_Inputs'!$B$13*420+(1-'02_Inputs'!$B$13)*380)*0.85 + T6*('02_Inputs'!$B$13*550+(1-'02_Inputs'!$B$13)*480)*0.85 + T7*('02_Inputs'!$B$13*680+(1-'02_Inputs'!$B$13)*600)*0.85 + T8*('02_Inputs'!$B$13*620+(1-'02_Inputs'!$B$13)*540)*0.85 + T9*('02_Inputs'!$B$13*480+(1-'02_Inputs'!$B$13)*420)*0.85 + T10*('02_Inputs'!$B$13*980+(1-'02_Inputs'!$B$13)*880)*0.85</f>
        <v>0</v>
      </c>
      <c r="U13" s="6">
        <f>U5*('02_Inputs'!$B$13*420+(1-'02_Inputs'!$B$13)*380)*0.85 + U6*('02_Inputs'!$B$13*550+(1-'02_Inputs'!$B$13)*480)*0.85 + U7*('02_Inputs'!$B$13*680+(1-'02_Inputs'!$B$13)*600)*0.85 + U8*('02_Inputs'!$B$13*620+(1-'02_Inputs'!$B$13)*540)*0.85 + U9*('02_Inputs'!$B$13*480+(1-'02_Inputs'!$B$13)*420)*0.85 + U10*('02_Inputs'!$B$13*980+(1-'02_Inputs'!$B$13)*880)*0.85</f>
        <v>0</v>
      </c>
      <c r="V13" s="6">
        <f>V5*('02_Inputs'!$B$13*420+(1-'02_Inputs'!$B$13)*380)*0.85 + V6*('02_Inputs'!$B$13*550+(1-'02_Inputs'!$B$13)*480)*0.85 + V7*('02_Inputs'!$B$13*680+(1-'02_Inputs'!$B$13)*600)*0.85 + V8*('02_Inputs'!$B$13*620+(1-'02_Inputs'!$B$13)*540)*0.85 + V9*('02_Inputs'!$B$13*480+(1-'02_Inputs'!$B$13)*420)*0.85 + V10*('02_Inputs'!$B$13*980+(1-'02_Inputs'!$B$13)*880)*0.85</f>
        <v>0</v>
      </c>
      <c r="W13" s="6">
        <f>W5*('02_Inputs'!$B$13*420+(1-'02_Inputs'!$B$13)*380)*0.85 + W6*('02_Inputs'!$B$13*550+(1-'02_Inputs'!$B$13)*480)*0.85 + W7*('02_Inputs'!$B$13*680+(1-'02_Inputs'!$B$13)*600)*0.85 + W8*('02_Inputs'!$B$13*620+(1-'02_Inputs'!$B$13)*540)*0.85 + W9*('02_Inputs'!$B$13*480+(1-'02_Inputs'!$B$13)*420)*0.85 + W10*('02_Inputs'!$B$13*980+(1-'02_Inputs'!$B$13)*880)*0.85</f>
        <v>0</v>
      </c>
      <c r="X13" s="6">
        <f>X5*('02_Inputs'!$B$13*420+(1-'02_Inputs'!$B$13)*380)*0.85 + X6*('02_Inputs'!$B$13*550+(1-'02_Inputs'!$B$13)*480)*0.85 + X7*('02_Inputs'!$B$13*680+(1-'02_Inputs'!$B$13)*600)*0.85 + X8*('02_Inputs'!$B$13*620+(1-'02_Inputs'!$B$13)*540)*0.85 + X9*('02_Inputs'!$B$13*480+(1-'02_Inputs'!$B$13)*420)*0.85 + X10*('02_Inputs'!$B$13*980+(1-'02_Inputs'!$B$13)*880)*0.85</f>
        <v>0</v>
      </c>
      <c r="Y13" s="6">
        <f>Y5*('02_Inputs'!$B$13*420+(1-'02_Inputs'!$B$13)*380)*0.85 + Y6*('02_Inputs'!$B$13*550+(1-'02_Inputs'!$B$13)*480)*0.85 + Y7*('02_Inputs'!$B$13*680+(1-'02_Inputs'!$B$13)*600)*0.85 + Y8*('02_Inputs'!$B$13*620+(1-'02_Inputs'!$B$13)*540)*0.85 + Y9*('02_Inputs'!$B$13*480+(1-'02_Inputs'!$B$13)*420)*0.85 + Y10*('02_Inputs'!$B$13*980+(1-'02_Inputs'!$B$13)*880)*0.85</f>
        <v>0</v>
      </c>
      <c r="Z13" s="6">
        <f>Z5*('02_Inputs'!$B$13*420+(1-'02_Inputs'!$B$13)*380)*0.85 + Z6*('02_Inputs'!$B$13*550+(1-'02_Inputs'!$B$13)*480)*0.85 + Z7*('02_Inputs'!$B$13*680+(1-'02_Inputs'!$B$13)*600)*0.85 + Z8*('02_Inputs'!$B$13*620+(1-'02_Inputs'!$B$13)*540)*0.85 + Z9*('02_Inputs'!$B$13*480+(1-'02_Inputs'!$B$13)*420)*0.85 + Z10*('02_Inputs'!$B$13*980+(1-'02_Inputs'!$B$13)*880)*0.85</f>
        <v>0</v>
      </c>
      <c r="AA13" s="6">
        <f>AA5*('02_Inputs'!$B$13*420+(1-'02_Inputs'!$B$13)*380)*0.85 + AA6*('02_Inputs'!$B$13*550+(1-'02_Inputs'!$B$13)*480)*0.85 + AA7*('02_Inputs'!$B$13*680+(1-'02_Inputs'!$B$13)*600)*0.85 + AA8*('02_Inputs'!$B$13*620+(1-'02_Inputs'!$B$13)*540)*0.85 + AA9*('02_Inputs'!$B$13*480+(1-'02_Inputs'!$B$13)*420)*0.85 + AA10*('02_Inputs'!$B$13*980+(1-'02_Inputs'!$B$13)*880)*0.85</f>
        <v>0</v>
      </c>
      <c r="AB13" s="6">
        <f>AB5*('02_Inputs'!$B$13*420+(1-'02_Inputs'!$B$13)*380)*0.85 + AB6*('02_Inputs'!$B$13*550+(1-'02_Inputs'!$B$13)*480)*0.85 + AB7*('02_Inputs'!$B$13*680+(1-'02_Inputs'!$B$13)*600)*0.85 + AB8*('02_Inputs'!$B$13*620+(1-'02_Inputs'!$B$13)*540)*0.85 + AB9*('02_Inputs'!$B$13*480+(1-'02_Inputs'!$B$13)*420)*0.85 + AB10*('02_Inputs'!$B$13*980+(1-'02_Inputs'!$B$13)*880)*0.85</f>
        <v>0</v>
      </c>
      <c r="AC13" s="6">
        <f>AC5*('02_Inputs'!$B$13*420+(1-'02_Inputs'!$B$13)*380)*0.85 + AC6*('02_Inputs'!$B$13*550+(1-'02_Inputs'!$B$13)*480)*0.85 + AC7*('02_Inputs'!$B$13*680+(1-'02_Inputs'!$B$13)*600)*0.85 + AC8*('02_Inputs'!$B$13*620+(1-'02_Inputs'!$B$13)*540)*0.85 + AC9*('02_Inputs'!$B$13*480+(1-'02_Inputs'!$B$13)*420)*0.85 + AC10*('02_Inputs'!$B$13*980+(1-'02_Inputs'!$B$13)*880)*0.85</f>
        <v>0</v>
      </c>
      <c r="AD13" s="6">
        <f>AD5*('02_Inputs'!$B$13*420+(1-'02_Inputs'!$B$13)*380)*0.85 + AD6*('02_Inputs'!$B$13*550+(1-'02_Inputs'!$B$13)*480)*0.85 + AD7*('02_Inputs'!$B$13*680+(1-'02_Inputs'!$B$13)*600)*0.85 + AD8*('02_Inputs'!$B$13*620+(1-'02_Inputs'!$B$13)*540)*0.85 + AD9*('02_Inputs'!$B$13*480+(1-'02_Inputs'!$B$13)*420)*0.85 + AD10*('02_Inputs'!$B$13*980+(1-'02_Inputs'!$B$13)*880)*0.85</f>
        <v>0</v>
      </c>
      <c r="AE13" s="6">
        <f>AE5*('02_Inputs'!$B$13*420+(1-'02_Inputs'!$B$13)*380)*0.85 + AE6*('02_Inputs'!$B$13*550+(1-'02_Inputs'!$B$13)*480)*0.85 + AE7*('02_Inputs'!$B$13*680+(1-'02_Inputs'!$B$13)*600)*0.85 + AE8*('02_Inputs'!$B$13*620+(1-'02_Inputs'!$B$13)*540)*0.85 + AE9*('02_Inputs'!$B$13*480+(1-'02_Inputs'!$B$13)*420)*0.85 + AE10*('02_Inputs'!$B$13*980+(1-'02_Inputs'!$B$13)*880)*0.85</f>
        <v>0</v>
      </c>
      <c r="AF13" s="6">
        <f>AF5*('02_Inputs'!$B$13*420+(1-'02_Inputs'!$B$13)*380)*0.85 + AF6*('02_Inputs'!$B$13*550+(1-'02_Inputs'!$B$13)*480)*0.85 + AF7*('02_Inputs'!$B$13*680+(1-'02_Inputs'!$B$13)*600)*0.85 + AF8*('02_Inputs'!$B$13*620+(1-'02_Inputs'!$B$13)*540)*0.85 + AF9*('02_Inputs'!$B$13*480+(1-'02_Inputs'!$B$13)*420)*0.85 + AF10*('02_Inputs'!$B$13*980+(1-'02_Inputs'!$B$13)*880)*0.85</f>
        <v>0</v>
      </c>
      <c r="AG13" s="6">
        <f>AG5*('02_Inputs'!$B$13*420+(1-'02_Inputs'!$B$13)*380)*0.85 + AG6*('02_Inputs'!$B$13*550+(1-'02_Inputs'!$B$13)*480)*0.85 + AG7*('02_Inputs'!$B$13*680+(1-'02_Inputs'!$B$13)*600)*0.85 + AG8*('02_Inputs'!$B$13*620+(1-'02_Inputs'!$B$13)*540)*0.85 + AG9*('02_Inputs'!$B$13*480+(1-'02_Inputs'!$B$13)*420)*0.85 + AG10*('02_Inputs'!$B$13*980+(1-'02_Inputs'!$B$13)*880)*0.85</f>
        <v>0</v>
      </c>
      <c r="AH13" s="6">
        <f>AH5*('02_Inputs'!$B$13*420+(1-'02_Inputs'!$B$13)*380)*0.85 + AH6*('02_Inputs'!$B$13*550+(1-'02_Inputs'!$B$13)*480)*0.85 + AH7*('02_Inputs'!$B$13*680+(1-'02_Inputs'!$B$13)*600)*0.85 + AH8*('02_Inputs'!$B$13*620+(1-'02_Inputs'!$B$13)*540)*0.85 + AH9*('02_Inputs'!$B$13*480+(1-'02_Inputs'!$B$13)*420)*0.85 + AH10*('02_Inputs'!$B$13*980+(1-'02_Inputs'!$B$13)*880)*0.85</f>
        <v>0</v>
      </c>
      <c r="AI13" s="6">
        <f>AI5*('02_Inputs'!$B$13*420+(1-'02_Inputs'!$B$13)*380)*0.85 + AI6*('02_Inputs'!$B$13*550+(1-'02_Inputs'!$B$13)*480)*0.85 + AI7*('02_Inputs'!$B$13*680+(1-'02_Inputs'!$B$13)*600)*0.85 + AI8*('02_Inputs'!$B$13*620+(1-'02_Inputs'!$B$13)*540)*0.85 + AI9*('02_Inputs'!$B$13*480+(1-'02_Inputs'!$B$13)*420)*0.85 + AI10*('02_Inputs'!$B$13*980+(1-'02_Inputs'!$B$13)*880)*0.85</f>
        <v>0</v>
      </c>
      <c r="AJ13" s="6">
        <f>AJ5*('02_Inputs'!$B$13*420+(1-'02_Inputs'!$B$13)*380)*0.85 + AJ6*('02_Inputs'!$B$13*550+(1-'02_Inputs'!$B$13)*480)*0.85 + AJ7*('02_Inputs'!$B$13*680+(1-'02_Inputs'!$B$13)*600)*0.85 + AJ8*('02_Inputs'!$B$13*620+(1-'02_Inputs'!$B$13)*540)*0.85 + AJ9*('02_Inputs'!$B$13*480+(1-'02_Inputs'!$B$13)*420)*0.85 + AJ10*('02_Inputs'!$B$13*980+(1-'02_Inputs'!$B$13)*880)*0.85</f>
        <v>0</v>
      </c>
      <c r="AK13" s="6">
        <f>AK5*('02_Inputs'!$B$13*420+(1-'02_Inputs'!$B$13)*380)*0.85 + AK6*('02_Inputs'!$B$13*550+(1-'02_Inputs'!$B$13)*480)*0.85 + AK7*('02_Inputs'!$B$13*680+(1-'02_Inputs'!$B$13)*600)*0.85 + AK8*('02_Inputs'!$B$13*620+(1-'02_Inputs'!$B$13)*540)*0.85 + AK9*('02_Inputs'!$B$13*480+(1-'02_Inputs'!$B$13)*420)*0.85 + AK10*('02_Inputs'!$B$13*980+(1-'02_Inputs'!$B$13)*880)*0.85</f>
        <v>0</v>
      </c>
      <c r="AL13" s="6">
        <f>AL5*('02_Inputs'!$B$13*420+(1-'02_Inputs'!$B$13)*380)*0.85 + AL6*('02_Inputs'!$B$13*550+(1-'02_Inputs'!$B$13)*480)*0.85 + AL7*('02_Inputs'!$B$13*680+(1-'02_Inputs'!$B$13)*600)*0.85 + AL8*('02_Inputs'!$B$13*620+(1-'02_Inputs'!$B$13)*540)*0.85 + AL9*('02_Inputs'!$B$13*480+(1-'02_Inputs'!$B$13)*420)*0.85 + AL10*('02_Inputs'!$B$13*980+(1-'02_Inputs'!$B$13)*880)*0.85</f>
        <v>0</v>
      </c>
      <c r="AM13" s="6">
        <f>AM5*('02_Inputs'!$B$13*420+(1-'02_Inputs'!$B$13)*380)*0.85 + AM6*('02_Inputs'!$B$13*550+(1-'02_Inputs'!$B$13)*480)*0.85 + AM7*('02_Inputs'!$B$13*680+(1-'02_Inputs'!$B$13)*600)*0.85 + AM8*('02_Inputs'!$B$13*620+(1-'02_Inputs'!$B$13)*540)*0.85 + AM9*('02_Inputs'!$B$13*480+(1-'02_Inputs'!$B$13)*420)*0.85 + AM10*('02_Inputs'!$B$13*980+(1-'02_Inputs'!$B$13)*880)*0.85</f>
        <v>0</v>
      </c>
      <c r="AN13" s="6">
        <f>AN5*('02_Inputs'!$B$13*420+(1-'02_Inputs'!$B$13)*380)*0.85 + AN6*('02_Inputs'!$B$13*550+(1-'02_Inputs'!$B$13)*480)*0.85 + AN7*('02_Inputs'!$B$13*680+(1-'02_Inputs'!$B$13)*600)*0.85 + AN8*('02_Inputs'!$B$13*620+(1-'02_Inputs'!$B$13)*540)*0.85 + AN9*('02_Inputs'!$B$13*480+(1-'02_Inputs'!$B$13)*420)*0.85 + AN10*('02_Inputs'!$B$13*980+(1-'02_Inputs'!$B$13)*880)*0.85</f>
        <v>0</v>
      </c>
      <c r="AO13" s="6">
        <f>AO5*('02_Inputs'!$B$13*420+(1-'02_Inputs'!$B$13)*380)*0.85 + AO6*('02_Inputs'!$B$13*550+(1-'02_Inputs'!$B$13)*480)*0.85 + AO7*('02_Inputs'!$B$13*680+(1-'02_Inputs'!$B$13)*600)*0.85 + AO8*('02_Inputs'!$B$13*620+(1-'02_Inputs'!$B$13)*540)*0.85 + AO9*('02_Inputs'!$B$13*480+(1-'02_Inputs'!$B$13)*420)*0.85 + AO10*('02_Inputs'!$B$13*980+(1-'02_Inputs'!$B$13)*880)*0.85</f>
        <v>0</v>
      </c>
      <c r="AP13" s="6">
        <f>AP5*('02_Inputs'!$B$13*420+(1-'02_Inputs'!$B$13)*380)*0.85 + AP6*('02_Inputs'!$B$13*550+(1-'02_Inputs'!$B$13)*480)*0.85 + AP7*('02_Inputs'!$B$13*680+(1-'02_Inputs'!$B$13)*600)*0.85 + AP8*('02_Inputs'!$B$13*620+(1-'02_Inputs'!$B$13)*540)*0.85 + AP9*('02_Inputs'!$B$13*480+(1-'02_Inputs'!$B$13)*420)*0.85 + AP10*('02_Inputs'!$B$13*980+(1-'02_Inputs'!$B$13)*880)*0.85</f>
        <v>0</v>
      </c>
      <c r="AQ13" s="6">
        <f>AQ5*('02_Inputs'!$B$13*420+(1-'02_Inputs'!$B$13)*380)*0.85 + AQ6*('02_Inputs'!$B$13*550+(1-'02_Inputs'!$B$13)*480)*0.85 + AQ7*('02_Inputs'!$B$13*680+(1-'02_Inputs'!$B$13)*600)*0.85 + AQ8*('02_Inputs'!$B$13*620+(1-'02_Inputs'!$B$13)*540)*0.85 + AQ9*('02_Inputs'!$B$13*480+(1-'02_Inputs'!$B$13)*420)*0.85 + AQ10*('02_Inputs'!$B$13*980+(1-'02_Inputs'!$B$13)*880)*0.85</f>
        <v>0</v>
      </c>
      <c r="AR13" s="6">
        <f>AR5*('02_Inputs'!$B$13*420+(1-'02_Inputs'!$B$13)*380)*0.85 + AR6*('02_Inputs'!$B$13*550+(1-'02_Inputs'!$B$13)*480)*0.85 + AR7*('02_Inputs'!$B$13*680+(1-'02_Inputs'!$B$13)*600)*0.85 + AR8*('02_Inputs'!$B$13*620+(1-'02_Inputs'!$B$13)*540)*0.85 + AR9*('02_Inputs'!$B$13*480+(1-'02_Inputs'!$B$13)*420)*0.85 + AR10*('02_Inputs'!$B$13*980+(1-'02_Inputs'!$B$13)*880)*0.85</f>
        <v>0</v>
      </c>
      <c r="AS13" s="6">
        <f>AS5*('02_Inputs'!$B$13*420+(1-'02_Inputs'!$B$13)*380)*0.85 + AS6*('02_Inputs'!$B$13*550+(1-'02_Inputs'!$B$13)*480)*0.85 + AS7*('02_Inputs'!$B$13*680+(1-'02_Inputs'!$B$13)*600)*0.85 + AS8*('02_Inputs'!$B$13*620+(1-'02_Inputs'!$B$13)*540)*0.85 + AS9*('02_Inputs'!$B$13*480+(1-'02_Inputs'!$B$13)*420)*0.85 + AS10*('02_Inputs'!$B$13*980+(1-'02_Inputs'!$B$13)*880)*0.85</f>
        <v>0</v>
      </c>
      <c r="AT13" s="6">
        <f>AT5*('02_Inputs'!$B$13*420+(1-'02_Inputs'!$B$13)*380)*0.85 + AT6*('02_Inputs'!$B$13*550+(1-'02_Inputs'!$B$13)*480)*0.85 + AT7*('02_Inputs'!$B$13*680+(1-'02_Inputs'!$B$13)*600)*0.85 + AT8*('02_Inputs'!$B$13*620+(1-'02_Inputs'!$B$13)*540)*0.85 + AT9*('02_Inputs'!$B$13*480+(1-'02_Inputs'!$B$13)*420)*0.85 + AT10*('02_Inputs'!$B$13*980+(1-'02_Inputs'!$B$13)*880)*0.85</f>
        <v>0</v>
      </c>
      <c r="AU13" s="6">
        <f>AU5*('02_Inputs'!$B$13*420+(1-'02_Inputs'!$B$13)*380)*0.85 + AU6*('02_Inputs'!$B$13*550+(1-'02_Inputs'!$B$13)*480)*0.85 + AU7*('02_Inputs'!$B$13*680+(1-'02_Inputs'!$B$13)*600)*0.85 + AU8*('02_Inputs'!$B$13*620+(1-'02_Inputs'!$B$13)*540)*0.85 + AU9*('02_Inputs'!$B$13*480+(1-'02_Inputs'!$B$13)*420)*0.85 + AU10*('02_Inputs'!$B$13*980+(1-'02_Inputs'!$B$13)*880)*0.85</f>
        <v>0</v>
      </c>
      <c r="AV13" s="6">
        <f>AV5*('02_Inputs'!$B$13*420+(1-'02_Inputs'!$B$13)*380)*0.85 + AV6*('02_Inputs'!$B$13*550+(1-'02_Inputs'!$B$13)*480)*0.85 + AV7*('02_Inputs'!$B$13*680+(1-'02_Inputs'!$B$13)*600)*0.85 + AV8*('02_Inputs'!$B$13*620+(1-'02_Inputs'!$B$13)*540)*0.85 + AV9*('02_Inputs'!$B$13*480+(1-'02_Inputs'!$B$13)*420)*0.85 + AV10*('02_Inputs'!$B$13*980+(1-'02_Inputs'!$B$13)*880)*0.85</f>
        <v>0</v>
      </c>
      <c r="AW13" s="6">
        <f>AW5*('02_Inputs'!$B$13*420+(1-'02_Inputs'!$B$13)*380)*0.85 + AW6*('02_Inputs'!$B$13*550+(1-'02_Inputs'!$B$13)*480)*0.85 + AW7*('02_Inputs'!$B$13*680+(1-'02_Inputs'!$B$13)*600)*0.85 + AW8*('02_Inputs'!$B$13*620+(1-'02_Inputs'!$B$13)*540)*0.85 + AW9*('02_Inputs'!$B$13*480+(1-'02_Inputs'!$B$13)*420)*0.85 + AW10*('02_Inputs'!$B$13*980+(1-'02_Inputs'!$B$13)*880)*0.85</f>
        <v>0</v>
      </c>
      <c r="AX13" s="6">
        <f>AX5*('02_Inputs'!$B$13*420+(1-'02_Inputs'!$B$13)*380)*0.85 + AX6*('02_Inputs'!$B$13*550+(1-'02_Inputs'!$B$13)*480)*0.85 + AX7*('02_Inputs'!$B$13*680+(1-'02_Inputs'!$B$13)*600)*0.85 + AX8*('02_Inputs'!$B$13*620+(1-'02_Inputs'!$B$13)*540)*0.85 + AX9*('02_Inputs'!$B$13*480+(1-'02_Inputs'!$B$13)*420)*0.85 + AX10*('02_Inputs'!$B$13*980+(1-'02_Inputs'!$B$13)*880)*0.85</f>
        <v>0</v>
      </c>
      <c r="AY13" s="6">
        <f>AY5*('02_Inputs'!$B$13*420+(1-'02_Inputs'!$B$13)*380)*0.85 + AY6*('02_Inputs'!$B$13*550+(1-'02_Inputs'!$B$13)*480)*0.85 + AY7*('02_Inputs'!$B$13*680+(1-'02_Inputs'!$B$13)*600)*0.85 + AY8*('02_Inputs'!$B$13*620+(1-'02_Inputs'!$B$13)*540)*0.85 + AY9*('02_Inputs'!$B$13*480+(1-'02_Inputs'!$B$13)*420)*0.85 + AY10*('02_Inputs'!$B$13*980+(1-'02_Inputs'!$B$13)*880)*0.85</f>
        <v>0</v>
      </c>
      <c r="AZ13" s="6">
        <f>AZ5*('02_Inputs'!$B$13*420+(1-'02_Inputs'!$B$13)*380)*0.85 + AZ6*('02_Inputs'!$B$13*550+(1-'02_Inputs'!$B$13)*480)*0.85 + AZ7*('02_Inputs'!$B$13*680+(1-'02_Inputs'!$B$13)*600)*0.85 + AZ8*('02_Inputs'!$B$13*620+(1-'02_Inputs'!$B$13)*540)*0.85 + AZ9*('02_Inputs'!$B$13*480+(1-'02_Inputs'!$B$13)*420)*0.85 + AZ10*('02_Inputs'!$B$13*980+(1-'02_Inputs'!$B$13)*880)*0.85</f>
        <v>0</v>
      </c>
      <c r="BA13" s="6">
        <f>BA5*('02_Inputs'!$B$13*420+(1-'02_Inputs'!$B$13)*380)*0.85 + BA6*('02_Inputs'!$B$13*550+(1-'02_Inputs'!$B$13)*480)*0.85 + BA7*('02_Inputs'!$B$13*680+(1-'02_Inputs'!$B$13)*600)*0.85 + BA8*('02_Inputs'!$B$13*620+(1-'02_Inputs'!$B$13)*540)*0.85 + BA9*('02_Inputs'!$B$13*480+(1-'02_Inputs'!$B$13)*420)*0.85 + BA10*('02_Inputs'!$B$13*980+(1-'02_Inputs'!$B$13)*880)*0.85</f>
        <v>0</v>
      </c>
      <c r="BB13" s="6">
        <f>BB5*('02_Inputs'!$B$13*420+(1-'02_Inputs'!$B$13)*380)*0.85 + BB6*('02_Inputs'!$B$13*550+(1-'02_Inputs'!$B$13)*480)*0.85 + BB7*('02_Inputs'!$B$13*680+(1-'02_Inputs'!$B$13)*600)*0.85 + BB8*('02_Inputs'!$B$13*620+(1-'02_Inputs'!$B$13)*540)*0.85 + BB9*('02_Inputs'!$B$13*480+(1-'02_Inputs'!$B$13)*420)*0.85 + BB10*('02_Inputs'!$B$13*980+(1-'02_Inputs'!$B$13)*880)*0.85</f>
        <v>0</v>
      </c>
      <c r="BC13" s="6">
        <f>BC5*('02_Inputs'!$B$13*420+(1-'02_Inputs'!$B$13)*380)*0.85 + BC6*('02_Inputs'!$B$13*550+(1-'02_Inputs'!$B$13)*480)*0.85 + BC7*('02_Inputs'!$B$13*680+(1-'02_Inputs'!$B$13)*600)*0.85 + BC8*('02_Inputs'!$B$13*620+(1-'02_Inputs'!$B$13)*540)*0.85 + BC9*('02_Inputs'!$B$13*480+(1-'02_Inputs'!$B$13)*420)*0.85 + BC10*('02_Inputs'!$B$13*980+(1-'02_Inputs'!$B$13)*880)*0.85</f>
        <v>0</v>
      </c>
      <c r="BD13" s="6">
        <f>BD5*('02_Inputs'!$B$13*420+(1-'02_Inputs'!$B$13)*380)*0.85 + BD6*('02_Inputs'!$B$13*550+(1-'02_Inputs'!$B$13)*480)*0.85 + BD7*('02_Inputs'!$B$13*680+(1-'02_Inputs'!$B$13)*600)*0.85 + BD8*('02_Inputs'!$B$13*620+(1-'02_Inputs'!$B$13)*540)*0.85 + BD9*('02_Inputs'!$B$13*480+(1-'02_Inputs'!$B$13)*420)*0.85 + BD10*('02_Inputs'!$B$13*980+(1-'02_Inputs'!$B$13)*880)*0.85</f>
        <v>0</v>
      </c>
      <c r="BE13" s="6">
        <f>BE5*('02_Inputs'!$B$13*420+(1-'02_Inputs'!$B$13)*380)*0.85 + BE6*('02_Inputs'!$B$13*550+(1-'02_Inputs'!$B$13)*480)*0.85 + BE7*('02_Inputs'!$B$13*680+(1-'02_Inputs'!$B$13)*600)*0.85 + BE8*('02_Inputs'!$B$13*620+(1-'02_Inputs'!$B$13)*540)*0.85 + BE9*('02_Inputs'!$B$13*480+(1-'02_Inputs'!$B$13)*420)*0.85 + BE10*('02_Inputs'!$B$13*980+(1-'02_Inputs'!$B$13)*880)*0.85</f>
        <v>0</v>
      </c>
      <c r="BF13" s="6">
        <f>BF5*('02_Inputs'!$B$13*420+(1-'02_Inputs'!$B$13)*380)*0.85 + BF6*('02_Inputs'!$B$13*550+(1-'02_Inputs'!$B$13)*480)*0.85 + BF7*('02_Inputs'!$B$13*680+(1-'02_Inputs'!$B$13)*600)*0.85 + BF8*('02_Inputs'!$B$13*620+(1-'02_Inputs'!$B$13)*540)*0.85 + BF9*('02_Inputs'!$B$13*480+(1-'02_Inputs'!$B$13)*420)*0.85 + BF10*('02_Inputs'!$B$13*980+(1-'02_Inputs'!$B$13)*880)*0.85</f>
        <v>0</v>
      </c>
      <c r="BG13" s="6">
        <f>BG5*('02_Inputs'!$B$13*420+(1-'02_Inputs'!$B$13)*380)*0.85 + BG6*('02_Inputs'!$B$13*550+(1-'02_Inputs'!$B$13)*480)*0.85 + BG7*('02_Inputs'!$B$13*680+(1-'02_Inputs'!$B$13)*600)*0.85 + BG8*('02_Inputs'!$B$13*620+(1-'02_Inputs'!$B$13)*540)*0.85 + BG9*('02_Inputs'!$B$13*480+(1-'02_Inputs'!$B$13)*420)*0.85 + BG10*('02_Inputs'!$B$13*980+(1-'02_Inputs'!$B$13)*880)*0.85</f>
        <v>0</v>
      </c>
      <c r="BH13" s="6">
        <f>BH5*('02_Inputs'!$B$13*420+(1-'02_Inputs'!$B$13)*380)*0.85 + BH6*('02_Inputs'!$B$13*550+(1-'02_Inputs'!$B$13)*480)*0.85 + BH7*('02_Inputs'!$B$13*680+(1-'02_Inputs'!$B$13)*600)*0.85 + BH8*('02_Inputs'!$B$13*620+(1-'02_Inputs'!$B$13)*540)*0.85 + BH9*('02_Inputs'!$B$13*480+(1-'02_Inputs'!$B$13)*420)*0.85 + BH10*('02_Inputs'!$B$13*980+(1-'02_Inputs'!$B$13)*880)*0.85</f>
        <v>0</v>
      </c>
      <c r="BI13" s="6">
        <f>BI5*('02_Inputs'!$B$13*420+(1-'02_Inputs'!$B$13)*380)*0.85 + BI6*('02_Inputs'!$B$13*550+(1-'02_Inputs'!$B$13)*480)*0.85 + BI7*('02_Inputs'!$B$13*680+(1-'02_Inputs'!$B$13)*600)*0.85 + BI8*('02_Inputs'!$B$13*620+(1-'02_Inputs'!$B$13)*540)*0.85 + BI9*('02_Inputs'!$B$13*480+(1-'02_Inputs'!$B$13)*420)*0.85 + BI10*('02_Inputs'!$B$13*980+(1-'02_Inputs'!$B$13)*880)*0.85</f>
        <v>0</v>
      </c>
    </row>
    <row r="15" spans="1:61">
      <c r="A15" s="2" t="s">
        <v>86</v>
      </c>
      <c r="B15" s="6">
        <f>(B5*17*(1/(1-'02_Inputs'!$B$12))*'02_Inputs'!$B$6 + B5*0.15*(1/(1-'02_Inputs'!$B$12))*'02_Inputs'!$B$7) + (B6*20*(1/(1-'02_Inputs'!$B$12))*'02_Inputs'!$B$6 + B6*0.5*(1/(1-'02_Inputs'!$B$12))*'02_Inputs'!$B$7) + (B7*23*(1/(1-'02_Inputs'!$B$12))*'02_Inputs'!$B$6 + B7*1.1*(1/(1-'02_Inputs'!$B$12))*'02_Inputs'!$B$7) + (B8*25*(1/(1-'02_Inputs'!$B$12))*'02_Inputs'!$B$6 + B8*0.4*(1/(1-'02_Inputs'!$B$12))*'02_Inputs'!$B$7) + (B9*16*(1/(1-'02_Inputs'!$B$12))*'02_Inputs'!$B$6 + B9*0.35*(1/(1-'02_Inputs'!$B$12))*'02_Inputs'!$B$7) + (B10*30*(1/(1-'02_Inputs'!$B$12))*'02_Inputs'!$B$6 + B10*0.7*(1/(1-'02_Inputs'!$B$12))*'02_Inputs'!$B$7) + B11*75</f>
        <v>0</v>
      </c>
      <c r="C15" s="6">
        <f>(C5*17*(1/(1-'02_Inputs'!$B$12))*'02_Inputs'!$B$6 + C5*0.15*(1/(1-'02_Inputs'!$B$12))*'02_Inputs'!$B$7) + (C6*20*(1/(1-'02_Inputs'!$B$12))*'02_Inputs'!$B$6 + C6*0.5*(1/(1-'02_Inputs'!$B$12))*'02_Inputs'!$B$7) + (C7*23*(1/(1-'02_Inputs'!$B$12))*'02_Inputs'!$B$6 + C7*1.1*(1/(1-'02_Inputs'!$B$12))*'02_Inputs'!$B$7) + (C8*25*(1/(1-'02_Inputs'!$B$12))*'02_Inputs'!$B$6 + C8*0.4*(1/(1-'02_Inputs'!$B$12))*'02_Inputs'!$B$7) + (C9*16*(1/(1-'02_Inputs'!$B$12))*'02_Inputs'!$B$6 + C9*0.35*(1/(1-'02_Inputs'!$B$12))*'02_Inputs'!$B$7) + (C10*30*(1/(1-'02_Inputs'!$B$12))*'02_Inputs'!$B$6 + C10*0.7*(1/(1-'02_Inputs'!$B$12))*'02_Inputs'!$B$7) + C11*75</f>
        <v>0</v>
      </c>
      <c r="D15" s="6">
        <f>(D5*17*(1/(1-'02_Inputs'!$B$12))*'02_Inputs'!$B$6 + D5*0.15*(1/(1-'02_Inputs'!$B$12))*'02_Inputs'!$B$7) + (D6*20*(1/(1-'02_Inputs'!$B$12))*'02_Inputs'!$B$6 + D6*0.5*(1/(1-'02_Inputs'!$B$12))*'02_Inputs'!$B$7) + (D7*23*(1/(1-'02_Inputs'!$B$12))*'02_Inputs'!$B$6 + D7*1.1*(1/(1-'02_Inputs'!$B$12))*'02_Inputs'!$B$7) + (D8*25*(1/(1-'02_Inputs'!$B$12))*'02_Inputs'!$B$6 + D8*0.4*(1/(1-'02_Inputs'!$B$12))*'02_Inputs'!$B$7) + (D9*16*(1/(1-'02_Inputs'!$B$12))*'02_Inputs'!$B$6 + D9*0.35*(1/(1-'02_Inputs'!$B$12))*'02_Inputs'!$B$7) + (D10*30*(1/(1-'02_Inputs'!$B$12))*'02_Inputs'!$B$6 + D10*0.7*(1/(1-'02_Inputs'!$B$12))*'02_Inputs'!$B$7) + D11*75</f>
        <v>0</v>
      </c>
      <c r="E15" s="6">
        <f>(E5*17*(1/(1-'02_Inputs'!$B$12))*'02_Inputs'!$B$6 + E5*0.15*(1/(1-'02_Inputs'!$B$12))*'02_Inputs'!$B$7) + (E6*20*(1/(1-'02_Inputs'!$B$12))*'02_Inputs'!$B$6 + E6*0.5*(1/(1-'02_Inputs'!$B$12))*'02_Inputs'!$B$7) + (E7*23*(1/(1-'02_Inputs'!$B$12))*'02_Inputs'!$B$6 + E7*1.1*(1/(1-'02_Inputs'!$B$12))*'02_Inputs'!$B$7) + (E8*25*(1/(1-'02_Inputs'!$B$12))*'02_Inputs'!$B$6 + E8*0.4*(1/(1-'02_Inputs'!$B$12))*'02_Inputs'!$B$7) + (E9*16*(1/(1-'02_Inputs'!$B$12))*'02_Inputs'!$B$6 + E9*0.35*(1/(1-'02_Inputs'!$B$12))*'02_Inputs'!$B$7) + (E10*30*(1/(1-'02_Inputs'!$B$12))*'02_Inputs'!$B$6 + E10*0.7*(1/(1-'02_Inputs'!$B$12))*'02_Inputs'!$B$7) + E11*75</f>
        <v>0</v>
      </c>
      <c r="F15" s="6">
        <f>(F5*17*(1/(1-'02_Inputs'!$B$12))*'02_Inputs'!$B$6 + F5*0.15*(1/(1-'02_Inputs'!$B$12))*'02_Inputs'!$B$7) + (F6*20*(1/(1-'02_Inputs'!$B$12))*'02_Inputs'!$B$6 + F6*0.5*(1/(1-'02_Inputs'!$B$12))*'02_Inputs'!$B$7) + (F7*23*(1/(1-'02_Inputs'!$B$12))*'02_Inputs'!$B$6 + F7*1.1*(1/(1-'02_Inputs'!$B$12))*'02_Inputs'!$B$7) + (F8*25*(1/(1-'02_Inputs'!$B$12))*'02_Inputs'!$B$6 + F8*0.4*(1/(1-'02_Inputs'!$B$12))*'02_Inputs'!$B$7) + (F9*16*(1/(1-'02_Inputs'!$B$12))*'02_Inputs'!$B$6 + F9*0.35*(1/(1-'02_Inputs'!$B$12))*'02_Inputs'!$B$7) + (F10*30*(1/(1-'02_Inputs'!$B$12))*'02_Inputs'!$B$6 + F10*0.7*(1/(1-'02_Inputs'!$B$12))*'02_Inputs'!$B$7) + F11*75</f>
        <v>0</v>
      </c>
      <c r="G15" s="6">
        <f>(G5*17*(1/(1-'02_Inputs'!$B$12))*'02_Inputs'!$B$6 + G5*0.15*(1/(1-'02_Inputs'!$B$12))*'02_Inputs'!$B$7) + (G6*20*(1/(1-'02_Inputs'!$B$12))*'02_Inputs'!$B$6 + G6*0.5*(1/(1-'02_Inputs'!$B$12))*'02_Inputs'!$B$7) + (G7*23*(1/(1-'02_Inputs'!$B$12))*'02_Inputs'!$B$6 + G7*1.1*(1/(1-'02_Inputs'!$B$12))*'02_Inputs'!$B$7) + (G8*25*(1/(1-'02_Inputs'!$B$12))*'02_Inputs'!$B$6 + G8*0.4*(1/(1-'02_Inputs'!$B$12))*'02_Inputs'!$B$7) + (G9*16*(1/(1-'02_Inputs'!$B$12))*'02_Inputs'!$B$6 + G9*0.35*(1/(1-'02_Inputs'!$B$12))*'02_Inputs'!$B$7) + (G10*30*(1/(1-'02_Inputs'!$B$12))*'02_Inputs'!$B$6 + G10*0.7*(1/(1-'02_Inputs'!$B$12))*'02_Inputs'!$B$7) + G11*75</f>
        <v>0</v>
      </c>
      <c r="H15" s="6">
        <f>(H5*17*(1/(1-'02_Inputs'!$B$12))*'02_Inputs'!$B$6 + H5*0.15*(1/(1-'02_Inputs'!$B$12))*'02_Inputs'!$B$7) + (H6*20*(1/(1-'02_Inputs'!$B$12))*'02_Inputs'!$B$6 + H6*0.5*(1/(1-'02_Inputs'!$B$12))*'02_Inputs'!$B$7) + (H7*23*(1/(1-'02_Inputs'!$B$12))*'02_Inputs'!$B$6 + H7*1.1*(1/(1-'02_Inputs'!$B$12))*'02_Inputs'!$B$7) + (H8*25*(1/(1-'02_Inputs'!$B$12))*'02_Inputs'!$B$6 + H8*0.4*(1/(1-'02_Inputs'!$B$12))*'02_Inputs'!$B$7) + (H9*16*(1/(1-'02_Inputs'!$B$12))*'02_Inputs'!$B$6 + H9*0.35*(1/(1-'02_Inputs'!$B$12))*'02_Inputs'!$B$7) + (H10*30*(1/(1-'02_Inputs'!$B$12))*'02_Inputs'!$B$6 + H10*0.7*(1/(1-'02_Inputs'!$B$12))*'02_Inputs'!$B$7) + H11*75</f>
        <v>0</v>
      </c>
      <c r="I15" s="6">
        <f>(I5*17*(1/(1-'02_Inputs'!$B$12))*'02_Inputs'!$B$6 + I5*0.15*(1/(1-'02_Inputs'!$B$12))*'02_Inputs'!$B$7) + (I6*20*(1/(1-'02_Inputs'!$B$12))*'02_Inputs'!$B$6 + I6*0.5*(1/(1-'02_Inputs'!$B$12))*'02_Inputs'!$B$7) + (I7*23*(1/(1-'02_Inputs'!$B$12))*'02_Inputs'!$B$6 + I7*1.1*(1/(1-'02_Inputs'!$B$12))*'02_Inputs'!$B$7) + (I8*25*(1/(1-'02_Inputs'!$B$12))*'02_Inputs'!$B$6 + I8*0.4*(1/(1-'02_Inputs'!$B$12))*'02_Inputs'!$B$7) + (I9*16*(1/(1-'02_Inputs'!$B$12))*'02_Inputs'!$B$6 + I9*0.35*(1/(1-'02_Inputs'!$B$12))*'02_Inputs'!$B$7) + (I10*30*(1/(1-'02_Inputs'!$B$12))*'02_Inputs'!$B$6 + I10*0.7*(1/(1-'02_Inputs'!$B$12))*'02_Inputs'!$B$7) + I11*75</f>
        <v>0</v>
      </c>
      <c r="J15" s="6">
        <f>(J5*17*(1/(1-'02_Inputs'!$B$12))*'02_Inputs'!$B$6 + J5*0.15*(1/(1-'02_Inputs'!$B$12))*'02_Inputs'!$B$7) + (J6*20*(1/(1-'02_Inputs'!$B$12))*'02_Inputs'!$B$6 + J6*0.5*(1/(1-'02_Inputs'!$B$12))*'02_Inputs'!$B$7) + (J7*23*(1/(1-'02_Inputs'!$B$12))*'02_Inputs'!$B$6 + J7*1.1*(1/(1-'02_Inputs'!$B$12))*'02_Inputs'!$B$7) + (J8*25*(1/(1-'02_Inputs'!$B$12))*'02_Inputs'!$B$6 + J8*0.4*(1/(1-'02_Inputs'!$B$12))*'02_Inputs'!$B$7) + (J9*16*(1/(1-'02_Inputs'!$B$12))*'02_Inputs'!$B$6 + J9*0.35*(1/(1-'02_Inputs'!$B$12))*'02_Inputs'!$B$7) + (J10*30*(1/(1-'02_Inputs'!$B$12))*'02_Inputs'!$B$6 + J10*0.7*(1/(1-'02_Inputs'!$B$12))*'02_Inputs'!$B$7) + J11*75</f>
        <v>0</v>
      </c>
      <c r="K15" s="6">
        <f>(K5*17*(1/(1-'02_Inputs'!$B$12))*'02_Inputs'!$B$6 + K5*0.15*(1/(1-'02_Inputs'!$B$12))*'02_Inputs'!$B$7) + (K6*20*(1/(1-'02_Inputs'!$B$12))*'02_Inputs'!$B$6 + K6*0.5*(1/(1-'02_Inputs'!$B$12))*'02_Inputs'!$B$7) + (K7*23*(1/(1-'02_Inputs'!$B$12))*'02_Inputs'!$B$6 + K7*1.1*(1/(1-'02_Inputs'!$B$12))*'02_Inputs'!$B$7) + (K8*25*(1/(1-'02_Inputs'!$B$12))*'02_Inputs'!$B$6 + K8*0.4*(1/(1-'02_Inputs'!$B$12))*'02_Inputs'!$B$7) + (K9*16*(1/(1-'02_Inputs'!$B$12))*'02_Inputs'!$B$6 + K9*0.35*(1/(1-'02_Inputs'!$B$12))*'02_Inputs'!$B$7) + (K10*30*(1/(1-'02_Inputs'!$B$12))*'02_Inputs'!$B$6 + K10*0.7*(1/(1-'02_Inputs'!$B$12))*'02_Inputs'!$B$7) + K11*75</f>
        <v>0</v>
      </c>
      <c r="L15" s="6">
        <f>(L5*17*(1/(1-'02_Inputs'!$B$12))*'02_Inputs'!$B$6 + L5*0.15*(1/(1-'02_Inputs'!$B$12))*'02_Inputs'!$B$7) + (L6*20*(1/(1-'02_Inputs'!$B$12))*'02_Inputs'!$B$6 + L6*0.5*(1/(1-'02_Inputs'!$B$12))*'02_Inputs'!$B$7) + (L7*23*(1/(1-'02_Inputs'!$B$12))*'02_Inputs'!$B$6 + L7*1.1*(1/(1-'02_Inputs'!$B$12))*'02_Inputs'!$B$7) + (L8*25*(1/(1-'02_Inputs'!$B$12))*'02_Inputs'!$B$6 + L8*0.4*(1/(1-'02_Inputs'!$B$12))*'02_Inputs'!$B$7) + (L9*16*(1/(1-'02_Inputs'!$B$12))*'02_Inputs'!$B$6 + L9*0.35*(1/(1-'02_Inputs'!$B$12))*'02_Inputs'!$B$7) + (L10*30*(1/(1-'02_Inputs'!$B$12))*'02_Inputs'!$B$6 + L10*0.7*(1/(1-'02_Inputs'!$B$12))*'02_Inputs'!$B$7) + L11*75</f>
        <v>0</v>
      </c>
      <c r="M15" s="6">
        <f>(M5*17*(1/(1-'02_Inputs'!$B$12))*'02_Inputs'!$B$6 + M5*0.15*(1/(1-'02_Inputs'!$B$12))*'02_Inputs'!$B$7) + (M6*20*(1/(1-'02_Inputs'!$B$12))*'02_Inputs'!$B$6 + M6*0.5*(1/(1-'02_Inputs'!$B$12))*'02_Inputs'!$B$7) + (M7*23*(1/(1-'02_Inputs'!$B$12))*'02_Inputs'!$B$6 + M7*1.1*(1/(1-'02_Inputs'!$B$12))*'02_Inputs'!$B$7) + (M8*25*(1/(1-'02_Inputs'!$B$12))*'02_Inputs'!$B$6 + M8*0.4*(1/(1-'02_Inputs'!$B$12))*'02_Inputs'!$B$7) + (M9*16*(1/(1-'02_Inputs'!$B$12))*'02_Inputs'!$B$6 + M9*0.35*(1/(1-'02_Inputs'!$B$12))*'02_Inputs'!$B$7) + (M10*30*(1/(1-'02_Inputs'!$B$12))*'02_Inputs'!$B$6 + M10*0.7*(1/(1-'02_Inputs'!$B$12))*'02_Inputs'!$B$7) + M11*75</f>
        <v>0</v>
      </c>
      <c r="N15" s="6">
        <f>(N5*17*(1/(1-'02_Inputs'!$B$12))*'02_Inputs'!$B$6 + N5*0.15*(1/(1-'02_Inputs'!$B$12))*'02_Inputs'!$B$7) + (N6*20*(1/(1-'02_Inputs'!$B$12))*'02_Inputs'!$B$6 + N6*0.5*(1/(1-'02_Inputs'!$B$12))*'02_Inputs'!$B$7) + (N7*23*(1/(1-'02_Inputs'!$B$12))*'02_Inputs'!$B$6 + N7*1.1*(1/(1-'02_Inputs'!$B$12))*'02_Inputs'!$B$7) + (N8*25*(1/(1-'02_Inputs'!$B$12))*'02_Inputs'!$B$6 + N8*0.4*(1/(1-'02_Inputs'!$B$12))*'02_Inputs'!$B$7) + (N9*16*(1/(1-'02_Inputs'!$B$12))*'02_Inputs'!$B$6 + N9*0.35*(1/(1-'02_Inputs'!$B$12))*'02_Inputs'!$B$7) + (N10*30*(1/(1-'02_Inputs'!$B$12))*'02_Inputs'!$B$6 + N10*0.7*(1/(1-'02_Inputs'!$B$12))*'02_Inputs'!$B$7) + N11*75</f>
        <v>0</v>
      </c>
      <c r="O15" s="6">
        <f>(O5*17*(1/(1-'02_Inputs'!$B$12))*'02_Inputs'!$B$6 + O5*0.15*(1/(1-'02_Inputs'!$B$12))*'02_Inputs'!$B$7) + (O6*20*(1/(1-'02_Inputs'!$B$12))*'02_Inputs'!$B$6 + O6*0.5*(1/(1-'02_Inputs'!$B$12))*'02_Inputs'!$B$7) + (O7*23*(1/(1-'02_Inputs'!$B$12))*'02_Inputs'!$B$6 + O7*1.1*(1/(1-'02_Inputs'!$B$12))*'02_Inputs'!$B$7) + (O8*25*(1/(1-'02_Inputs'!$B$12))*'02_Inputs'!$B$6 + O8*0.4*(1/(1-'02_Inputs'!$B$12))*'02_Inputs'!$B$7) + (O9*16*(1/(1-'02_Inputs'!$B$12))*'02_Inputs'!$B$6 + O9*0.35*(1/(1-'02_Inputs'!$B$12))*'02_Inputs'!$B$7) + (O10*30*(1/(1-'02_Inputs'!$B$12))*'02_Inputs'!$B$6 + O10*0.7*(1/(1-'02_Inputs'!$B$12))*'02_Inputs'!$B$7) + O11*75</f>
        <v>0</v>
      </c>
      <c r="P15" s="6">
        <f>(P5*17*(1/(1-'02_Inputs'!$B$12))*'02_Inputs'!$B$6 + P5*0.15*(1/(1-'02_Inputs'!$B$12))*'02_Inputs'!$B$7) + (P6*20*(1/(1-'02_Inputs'!$B$12))*'02_Inputs'!$B$6 + P6*0.5*(1/(1-'02_Inputs'!$B$12))*'02_Inputs'!$B$7) + (P7*23*(1/(1-'02_Inputs'!$B$12))*'02_Inputs'!$B$6 + P7*1.1*(1/(1-'02_Inputs'!$B$12))*'02_Inputs'!$B$7) + (P8*25*(1/(1-'02_Inputs'!$B$12))*'02_Inputs'!$B$6 + P8*0.4*(1/(1-'02_Inputs'!$B$12))*'02_Inputs'!$B$7) + (P9*16*(1/(1-'02_Inputs'!$B$12))*'02_Inputs'!$B$6 + P9*0.35*(1/(1-'02_Inputs'!$B$12))*'02_Inputs'!$B$7) + (P10*30*(1/(1-'02_Inputs'!$B$12))*'02_Inputs'!$B$6 + P10*0.7*(1/(1-'02_Inputs'!$B$12))*'02_Inputs'!$B$7) + P11*75</f>
        <v>0</v>
      </c>
      <c r="Q15" s="6">
        <f>(Q5*17*(1/(1-'02_Inputs'!$B$12))*'02_Inputs'!$B$6 + Q5*0.15*(1/(1-'02_Inputs'!$B$12))*'02_Inputs'!$B$7) + (Q6*20*(1/(1-'02_Inputs'!$B$12))*'02_Inputs'!$B$6 + Q6*0.5*(1/(1-'02_Inputs'!$B$12))*'02_Inputs'!$B$7) + (Q7*23*(1/(1-'02_Inputs'!$B$12))*'02_Inputs'!$B$6 + Q7*1.1*(1/(1-'02_Inputs'!$B$12))*'02_Inputs'!$B$7) + (Q8*25*(1/(1-'02_Inputs'!$B$12))*'02_Inputs'!$B$6 + Q8*0.4*(1/(1-'02_Inputs'!$B$12))*'02_Inputs'!$B$7) + (Q9*16*(1/(1-'02_Inputs'!$B$12))*'02_Inputs'!$B$6 + Q9*0.35*(1/(1-'02_Inputs'!$B$12))*'02_Inputs'!$B$7) + (Q10*30*(1/(1-'02_Inputs'!$B$12))*'02_Inputs'!$B$6 + Q10*0.7*(1/(1-'02_Inputs'!$B$12))*'02_Inputs'!$B$7) + Q11*75</f>
        <v>0</v>
      </c>
      <c r="R15" s="6">
        <f>(R5*17*(1/(1-'02_Inputs'!$B$12))*'02_Inputs'!$B$6 + R5*0.15*(1/(1-'02_Inputs'!$B$12))*'02_Inputs'!$B$7) + (R6*20*(1/(1-'02_Inputs'!$B$12))*'02_Inputs'!$B$6 + R6*0.5*(1/(1-'02_Inputs'!$B$12))*'02_Inputs'!$B$7) + (R7*23*(1/(1-'02_Inputs'!$B$12))*'02_Inputs'!$B$6 + R7*1.1*(1/(1-'02_Inputs'!$B$12))*'02_Inputs'!$B$7) + (R8*25*(1/(1-'02_Inputs'!$B$12))*'02_Inputs'!$B$6 + R8*0.4*(1/(1-'02_Inputs'!$B$12))*'02_Inputs'!$B$7) + (R9*16*(1/(1-'02_Inputs'!$B$12))*'02_Inputs'!$B$6 + R9*0.35*(1/(1-'02_Inputs'!$B$12))*'02_Inputs'!$B$7) + (R10*30*(1/(1-'02_Inputs'!$B$12))*'02_Inputs'!$B$6 + R10*0.7*(1/(1-'02_Inputs'!$B$12))*'02_Inputs'!$B$7) + R11*75</f>
        <v>0</v>
      </c>
      <c r="S15" s="6">
        <f>(S5*17*(1/(1-'02_Inputs'!$B$12))*'02_Inputs'!$B$6 + S5*0.15*(1/(1-'02_Inputs'!$B$12))*'02_Inputs'!$B$7) + (S6*20*(1/(1-'02_Inputs'!$B$12))*'02_Inputs'!$B$6 + S6*0.5*(1/(1-'02_Inputs'!$B$12))*'02_Inputs'!$B$7) + (S7*23*(1/(1-'02_Inputs'!$B$12))*'02_Inputs'!$B$6 + S7*1.1*(1/(1-'02_Inputs'!$B$12))*'02_Inputs'!$B$7) + (S8*25*(1/(1-'02_Inputs'!$B$12))*'02_Inputs'!$B$6 + S8*0.4*(1/(1-'02_Inputs'!$B$12))*'02_Inputs'!$B$7) + (S9*16*(1/(1-'02_Inputs'!$B$12))*'02_Inputs'!$B$6 + S9*0.35*(1/(1-'02_Inputs'!$B$12))*'02_Inputs'!$B$7) + (S10*30*(1/(1-'02_Inputs'!$B$12))*'02_Inputs'!$B$6 + S10*0.7*(1/(1-'02_Inputs'!$B$12))*'02_Inputs'!$B$7) + S11*75</f>
        <v>0</v>
      </c>
      <c r="T15" s="6">
        <f>(T5*17*(1/(1-'02_Inputs'!$B$12))*'02_Inputs'!$B$6 + T5*0.15*(1/(1-'02_Inputs'!$B$12))*'02_Inputs'!$B$7) + (T6*20*(1/(1-'02_Inputs'!$B$12))*'02_Inputs'!$B$6 + T6*0.5*(1/(1-'02_Inputs'!$B$12))*'02_Inputs'!$B$7) + (T7*23*(1/(1-'02_Inputs'!$B$12))*'02_Inputs'!$B$6 + T7*1.1*(1/(1-'02_Inputs'!$B$12))*'02_Inputs'!$B$7) + (T8*25*(1/(1-'02_Inputs'!$B$12))*'02_Inputs'!$B$6 + T8*0.4*(1/(1-'02_Inputs'!$B$12))*'02_Inputs'!$B$7) + (T9*16*(1/(1-'02_Inputs'!$B$12))*'02_Inputs'!$B$6 + T9*0.35*(1/(1-'02_Inputs'!$B$12))*'02_Inputs'!$B$7) + (T10*30*(1/(1-'02_Inputs'!$B$12))*'02_Inputs'!$B$6 + T10*0.7*(1/(1-'02_Inputs'!$B$12))*'02_Inputs'!$B$7) + T11*75</f>
        <v>0</v>
      </c>
      <c r="U15" s="6">
        <f>(U5*17*(1/(1-'02_Inputs'!$B$12))*'02_Inputs'!$B$6 + U5*0.15*(1/(1-'02_Inputs'!$B$12))*'02_Inputs'!$B$7) + (U6*20*(1/(1-'02_Inputs'!$B$12))*'02_Inputs'!$B$6 + U6*0.5*(1/(1-'02_Inputs'!$B$12))*'02_Inputs'!$B$7) + (U7*23*(1/(1-'02_Inputs'!$B$12))*'02_Inputs'!$B$6 + U7*1.1*(1/(1-'02_Inputs'!$B$12))*'02_Inputs'!$B$7) + (U8*25*(1/(1-'02_Inputs'!$B$12))*'02_Inputs'!$B$6 + U8*0.4*(1/(1-'02_Inputs'!$B$12))*'02_Inputs'!$B$7) + (U9*16*(1/(1-'02_Inputs'!$B$12))*'02_Inputs'!$B$6 + U9*0.35*(1/(1-'02_Inputs'!$B$12))*'02_Inputs'!$B$7) + (U10*30*(1/(1-'02_Inputs'!$B$12))*'02_Inputs'!$B$6 + U10*0.7*(1/(1-'02_Inputs'!$B$12))*'02_Inputs'!$B$7) + U11*75</f>
        <v>0</v>
      </c>
      <c r="V15" s="6">
        <f>(V5*17*(1/(1-'02_Inputs'!$B$12))*'02_Inputs'!$B$6 + V5*0.15*(1/(1-'02_Inputs'!$B$12))*'02_Inputs'!$B$7) + (V6*20*(1/(1-'02_Inputs'!$B$12))*'02_Inputs'!$B$6 + V6*0.5*(1/(1-'02_Inputs'!$B$12))*'02_Inputs'!$B$7) + (V7*23*(1/(1-'02_Inputs'!$B$12))*'02_Inputs'!$B$6 + V7*1.1*(1/(1-'02_Inputs'!$B$12))*'02_Inputs'!$B$7) + (V8*25*(1/(1-'02_Inputs'!$B$12))*'02_Inputs'!$B$6 + V8*0.4*(1/(1-'02_Inputs'!$B$12))*'02_Inputs'!$B$7) + (V9*16*(1/(1-'02_Inputs'!$B$12))*'02_Inputs'!$B$6 + V9*0.35*(1/(1-'02_Inputs'!$B$12))*'02_Inputs'!$B$7) + (V10*30*(1/(1-'02_Inputs'!$B$12))*'02_Inputs'!$B$6 + V10*0.7*(1/(1-'02_Inputs'!$B$12))*'02_Inputs'!$B$7) + V11*75</f>
        <v>0</v>
      </c>
      <c r="W15" s="6">
        <f>(W5*17*(1/(1-'02_Inputs'!$B$12))*'02_Inputs'!$B$6 + W5*0.15*(1/(1-'02_Inputs'!$B$12))*'02_Inputs'!$B$7) + (W6*20*(1/(1-'02_Inputs'!$B$12))*'02_Inputs'!$B$6 + W6*0.5*(1/(1-'02_Inputs'!$B$12))*'02_Inputs'!$B$7) + (W7*23*(1/(1-'02_Inputs'!$B$12))*'02_Inputs'!$B$6 + W7*1.1*(1/(1-'02_Inputs'!$B$12))*'02_Inputs'!$B$7) + (W8*25*(1/(1-'02_Inputs'!$B$12))*'02_Inputs'!$B$6 + W8*0.4*(1/(1-'02_Inputs'!$B$12))*'02_Inputs'!$B$7) + (W9*16*(1/(1-'02_Inputs'!$B$12))*'02_Inputs'!$B$6 + W9*0.35*(1/(1-'02_Inputs'!$B$12))*'02_Inputs'!$B$7) + (W10*30*(1/(1-'02_Inputs'!$B$12))*'02_Inputs'!$B$6 + W10*0.7*(1/(1-'02_Inputs'!$B$12))*'02_Inputs'!$B$7) + W11*75</f>
        <v>0</v>
      </c>
      <c r="X15" s="6">
        <f>(X5*17*(1/(1-'02_Inputs'!$B$12))*'02_Inputs'!$B$6 + X5*0.15*(1/(1-'02_Inputs'!$B$12))*'02_Inputs'!$B$7) + (X6*20*(1/(1-'02_Inputs'!$B$12))*'02_Inputs'!$B$6 + X6*0.5*(1/(1-'02_Inputs'!$B$12))*'02_Inputs'!$B$7) + (X7*23*(1/(1-'02_Inputs'!$B$12))*'02_Inputs'!$B$6 + X7*1.1*(1/(1-'02_Inputs'!$B$12))*'02_Inputs'!$B$7) + (X8*25*(1/(1-'02_Inputs'!$B$12))*'02_Inputs'!$B$6 + X8*0.4*(1/(1-'02_Inputs'!$B$12))*'02_Inputs'!$B$7) + (X9*16*(1/(1-'02_Inputs'!$B$12))*'02_Inputs'!$B$6 + X9*0.35*(1/(1-'02_Inputs'!$B$12))*'02_Inputs'!$B$7) + (X10*30*(1/(1-'02_Inputs'!$B$12))*'02_Inputs'!$B$6 + X10*0.7*(1/(1-'02_Inputs'!$B$12))*'02_Inputs'!$B$7) + X11*75</f>
        <v>0</v>
      </c>
      <c r="Y15" s="6">
        <f>(Y5*17*(1/(1-'02_Inputs'!$B$12))*'02_Inputs'!$B$6 + Y5*0.15*(1/(1-'02_Inputs'!$B$12))*'02_Inputs'!$B$7) + (Y6*20*(1/(1-'02_Inputs'!$B$12))*'02_Inputs'!$B$6 + Y6*0.5*(1/(1-'02_Inputs'!$B$12))*'02_Inputs'!$B$7) + (Y7*23*(1/(1-'02_Inputs'!$B$12))*'02_Inputs'!$B$6 + Y7*1.1*(1/(1-'02_Inputs'!$B$12))*'02_Inputs'!$B$7) + (Y8*25*(1/(1-'02_Inputs'!$B$12))*'02_Inputs'!$B$6 + Y8*0.4*(1/(1-'02_Inputs'!$B$12))*'02_Inputs'!$B$7) + (Y9*16*(1/(1-'02_Inputs'!$B$12))*'02_Inputs'!$B$6 + Y9*0.35*(1/(1-'02_Inputs'!$B$12))*'02_Inputs'!$B$7) + (Y10*30*(1/(1-'02_Inputs'!$B$12))*'02_Inputs'!$B$6 + Y10*0.7*(1/(1-'02_Inputs'!$B$12))*'02_Inputs'!$B$7) + Y11*75</f>
        <v>0</v>
      </c>
      <c r="Z15" s="6">
        <f>(Z5*17*(1/(1-'02_Inputs'!$B$12))*'02_Inputs'!$B$6 + Z5*0.15*(1/(1-'02_Inputs'!$B$12))*'02_Inputs'!$B$7) + (Z6*20*(1/(1-'02_Inputs'!$B$12))*'02_Inputs'!$B$6 + Z6*0.5*(1/(1-'02_Inputs'!$B$12))*'02_Inputs'!$B$7) + (Z7*23*(1/(1-'02_Inputs'!$B$12))*'02_Inputs'!$B$6 + Z7*1.1*(1/(1-'02_Inputs'!$B$12))*'02_Inputs'!$B$7) + (Z8*25*(1/(1-'02_Inputs'!$B$12))*'02_Inputs'!$B$6 + Z8*0.4*(1/(1-'02_Inputs'!$B$12))*'02_Inputs'!$B$7) + (Z9*16*(1/(1-'02_Inputs'!$B$12))*'02_Inputs'!$B$6 + Z9*0.35*(1/(1-'02_Inputs'!$B$12))*'02_Inputs'!$B$7) + (Z10*30*(1/(1-'02_Inputs'!$B$12))*'02_Inputs'!$B$6 + Z10*0.7*(1/(1-'02_Inputs'!$B$12))*'02_Inputs'!$B$7) + Z11*75</f>
        <v>0</v>
      </c>
      <c r="AA15" s="6">
        <f>(AA5*17*(1/(1-'02_Inputs'!$B$12))*'02_Inputs'!$B$6 + AA5*0.15*(1/(1-'02_Inputs'!$B$12))*'02_Inputs'!$B$7) + (AA6*20*(1/(1-'02_Inputs'!$B$12))*'02_Inputs'!$B$6 + AA6*0.5*(1/(1-'02_Inputs'!$B$12))*'02_Inputs'!$B$7) + (AA7*23*(1/(1-'02_Inputs'!$B$12))*'02_Inputs'!$B$6 + AA7*1.1*(1/(1-'02_Inputs'!$B$12))*'02_Inputs'!$B$7) + (AA8*25*(1/(1-'02_Inputs'!$B$12))*'02_Inputs'!$B$6 + AA8*0.4*(1/(1-'02_Inputs'!$B$12))*'02_Inputs'!$B$7) + (AA9*16*(1/(1-'02_Inputs'!$B$12))*'02_Inputs'!$B$6 + AA9*0.35*(1/(1-'02_Inputs'!$B$12))*'02_Inputs'!$B$7) + (AA10*30*(1/(1-'02_Inputs'!$B$12))*'02_Inputs'!$B$6 + AA10*0.7*(1/(1-'02_Inputs'!$B$12))*'02_Inputs'!$B$7) + AA11*75</f>
        <v>0</v>
      </c>
      <c r="AB15" s="6">
        <f>(AB5*17*(1/(1-'02_Inputs'!$B$12))*'02_Inputs'!$B$6 + AB5*0.15*(1/(1-'02_Inputs'!$B$12))*'02_Inputs'!$B$7) + (AB6*20*(1/(1-'02_Inputs'!$B$12))*'02_Inputs'!$B$6 + AB6*0.5*(1/(1-'02_Inputs'!$B$12))*'02_Inputs'!$B$7) + (AB7*23*(1/(1-'02_Inputs'!$B$12))*'02_Inputs'!$B$6 + AB7*1.1*(1/(1-'02_Inputs'!$B$12))*'02_Inputs'!$B$7) + (AB8*25*(1/(1-'02_Inputs'!$B$12))*'02_Inputs'!$B$6 + AB8*0.4*(1/(1-'02_Inputs'!$B$12))*'02_Inputs'!$B$7) + (AB9*16*(1/(1-'02_Inputs'!$B$12))*'02_Inputs'!$B$6 + AB9*0.35*(1/(1-'02_Inputs'!$B$12))*'02_Inputs'!$B$7) + (AB10*30*(1/(1-'02_Inputs'!$B$12))*'02_Inputs'!$B$6 + AB10*0.7*(1/(1-'02_Inputs'!$B$12))*'02_Inputs'!$B$7) + AB11*75</f>
        <v>0</v>
      </c>
      <c r="AC15" s="6">
        <f>(AC5*17*(1/(1-'02_Inputs'!$B$12))*'02_Inputs'!$B$6 + AC5*0.15*(1/(1-'02_Inputs'!$B$12))*'02_Inputs'!$B$7) + (AC6*20*(1/(1-'02_Inputs'!$B$12))*'02_Inputs'!$B$6 + AC6*0.5*(1/(1-'02_Inputs'!$B$12))*'02_Inputs'!$B$7) + (AC7*23*(1/(1-'02_Inputs'!$B$12))*'02_Inputs'!$B$6 + AC7*1.1*(1/(1-'02_Inputs'!$B$12))*'02_Inputs'!$B$7) + (AC8*25*(1/(1-'02_Inputs'!$B$12))*'02_Inputs'!$B$6 + AC8*0.4*(1/(1-'02_Inputs'!$B$12))*'02_Inputs'!$B$7) + (AC9*16*(1/(1-'02_Inputs'!$B$12))*'02_Inputs'!$B$6 + AC9*0.35*(1/(1-'02_Inputs'!$B$12))*'02_Inputs'!$B$7) + (AC10*30*(1/(1-'02_Inputs'!$B$12))*'02_Inputs'!$B$6 + AC10*0.7*(1/(1-'02_Inputs'!$B$12))*'02_Inputs'!$B$7) + AC11*75</f>
        <v>0</v>
      </c>
      <c r="AD15" s="6">
        <f>(AD5*17*(1/(1-'02_Inputs'!$B$12))*'02_Inputs'!$B$6 + AD5*0.15*(1/(1-'02_Inputs'!$B$12))*'02_Inputs'!$B$7) + (AD6*20*(1/(1-'02_Inputs'!$B$12))*'02_Inputs'!$B$6 + AD6*0.5*(1/(1-'02_Inputs'!$B$12))*'02_Inputs'!$B$7) + (AD7*23*(1/(1-'02_Inputs'!$B$12))*'02_Inputs'!$B$6 + AD7*1.1*(1/(1-'02_Inputs'!$B$12))*'02_Inputs'!$B$7) + (AD8*25*(1/(1-'02_Inputs'!$B$12))*'02_Inputs'!$B$6 + AD8*0.4*(1/(1-'02_Inputs'!$B$12))*'02_Inputs'!$B$7) + (AD9*16*(1/(1-'02_Inputs'!$B$12))*'02_Inputs'!$B$6 + AD9*0.35*(1/(1-'02_Inputs'!$B$12))*'02_Inputs'!$B$7) + (AD10*30*(1/(1-'02_Inputs'!$B$12))*'02_Inputs'!$B$6 + AD10*0.7*(1/(1-'02_Inputs'!$B$12))*'02_Inputs'!$B$7) + AD11*75</f>
        <v>0</v>
      </c>
      <c r="AE15" s="6">
        <f>(AE5*17*(1/(1-'02_Inputs'!$B$12))*'02_Inputs'!$B$6 + AE5*0.15*(1/(1-'02_Inputs'!$B$12))*'02_Inputs'!$B$7) + (AE6*20*(1/(1-'02_Inputs'!$B$12))*'02_Inputs'!$B$6 + AE6*0.5*(1/(1-'02_Inputs'!$B$12))*'02_Inputs'!$B$7) + (AE7*23*(1/(1-'02_Inputs'!$B$12))*'02_Inputs'!$B$6 + AE7*1.1*(1/(1-'02_Inputs'!$B$12))*'02_Inputs'!$B$7) + (AE8*25*(1/(1-'02_Inputs'!$B$12))*'02_Inputs'!$B$6 + AE8*0.4*(1/(1-'02_Inputs'!$B$12))*'02_Inputs'!$B$7) + (AE9*16*(1/(1-'02_Inputs'!$B$12))*'02_Inputs'!$B$6 + AE9*0.35*(1/(1-'02_Inputs'!$B$12))*'02_Inputs'!$B$7) + (AE10*30*(1/(1-'02_Inputs'!$B$12))*'02_Inputs'!$B$6 + AE10*0.7*(1/(1-'02_Inputs'!$B$12))*'02_Inputs'!$B$7) + AE11*75</f>
        <v>0</v>
      </c>
      <c r="AF15" s="6">
        <f>(AF5*17*(1/(1-'02_Inputs'!$B$12))*'02_Inputs'!$B$6 + AF5*0.15*(1/(1-'02_Inputs'!$B$12))*'02_Inputs'!$B$7) + (AF6*20*(1/(1-'02_Inputs'!$B$12))*'02_Inputs'!$B$6 + AF6*0.5*(1/(1-'02_Inputs'!$B$12))*'02_Inputs'!$B$7) + (AF7*23*(1/(1-'02_Inputs'!$B$12))*'02_Inputs'!$B$6 + AF7*1.1*(1/(1-'02_Inputs'!$B$12))*'02_Inputs'!$B$7) + (AF8*25*(1/(1-'02_Inputs'!$B$12))*'02_Inputs'!$B$6 + AF8*0.4*(1/(1-'02_Inputs'!$B$12))*'02_Inputs'!$B$7) + (AF9*16*(1/(1-'02_Inputs'!$B$12))*'02_Inputs'!$B$6 + AF9*0.35*(1/(1-'02_Inputs'!$B$12))*'02_Inputs'!$B$7) + (AF10*30*(1/(1-'02_Inputs'!$B$12))*'02_Inputs'!$B$6 + AF10*0.7*(1/(1-'02_Inputs'!$B$12))*'02_Inputs'!$B$7) + AF11*75</f>
        <v>0</v>
      </c>
      <c r="AG15" s="6">
        <f>(AG5*17*(1/(1-'02_Inputs'!$B$12))*'02_Inputs'!$B$6 + AG5*0.15*(1/(1-'02_Inputs'!$B$12))*'02_Inputs'!$B$7) + (AG6*20*(1/(1-'02_Inputs'!$B$12))*'02_Inputs'!$B$6 + AG6*0.5*(1/(1-'02_Inputs'!$B$12))*'02_Inputs'!$B$7) + (AG7*23*(1/(1-'02_Inputs'!$B$12))*'02_Inputs'!$B$6 + AG7*1.1*(1/(1-'02_Inputs'!$B$12))*'02_Inputs'!$B$7) + (AG8*25*(1/(1-'02_Inputs'!$B$12))*'02_Inputs'!$B$6 + AG8*0.4*(1/(1-'02_Inputs'!$B$12))*'02_Inputs'!$B$7) + (AG9*16*(1/(1-'02_Inputs'!$B$12))*'02_Inputs'!$B$6 + AG9*0.35*(1/(1-'02_Inputs'!$B$12))*'02_Inputs'!$B$7) + (AG10*30*(1/(1-'02_Inputs'!$B$12))*'02_Inputs'!$B$6 + AG10*0.7*(1/(1-'02_Inputs'!$B$12))*'02_Inputs'!$B$7) + AG11*75</f>
        <v>0</v>
      </c>
      <c r="AH15" s="6">
        <f>(AH5*17*(1/(1-'02_Inputs'!$B$12))*'02_Inputs'!$B$6 + AH5*0.15*(1/(1-'02_Inputs'!$B$12))*'02_Inputs'!$B$7) + (AH6*20*(1/(1-'02_Inputs'!$B$12))*'02_Inputs'!$B$6 + AH6*0.5*(1/(1-'02_Inputs'!$B$12))*'02_Inputs'!$B$7) + (AH7*23*(1/(1-'02_Inputs'!$B$12))*'02_Inputs'!$B$6 + AH7*1.1*(1/(1-'02_Inputs'!$B$12))*'02_Inputs'!$B$7) + (AH8*25*(1/(1-'02_Inputs'!$B$12))*'02_Inputs'!$B$6 + AH8*0.4*(1/(1-'02_Inputs'!$B$12))*'02_Inputs'!$B$7) + (AH9*16*(1/(1-'02_Inputs'!$B$12))*'02_Inputs'!$B$6 + AH9*0.35*(1/(1-'02_Inputs'!$B$12))*'02_Inputs'!$B$7) + (AH10*30*(1/(1-'02_Inputs'!$B$12))*'02_Inputs'!$B$6 + AH10*0.7*(1/(1-'02_Inputs'!$B$12))*'02_Inputs'!$B$7) + AH11*75</f>
        <v>0</v>
      </c>
      <c r="AI15" s="6">
        <f>(AI5*17*(1/(1-'02_Inputs'!$B$12))*'02_Inputs'!$B$6 + AI5*0.15*(1/(1-'02_Inputs'!$B$12))*'02_Inputs'!$B$7) + (AI6*20*(1/(1-'02_Inputs'!$B$12))*'02_Inputs'!$B$6 + AI6*0.5*(1/(1-'02_Inputs'!$B$12))*'02_Inputs'!$B$7) + (AI7*23*(1/(1-'02_Inputs'!$B$12))*'02_Inputs'!$B$6 + AI7*1.1*(1/(1-'02_Inputs'!$B$12))*'02_Inputs'!$B$7) + (AI8*25*(1/(1-'02_Inputs'!$B$12))*'02_Inputs'!$B$6 + AI8*0.4*(1/(1-'02_Inputs'!$B$12))*'02_Inputs'!$B$7) + (AI9*16*(1/(1-'02_Inputs'!$B$12))*'02_Inputs'!$B$6 + AI9*0.35*(1/(1-'02_Inputs'!$B$12))*'02_Inputs'!$B$7) + (AI10*30*(1/(1-'02_Inputs'!$B$12))*'02_Inputs'!$B$6 + AI10*0.7*(1/(1-'02_Inputs'!$B$12))*'02_Inputs'!$B$7) + AI11*75</f>
        <v>0</v>
      </c>
      <c r="AJ15" s="6">
        <f>(AJ5*17*(1/(1-'02_Inputs'!$B$12))*'02_Inputs'!$B$6 + AJ5*0.15*(1/(1-'02_Inputs'!$B$12))*'02_Inputs'!$B$7) + (AJ6*20*(1/(1-'02_Inputs'!$B$12))*'02_Inputs'!$B$6 + AJ6*0.5*(1/(1-'02_Inputs'!$B$12))*'02_Inputs'!$B$7) + (AJ7*23*(1/(1-'02_Inputs'!$B$12))*'02_Inputs'!$B$6 + AJ7*1.1*(1/(1-'02_Inputs'!$B$12))*'02_Inputs'!$B$7) + (AJ8*25*(1/(1-'02_Inputs'!$B$12))*'02_Inputs'!$B$6 + AJ8*0.4*(1/(1-'02_Inputs'!$B$12))*'02_Inputs'!$B$7) + (AJ9*16*(1/(1-'02_Inputs'!$B$12))*'02_Inputs'!$B$6 + AJ9*0.35*(1/(1-'02_Inputs'!$B$12))*'02_Inputs'!$B$7) + (AJ10*30*(1/(1-'02_Inputs'!$B$12))*'02_Inputs'!$B$6 + AJ10*0.7*(1/(1-'02_Inputs'!$B$12))*'02_Inputs'!$B$7) + AJ11*75</f>
        <v>0</v>
      </c>
      <c r="AK15" s="6">
        <f>(AK5*17*(1/(1-'02_Inputs'!$B$12))*'02_Inputs'!$B$6 + AK5*0.15*(1/(1-'02_Inputs'!$B$12))*'02_Inputs'!$B$7) + (AK6*20*(1/(1-'02_Inputs'!$B$12))*'02_Inputs'!$B$6 + AK6*0.5*(1/(1-'02_Inputs'!$B$12))*'02_Inputs'!$B$7) + (AK7*23*(1/(1-'02_Inputs'!$B$12))*'02_Inputs'!$B$6 + AK7*1.1*(1/(1-'02_Inputs'!$B$12))*'02_Inputs'!$B$7) + (AK8*25*(1/(1-'02_Inputs'!$B$12))*'02_Inputs'!$B$6 + AK8*0.4*(1/(1-'02_Inputs'!$B$12))*'02_Inputs'!$B$7) + (AK9*16*(1/(1-'02_Inputs'!$B$12))*'02_Inputs'!$B$6 + AK9*0.35*(1/(1-'02_Inputs'!$B$12))*'02_Inputs'!$B$7) + (AK10*30*(1/(1-'02_Inputs'!$B$12))*'02_Inputs'!$B$6 + AK10*0.7*(1/(1-'02_Inputs'!$B$12))*'02_Inputs'!$B$7) + AK11*75</f>
        <v>0</v>
      </c>
      <c r="AL15" s="6">
        <f>(AL5*17*(1/(1-'02_Inputs'!$B$12))*'02_Inputs'!$B$6 + AL5*0.15*(1/(1-'02_Inputs'!$B$12))*'02_Inputs'!$B$7) + (AL6*20*(1/(1-'02_Inputs'!$B$12))*'02_Inputs'!$B$6 + AL6*0.5*(1/(1-'02_Inputs'!$B$12))*'02_Inputs'!$B$7) + (AL7*23*(1/(1-'02_Inputs'!$B$12))*'02_Inputs'!$B$6 + AL7*1.1*(1/(1-'02_Inputs'!$B$12))*'02_Inputs'!$B$7) + (AL8*25*(1/(1-'02_Inputs'!$B$12))*'02_Inputs'!$B$6 + AL8*0.4*(1/(1-'02_Inputs'!$B$12))*'02_Inputs'!$B$7) + (AL9*16*(1/(1-'02_Inputs'!$B$12))*'02_Inputs'!$B$6 + AL9*0.35*(1/(1-'02_Inputs'!$B$12))*'02_Inputs'!$B$7) + (AL10*30*(1/(1-'02_Inputs'!$B$12))*'02_Inputs'!$B$6 + AL10*0.7*(1/(1-'02_Inputs'!$B$12))*'02_Inputs'!$B$7) + AL11*75</f>
        <v>0</v>
      </c>
      <c r="AM15" s="6">
        <f>(AM5*17*(1/(1-'02_Inputs'!$B$12))*'02_Inputs'!$B$6 + AM5*0.15*(1/(1-'02_Inputs'!$B$12))*'02_Inputs'!$B$7) + (AM6*20*(1/(1-'02_Inputs'!$B$12))*'02_Inputs'!$B$6 + AM6*0.5*(1/(1-'02_Inputs'!$B$12))*'02_Inputs'!$B$7) + (AM7*23*(1/(1-'02_Inputs'!$B$12))*'02_Inputs'!$B$6 + AM7*1.1*(1/(1-'02_Inputs'!$B$12))*'02_Inputs'!$B$7) + (AM8*25*(1/(1-'02_Inputs'!$B$12))*'02_Inputs'!$B$6 + AM8*0.4*(1/(1-'02_Inputs'!$B$12))*'02_Inputs'!$B$7) + (AM9*16*(1/(1-'02_Inputs'!$B$12))*'02_Inputs'!$B$6 + AM9*0.35*(1/(1-'02_Inputs'!$B$12))*'02_Inputs'!$B$7) + (AM10*30*(1/(1-'02_Inputs'!$B$12))*'02_Inputs'!$B$6 + AM10*0.7*(1/(1-'02_Inputs'!$B$12))*'02_Inputs'!$B$7) + AM11*75</f>
        <v>0</v>
      </c>
      <c r="AN15" s="6">
        <f>(AN5*17*(1/(1-'02_Inputs'!$B$12))*'02_Inputs'!$B$6 + AN5*0.15*(1/(1-'02_Inputs'!$B$12))*'02_Inputs'!$B$7) + (AN6*20*(1/(1-'02_Inputs'!$B$12))*'02_Inputs'!$B$6 + AN6*0.5*(1/(1-'02_Inputs'!$B$12))*'02_Inputs'!$B$7) + (AN7*23*(1/(1-'02_Inputs'!$B$12))*'02_Inputs'!$B$6 + AN7*1.1*(1/(1-'02_Inputs'!$B$12))*'02_Inputs'!$B$7) + (AN8*25*(1/(1-'02_Inputs'!$B$12))*'02_Inputs'!$B$6 + AN8*0.4*(1/(1-'02_Inputs'!$B$12))*'02_Inputs'!$B$7) + (AN9*16*(1/(1-'02_Inputs'!$B$12))*'02_Inputs'!$B$6 + AN9*0.35*(1/(1-'02_Inputs'!$B$12))*'02_Inputs'!$B$7) + (AN10*30*(1/(1-'02_Inputs'!$B$12))*'02_Inputs'!$B$6 + AN10*0.7*(1/(1-'02_Inputs'!$B$12))*'02_Inputs'!$B$7) + AN11*75</f>
        <v>0</v>
      </c>
      <c r="AO15" s="6">
        <f>(AO5*17*(1/(1-'02_Inputs'!$B$12))*'02_Inputs'!$B$6 + AO5*0.15*(1/(1-'02_Inputs'!$B$12))*'02_Inputs'!$B$7) + (AO6*20*(1/(1-'02_Inputs'!$B$12))*'02_Inputs'!$B$6 + AO6*0.5*(1/(1-'02_Inputs'!$B$12))*'02_Inputs'!$B$7) + (AO7*23*(1/(1-'02_Inputs'!$B$12))*'02_Inputs'!$B$6 + AO7*1.1*(1/(1-'02_Inputs'!$B$12))*'02_Inputs'!$B$7) + (AO8*25*(1/(1-'02_Inputs'!$B$12))*'02_Inputs'!$B$6 + AO8*0.4*(1/(1-'02_Inputs'!$B$12))*'02_Inputs'!$B$7) + (AO9*16*(1/(1-'02_Inputs'!$B$12))*'02_Inputs'!$B$6 + AO9*0.35*(1/(1-'02_Inputs'!$B$12))*'02_Inputs'!$B$7) + (AO10*30*(1/(1-'02_Inputs'!$B$12))*'02_Inputs'!$B$6 + AO10*0.7*(1/(1-'02_Inputs'!$B$12))*'02_Inputs'!$B$7) + AO11*75</f>
        <v>0</v>
      </c>
      <c r="AP15" s="6">
        <f>(AP5*17*(1/(1-'02_Inputs'!$B$12))*'02_Inputs'!$B$6 + AP5*0.15*(1/(1-'02_Inputs'!$B$12))*'02_Inputs'!$B$7) + (AP6*20*(1/(1-'02_Inputs'!$B$12))*'02_Inputs'!$B$6 + AP6*0.5*(1/(1-'02_Inputs'!$B$12))*'02_Inputs'!$B$7) + (AP7*23*(1/(1-'02_Inputs'!$B$12))*'02_Inputs'!$B$6 + AP7*1.1*(1/(1-'02_Inputs'!$B$12))*'02_Inputs'!$B$7) + (AP8*25*(1/(1-'02_Inputs'!$B$12))*'02_Inputs'!$B$6 + AP8*0.4*(1/(1-'02_Inputs'!$B$12))*'02_Inputs'!$B$7) + (AP9*16*(1/(1-'02_Inputs'!$B$12))*'02_Inputs'!$B$6 + AP9*0.35*(1/(1-'02_Inputs'!$B$12))*'02_Inputs'!$B$7) + (AP10*30*(1/(1-'02_Inputs'!$B$12))*'02_Inputs'!$B$6 + AP10*0.7*(1/(1-'02_Inputs'!$B$12))*'02_Inputs'!$B$7) + AP11*75</f>
        <v>0</v>
      </c>
      <c r="AQ15" s="6">
        <f>(AQ5*17*(1/(1-'02_Inputs'!$B$12))*'02_Inputs'!$B$6 + AQ5*0.15*(1/(1-'02_Inputs'!$B$12))*'02_Inputs'!$B$7) + (AQ6*20*(1/(1-'02_Inputs'!$B$12))*'02_Inputs'!$B$6 + AQ6*0.5*(1/(1-'02_Inputs'!$B$12))*'02_Inputs'!$B$7) + (AQ7*23*(1/(1-'02_Inputs'!$B$12))*'02_Inputs'!$B$6 + AQ7*1.1*(1/(1-'02_Inputs'!$B$12))*'02_Inputs'!$B$7) + (AQ8*25*(1/(1-'02_Inputs'!$B$12))*'02_Inputs'!$B$6 + AQ8*0.4*(1/(1-'02_Inputs'!$B$12))*'02_Inputs'!$B$7) + (AQ9*16*(1/(1-'02_Inputs'!$B$12))*'02_Inputs'!$B$6 + AQ9*0.35*(1/(1-'02_Inputs'!$B$12))*'02_Inputs'!$B$7) + (AQ10*30*(1/(1-'02_Inputs'!$B$12))*'02_Inputs'!$B$6 + AQ10*0.7*(1/(1-'02_Inputs'!$B$12))*'02_Inputs'!$B$7) + AQ11*75</f>
        <v>0</v>
      </c>
      <c r="AR15" s="6">
        <f>(AR5*17*(1/(1-'02_Inputs'!$B$12))*'02_Inputs'!$B$6 + AR5*0.15*(1/(1-'02_Inputs'!$B$12))*'02_Inputs'!$B$7) + (AR6*20*(1/(1-'02_Inputs'!$B$12))*'02_Inputs'!$B$6 + AR6*0.5*(1/(1-'02_Inputs'!$B$12))*'02_Inputs'!$B$7) + (AR7*23*(1/(1-'02_Inputs'!$B$12))*'02_Inputs'!$B$6 + AR7*1.1*(1/(1-'02_Inputs'!$B$12))*'02_Inputs'!$B$7) + (AR8*25*(1/(1-'02_Inputs'!$B$12))*'02_Inputs'!$B$6 + AR8*0.4*(1/(1-'02_Inputs'!$B$12))*'02_Inputs'!$B$7) + (AR9*16*(1/(1-'02_Inputs'!$B$12))*'02_Inputs'!$B$6 + AR9*0.35*(1/(1-'02_Inputs'!$B$12))*'02_Inputs'!$B$7) + (AR10*30*(1/(1-'02_Inputs'!$B$12))*'02_Inputs'!$B$6 + AR10*0.7*(1/(1-'02_Inputs'!$B$12))*'02_Inputs'!$B$7) + AR11*75</f>
        <v>0</v>
      </c>
      <c r="AS15" s="6">
        <f>(AS5*17*(1/(1-'02_Inputs'!$B$12))*'02_Inputs'!$B$6 + AS5*0.15*(1/(1-'02_Inputs'!$B$12))*'02_Inputs'!$B$7) + (AS6*20*(1/(1-'02_Inputs'!$B$12))*'02_Inputs'!$B$6 + AS6*0.5*(1/(1-'02_Inputs'!$B$12))*'02_Inputs'!$B$7) + (AS7*23*(1/(1-'02_Inputs'!$B$12))*'02_Inputs'!$B$6 + AS7*1.1*(1/(1-'02_Inputs'!$B$12))*'02_Inputs'!$B$7) + (AS8*25*(1/(1-'02_Inputs'!$B$12))*'02_Inputs'!$B$6 + AS8*0.4*(1/(1-'02_Inputs'!$B$12))*'02_Inputs'!$B$7) + (AS9*16*(1/(1-'02_Inputs'!$B$12))*'02_Inputs'!$B$6 + AS9*0.35*(1/(1-'02_Inputs'!$B$12))*'02_Inputs'!$B$7) + (AS10*30*(1/(1-'02_Inputs'!$B$12))*'02_Inputs'!$B$6 + AS10*0.7*(1/(1-'02_Inputs'!$B$12))*'02_Inputs'!$B$7) + AS11*75</f>
        <v>0</v>
      </c>
      <c r="AT15" s="6">
        <f>(AT5*17*(1/(1-'02_Inputs'!$B$12))*'02_Inputs'!$B$6 + AT5*0.15*(1/(1-'02_Inputs'!$B$12))*'02_Inputs'!$B$7) + (AT6*20*(1/(1-'02_Inputs'!$B$12))*'02_Inputs'!$B$6 + AT6*0.5*(1/(1-'02_Inputs'!$B$12))*'02_Inputs'!$B$7) + (AT7*23*(1/(1-'02_Inputs'!$B$12))*'02_Inputs'!$B$6 + AT7*1.1*(1/(1-'02_Inputs'!$B$12))*'02_Inputs'!$B$7) + (AT8*25*(1/(1-'02_Inputs'!$B$12))*'02_Inputs'!$B$6 + AT8*0.4*(1/(1-'02_Inputs'!$B$12))*'02_Inputs'!$B$7) + (AT9*16*(1/(1-'02_Inputs'!$B$12))*'02_Inputs'!$B$6 + AT9*0.35*(1/(1-'02_Inputs'!$B$12))*'02_Inputs'!$B$7) + (AT10*30*(1/(1-'02_Inputs'!$B$12))*'02_Inputs'!$B$6 + AT10*0.7*(1/(1-'02_Inputs'!$B$12))*'02_Inputs'!$B$7) + AT11*75</f>
        <v>0</v>
      </c>
      <c r="AU15" s="6">
        <f>(AU5*17*(1/(1-'02_Inputs'!$B$12))*'02_Inputs'!$B$6 + AU5*0.15*(1/(1-'02_Inputs'!$B$12))*'02_Inputs'!$B$7) + (AU6*20*(1/(1-'02_Inputs'!$B$12))*'02_Inputs'!$B$6 + AU6*0.5*(1/(1-'02_Inputs'!$B$12))*'02_Inputs'!$B$7) + (AU7*23*(1/(1-'02_Inputs'!$B$12))*'02_Inputs'!$B$6 + AU7*1.1*(1/(1-'02_Inputs'!$B$12))*'02_Inputs'!$B$7) + (AU8*25*(1/(1-'02_Inputs'!$B$12))*'02_Inputs'!$B$6 + AU8*0.4*(1/(1-'02_Inputs'!$B$12))*'02_Inputs'!$B$7) + (AU9*16*(1/(1-'02_Inputs'!$B$12))*'02_Inputs'!$B$6 + AU9*0.35*(1/(1-'02_Inputs'!$B$12))*'02_Inputs'!$B$7) + (AU10*30*(1/(1-'02_Inputs'!$B$12))*'02_Inputs'!$B$6 + AU10*0.7*(1/(1-'02_Inputs'!$B$12))*'02_Inputs'!$B$7) + AU11*75</f>
        <v>0</v>
      </c>
      <c r="AV15" s="6">
        <f>(AV5*17*(1/(1-'02_Inputs'!$B$12))*'02_Inputs'!$B$6 + AV5*0.15*(1/(1-'02_Inputs'!$B$12))*'02_Inputs'!$B$7) + (AV6*20*(1/(1-'02_Inputs'!$B$12))*'02_Inputs'!$B$6 + AV6*0.5*(1/(1-'02_Inputs'!$B$12))*'02_Inputs'!$B$7) + (AV7*23*(1/(1-'02_Inputs'!$B$12))*'02_Inputs'!$B$6 + AV7*1.1*(1/(1-'02_Inputs'!$B$12))*'02_Inputs'!$B$7) + (AV8*25*(1/(1-'02_Inputs'!$B$12))*'02_Inputs'!$B$6 + AV8*0.4*(1/(1-'02_Inputs'!$B$12))*'02_Inputs'!$B$7) + (AV9*16*(1/(1-'02_Inputs'!$B$12))*'02_Inputs'!$B$6 + AV9*0.35*(1/(1-'02_Inputs'!$B$12))*'02_Inputs'!$B$7) + (AV10*30*(1/(1-'02_Inputs'!$B$12))*'02_Inputs'!$B$6 + AV10*0.7*(1/(1-'02_Inputs'!$B$12))*'02_Inputs'!$B$7) + AV11*75</f>
        <v>0</v>
      </c>
      <c r="AW15" s="6">
        <f>(AW5*17*(1/(1-'02_Inputs'!$B$12))*'02_Inputs'!$B$6 + AW5*0.15*(1/(1-'02_Inputs'!$B$12))*'02_Inputs'!$B$7) + (AW6*20*(1/(1-'02_Inputs'!$B$12))*'02_Inputs'!$B$6 + AW6*0.5*(1/(1-'02_Inputs'!$B$12))*'02_Inputs'!$B$7) + (AW7*23*(1/(1-'02_Inputs'!$B$12))*'02_Inputs'!$B$6 + AW7*1.1*(1/(1-'02_Inputs'!$B$12))*'02_Inputs'!$B$7) + (AW8*25*(1/(1-'02_Inputs'!$B$12))*'02_Inputs'!$B$6 + AW8*0.4*(1/(1-'02_Inputs'!$B$12))*'02_Inputs'!$B$7) + (AW9*16*(1/(1-'02_Inputs'!$B$12))*'02_Inputs'!$B$6 + AW9*0.35*(1/(1-'02_Inputs'!$B$12))*'02_Inputs'!$B$7) + (AW10*30*(1/(1-'02_Inputs'!$B$12))*'02_Inputs'!$B$6 + AW10*0.7*(1/(1-'02_Inputs'!$B$12))*'02_Inputs'!$B$7) + AW11*75</f>
        <v>0</v>
      </c>
      <c r="AX15" s="6">
        <f>(AX5*17*(1/(1-'02_Inputs'!$B$12))*'02_Inputs'!$B$6 + AX5*0.15*(1/(1-'02_Inputs'!$B$12))*'02_Inputs'!$B$7) + (AX6*20*(1/(1-'02_Inputs'!$B$12))*'02_Inputs'!$B$6 + AX6*0.5*(1/(1-'02_Inputs'!$B$12))*'02_Inputs'!$B$7) + (AX7*23*(1/(1-'02_Inputs'!$B$12))*'02_Inputs'!$B$6 + AX7*1.1*(1/(1-'02_Inputs'!$B$12))*'02_Inputs'!$B$7) + (AX8*25*(1/(1-'02_Inputs'!$B$12))*'02_Inputs'!$B$6 + AX8*0.4*(1/(1-'02_Inputs'!$B$12))*'02_Inputs'!$B$7) + (AX9*16*(1/(1-'02_Inputs'!$B$12))*'02_Inputs'!$B$6 + AX9*0.35*(1/(1-'02_Inputs'!$B$12))*'02_Inputs'!$B$7) + (AX10*30*(1/(1-'02_Inputs'!$B$12))*'02_Inputs'!$B$6 + AX10*0.7*(1/(1-'02_Inputs'!$B$12))*'02_Inputs'!$B$7) + AX11*75</f>
        <v>0</v>
      </c>
      <c r="AY15" s="6">
        <f>(AY5*17*(1/(1-'02_Inputs'!$B$12))*'02_Inputs'!$B$6 + AY5*0.15*(1/(1-'02_Inputs'!$B$12))*'02_Inputs'!$B$7) + (AY6*20*(1/(1-'02_Inputs'!$B$12))*'02_Inputs'!$B$6 + AY6*0.5*(1/(1-'02_Inputs'!$B$12))*'02_Inputs'!$B$7) + (AY7*23*(1/(1-'02_Inputs'!$B$12))*'02_Inputs'!$B$6 + AY7*1.1*(1/(1-'02_Inputs'!$B$12))*'02_Inputs'!$B$7) + (AY8*25*(1/(1-'02_Inputs'!$B$12))*'02_Inputs'!$B$6 + AY8*0.4*(1/(1-'02_Inputs'!$B$12))*'02_Inputs'!$B$7) + (AY9*16*(1/(1-'02_Inputs'!$B$12))*'02_Inputs'!$B$6 + AY9*0.35*(1/(1-'02_Inputs'!$B$12))*'02_Inputs'!$B$7) + (AY10*30*(1/(1-'02_Inputs'!$B$12))*'02_Inputs'!$B$6 + AY10*0.7*(1/(1-'02_Inputs'!$B$12))*'02_Inputs'!$B$7) + AY11*75</f>
        <v>0</v>
      </c>
      <c r="AZ15" s="6">
        <f>(AZ5*17*(1/(1-'02_Inputs'!$B$12))*'02_Inputs'!$B$6 + AZ5*0.15*(1/(1-'02_Inputs'!$B$12))*'02_Inputs'!$B$7) + (AZ6*20*(1/(1-'02_Inputs'!$B$12))*'02_Inputs'!$B$6 + AZ6*0.5*(1/(1-'02_Inputs'!$B$12))*'02_Inputs'!$B$7) + (AZ7*23*(1/(1-'02_Inputs'!$B$12))*'02_Inputs'!$B$6 + AZ7*1.1*(1/(1-'02_Inputs'!$B$12))*'02_Inputs'!$B$7) + (AZ8*25*(1/(1-'02_Inputs'!$B$12))*'02_Inputs'!$B$6 + AZ8*0.4*(1/(1-'02_Inputs'!$B$12))*'02_Inputs'!$B$7) + (AZ9*16*(1/(1-'02_Inputs'!$B$12))*'02_Inputs'!$B$6 + AZ9*0.35*(1/(1-'02_Inputs'!$B$12))*'02_Inputs'!$B$7) + (AZ10*30*(1/(1-'02_Inputs'!$B$12))*'02_Inputs'!$B$6 + AZ10*0.7*(1/(1-'02_Inputs'!$B$12))*'02_Inputs'!$B$7) + AZ11*75</f>
        <v>0</v>
      </c>
      <c r="BA15" s="6">
        <f>(BA5*17*(1/(1-'02_Inputs'!$B$12))*'02_Inputs'!$B$6 + BA5*0.15*(1/(1-'02_Inputs'!$B$12))*'02_Inputs'!$B$7) + (BA6*20*(1/(1-'02_Inputs'!$B$12))*'02_Inputs'!$B$6 + BA6*0.5*(1/(1-'02_Inputs'!$B$12))*'02_Inputs'!$B$7) + (BA7*23*(1/(1-'02_Inputs'!$B$12))*'02_Inputs'!$B$6 + BA7*1.1*(1/(1-'02_Inputs'!$B$12))*'02_Inputs'!$B$7) + (BA8*25*(1/(1-'02_Inputs'!$B$12))*'02_Inputs'!$B$6 + BA8*0.4*(1/(1-'02_Inputs'!$B$12))*'02_Inputs'!$B$7) + (BA9*16*(1/(1-'02_Inputs'!$B$12))*'02_Inputs'!$B$6 + BA9*0.35*(1/(1-'02_Inputs'!$B$12))*'02_Inputs'!$B$7) + (BA10*30*(1/(1-'02_Inputs'!$B$12))*'02_Inputs'!$B$6 + BA10*0.7*(1/(1-'02_Inputs'!$B$12))*'02_Inputs'!$B$7) + BA11*75</f>
        <v>0</v>
      </c>
      <c r="BB15" s="6">
        <f>(BB5*17*(1/(1-'02_Inputs'!$B$12))*'02_Inputs'!$B$6 + BB5*0.15*(1/(1-'02_Inputs'!$B$12))*'02_Inputs'!$B$7) + (BB6*20*(1/(1-'02_Inputs'!$B$12))*'02_Inputs'!$B$6 + BB6*0.5*(1/(1-'02_Inputs'!$B$12))*'02_Inputs'!$B$7) + (BB7*23*(1/(1-'02_Inputs'!$B$12))*'02_Inputs'!$B$6 + BB7*1.1*(1/(1-'02_Inputs'!$B$12))*'02_Inputs'!$B$7) + (BB8*25*(1/(1-'02_Inputs'!$B$12))*'02_Inputs'!$B$6 + BB8*0.4*(1/(1-'02_Inputs'!$B$12))*'02_Inputs'!$B$7) + (BB9*16*(1/(1-'02_Inputs'!$B$12))*'02_Inputs'!$B$6 + BB9*0.35*(1/(1-'02_Inputs'!$B$12))*'02_Inputs'!$B$7) + (BB10*30*(1/(1-'02_Inputs'!$B$12))*'02_Inputs'!$B$6 + BB10*0.7*(1/(1-'02_Inputs'!$B$12))*'02_Inputs'!$B$7) + BB11*75</f>
        <v>0</v>
      </c>
      <c r="BC15" s="6">
        <f>(BC5*17*(1/(1-'02_Inputs'!$B$12))*'02_Inputs'!$B$6 + BC5*0.15*(1/(1-'02_Inputs'!$B$12))*'02_Inputs'!$B$7) + (BC6*20*(1/(1-'02_Inputs'!$B$12))*'02_Inputs'!$B$6 + BC6*0.5*(1/(1-'02_Inputs'!$B$12))*'02_Inputs'!$B$7) + (BC7*23*(1/(1-'02_Inputs'!$B$12))*'02_Inputs'!$B$6 + BC7*1.1*(1/(1-'02_Inputs'!$B$12))*'02_Inputs'!$B$7) + (BC8*25*(1/(1-'02_Inputs'!$B$12))*'02_Inputs'!$B$6 + BC8*0.4*(1/(1-'02_Inputs'!$B$12))*'02_Inputs'!$B$7) + (BC9*16*(1/(1-'02_Inputs'!$B$12))*'02_Inputs'!$B$6 + BC9*0.35*(1/(1-'02_Inputs'!$B$12))*'02_Inputs'!$B$7) + (BC10*30*(1/(1-'02_Inputs'!$B$12))*'02_Inputs'!$B$6 + BC10*0.7*(1/(1-'02_Inputs'!$B$12))*'02_Inputs'!$B$7) + BC11*75</f>
        <v>0</v>
      </c>
      <c r="BD15" s="6">
        <f>(BD5*17*(1/(1-'02_Inputs'!$B$12))*'02_Inputs'!$B$6 + BD5*0.15*(1/(1-'02_Inputs'!$B$12))*'02_Inputs'!$B$7) + (BD6*20*(1/(1-'02_Inputs'!$B$12))*'02_Inputs'!$B$6 + BD6*0.5*(1/(1-'02_Inputs'!$B$12))*'02_Inputs'!$B$7) + (BD7*23*(1/(1-'02_Inputs'!$B$12))*'02_Inputs'!$B$6 + BD7*1.1*(1/(1-'02_Inputs'!$B$12))*'02_Inputs'!$B$7) + (BD8*25*(1/(1-'02_Inputs'!$B$12))*'02_Inputs'!$B$6 + BD8*0.4*(1/(1-'02_Inputs'!$B$12))*'02_Inputs'!$B$7) + (BD9*16*(1/(1-'02_Inputs'!$B$12))*'02_Inputs'!$B$6 + BD9*0.35*(1/(1-'02_Inputs'!$B$12))*'02_Inputs'!$B$7) + (BD10*30*(1/(1-'02_Inputs'!$B$12))*'02_Inputs'!$B$6 + BD10*0.7*(1/(1-'02_Inputs'!$B$12))*'02_Inputs'!$B$7) + BD11*75</f>
        <v>0</v>
      </c>
      <c r="BE15" s="6">
        <f>(BE5*17*(1/(1-'02_Inputs'!$B$12))*'02_Inputs'!$B$6 + BE5*0.15*(1/(1-'02_Inputs'!$B$12))*'02_Inputs'!$B$7) + (BE6*20*(1/(1-'02_Inputs'!$B$12))*'02_Inputs'!$B$6 + BE6*0.5*(1/(1-'02_Inputs'!$B$12))*'02_Inputs'!$B$7) + (BE7*23*(1/(1-'02_Inputs'!$B$12))*'02_Inputs'!$B$6 + BE7*1.1*(1/(1-'02_Inputs'!$B$12))*'02_Inputs'!$B$7) + (BE8*25*(1/(1-'02_Inputs'!$B$12))*'02_Inputs'!$B$6 + BE8*0.4*(1/(1-'02_Inputs'!$B$12))*'02_Inputs'!$B$7) + (BE9*16*(1/(1-'02_Inputs'!$B$12))*'02_Inputs'!$B$6 + BE9*0.35*(1/(1-'02_Inputs'!$B$12))*'02_Inputs'!$B$7) + (BE10*30*(1/(1-'02_Inputs'!$B$12))*'02_Inputs'!$B$6 + BE10*0.7*(1/(1-'02_Inputs'!$B$12))*'02_Inputs'!$B$7) + BE11*75</f>
        <v>0</v>
      </c>
      <c r="BF15" s="6">
        <f>(BF5*17*(1/(1-'02_Inputs'!$B$12))*'02_Inputs'!$B$6 + BF5*0.15*(1/(1-'02_Inputs'!$B$12))*'02_Inputs'!$B$7) + (BF6*20*(1/(1-'02_Inputs'!$B$12))*'02_Inputs'!$B$6 + BF6*0.5*(1/(1-'02_Inputs'!$B$12))*'02_Inputs'!$B$7) + (BF7*23*(1/(1-'02_Inputs'!$B$12))*'02_Inputs'!$B$6 + BF7*1.1*(1/(1-'02_Inputs'!$B$12))*'02_Inputs'!$B$7) + (BF8*25*(1/(1-'02_Inputs'!$B$12))*'02_Inputs'!$B$6 + BF8*0.4*(1/(1-'02_Inputs'!$B$12))*'02_Inputs'!$B$7) + (BF9*16*(1/(1-'02_Inputs'!$B$12))*'02_Inputs'!$B$6 + BF9*0.35*(1/(1-'02_Inputs'!$B$12))*'02_Inputs'!$B$7) + (BF10*30*(1/(1-'02_Inputs'!$B$12))*'02_Inputs'!$B$6 + BF10*0.7*(1/(1-'02_Inputs'!$B$12))*'02_Inputs'!$B$7) + BF11*75</f>
        <v>0</v>
      </c>
      <c r="BG15" s="6">
        <f>(BG5*17*(1/(1-'02_Inputs'!$B$12))*'02_Inputs'!$B$6 + BG5*0.15*(1/(1-'02_Inputs'!$B$12))*'02_Inputs'!$B$7) + (BG6*20*(1/(1-'02_Inputs'!$B$12))*'02_Inputs'!$B$6 + BG6*0.5*(1/(1-'02_Inputs'!$B$12))*'02_Inputs'!$B$7) + (BG7*23*(1/(1-'02_Inputs'!$B$12))*'02_Inputs'!$B$6 + BG7*1.1*(1/(1-'02_Inputs'!$B$12))*'02_Inputs'!$B$7) + (BG8*25*(1/(1-'02_Inputs'!$B$12))*'02_Inputs'!$B$6 + BG8*0.4*(1/(1-'02_Inputs'!$B$12))*'02_Inputs'!$B$7) + (BG9*16*(1/(1-'02_Inputs'!$B$12))*'02_Inputs'!$B$6 + BG9*0.35*(1/(1-'02_Inputs'!$B$12))*'02_Inputs'!$B$7) + (BG10*30*(1/(1-'02_Inputs'!$B$12))*'02_Inputs'!$B$6 + BG10*0.7*(1/(1-'02_Inputs'!$B$12))*'02_Inputs'!$B$7) + BG11*75</f>
        <v>0</v>
      </c>
      <c r="BH15" s="6">
        <f>(BH5*17*(1/(1-'02_Inputs'!$B$12))*'02_Inputs'!$B$6 + BH5*0.15*(1/(1-'02_Inputs'!$B$12))*'02_Inputs'!$B$7) + (BH6*20*(1/(1-'02_Inputs'!$B$12))*'02_Inputs'!$B$6 + BH6*0.5*(1/(1-'02_Inputs'!$B$12))*'02_Inputs'!$B$7) + (BH7*23*(1/(1-'02_Inputs'!$B$12))*'02_Inputs'!$B$6 + BH7*1.1*(1/(1-'02_Inputs'!$B$12))*'02_Inputs'!$B$7) + (BH8*25*(1/(1-'02_Inputs'!$B$12))*'02_Inputs'!$B$6 + BH8*0.4*(1/(1-'02_Inputs'!$B$12))*'02_Inputs'!$B$7) + (BH9*16*(1/(1-'02_Inputs'!$B$12))*'02_Inputs'!$B$6 + BH9*0.35*(1/(1-'02_Inputs'!$B$12))*'02_Inputs'!$B$7) + (BH10*30*(1/(1-'02_Inputs'!$B$12))*'02_Inputs'!$B$6 + BH10*0.7*(1/(1-'02_Inputs'!$B$12))*'02_Inputs'!$B$7) + BH11*75</f>
        <v>0</v>
      </c>
      <c r="BI15" s="6">
        <f>(BI5*17*(1/(1-'02_Inputs'!$B$12))*'02_Inputs'!$B$6 + BI5*0.15*(1/(1-'02_Inputs'!$B$12))*'02_Inputs'!$B$7) + (BI6*20*(1/(1-'02_Inputs'!$B$12))*'02_Inputs'!$B$6 + BI6*0.5*(1/(1-'02_Inputs'!$B$12))*'02_Inputs'!$B$7) + (BI7*23*(1/(1-'02_Inputs'!$B$12))*'02_Inputs'!$B$6 + BI7*1.1*(1/(1-'02_Inputs'!$B$12))*'02_Inputs'!$B$7) + (BI8*25*(1/(1-'02_Inputs'!$B$12))*'02_Inputs'!$B$6 + BI8*0.4*(1/(1-'02_Inputs'!$B$12))*'02_Inputs'!$B$7) + (BI9*16*(1/(1-'02_Inputs'!$B$12))*'02_Inputs'!$B$6 + BI9*0.35*(1/(1-'02_Inputs'!$B$12))*'02_Inputs'!$B$7) + (BI10*30*(1/(1-'02_Inputs'!$B$12))*'02_Inputs'!$B$6 + BI10*0.7*(1/(1-'02_Inputs'!$B$12))*'02_Inputs'!$B$7) + BI11*75</f>
        <v>0</v>
      </c>
    </row>
    <row r="17" spans="1:61">
      <c r="A17" s="2" t="s">
        <v>87</v>
      </c>
      <c r="B17" s="6">
        <f>(SUMPRODUCT('02_Inputs'!$B$16:$B$19, '02_Inputs'!$C$16:$C$19)/12) + B13*0.1</f>
        <v>0</v>
      </c>
      <c r="C17" s="6">
        <f>(SUMPRODUCT('02_Inputs'!$B$16:$B$19, '02_Inputs'!$C$16:$C$19)/12) + C13*0.1</f>
        <v>0</v>
      </c>
      <c r="D17" s="6">
        <f>(SUMPRODUCT('02_Inputs'!$B$16:$B$19, '02_Inputs'!$C$16:$C$19)/12) + D13*0.1</f>
        <v>0</v>
      </c>
      <c r="E17" s="6">
        <f>(SUMPRODUCT('02_Inputs'!$B$16:$B$19, '02_Inputs'!$C$16:$C$19)/12) + E13*0.1</f>
        <v>0</v>
      </c>
      <c r="F17" s="6">
        <f>(SUMPRODUCT('02_Inputs'!$B$16:$B$19, '02_Inputs'!$C$16:$C$19)/12) + F13*0.1</f>
        <v>0</v>
      </c>
      <c r="G17" s="6">
        <f>(SUMPRODUCT('02_Inputs'!$B$16:$B$19, '02_Inputs'!$C$16:$C$19)/12) + G13*0.1</f>
        <v>0</v>
      </c>
      <c r="H17" s="6">
        <f>(SUMPRODUCT('02_Inputs'!$B$16:$B$19, '02_Inputs'!$C$16:$C$19)/12) + H13*0.1</f>
        <v>0</v>
      </c>
      <c r="I17" s="6">
        <f>(SUMPRODUCT('02_Inputs'!$B$16:$B$19, '02_Inputs'!$C$16:$C$19)/12) + I13*0.1</f>
        <v>0</v>
      </c>
      <c r="J17" s="6">
        <f>(SUMPRODUCT('02_Inputs'!$B$16:$B$19, '02_Inputs'!$C$16:$C$19)/12) + J13*0.1</f>
        <v>0</v>
      </c>
      <c r="K17" s="6">
        <f>(SUMPRODUCT('02_Inputs'!$B$16:$B$19, '02_Inputs'!$C$16:$C$19)/12) + K13*0.1</f>
        <v>0</v>
      </c>
      <c r="L17" s="6">
        <f>(SUMPRODUCT('02_Inputs'!$B$16:$B$19, '02_Inputs'!$C$16:$C$19)/12) + L13*0.1</f>
        <v>0</v>
      </c>
      <c r="M17" s="6">
        <f>(SUMPRODUCT('02_Inputs'!$B$16:$B$19, '02_Inputs'!$C$16:$C$19)/12) + M13*0.1</f>
        <v>0</v>
      </c>
      <c r="N17" s="6">
        <f>(SUMPRODUCT('02_Inputs'!$B$16:$B$19, '02_Inputs'!$C$16:$C$19)/12) + N13*0.1</f>
        <v>0</v>
      </c>
      <c r="O17" s="6">
        <f>(SUMPRODUCT('02_Inputs'!$B$16:$B$19, '02_Inputs'!$C$16:$C$19)/12) + O13*0.1</f>
        <v>0</v>
      </c>
      <c r="P17" s="6">
        <f>(SUMPRODUCT('02_Inputs'!$B$16:$B$19, '02_Inputs'!$C$16:$C$19)/12) + P13*0.1</f>
        <v>0</v>
      </c>
      <c r="Q17" s="6">
        <f>(SUMPRODUCT('02_Inputs'!$B$16:$B$19, '02_Inputs'!$C$16:$C$19)/12) + Q13*0.1</f>
        <v>0</v>
      </c>
      <c r="R17" s="6">
        <f>(SUMPRODUCT('02_Inputs'!$B$16:$B$19, '02_Inputs'!$C$16:$C$19)/12) + R13*0.1</f>
        <v>0</v>
      </c>
      <c r="S17" s="6">
        <f>(SUMPRODUCT('02_Inputs'!$B$16:$B$19, '02_Inputs'!$C$16:$C$19)/12) + S13*0.1</f>
        <v>0</v>
      </c>
      <c r="T17" s="6">
        <f>(SUMPRODUCT('02_Inputs'!$B$16:$B$19, '02_Inputs'!$C$16:$C$19)/12) + T13*0.1</f>
        <v>0</v>
      </c>
      <c r="U17" s="6">
        <f>(SUMPRODUCT('02_Inputs'!$B$16:$B$19, '02_Inputs'!$C$16:$C$19)/12) + U13*0.1</f>
        <v>0</v>
      </c>
      <c r="V17" s="6">
        <f>(SUMPRODUCT('02_Inputs'!$B$16:$B$19, '02_Inputs'!$C$16:$C$19)/12) + V13*0.1</f>
        <v>0</v>
      </c>
      <c r="W17" s="6">
        <f>(SUMPRODUCT('02_Inputs'!$B$16:$B$19, '02_Inputs'!$C$16:$C$19)/12) + W13*0.1</f>
        <v>0</v>
      </c>
      <c r="X17" s="6">
        <f>(SUMPRODUCT('02_Inputs'!$B$16:$B$19, '02_Inputs'!$C$16:$C$19)/12) + X13*0.1</f>
        <v>0</v>
      </c>
      <c r="Y17" s="6">
        <f>(SUMPRODUCT('02_Inputs'!$B$16:$B$19, '02_Inputs'!$C$16:$C$19)/12) + Y13*0.1</f>
        <v>0</v>
      </c>
      <c r="Z17" s="6">
        <f>(SUMPRODUCT('02_Inputs'!$B$16:$B$19, '02_Inputs'!$C$16:$C$19)/12) + Z13*0.1</f>
        <v>0</v>
      </c>
      <c r="AA17" s="6">
        <f>(SUMPRODUCT('02_Inputs'!$B$16:$B$19, '02_Inputs'!$C$16:$C$19)/12) + AA13*0.1</f>
        <v>0</v>
      </c>
      <c r="AB17" s="6">
        <f>(SUMPRODUCT('02_Inputs'!$B$16:$B$19, '02_Inputs'!$C$16:$C$19)/12) + AB13*0.1</f>
        <v>0</v>
      </c>
      <c r="AC17" s="6">
        <f>(SUMPRODUCT('02_Inputs'!$B$16:$B$19, '02_Inputs'!$C$16:$C$19)/12) + AC13*0.1</f>
        <v>0</v>
      </c>
      <c r="AD17" s="6">
        <f>(SUMPRODUCT('02_Inputs'!$B$16:$B$19, '02_Inputs'!$C$16:$C$19)/12) + AD13*0.1</f>
        <v>0</v>
      </c>
      <c r="AE17" s="6">
        <f>(SUMPRODUCT('02_Inputs'!$B$16:$B$19, '02_Inputs'!$C$16:$C$19)/12) + AE13*0.1</f>
        <v>0</v>
      </c>
      <c r="AF17" s="6">
        <f>(SUMPRODUCT('02_Inputs'!$B$16:$B$19, '02_Inputs'!$C$16:$C$19)/12) + AF13*0.1</f>
        <v>0</v>
      </c>
      <c r="AG17" s="6">
        <f>(SUMPRODUCT('02_Inputs'!$B$16:$B$19, '02_Inputs'!$C$16:$C$19)/12) + AG13*0.1</f>
        <v>0</v>
      </c>
      <c r="AH17" s="6">
        <f>(SUMPRODUCT('02_Inputs'!$B$16:$B$19, '02_Inputs'!$C$16:$C$19)/12) + AH13*0.1</f>
        <v>0</v>
      </c>
      <c r="AI17" s="6">
        <f>(SUMPRODUCT('02_Inputs'!$B$16:$B$19, '02_Inputs'!$C$16:$C$19)/12) + AI13*0.1</f>
        <v>0</v>
      </c>
      <c r="AJ17" s="6">
        <f>(SUMPRODUCT('02_Inputs'!$B$16:$B$19, '02_Inputs'!$C$16:$C$19)/12) + AJ13*0.1</f>
        <v>0</v>
      </c>
      <c r="AK17" s="6">
        <f>(SUMPRODUCT('02_Inputs'!$B$16:$B$19, '02_Inputs'!$C$16:$C$19)/12) + AK13*0.1</f>
        <v>0</v>
      </c>
      <c r="AL17" s="6">
        <f>(SUMPRODUCT('02_Inputs'!$B$16:$B$19, '02_Inputs'!$C$16:$C$19)/12) + AL13*0.1</f>
        <v>0</v>
      </c>
      <c r="AM17" s="6">
        <f>(SUMPRODUCT('02_Inputs'!$B$16:$B$19, '02_Inputs'!$C$16:$C$19)/12) + AM13*0.1</f>
        <v>0</v>
      </c>
      <c r="AN17" s="6">
        <f>(SUMPRODUCT('02_Inputs'!$B$16:$B$19, '02_Inputs'!$C$16:$C$19)/12) + AN13*0.1</f>
        <v>0</v>
      </c>
      <c r="AO17" s="6">
        <f>(SUMPRODUCT('02_Inputs'!$B$16:$B$19, '02_Inputs'!$C$16:$C$19)/12) + AO13*0.1</f>
        <v>0</v>
      </c>
      <c r="AP17" s="6">
        <f>(SUMPRODUCT('02_Inputs'!$B$16:$B$19, '02_Inputs'!$C$16:$C$19)/12) + AP13*0.1</f>
        <v>0</v>
      </c>
      <c r="AQ17" s="6">
        <f>(SUMPRODUCT('02_Inputs'!$B$16:$B$19, '02_Inputs'!$C$16:$C$19)/12) + AQ13*0.1</f>
        <v>0</v>
      </c>
      <c r="AR17" s="6">
        <f>(SUMPRODUCT('02_Inputs'!$B$16:$B$19, '02_Inputs'!$C$16:$C$19)/12) + AR13*0.1</f>
        <v>0</v>
      </c>
      <c r="AS17" s="6">
        <f>(SUMPRODUCT('02_Inputs'!$B$16:$B$19, '02_Inputs'!$C$16:$C$19)/12) + AS13*0.1</f>
        <v>0</v>
      </c>
      <c r="AT17" s="6">
        <f>(SUMPRODUCT('02_Inputs'!$B$16:$B$19, '02_Inputs'!$C$16:$C$19)/12) + AT13*0.1</f>
        <v>0</v>
      </c>
      <c r="AU17" s="6">
        <f>(SUMPRODUCT('02_Inputs'!$B$16:$B$19, '02_Inputs'!$C$16:$C$19)/12) + AU13*0.1</f>
        <v>0</v>
      </c>
      <c r="AV17" s="6">
        <f>(SUMPRODUCT('02_Inputs'!$B$16:$B$19, '02_Inputs'!$C$16:$C$19)/12) + AV13*0.1</f>
        <v>0</v>
      </c>
      <c r="AW17" s="6">
        <f>(SUMPRODUCT('02_Inputs'!$B$16:$B$19, '02_Inputs'!$C$16:$C$19)/12) + AW13*0.1</f>
        <v>0</v>
      </c>
      <c r="AX17" s="6">
        <f>(SUMPRODUCT('02_Inputs'!$B$16:$B$19, '02_Inputs'!$C$16:$C$19)/12) + AX13*0.1</f>
        <v>0</v>
      </c>
      <c r="AY17" s="6">
        <f>(SUMPRODUCT('02_Inputs'!$B$16:$B$19, '02_Inputs'!$C$16:$C$19)/12) + AY13*0.1</f>
        <v>0</v>
      </c>
      <c r="AZ17" s="6">
        <f>(SUMPRODUCT('02_Inputs'!$B$16:$B$19, '02_Inputs'!$C$16:$C$19)/12) + AZ13*0.1</f>
        <v>0</v>
      </c>
      <c r="BA17" s="6">
        <f>(SUMPRODUCT('02_Inputs'!$B$16:$B$19, '02_Inputs'!$C$16:$C$19)/12) + BA13*0.1</f>
        <v>0</v>
      </c>
      <c r="BB17" s="6">
        <f>(SUMPRODUCT('02_Inputs'!$B$16:$B$19, '02_Inputs'!$C$16:$C$19)/12) + BB13*0.1</f>
        <v>0</v>
      </c>
      <c r="BC17" s="6">
        <f>(SUMPRODUCT('02_Inputs'!$B$16:$B$19, '02_Inputs'!$C$16:$C$19)/12) + BC13*0.1</f>
        <v>0</v>
      </c>
      <c r="BD17" s="6">
        <f>(SUMPRODUCT('02_Inputs'!$B$16:$B$19, '02_Inputs'!$C$16:$C$19)/12) + BD13*0.1</f>
        <v>0</v>
      </c>
      <c r="BE17" s="6">
        <f>(SUMPRODUCT('02_Inputs'!$B$16:$B$19, '02_Inputs'!$C$16:$C$19)/12) + BE13*0.1</f>
        <v>0</v>
      </c>
      <c r="BF17" s="6">
        <f>(SUMPRODUCT('02_Inputs'!$B$16:$B$19, '02_Inputs'!$C$16:$C$19)/12) + BF13*0.1</f>
        <v>0</v>
      </c>
      <c r="BG17" s="6">
        <f>(SUMPRODUCT('02_Inputs'!$B$16:$B$19, '02_Inputs'!$C$16:$C$19)/12) + BG13*0.1</f>
        <v>0</v>
      </c>
      <c r="BH17" s="6">
        <f>(SUMPRODUCT('02_Inputs'!$B$16:$B$19, '02_Inputs'!$C$16:$C$19)/12) + BH13*0.1</f>
        <v>0</v>
      </c>
      <c r="BI17" s="6">
        <f>(SUMPRODUCT('02_Inputs'!$B$16:$B$19, '02_Inputs'!$C$16:$C$19)/12) + BI13*0.1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Q20"/>
  <sheetViews>
    <sheetView workbookViewId="0"/>
  </sheetViews>
  <sheetFormatPr defaultRowHeight="15"/>
  <cols>
    <col min="1" max="1" width="30.7109375" customWidth="1"/>
  </cols>
  <sheetData>
    <row r="3" spans="1:17"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29</v>
      </c>
      <c r="N3" s="2" t="s">
        <v>88</v>
      </c>
      <c r="O3" s="2" t="s">
        <v>89</v>
      </c>
      <c r="P3" s="2" t="s">
        <v>90</v>
      </c>
      <c r="Q3" s="2" t="s">
        <v>91</v>
      </c>
    </row>
    <row r="5" spans="1:17">
      <c r="A5" s="2" t="s">
        <v>92</v>
      </c>
    </row>
    <row r="6" spans="1:17">
      <c r="A6" s="4" t="s">
        <v>85</v>
      </c>
      <c r="B6" s="6">
        <f>1*'03_Calcs'!B13</f>
        <v>0</v>
      </c>
      <c r="C6" s="6">
        <f>1*'03_Calcs'!C13</f>
        <v>0</v>
      </c>
      <c r="D6" s="6">
        <f>1*'03_Calcs'!D13</f>
        <v>0</v>
      </c>
      <c r="E6" s="6">
        <f>1*'03_Calcs'!E13</f>
        <v>0</v>
      </c>
      <c r="F6" s="6">
        <f>1*'03_Calcs'!F13</f>
        <v>0</v>
      </c>
      <c r="G6" s="6">
        <f>1*'03_Calcs'!G13</f>
        <v>0</v>
      </c>
      <c r="H6" s="6">
        <f>1*'03_Calcs'!H13</f>
        <v>0</v>
      </c>
      <c r="I6" s="6">
        <f>1*'03_Calcs'!I13</f>
        <v>0</v>
      </c>
      <c r="J6" s="6">
        <f>1*'03_Calcs'!J13</f>
        <v>0</v>
      </c>
      <c r="K6" s="6">
        <f>1*'03_Calcs'!K13</f>
        <v>0</v>
      </c>
      <c r="L6" s="6">
        <f>1*'03_Calcs'!L13</f>
        <v>0</v>
      </c>
      <c r="M6" s="6">
        <f>1*'03_Calcs'!M13</f>
        <v>0</v>
      </c>
      <c r="N6" s="6">
        <f>1*SUM('03_Calcs'!N13:Y13)</f>
        <v>0</v>
      </c>
      <c r="O6" s="6">
        <f>1*SUM('03_Calcs'!Z13:AK13)</f>
        <v>0</v>
      </c>
      <c r="P6" s="6">
        <f>1*SUM('03_Calcs'!AL13:AW13)</f>
        <v>0</v>
      </c>
      <c r="Q6" s="6">
        <f>1*SUM('03_Calcs'!AX13:BI13)</f>
        <v>0</v>
      </c>
    </row>
    <row r="7" spans="1:17">
      <c r="A7" s="4" t="s">
        <v>93</v>
      </c>
      <c r="B7" s="6">
        <f>-1*'03_Calcs'!B15</f>
        <v>0</v>
      </c>
      <c r="C7" s="6">
        <f>-1*'03_Calcs'!C15</f>
        <v>0</v>
      </c>
      <c r="D7" s="6">
        <f>-1*'03_Calcs'!D15</f>
        <v>0</v>
      </c>
      <c r="E7" s="6">
        <f>-1*'03_Calcs'!E15</f>
        <v>0</v>
      </c>
      <c r="F7" s="6">
        <f>-1*'03_Calcs'!F15</f>
        <v>0</v>
      </c>
      <c r="G7" s="6">
        <f>-1*'03_Calcs'!G15</f>
        <v>0</v>
      </c>
      <c r="H7" s="6">
        <f>-1*'03_Calcs'!H15</f>
        <v>0</v>
      </c>
      <c r="I7" s="6">
        <f>-1*'03_Calcs'!I15</f>
        <v>0</v>
      </c>
      <c r="J7" s="6">
        <f>-1*'03_Calcs'!J15</f>
        <v>0</v>
      </c>
      <c r="K7" s="6">
        <f>-1*'03_Calcs'!K15</f>
        <v>0</v>
      </c>
      <c r="L7" s="6">
        <f>-1*'03_Calcs'!L15</f>
        <v>0</v>
      </c>
      <c r="M7" s="6">
        <f>-1*'03_Calcs'!M15</f>
        <v>0</v>
      </c>
      <c r="N7" s="6">
        <f>-1*SUM('03_Calcs'!N15:Y15)</f>
        <v>0</v>
      </c>
      <c r="O7" s="6">
        <f>-1*SUM('03_Calcs'!Z15:AK15)</f>
        <v>0</v>
      </c>
      <c r="P7" s="6">
        <f>-1*SUM('03_Calcs'!AL15:AW15)</f>
        <v>0</v>
      </c>
      <c r="Q7" s="6">
        <f>-1*SUM('03_Calcs'!AX15:BI15)</f>
        <v>0</v>
      </c>
    </row>
    <row r="8" spans="1:17">
      <c r="A8" s="4" t="s">
        <v>94</v>
      </c>
      <c r="B8" s="6">
        <f>-1*'03_Calcs'!B17</f>
        <v>0</v>
      </c>
      <c r="C8" s="6">
        <f>-1*'03_Calcs'!C17</f>
        <v>0</v>
      </c>
      <c r="D8" s="6">
        <f>-1*'03_Calcs'!D17</f>
        <v>0</v>
      </c>
      <c r="E8" s="6">
        <f>-1*'03_Calcs'!E17</f>
        <v>0</v>
      </c>
      <c r="F8" s="6">
        <f>-1*'03_Calcs'!F17</f>
        <v>0</v>
      </c>
      <c r="G8" s="6">
        <f>-1*'03_Calcs'!G17</f>
        <v>0</v>
      </c>
      <c r="H8" s="6">
        <f>-1*'03_Calcs'!H17</f>
        <v>0</v>
      </c>
      <c r="I8" s="6">
        <f>-1*'03_Calcs'!I17</f>
        <v>0</v>
      </c>
      <c r="J8" s="6">
        <f>-1*'03_Calcs'!J17</f>
        <v>0</v>
      </c>
      <c r="K8" s="6">
        <f>-1*'03_Calcs'!K17</f>
        <v>0</v>
      </c>
      <c r="L8" s="6">
        <f>-1*'03_Calcs'!L17</f>
        <v>0</v>
      </c>
      <c r="M8" s="6">
        <f>-1*'03_Calcs'!M17</f>
        <v>0</v>
      </c>
      <c r="N8" s="6">
        <f>-1*SUM('03_Calcs'!N17:Y17)</f>
        <v>0</v>
      </c>
      <c r="O8" s="6">
        <f>-1*SUM('03_Calcs'!Z17:AK17)</f>
        <v>0</v>
      </c>
      <c r="P8" s="6">
        <f>-1*SUM('03_Calcs'!AL17:AW17)</f>
        <v>0</v>
      </c>
      <c r="Q8" s="6">
        <f>-1*SUM('03_Calcs'!AX17:BI17)</f>
        <v>0</v>
      </c>
    </row>
    <row r="9" spans="1:17">
      <c r="A9" s="2" t="s">
        <v>95</v>
      </c>
      <c r="B9" s="6">
        <f>SUM(B6:B8)</f>
        <v>0</v>
      </c>
      <c r="C9" s="6">
        <f>SUM(C6:C8)</f>
        <v>0</v>
      </c>
      <c r="D9" s="6">
        <f>SUM(D6:D8)</f>
        <v>0</v>
      </c>
      <c r="E9" s="6">
        <f>SUM(E6:E8)</f>
        <v>0</v>
      </c>
      <c r="F9" s="6">
        <f>SUM(F6:F8)</f>
        <v>0</v>
      </c>
      <c r="G9" s="6">
        <f>SUM(G6:G8)</f>
        <v>0</v>
      </c>
      <c r="H9" s="6">
        <f>SUM(H6:H8)</f>
        <v>0</v>
      </c>
      <c r="I9" s="6">
        <f>SUM(I6:I8)</f>
        <v>0</v>
      </c>
      <c r="J9" s="6">
        <f>SUM(J6:J8)</f>
        <v>0</v>
      </c>
      <c r="K9" s="6">
        <f>SUM(K6:K8)</f>
        <v>0</v>
      </c>
      <c r="L9" s="6">
        <f>SUM(L6:L8)</f>
        <v>0</v>
      </c>
      <c r="M9" s="6">
        <f>SUM(M6:M8)</f>
        <v>0</v>
      </c>
      <c r="N9" s="6">
        <f>SUM(N6:N8)</f>
        <v>0</v>
      </c>
      <c r="O9" s="6">
        <f>SUM(O6:O8)</f>
        <v>0</v>
      </c>
      <c r="P9" s="6">
        <f>SUM(P6:P8)</f>
        <v>0</v>
      </c>
      <c r="Q9" s="6">
        <f>SUM(Q6:Q8)</f>
        <v>0</v>
      </c>
    </row>
    <row r="12" spans="1:17">
      <c r="A12" s="2" t="s">
        <v>96</v>
      </c>
    </row>
    <row r="13" spans="1:17">
      <c r="A13" s="4" t="s">
        <v>97</v>
      </c>
      <c r="B13" s="6">
        <f>B20</f>
        <v>0</v>
      </c>
      <c r="C13" s="6">
        <f>C20</f>
        <v>0</v>
      </c>
      <c r="D13" s="6">
        <f>D20</f>
        <v>0</v>
      </c>
      <c r="E13" s="6">
        <f>E20</f>
        <v>0</v>
      </c>
      <c r="F13" s="6">
        <f>F20</f>
        <v>0</v>
      </c>
      <c r="G13" s="6">
        <f>G20</f>
        <v>0</v>
      </c>
      <c r="H13" s="6">
        <f>H20</f>
        <v>0</v>
      </c>
      <c r="I13" s="6">
        <f>I20</f>
        <v>0</v>
      </c>
      <c r="J13" s="6">
        <f>J20</f>
        <v>0</v>
      </c>
      <c r="K13" s="6">
        <f>K20</f>
        <v>0</v>
      </c>
      <c r="L13" s="6">
        <f>L20</f>
        <v>0</v>
      </c>
      <c r="M13" s="6">
        <f>M20</f>
        <v>0</v>
      </c>
      <c r="N13" s="6">
        <f>N20</f>
        <v>0</v>
      </c>
      <c r="O13" s="6">
        <f>O20</f>
        <v>0</v>
      </c>
      <c r="P13" s="6">
        <f>P20</f>
        <v>0</v>
      </c>
      <c r="Q13" s="6">
        <f>Q20</f>
        <v>0</v>
      </c>
    </row>
    <row r="17" spans="1:17">
      <c r="A17" s="2" t="s">
        <v>98</v>
      </c>
    </row>
    <row r="18" spans="1:17">
      <c r="A18" s="4" t="s">
        <v>99</v>
      </c>
      <c r="B18" s="6">
        <f>B9*0.7</f>
        <v>0</v>
      </c>
      <c r="C18" s="6">
        <f>C9*0.7</f>
        <v>0</v>
      </c>
      <c r="D18" s="6">
        <f>D9*0.7</f>
        <v>0</v>
      </c>
      <c r="E18" s="6">
        <f>E9*0.7</f>
        <v>0</v>
      </c>
      <c r="F18" s="6">
        <f>F9*0.7</f>
        <v>0</v>
      </c>
      <c r="G18" s="6">
        <f>G9*0.7</f>
        <v>0</v>
      </c>
      <c r="H18" s="6">
        <f>H9*0.7</f>
        <v>0</v>
      </c>
      <c r="I18" s="6">
        <f>I9*0.7</f>
        <v>0</v>
      </c>
      <c r="J18" s="6">
        <f>J9*0.7</f>
        <v>0</v>
      </c>
      <c r="K18" s="6">
        <f>K9*0.7</f>
        <v>0</v>
      </c>
      <c r="L18" s="6">
        <f>L9*0.7</f>
        <v>0</v>
      </c>
      <c r="M18" s="6">
        <f>M9*0.7</f>
        <v>0</v>
      </c>
      <c r="N18" s="6">
        <f>N9*0.7</f>
        <v>0</v>
      </c>
      <c r="O18" s="6">
        <f>O9*0.7</f>
        <v>0</v>
      </c>
      <c r="P18" s="6">
        <f>P9*0.7</f>
        <v>0</v>
      </c>
      <c r="Q18" s="6">
        <f>Q9*0.7</f>
        <v>0</v>
      </c>
    </row>
    <row r="19" spans="1:17">
      <c r="A19" s="4" t="s">
        <v>100</v>
      </c>
      <c r="B19" s="6">
        <v>500000</v>
      </c>
      <c r="C19" s="6">
        <f>B20</f>
        <v>0</v>
      </c>
      <c r="D19" s="6">
        <f>C20</f>
        <v>0</v>
      </c>
      <c r="E19" s="6">
        <f>D20</f>
        <v>0</v>
      </c>
      <c r="F19" s="6">
        <f>E20</f>
        <v>0</v>
      </c>
      <c r="G19" s="6">
        <f>F20</f>
        <v>0</v>
      </c>
      <c r="H19" s="6">
        <f>G20</f>
        <v>0</v>
      </c>
      <c r="I19" s="6">
        <f>H20</f>
        <v>0</v>
      </c>
      <c r="J19" s="6">
        <f>I20</f>
        <v>0</v>
      </c>
      <c r="K19" s="6">
        <f>J20</f>
        <v>0</v>
      </c>
      <c r="L19" s="6">
        <f>K20</f>
        <v>0</v>
      </c>
      <c r="M19" s="6">
        <f>L20</f>
        <v>0</v>
      </c>
      <c r="N19" s="6">
        <f>M20</f>
        <v>0</v>
      </c>
      <c r="O19" s="6">
        <f>N20</f>
        <v>0</v>
      </c>
      <c r="P19" s="6">
        <f>O20</f>
        <v>0</v>
      </c>
      <c r="Q19" s="6">
        <f>P20</f>
        <v>0</v>
      </c>
    </row>
    <row r="20" spans="1:17">
      <c r="A20" s="8" t="s">
        <v>101</v>
      </c>
      <c r="B20" s="6">
        <f>SUM(B18:B19)</f>
        <v>0</v>
      </c>
      <c r="C20" s="6">
        <f>SUM(C18:C19)</f>
        <v>0</v>
      </c>
      <c r="D20" s="6">
        <f>SUM(D18:D19)</f>
        <v>0</v>
      </c>
      <c r="E20" s="6">
        <f>SUM(E18:E19)</f>
        <v>0</v>
      </c>
      <c r="F20" s="6">
        <f>SUM(F18:F19)</f>
        <v>0</v>
      </c>
      <c r="G20" s="6">
        <f>SUM(G18:G19)</f>
        <v>0</v>
      </c>
      <c r="H20" s="6">
        <f>SUM(H18:H19)</f>
        <v>0</v>
      </c>
      <c r="I20" s="6">
        <f>SUM(I18:I19)</f>
        <v>0</v>
      </c>
      <c r="J20" s="6">
        <f>SUM(J18:J19)</f>
        <v>0</v>
      </c>
      <c r="K20" s="6">
        <f>SUM(K18:K19)</f>
        <v>0</v>
      </c>
      <c r="L20" s="6">
        <f>SUM(L18:L19)</f>
        <v>0</v>
      </c>
      <c r="M20" s="6">
        <f>SUM(M18:M19)</f>
        <v>0</v>
      </c>
      <c r="N20" s="6">
        <f>SUM(N18:N19)</f>
        <v>0</v>
      </c>
      <c r="O20" s="6">
        <f>SUM(O18:O19)</f>
        <v>0</v>
      </c>
      <c r="P20" s="6">
        <f>SUM(P18:P19)</f>
        <v>0</v>
      </c>
      <c r="Q20" s="6">
        <f>SUM(Q18:Q19)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40.7109375" customWidth="1"/>
  </cols>
  <sheetData>
    <row r="1" spans="1:2">
      <c r="A1" s="1" t="s">
        <v>102</v>
      </c>
    </row>
    <row r="4" spans="1:2">
      <c r="A4" s="2" t="s">
        <v>103</v>
      </c>
      <c r="B4" s="8">
        <f>SUM('04_Outputs'!B9:M9)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01_Control</vt:lpstr>
      <vt:lpstr>02_Inputs</vt:lpstr>
      <vt:lpstr>03_Calcs</vt:lpstr>
      <vt:lpstr>04_Outputs</vt:lpstr>
      <vt:lpstr>05_Dashboard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2026-02-19T05:01:43Z</dcterms:created>
  <dcterms:modified xsi:type="dcterms:W3CDTF">2026-02-19T05:01:43Z</dcterms:modified>
</cp:coreProperties>
</file>