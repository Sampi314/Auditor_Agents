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KrisJaganah\Desktop\Toronto meetup group\"/>
    </mc:Choice>
  </mc:AlternateContent>
  <xr:revisionPtr revIDLastSave="0" documentId="8_{5E58F200-1260-48CE-87C3-D8B52459716A}" xr6:coauthVersionLast="47" xr6:coauthVersionMax="47" xr10:uidLastSave="{00000000-0000-0000-0000-000000000000}"/>
  <bookViews>
    <workbookView xWindow="28680" yWindow="-120" windowWidth="29040" windowHeight="15720" tabRatio="817" firstSheet="17" activeTab="17" xr2:uid="{00000000-000D-0000-FFFF-FFFF00000000}"/>
  </bookViews>
  <sheets>
    <sheet name="Cover" sheetId="1" r:id="rId1"/>
    <sheet name="Control" sheetId="2" r:id="rId2"/>
    <sheet name="Timeline" sheetId="3" r:id="rId3"/>
    <sheet name="SKU_Matrix" sheetId="4" r:id="rId4"/>
    <sheet name="Assum_Volume" sheetId="5" r:id="rId5"/>
    <sheet name="Assum_Pricing" sheetId="6" r:id="rId6"/>
    <sheet name="Assum_Costs" sheetId="7" r:id="rId7"/>
    <sheet name="Assum_Capex" sheetId="8" r:id="rId8"/>
    <sheet name="Assum_WC" sheetId="9" r:id="rId9"/>
    <sheet name="Assum_Finance" sheetId="10" r:id="rId10"/>
    <sheet name="Calc_Volume" sheetId="11" r:id="rId11"/>
    <sheet name="Calc_Revenue" sheetId="12" r:id="rId12"/>
    <sheet name="Calc_COGS" sheetId="13" r:id="rId13"/>
    <sheet name="Calc_Opex" sheetId="14" r:id="rId14"/>
    <sheet name="Calc_Capex" sheetId="15" r:id="rId15"/>
    <sheet name="Calc_WC" sheetId="16" r:id="rId16"/>
    <sheet name="Calc_Debt" sheetId="17" r:id="rId17"/>
    <sheet name="IS" sheetId="18" r:id="rId18"/>
    <sheet name="CF" sheetId="19" r:id="rId19"/>
    <sheet name="BS" sheetId="20" r:id="rId20"/>
    <sheet name="KPIs" sheetId="21" r:id="rId21"/>
    <sheet name="Checks" sheetId="22" r:id="rId22"/>
    <sheet name="Annual_Summary" sheetId="23" r:id="rId2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Q4" i="21" l="1"/>
  <c r="DP4" i="21"/>
  <c r="DO4" i="21"/>
  <c r="DN4" i="21"/>
  <c r="DM4" i="21"/>
  <c r="DL4" i="21"/>
  <c r="DK4" i="21"/>
  <c r="DJ4" i="21"/>
  <c r="DI4" i="21"/>
  <c r="DH4" i="21"/>
  <c r="DG4" i="21"/>
  <c r="DF4" i="21"/>
  <c r="DE4" i="21"/>
  <c r="DD4" i="21"/>
  <c r="DC4" i="21"/>
  <c r="DB4" i="21"/>
  <c r="DA4" i="21"/>
  <c r="CZ4" i="21"/>
  <c r="CY4" i="21"/>
  <c r="CX4" i="21"/>
  <c r="CW4" i="21"/>
  <c r="CV4" i="21"/>
  <c r="CU4" i="21"/>
  <c r="CT4" i="21"/>
  <c r="CS4" i="21"/>
  <c r="CR4" i="21"/>
  <c r="CQ4" i="21"/>
  <c r="CP4" i="21"/>
  <c r="CO4" i="21"/>
  <c r="CN4" i="21"/>
  <c r="CM4" i="21"/>
  <c r="CL4" i="21"/>
  <c r="CK4" i="21"/>
  <c r="CJ4" i="21"/>
  <c r="CI4" i="21"/>
  <c r="CH4" i="21"/>
  <c r="CG4" i="21"/>
  <c r="CF4" i="21"/>
  <c r="CE4" i="21"/>
  <c r="CD4" i="21"/>
  <c r="CC4" i="21"/>
  <c r="CB4" i="21"/>
  <c r="CA4" i="21"/>
  <c r="BZ4" i="21"/>
  <c r="BY4" i="21"/>
  <c r="BX4" i="21"/>
  <c r="BW4" i="21"/>
  <c r="BV4" i="21"/>
  <c r="BU4" i="21"/>
  <c r="BT4" i="21"/>
  <c r="BS4" i="21"/>
  <c r="BR4" i="21"/>
  <c r="BQ4" i="21"/>
  <c r="BP4" i="21"/>
  <c r="BO4" i="21"/>
  <c r="BN4" i="21"/>
  <c r="BM4" i="21"/>
  <c r="BL4" i="21"/>
  <c r="BK4" i="21"/>
  <c r="BJ4" i="21"/>
  <c r="BI4" i="21"/>
  <c r="BH4" i="21"/>
  <c r="BG4" i="21"/>
  <c r="BF4" i="21"/>
  <c r="BE4" i="21"/>
  <c r="BD4" i="21"/>
  <c r="BC4" i="21"/>
  <c r="BB4" i="21"/>
  <c r="BA4" i="21"/>
  <c r="AZ4" i="21"/>
  <c r="AY4" i="21"/>
  <c r="AX4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DQ3" i="21"/>
  <c r="DP3" i="21"/>
  <c r="DO3" i="21"/>
  <c r="DN3" i="21"/>
  <c r="DM3" i="21"/>
  <c r="DL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X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J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DQ34" i="20"/>
  <c r="DP34" i="20"/>
  <c r="DO34" i="20"/>
  <c r="DN34" i="20"/>
  <c r="DM34" i="20"/>
  <c r="DL34" i="20"/>
  <c r="DK34" i="20"/>
  <c r="DJ34" i="20"/>
  <c r="DI34" i="20"/>
  <c r="DH34" i="20"/>
  <c r="DG34" i="20"/>
  <c r="DF34" i="20"/>
  <c r="DE34" i="20"/>
  <c r="DD34" i="20"/>
  <c r="DC34" i="20"/>
  <c r="DB34" i="20"/>
  <c r="DA34" i="20"/>
  <c r="CZ34" i="20"/>
  <c r="CY34" i="20"/>
  <c r="CX34" i="20"/>
  <c r="CW34" i="20"/>
  <c r="CV34" i="20"/>
  <c r="CU34" i="20"/>
  <c r="CT34" i="20"/>
  <c r="CS34" i="20"/>
  <c r="CR34" i="20"/>
  <c r="CQ34" i="20"/>
  <c r="CP34" i="20"/>
  <c r="CO34" i="20"/>
  <c r="CN34" i="20"/>
  <c r="CM34" i="20"/>
  <c r="CL34" i="20"/>
  <c r="CK34" i="20"/>
  <c r="CJ34" i="20"/>
  <c r="CI34" i="20"/>
  <c r="CH34" i="20"/>
  <c r="CG34" i="20"/>
  <c r="CF34" i="20"/>
  <c r="CE34" i="20"/>
  <c r="CD34" i="20"/>
  <c r="CC34" i="20"/>
  <c r="CB34" i="20"/>
  <c r="CA34" i="20"/>
  <c r="BZ34" i="20"/>
  <c r="BY34" i="20"/>
  <c r="BX34" i="20"/>
  <c r="BW34" i="20"/>
  <c r="BV34" i="20"/>
  <c r="BU34" i="20"/>
  <c r="BT34" i="20"/>
  <c r="BS34" i="20"/>
  <c r="BR34" i="20"/>
  <c r="BQ34" i="20"/>
  <c r="BP34" i="20"/>
  <c r="BO34" i="20"/>
  <c r="BN34" i="20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DQ4" i="20"/>
  <c r="DP4" i="20"/>
  <c r="DO4" i="20"/>
  <c r="DN4" i="20"/>
  <c r="DM4" i="20"/>
  <c r="DL4" i="20"/>
  <c r="DK4" i="20"/>
  <c r="DJ4" i="20"/>
  <c r="DI4" i="20"/>
  <c r="DH4" i="20"/>
  <c r="DG4" i="20"/>
  <c r="DF4" i="20"/>
  <c r="DE4" i="20"/>
  <c r="DD4" i="20"/>
  <c r="DC4" i="20"/>
  <c r="DB4" i="20"/>
  <c r="DA4" i="20"/>
  <c r="CZ4" i="20"/>
  <c r="CY4" i="20"/>
  <c r="CX4" i="20"/>
  <c r="CW4" i="20"/>
  <c r="CV4" i="20"/>
  <c r="CU4" i="20"/>
  <c r="CT4" i="20"/>
  <c r="CS4" i="20"/>
  <c r="CR4" i="20"/>
  <c r="CQ4" i="20"/>
  <c r="CP4" i="20"/>
  <c r="CO4" i="20"/>
  <c r="CN4" i="20"/>
  <c r="CM4" i="20"/>
  <c r="CL4" i="20"/>
  <c r="CK4" i="20"/>
  <c r="CJ4" i="20"/>
  <c r="CI4" i="20"/>
  <c r="CH4" i="20"/>
  <c r="CG4" i="20"/>
  <c r="CF4" i="20"/>
  <c r="CE4" i="20"/>
  <c r="CD4" i="20"/>
  <c r="CC4" i="20"/>
  <c r="CB4" i="20"/>
  <c r="CA4" i="20"/>
  <c r="BZ4" i="20"/>
  <c r="BY4" i="20"/>
  <c r="BX4" i="20"/>
  <c r="BW4" i="20"/>
  <c r="BV4" i="20"/>
  <c r="BU4" i="20"/>
  <c r="BT4" i="20"/>
  <c r="BS4" i="20"/>
  <c r="BR4" i="20"/>
  <c r="BQ4" i="20"/>
  <c r="BP4" i="20"/>
  <c r="BO4" i="20"/>
  <c r="BN4" i="20"/>
  <c r="BM4" i="20"/>
  <c r="BL4" i="20"/>
  <c r="BK4" i="20"/>
  <c r="BJ4" i="20"/>
  <c r="BI4" i="20"/>
  <c r="BH4" i="20"/>
  <c r="BG4" i="20"/>
  <c r="BF4" i="20"/>
  <c r="BE4" i="20"/>
  <c r="BD4" i="20"/>
  <c r="BC4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DQ3" i="20"/>
  <c r="DP3" i="20"/>
  <c r="DO3" i="20"/>
  <c r="DN3" i="20"/>
  <c r="DM3" i="20"/>
  <c r="DL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X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J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V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H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B24" i="19"/>
  <c r="DQ18" i="19"/>
  <c r="DP18" i="19"/>
  <c r="DO18" i="19"/>
  <c r="DN18" i="19"/>
  <c r="DM18" i="19"/>
  <c r="DL18" i="19"/>
  <c r="DK18" i="19"/>
  <c r="DJ18" i="19"/>
  <c r="DI18" i="19"/>
  <c r="DH18" i="19"/>
  <c r="DG18" i="19"/>
  <c r="DF18" i="19"/>
  <c r="DE18" i="19"/>
  <c r="DD18" i="19"/>
  <c r="DC18" i="19"/>
  <c r="DB18" i="19"/>
  <c r="DA18" i="19"/>
  <c r="CZ18" i="19"/>
  <c r="CY18" i="19"/>
  <c r="CX18" i="19"/>
  <c r="CW18" i="19"/>
  <c r="CV18" i="19"/>
  <c r="CU18" i="19"/>
  <c r="CT18" i="19"/>
  <c r="CS18" i="19"/>
  <c r="CR18" i="19"/>
  <c r="CQ18" i="19"/>
  <c r="CP18" i="19"/>
  <c r="CO18" i="19"/>
  <c r="CN18" i="19"/>
  <c r="CM18" i="19"/>
  <c r="CL18" i="19"/>
  <c r="CK18" i="19"/>
  <c r="CJ18" i="19"/>
  <c r="CI18" i="19"/>
  <c r="CH18" i="19"/>
  <c r="CG18" i="19"/>
  <c r="CF18" i="19"/>
  <c r="CE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DQ4" i="19"/>
  <c r="DP4" i="19"/>
  <c r="DO4" i="19"/>
  <c r="DN4" i="19"/>
  <c r="DM4" i="19"/>
  <c r="DL4" i="19"/>
  <c r="DK4" i="19"/>
  <c r="DJ4" i="19"/>
  <c r="DI4" i="19"/>
  <c r="DH4" i="19"/>
  <c r="DG4" i="19"/>
  <c r="DF4" i="19"/>
  <c r="DE4" i="19"/>
  <c r="DD4" i="19"/>
  <c r="DC4" i="19"/>
  <c r="DB4" i="19"/>
  <c r="DA4" i="19"/>
  <c r="CZ4" i="19"/>
  <c r="CY4" i="19"/>
  <c r="CX4" i="19"/>
  <c r="CW4" i="19"/>
  <c r="CV4" i="19"/>
  <c r="CU4" i="19"/>
  <c r="CT4" i="19"/>
  <c r="CS4" i="19"/>
  <c r="CR4" i="19"/>
  <c r="CQ4" i="19"/>
  <c r="CP4" i="19"/>
  <c r="CO4" i="19"/>
  <c r="CN4" i="19"/>
  <c r="CM4" i="19"/>
  <c r="CL4" i="19"/>
  <c r="CK4" i="19"/>
  <c r="CJ4" i="19"/>
  <c r="CI4" i="19"/>
  <c r="CH4" i="19"/>
  <c r="CG4" i="19"/>
  <c r="CF4" i="19"/>
  <c r="CE4" i="19"/>
  <c r="CD4" i="19"/>
  <c r="CC4" i="19"/>
  <c r="CB4" i="19"/>
  <c r="CA4" i="19"/>
  <c r="BZ4" i="19"/>
  <c r="BY4" i="19"/>
  <c r="BX4" i="19"/>
  <c r="BW4" i="19"/>
  <c r="BV4" i="19"/>
  <c r="BU4" i="19"/>
  <c r="BT4" i="19"/>
  <c r="BS4" i="19"/>
  <c r="BR4" i="19"/>
  <c r="BQ4" i="19"/>
  <c r="BP4" i="19"/>
  <c r="BO4" i="19"/>
  <c r="BN4" i="19"/>
  <c r="BM4" i="19"/>
  <c r="BL4" i="19"/>
  <c r="BK4" i="19"/>
  <c r="BJ4" i="19"/>
  <c r="BI4" i="19"/>
  <c r="BH4" i="19"/>
  <c r="BG4" i="19"/>
  <c r="BF4" i="19"/>
  <c r="BE4" i="19"/>
  <c r="BD4" i="19"/>
  <c r="BC4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DQ3" i="19"/>
  <c r="DP3" i="19"/>
  <c r="DO3" i="19"/>
  <c r="DN3" i="19"/>
  <c r="DM3" i="19"/>
  <c r="DL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X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J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V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H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/>
  <c r="DQ4" i="18"/>
  <c r="DP4" i="18"/>
  <c r="DO4" i="18"/>
  <c r="DN4" i="18"/>
  <c r="DM4" i="18"/>
  <c r="DL4" i="18"/>
  <c r="DK4" i="18"/>
  <c r="DJ4" i="18"/>
  <c r="DI4" i="18"/>
  <c r="DH4" i="18"/>
  <c r="DG4" i="18"/>
  <c r="DF4" i="18"/>
  <c r="DE4" i="18"/>
  <c r="DD4" i="18"/>
  <c r="DC4" i="18"/>
  <c r="DB4" i="18"/>
  <c r="DA4" i="18"/>
  <c r="CZ4" i="18"/>
  <c r="CY4" i="18"/>
  <c r="CX4" i="18"/>
  <c r="CW4" i="18"/>
  <c r="CV4" i="18"/>
  <c r="CU4" i="18"/>
  <c r="CT4" i="18"/>
  <c r="CS4" i="18"/>
  <c r="CR4" i="18"/>
  <c r="CQ4" i="18"/>
  <c r="CP4" i="18"/>
  <c r="CO4" i="18"/>
  <c r="CN4" i="18"/>
  <c r="CM4" i="18"/>
  <c r="CL4" i="18"/>
  <c r="CK4" i="18"/>
  <c r="CJ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DQ3" i="18"/>
  <c r="DP3" i="18"/>
  <c r="DO3" i="18"/>
  <c r="DN3" i="18"/>
  <c r="DM3" i="18"/>
  <c r="DL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X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13" i="17"/>
  <c r="B7" i="17"/>
  <c r="DQ4" i="17"/>
  <c r="DP4" i="17"/>
  <c r="DO4" i="17"/>
  <c r="DN4" i="17"/>
  <c r="DM4" i="17"/>
  <c r="DL4" i="17"/>
  <c r="DK4" i="17"/>
  <c r="DJ4" i="17"/>
  <c r="DI4" i="17"/>
  <c r="DH4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CU4" i="17"/>
  <c r="CT4" i="17"/>
  <c r="CS4" i="17"/>
  <c r="CR4" i="17"/>
  <c r="CQ4" i="17"/>
  <c r="CP4" i="17"/>
  <c r="CO4" i="17"/>
  <c r="CN4" i="17"/>
  <c r="CM4" i="17"/>
  <c r="CL4" i="17"/>
  <c r="CK4" i="17"/>
  <c r="CJ4" i="17"/>
  <c r="CI4" i="17"/>
  <c r="CH4" i="17"/>
  <c r="CG4" i="17"/>
  <c r="CF4" i="17"/>
  <c r="CE4" i="17"/>
  <c r="CD4" i="17"/>
  <c r="CC4" i="17"/>
  <c r="CB4" i="17"/>
  <c r="CA4" i="17"/>
  <c r="BZ4" i="17"/>
  <c r="BY4" i="17"/>
  <c r="BX4" i="17"/>
  <c r="BW4" i="17"/>
  <c r="BV4" i="17"/>
  <c r="BU4" i="17"/>
  <c r="BT4" i="17"/>
  <c r="BS4" i="17"/>
  <c r="BR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DQ3" i="17"/>
  <c r="DP3" i="17"/>
  <c r="DO3" i="17"/>
  <c r="DN3" i="17"/>
  <c r="DM3" i="17"/>
  <c r="DL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X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J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V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CH4" i="16"/>
  <c r="CG4" i="16"/>
  <c r="CF4" i="16"/>
  <c r="CE4" i="16"/>
  <c r="CD4" i="16"/>
  <c r="CC4" i="16"/>
  <c r="CB4" i="16"/>
  <c r="CA4" i="16"/>
  <c r="BZ4" i="16"/>
  <c r="BY4" i="16"/>
  <c r="BX4" i="16"/>
  <c r="BW4" i="16"/>
  <c r="BV4" i="16"/>
  <c r="BU4" i="16"/>
  <c r="BT4" i="16"/>
  <c r="BS4" i="16"/>
  <c r="BR4" i="16"/>
  <c r="BQ4" i="16"/>
  <c r="BP4" i="16"/>
  <c r="BO4" i="16"/>
  <c r="BN4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DQ3" i="16"/>
  <c r="DP3" i="16"/>
  <c r="DO3" i="16"/>
  <c r="DN3" i="16"/>
  <c r="DM3" i="16"/>
  <c r="DL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X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J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V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DQ23" i="15"/>
  <c r="DP23" i="15"/>
  <c r="DO23" i="15"/>
  <c r="DN23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CE15" i="15"/>
  <c r="CD15" i="15"/>
  <c r="BN15" i="15"/>
  <c r="BM15" i="15"/>
  <c r="BJ15" i="15"/>
  <c r="BI15" i="15"/>
  <c r="BH15" i="15"/>
  <c r="BG15" i="15"/>
  <c r="DQ4" i="15"/>
  <c r="DP4" i="15"/>
  <c r="DO4" i="15"/>
  <c r="DN4" i="15"/>
  <c r="DM4" i="15"/>
  <c r="DL4" i="15"/>
  <c r="DK4" i="15"/>
  <c r="DJ4" i="15"/>
  <c r="DI4" i="15"/>
  <c r="DH4" i="15"/>
  <c r="DG4" i="15"/>
  <c r="DF4" i="15"/>
  <c r="DE4" i="15"/>
  <c r="DD4" i="15"/>
  <c r="DC4" i="15"/>
  <c r="DB4" i="15"/>
  <c r="DA4" i="15"/>
  <c r="CZ4" i="15"/>
  <c r="CY4" i="15"/>
  <c r="CX4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DQ3" i="15"/>
  <c r="DP3" i="15"/>
  <c r="DO3" i="15"/>
  <c r="DN3" i="15"/>
  <c r="DM3" i="15"/>
  <c r="DL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X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DQ3" i="14"/>
  <c r="DP3" i="14"/>
  <c r="DO3" i="14"/>
  <c r="DN3" i="14"/>
  <c r="DM3" i="14"/>
  <c r="DL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X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J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D5" i="13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C5" i="13"/>
  <c r="DQ4" i="13"/>
  <c r="DP4" i="13"/>
  <c r="DO4" i="13"/>
  <c r="DN4" i="13"/>
  <c r="DM4" i="13"/>
  <c r="DL4" i="13"/>
  <c r="DK4" i="13"/>
  <c r="DJ4" i="13"/>
  <c r="DI4" i="13"/>
  <c r="DH4" i="13"/>
  <c r="DG4" i="13"/>
  <c r="DF4" i="13"/>
  <c r="DE4" i="13"/>
  <c r="DD4" i="13"/>
  <c r="DC4" i="13"/>
  <c r="DB4" i="13"/>
  <c r="DA4" i="13"/>
  <c r="CZ4" i="13"/>
  <c r="CY4" i="13"/>
  <c r="CX4" i="13"/>
  <c r="CW4" i="13"/>
  <c r="CV4" i="13"/>
  <c r="CU4" i="13"/>
  <c r="CT4" i="13"/>
  <c r="CS4" i="13"/>
  <c r="CR4" i="13"/>
  <c r="CQ4" i="13"/>
  <c r="CP4" i="13"/>
  <c r="CO4" i="13"/>
  <c r="CN4" i="13"/>
  <c r="CM4" i="13"/>
  <c r="CL4" i="13"/>
  <c r="CK4" i="13"/>
  <c r="CJ4" i="13"/>
  <c r="CI4" i="13"/>
  <c r="CH4" i="13"/>
  <c r="CG4" i="13"/>
  <c r="CF4" i="13"/>
  <c r="CE4" i="13"/>
  <c r="CD4" i="13"/>
  <c r="CC4" i="13"/>
  <c r="CB4" i="13"/>
  <c r="CA4" i="13"/>
  <c r="BZ4" i="13"/>
  <c r="BY4" i="13"/>
  <c r="BX4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DQ3" i="13"/>
  <c r="DP3" i="13"/>
  <c r="DO3" i="13"/>
  <c r="DN3" i="13"/>
  <c r="DM3" i="13"/>
  <c r="D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CY3" i="13"/>
  <c r="C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CK3" i="13"/>
  <c r="C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BW3" i="13"/>
  <c r="B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U5" i="12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DQ4" i="12"/>
  <c r="DP4" i="12"/>
  <c r="DO4" i="12"/>
  <c r="DN4" i="12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V4" i="12"/>
  <c r="CU4" i="12"/>
  <c r="CT4" i="12"/>
  <c r="CS4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DQ3" i="12"/>
  <c r="DP3" i="12"/>
  <c r="DO3" i="12"/>
  <c r="DN3" i="12"/>
  <c r="DM3" i="12"/>
  <c r="DL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X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J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V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J12" i="11"/>
  <c r="I12" i="11"/>
  <c r="I9" i="12" s="1"/>
  <c r="H12" i="11"/>
  <c r="G12" i="11"/>
  <c r="G9" i="12" s="1"/>
  <c r="F12" i="11"/>
  <c r="E12" i="11"/>
  <c r="D12" i="11"/>
  <c r="D9" i="11"/>
  <c r="E9" i="11" s="1"/>
  <c r="F9" i="11" s="1"/>
  <c r="G9" i="11" s="1"/>
  <c r="H9" i="11" s="1"/>
  <c r="I9" i="11" s="1"/>
  <c r="J9" i="11" s="1"/>
  <c r="K9" i="11" s="1"/>
  <c r="C9" i="11"/>
  <c r="DQ7" i="11"/>
  <c r="DP7" i="11"/>
  <c r="DO7" i="11"/>
  <c r="DN7" i="11"/>
  <c r="DM7" i="11"/>
  <c r="DL7" i="11"/>
  <c r="DK7" i="11"/>
  <c r="DJ7" i="11"/>
  <c r="DI7" i="11"/>
  <c r="DH7" i="11"/>
  <c r="DG7" i="11"/>
  <c r="DF7" i="11"/>
  <c r="DE7" i="11"/>
  <c r="DD7" i="11"/>
  <c r="DC7" i="11"/>
  <c r="DB7" i="11"/>
  <c r="DA7" i="11"/>
  <c r="CZ7" i="11"/>
  <c r="CY7" i="11"/>
  <c r="CX7" i="11"/>
  <c r="CW7" i="11"/>
  <c r="CV7" i="11"/>
  <c r="CU7" i="11"/>
  <c r="CT7" i="11"/>
  <c r="CS7" i="11"/>
  <c r="CR7" i="11"/>
  <c r="CQ7" i="11"/>
  <c r="CP7" i="11"/>
  <c r="CO7" i="11"/>
  <c r="CN7" i="11"/>
  <c r="CM7" i="11"/>
  <c r="CL7" i="11"/>
  <c r="CK7" i="11"/>
  <c r="CJ7" i="11"/>
  <c r="CI7" i="11"/>
  <c r="CH7" i="11"/>
  <c r="CG7" i="11"/>
  <c r="CF7" i="11"/>
  <c r="CE7" i="11"/>
  <c r="CD7" i="11"/>
  <c r="CC7" i="11"/>
  <c r="CB7" i="11"/>
  <c r="CA7" i="11"/>
  <c r="BZ7" i="11"/>
  <c r="BY7" i="11"/>
  <c r="BX7" i="11"/>
  <c r="BW7" i="11"/>
  <c r="BV7" i="11"/>
  <c r="BU7" i="11"/>
  <c r="BT7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C12" i="11" s="1"/>
  <c r="B7" i="11"/>
  <c r="B12" i="11" s="1"/>
  <c r="C7" i="10"/>
  <c r="C32" i="9"/>
  <c r="C13" i="9"/>
  <c r="C7" i="9"/>
  <c r="C13" i="8"/>
  <c r="B8" i="15" s="1"/>
  <c r="B13" i="8"/>
  <c r="B7" i="15" s="1"/>
  <c r="F12" i="8"/>
  <c r="D12" i="8"/>
  <c r="F11" i="8"/>
  <c r="D11" i="8"/>
  <c r="F10" i="8"/>
  <c r="D10" i="8"/>
  <c r="F9" i="8"/>
  <c r="D9" i="8"/>
  <c r="F8" i="8"/>
  <c r="D8" i="8"/>
  <c r="F7" i="8"/>
  <c r="F13" i="8" s="1"/>
  <c r="E15" i="15" s="1"/>
  <c r="D7" i="8"/>
  <c r="D6" i="8"/>
  <c r="D13" i="8" s="1"/>
  <c r="C43" i="7"/>
  <c r="C22" i="7"/>
  <c r="C26" i="7" s="1"/>
  <c r="C10" i="7"/>
  <c r="C32" i="6"/>
  <c r="C31" i="6"/>
  <c r="C30" i="6"/>
  <c r="C29" i="6"/>
  <c r="C28" i="6"/>
  <c r="C27" i="6"/>
  <c r="C18" i="6"/>
  <c r="B58" i="5"/>
  <c r="B5" i="22" s="1"/>
  <c r="C5" i="22" s="1"/>
  <c r="C23" i="5"/>
  <c r="C17" i="5"/>
  <c r="B8" i="22" s="1"/>
  <c r="C8" i="22" s="1"/>
  <c r="C13" i="5"/>
  <c r="B7" i="22" s="1"/>
  <c r="C7" i="22" s="1"/>
  <c r="C9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D11" i="2"/>
  <c r="L9" i="11" l="1"/>
  <c r="K12" i="11"/>
  <c r="D8" i="12"/>
  <c r="D14" i="11"/>
  <c r="D9" i="12"/>
  <c r="C8" i="12"/>
  <c r="C9" i="12"/>
  <c r="B8" i="12"/>
  <c r="B9" i="12"/>
  <c r="E8" i="19"/>
  <c r="E32" i="18"/>
  <c r="C25" i="7"/>
  <c r="BI32" i="18"/>
  <c r="BI8" i="19"/>
  <c r="C27" i="7"/>
  <c r="B13" i="11"/>
  <c r="E8" i="12"/>
  <c r="E9" i="12"/>
  <c r="F8" i="12"/>
  <c r="H8" i="12"/>
  <c r="CD8" i="19"/>
  <c r="CD32" i="18"/>
  <c r="C13" i="11"/>
  <c r="F9" i="12"/>
  <c r="CE8" i="19"/>
  <c r="CE32" i="18"/>
  <c r="H9" i="12"/>
  <c r="B8" i="17"/>
  <c r="B17" i="19" s="1"/>
  <c r="BJ32" i="18"/>
  <c r="BJ8" i="19"/>
  <c r="BN8" i="19"/>
  <c r="BN32" i="18"/>
  <c r="J8" i="12"/>
  <c r="B6" i="22"/>
  <c r="C6" i="22" s="1"/>
  <c r="L13" i="11"/>
  <c r="K13" i="11"/>
  <c r="J13" i="11"/>
  <c r="I13" i="11"/>
  <c r="H13" i="11"/>
  <c r="G13" i="11"/>
  <c r="E13" i="11"/>
  <c r="E14" i="11" s="1"/>
  <c r="D13" i="11"/>
  <c r="F13" i="11"/>
  <c r="BG32" i="18"/>
  <c r="BG8" i="19"/>
  <c r="BH32" i="18"/>
  <c r="BH8" i="19"/>
  <c r="I8" i="12"/>
  <c r="G8" i="12"/>
  <c r="BM8" i="19"/>
  <c r="BM32" i="18"/>
  <c r="DE15" i="15"/>
  <c r="CV15" i="15"/>
  <c r="BZ15" i="15"/>
  <c r="BD15" i="15"/>
  <c r="AH15" i="15"/>
  <c r="L15" i="15"/>
  <c r="CU15" i="15"/>
  <c r="BY15" i="15"/>
  <c r="BC15" i="15"/>
  <c r="AG15" i="15"/>
  <c r="K15" i="15"/>
  <c r="DQ15" i="15"/>
  <c r="CT15" i="15"/>
  <c r="BX15" i="15"/>
  <c r="BB15" i="15"/>
  <c r="AF15" i="15"/>
  <c r="J15" i="15"/>
  <c r="DP15" i="15"/>
  <c r="CS15" i="15"/>
  <c r="BW15" i="15"/>
  <c r="BA15" i="15"/>
  <c r="AE15" i="15"/>
  <c r="I15" i="15"/>
  <c r="DO15" i="15"/>
  <c r="CR15" i="15"/>
  <c r="BV15" i="15"/>
  <c r="AZ15" i="15"/>
  <c r="AD15" i="15"/>
  <c r="H15" i="15"/>
  <c r="DN15" i="15"/>
  <c r="CQ15" i="15"/>
  <c r="BU15" i="15"/>
  <c r="AY15" i="15"/>
  <c r="AC15" i="15"/>
  <c r="G15" i="15"/>
  <c r="DM15" i="15"/>
  <c r="CP15" i="15"/>
  <c r="BT15" i="15"/>
  <c r="AX15" i="15"/>
  <c r="AB15" i="15"/>
  <c r="F15" i="15"/>
  <c r="DK15" i="15"/>
  <c r="CN15" i="15"/>
  <c r="BR15" i="15"/>
  <c r="AV15" i="15"/>
  <c r="Z15" i="15"/>
  <c r="D15" i="15"/>
  <c r="DJ15" i="15"/>
  <c r="CM15" i="15"/>
  <c r="BQ15" i="15"/>
  <c r="AU15" i="15"/>
  <c r="Y15" i="15"/>
  <c r="C15" i="15"/>
  <c r="DI15" i="15"/>
  <c r="CC15" i="15"/>
  <c r="AO15" i="15"/>
  <c r="DH15" i="15"/>
  <c r="CB15" i="15"/>
  <c r="AN15" i="15"/>
  <c r="DG15" i="15"/>
  <c r="CA15" i="15"/>
  <c r="AM15" i="15"/>
  <c r="DF15" i="15"/>
  <c r="BS15" i="15"/>
  <c r="AL15" i="15"/>
  <c r="DD15" i="15"/>
  <c r="BP15" i="15"/>
  <c r="AK15" i="15"/>
  <c r="DC15" i="15"/>
  <c r="BO15" i="15"/>
  <c r="AJ15" i="15"/>
  <c r="CZ15" i="15"/>
  <c r="BL15" i="15"/>
  <c r="X15" i="15"/>
  <c r="CY15" i="15"/>
  <c r="BK15" i="15"/>
  <c r="W15" i="15"/>
  <c r="DL15" i="15"/>
  <c r="BE15" i="15"/>
  <c r="DB15" i="15"/>
  <c r="AW15" i="15"/>
  <c r="DA15" i="15"/>
  <c r="AT15" i="15"/>
  <c r="CX15" i="15"/>
  <c r="AS15" i="15"/>
  <c r="CW15" i="15"/>
  <c r="AR15" i="15"/>
  <c r="CO15" i="15"/>
  <c r="AQ15" i="15"/>
  <c r="CL15" i="15"/>
  <c r="AP15" i="15"/>
  <c r="CI15" i="15"/>
  <c r="V15" i="15"/>
  <c r="BF15" i="15"/>
  <c r="AI15" i="15"/>
  <c r="AA15" i="15"/>
  <c r="U15" i="15"/>
  <c r="T15" i="15"/>
  <c r="S15" i="15"/>
  <c r="R15" i="15"/>
  <c r="P15" i="15"/>
  <c r="CK15" i="15"/>
  <c r="O15" i="15"/>
  <c r="B15" i="15"/>
  <c r="CJ15" i="15"/>
  <c r="CH15" i="15"/>
  <c r="CG15" i="15"/>
  <c r="J9" i="12"/>
  <c r="M15" i="15"/>
  <c r="N15" i="15"/>
  <c r="CF15" i="15"/>
  <c r="DG40" i="21"/>
  <c r="CK40" i="21"/>
  <c r="BO40" i="21"/>
  <c r="AS40" i="21"/>
  <c r="W40" i="21"/>
  <c r="DF40" i="21"/>
  <c r="CJ40" i="21"/>
  <c r="BN40" i="21"/>
  <c r="AR40" i="21"/>
  <c r="V40" i="21"/>
  <c r="DE40" i="21"/>
  <c r="CI40" i="21"/>
  <c r="BM40" i="21"/>
  <c r="AQ40" i="21"/>
  <c r="U40" i="21"/>
  <c r="DD40" i="21"/>
  <c r="CH40" i="21"/>
  <c r="BL40" i="21"/>
  <c r="AP40" i="21"/>
  <c r="T40" i="21"/>
  <c r="DA40" i="21"/>
  <c r="CE40" i="21"/>
  <c r="BI40" i="21"/>
  <c r="AM40" i="21"/>
  <c r="Q40" i="21"/>
  <c r="CX40" i="21"/>
  <c r="CB40" i="21"/>
  <c r="BF40" i="21"/>
  <c r="AJ40" i="21"/>
  <c r="N40" i="21"/>
  <c r="CW40" i="21"/>
  <c r="CA40" i="21"/>
  <c r="BE40" i="21"/>
  <c r="AI40" i="21"/>
  <c r="M40" i="21"/>
  <c r="DM40" i="21"/>
  <c r="CQ40" i="21"/>
  <c r="BU40" i="21"/>
  <c r="AY40" i="21"/>
  <c r="AC40" i="21"/>
  <c r="G40" i="21"/>
  <c r="DK40" i="21"/>
  <c r="CO40" i="21"/>
  <c r="BS40" i="21"/>
  <c r="AW40" i="21"/>
  <c r="AA40" i="21"/>
  <c r="E40" i="21"/>
  <c r="CY40" i="21"/>
  <c r="BP40" i="21"/>
  <c r="AD40" i="21"/>
  <c r="CV40" i="21"/>
  <c r="BK40" i="21"/>
  <c r="AB40" i="21"/>
  <c r="CU40" i="21"/>
  <c r="BJ40" i="21"/>
  <c r="Z40" i="21"/>
  <c r="CT40" i="21"/>
  <c r="BH40" i="21"/>
  <c r="Y40" i="21"/>
  <c r="CS40" i="21"/>
  <c r="BG40" i="21"/>
  <c r="X40" i="21"/>
  <c r="CR40" i="21"/>
  <c r="BD40" i="21"/>
  <c r="S40" i="21"/>
  <c r="CP40" i="21"/>
  <c r="BC40" i="21"/>
  <c r="R40" i="21"/>
  <c r="CN40" i="21"/>
  <c r="BB40" i="21"/>
  <c r="P40" i="21"/>
  <c r="CM40" i="21"/>
  <c r="BA40" i="21"/>
  <c r="O40" i="21"/>
  <c r="DN40" i="21"/>
  <c r="AX40" i="21"/>
  <c r="DL40" i="21"/>
  <c r="AV40" i="21"/>
  <c r="DJ40" i="21"/>
  <c r="AU40" i="21"/>
  <c r="DI40" i="21"/>
  <c r="AT40" i="21"/>
  <c r="DC40" i="21"/>
  <c r="AN40" i="21"/>
  <c r="DB40" i="21"/>
  <c r="AL40" i="21"/>
  <c r="CZ40" i="21"/>
  <c r="AK40" i="21"/>
  <c r="CD40" i="21"/>
  <c r="AE40" i="21"/>
  <c r="AG40" i="21"/>
  <c r="AF40" i="21"/>
  <c r="L40" i="21"/>
  <c r="DQ40" i="21"/>
  <c r="K40" i="21"/>
  <c r="DP40" i="21"/>
  <c r="J40" i="21"/>
  <c r="DO40" i="21"/>
  <c r="I40" i="21"/>
  <c r="DH40" i="21"/>
  <c r="H40" i="21"/>
  <c r="CL40" i="21"/>
  <c r="F40" i="21"/>
  <c r="BT40" i="21"/>
  <c r="BR40" i="21"/>
  <c r="BQ40" i="21"/>
  <c r="AZ40" i="21"/>
  <c r="AO40" i="21"/>
  <c r="AH40" i="21"/>
  <c r="D40" i="21"/>
  <c r="C40" i="21"/>
  <c r="CG40" i="21"/>
  <c r="CF40" i="21"/>
  <c r="CC40" i="21"/>
  <c r="BZ40" i="21"/>
  <c r="BY40" i="21"/>
  <c r="BX40" i="21"/>
  <c r="BW40" i="21"/>
  <c r="BV40" i="21"/>
  <c r="B40" i="21"/>
  <c r="Q15" i="15"/>
  <c r="B12" i="15"/>
  <c r="B14" i="15" s="1"/>
  <c r="B9" i="15"/>
  <c r="B10" i="17"/>
  <c r="B21" i="17" s="1"/>
  <c r="B9" i="17"/>
  <c r="B24" i="20" s="1"/>
  <c r="B15" i="17"/>
  <c r="C13" i="17" s="1"/>
  <c r="B17" i="17"/>
  <c r="B16" i="17"/>
  <c r="E7" i="21" l="1"/>
  <c r="E21" i="13"/>
  <c r="E23" i="13"/>
  <c r="E8" i="13"/>
  <c r="E9" i="14"/>
  <c r="E24" i="13"/>
  <c r="E22" i="13"/>
  <c r="E28" i="12"/>
  <c r="E9" i="13"/>
  <c r="E11" i="13"/>
  <c r="E21" i="11"/>
  <c r="E10" i="13"/>
  <c r="E18" i="11"/>
  <c r="E24" i="15"/>
  <c r="E25" i="15" s="1"/>
  <c r="E9" i="21" s="1"/>
  <c r="E22" i="11"/>
  <c r="E17" i="11"/>
  <c r="BF32" i="18"/>
  <c r="BF8" i="19"/>
  <c r="CZ32" i="18"/>
  <c r="CZ8" i="19"/>
  <c r="BQ8" i="19"/>
  <c r="BQ32" i="18"/>
  <c r="L8" i="19"/>
  <c r="L32" i="18"/>
  <c r="V32" i="18"/>
  <c r="V8" i="19"/>
  <c r="BD32" i="18"/>
  <c r="BD8" i="19"/>
  <c r="AP8" i="19"/>
  <c r="AP32" i="18"/>
  <c r="CV8" i="19"/>
  <c r="CV32" i="18"/>
  <c r="CW32" i="18"/>
  <c r="CW8" i="19"/>
  <c r="DP8" i="19"/>
  <c r="DP32" i="18"/>
  <c r="G12" i="12"/>
  <c r="G15" i="12"/>
  <c r="G17" i="12" s="1"/>
  <c r="G8" i="18" s="1"/>
  <c r="D15" i="12"/>
  <c r="D12" i="12"/>
  <c r="J12" i="12"/>
  <c r="DJ8" i="19"/>
  <c r="DJ32" i="18"/>
  <c r="Z32" i="18"/>
  <c r="Z8" i="19"/>
  <c r="F8" i="19"/>
  <c r="F32" i="18"/>
  <c r="CX32" i="18"/>
  <c r="CX8" i="19"/>
  <c r="CJ8" i="19"/>
  <c r="CJ32" i="18"/>
  <c r="AT32" i="18"/>
  <c r="AT8" i="19"/>
  <c r="CA8" i="19"/>
  <c r="CA32" i="18"/>
  <c r="AX8" i="19"/>
  <c r="AX32" i="18"/>
  <c r="J8" i="19"/>
  <c r="J32" i="18"/>
  <c r="K10" i="12"/>
  <c r="K11" i="12"/>
  <c r="K8" i="12"/>
  <c r="K14" i="11"/>
  <c r="K9" i="12"/>
  <c r="BV8" i="19"/>
  <c r="BV32" i="18"/>
  <c r="BA32" i="18"/>
  <c r="BA8" i="19"/>
  <c r="F16" i="12"/>
  <c r="D7" i="21"/>
  <c r="D21" i="13"/>
  <c r="D8" i="13"/>
  <c r="D24" i="15"/>
  <c r="D25" i="15" s="1"/>
  <c r="D9" i="21" s="1"/>
  <c r="D24" i="13"/>
  <c r="D9" i="14"/>
  <c r="D22" i="13"/>
  <c r="D10" i="13"/>
  <c r="D9" i="13"/>
  <c r="D18" i="11"/>
  <c r="D11" i="13"/>
  <c r="D21" i="11"/>
  <c r="D23" i="13"/>
  <c r="D17" i="11"/>
  <c r="D22" i="11"/>
  <c r="CH32" i="18"/>
  <c r="CH8" i="19"/>
  <c r="N32" i="18"/>
  <c r="N8" i="19"/>
  <c r="B8" i="19"/>
  <c r="B32" i="18"/>
  <c r="DA32" i="18"/>
  <c r="DA8" i="19"/>
  <c r="DG32" i="18"/>
  <c r="DG8" i="19"/>
  <c r="BT8" i="19"/>
  <c r="BT32" i="18"/>
  <c r="AF8" i="19"/>
  <c r="AF32" i="18"/>
  <c r="M9" i="11"/>
  <c r="L12" i="11"/>
  <c r="C11" i="12"/>
  <c r="C16" i="12" s="1"/>
  <c r="C10" i="12"/>
  <c r="B13" i="19"/>
  <c r="B14" i="19" s="1"/>
  <c r="AD8" i="19"/>
  <c r="AD32" i="18"/>
  <c r="B18" i="15"/>
  <c r="AJ8" i="19"/>
  <c r="AJ32" i="18"/>
  <c r="AH8" i="19"/>
  <c r="AH32" i="18"/>
  <c r="BO32" i="18"/>
  <c r="BO8" i="19"/>
  <c r="AR8" i="19"/>
  <c r="AR32" i="18"/>
  <c r="CF8" i="19"/>
  <c r="CF32" i="18"/>
  <c r="CG32" i="18"/>
  <c r="CG8" i="19"/>
  <c r="AM8" i="19"/>
  <c r="AM32" i="18"/>
  <c r="AN8" i="19"/>
  <c r="AN32" i="18"/>
  <c r="CK32" i="18"/>
  <c r="CK8" i="19"/>
  <c r="DB32" i="18"/>
  <c r="DB8" i="19"/>
  <c r="CB8" i="19"/>
  <c r="CB32" i="18"/>
  <c r="DM8" i="19"/>
  <c r="DM32" i="18"/>
  <c r="BX8" i="19"/>
  <c r="BX32" i="18"/>
  <c r="C14" i="11"/>
  <c r="CM8" i="19"/>
  <c r="CM32" i="18"/>
  <c r="CR8" i="19"/>
  <c r="CR32" i="18"/>
  <c r="I8" i="19"/>
  <c r="I32" i="18"/>
  <c r="DD32" i="18"/>
  <c r="DD8" i="19"/>
  <c r="CN8" i="19"/>
  <c r="CN32" i="18"/>
  <c r="B11" i="12"/>
  <c r="B16" i="12" s="1"/>
  <c r="B10" i="12"/>
  <c r="B20" i="17"/>
  <c r="C7" i="17"/>
  <c r="DK8" i="19"/>
  <c r="DK32" i="18"/>
  <c r="B36" i="18"/>
  <c r="Q8" i="19"/>
  <c r="Q32" i="18"/>
  <c r="DF8" i="19"/>
  <c r="DF32" i="18"/>
  <c r="BB32" i="18"/>
  <c r="BB8" i="19"/>
  <c r="P32" i="18"/>
  <c r="P8" i="19"/>
  <c r="BE32" i="18"/>
  <c r="BE8" i="19"/>
  <c r="DH32" i="18"/>
  <c r="DH8" i="19"/>
  <c r="G32" i="18"/>
  <c r="G8" i="19"/>
  <c r="CT32" i="18"/>
  <c r="CT8" i="19"/>
  <c r="H10" i="12"/>
  <c r="H11" i="12"/>
  <c r="H14" i="11"/>
  <c r="CI32" i="18"/>
  <c r="CI8" i="19"/>
  <c r="CL32" i="18"/>
  <c r="CL8" i="19"/>
  <c r="AQ8" i="19"/>
  <c r="AQ32" i="18"/>
  <c r="CO8" i="19"/>
  <c r="CO32" i="18"/>
  <c r="CS8" i="19"/>
  <c r="CS32" i="18"/>
  <c r="AB32" i="18"/>
  <c r="AB8" i="19"/>
  <c r="O32" i="18"/>
  <c r="O8" i="19"/>
  <c r="AW8" i="19"/>
  <c r="AW32" i="18"/>
  <c r="CP8" i="19"/>
  <c r="CP32" i="18"/>
  <c r="R8" i="19"/>
  <c r="R32" i="18"/>
  <c r="DL32" i="18"/>
  <c r="DL8" i="19"/>
  <c r="AO8" i="19"/>
  <c r="AO32" i="18"/>
  <c r="AC32" i="18"/>
  <c r="AC8" i="19"/>
  <c r="DQ8" i="19"/>
  <c r="DQ32" i="18"/>
  <c r="C15" i="12"/>
  <c r="C15" i="17"/>
  <c r="D13" i="17" s="1"/>
  <c r="C17" i="17"/>
  <c r="C16" i="17"/>
  <c r="B15" i="12"/>
  <c r="F12" i="12"/>
  <c r="F15" i="12"/>
  <c r="F17" i="12" s="1"/>
  <c r="F8" i="18" s="1"/>
  <c r="E16" i="12"/>
  <c r="D8" i="19"/>
  <c r="D32" i="18"/>
  <c r="E10" i="12"/>
  <c r="E11" i="12"/>
  <c r="F11" i="12"/>
  <c r="F10" i="12"/>
  <c r="F14" i="11"/>
  <c r="DE8" i="19"/>
  <c r="DE32" i="18"/>
  <c r="J10" i="12"/>
  <c r="J15" i="12" s="1"/>
  <c r="J17" i="12" s="1"/>
  <c r="J8" i="18" s="1"/>
  <c r="J11" i="12"/>
  <c r="J14" i="11"/>
  <c r="AL8" i="19"/>
  <c r="AL32" i="18"/>
  <c r="BW8" i="19"/>
  <c r="BW32" i="18"/>
  <c r="S8" i="19"/>
  <c r="S32" i="18"/>
  <c r="W8" i="19"/>
  <c r="W32" i="18"/>
  <c r="CC8" i="19"/>
  <c r="CC32" i="18"/>
  <c r="AY8" i="19"/>
  <c r="AY32" i="18"/>
  <c r="K8" i="19"/>
  <c r="K32" i="18"/>
  <c r="L10" i="12"/>
  <c r="L11" i="12"/>
  <c r="DC8" i="19"/>
  <c r="DC32" i="18"/>
  <c r="AK8" i="19"/>
  <c r="AK32" i="18"/>
  <c r="AV8" i="19"/>
  <c r="AV32" i="18"/>
  <c r="J16" i="12"/>
  <c r="BR8" i="19"/>
  <c r="BR32" i="18"/>
  <c r="BS8" i="19"/>
  <c r="BS32" i="18"/>
  <c r="H15" i="12"/>
  <c r="H12" i="12"/>
  <c r="AZ8" i="19"/>
  <c r="AZ32" i="18"/>
  <c r="H16" i="12"/>
  <c r="M32" i="18"/>
  <c r="M8" i="19"/>
  <c r="BZ8" i="19"/>
  <c r="BZ32" i="18"/>
  <c r="E15" i="12"/>
  <c r="E12" i="12"/>
  <c r="DO8" i="19"/>
  <c r="DO32" i="18"/>
  <c r="BP32" i="18"/>
  <c r="BP8" i="19"/>
  <c r="AE8" i="19"/>
  <c r="AE32" i="18"/>
  <c r="BU32" i="18"/>
  <c r="BU8" i="19"/>
  <c r="CQ8" i="19"/>
  <c r="CQ32" i="18"/>
  <c r="D10" i="12"/>
  <c r="D11" i="12"/>
  <c r="D16" i="12" s="1"/>
  <c r="T8" i="19"/>
  <c r="T32" i="18"/>
  <c r="BK32" i="18"/>
  <c r="BK8" i="19"/>
  <c r="AG8" i="19"/>
  <c r="AG32" i="18"/>
  <c r="U8" i="19"/>
  <c r="U32" i="18"/>
  <c r="CY32" i="18"/>
  <c r="CY8" i="19"/>
  <c r="C32" i="18"/>
  <c r="C8" i="19"/>
  <c r="B19" i="15"/>
  <c r="C8" i="15" s="1"/>
  <c r="C19" i="15" s="1"/>
  <c r="D8" i="15" s="1"/>
  <c r="D19" i="15" s="1"/>
  <c r="E8" i="15" s="1"/>
  <c r="E19" i="15" s="1"/>
  <c r="F8" i="15" s="1"/>
  <c r="F19" i="15" s="1"/>
  <c r="G8" i="15" s="1"/>
  <c r="G19" i="15" s="1"/>
  <c r="H8" i="15" s="1"/>
  <c r="H19" i="15" s="1"/>
  <c r="I8" i="15" s="1"/>
  <c r="I19" i="15" s="1"/>
  <c r="J8" i="15" s="1"/>
  <c r="J19" i="15" s="1"/>
  <c r="K8" i="15" s="1"/>
  <c r="K19" i="15" s="1"/>
  <c r="L8" i="15" s="1"/>
  <c r="L19" i="15" s="1"/>
  <c r="M8" i="15" s="1"/>
  <c r="M19" i="15" s="1"/>
  <c r="N8" i="15" s="1"/>
  <c r="N19" i="15" s="1"/>
  <c r="O8" i="15" s="1"/>
  <c r="O19" i="15" s="1"/>
  <c r="P8" i="15" s="1"/>
  <c r="P19" i="15" s="1"/>
  <c r="Q8" i="15" s="1"/>
  <c r="Q19" i="15" s="1"/>
  <c r="R8" i="15" s="1"/>
  <c r="R19" i="15" s="1"/>
  <c r="S8" i="15" s="1"/>
  <c r="S19" i="15" s="1"/>
  <c r="T8" i="15" s="1"/>
  <c r="T19" i="15" s="1"/>
  <c r="U8" i="15" s="1"/>
  <c r="U19" i="15" s="1"/>
  <c r="V8" i="15" s="1"/>
  <c r="V19" i="15" s="1"/>
  <c r="W8" i="15" s="1"/>
  <c r="W19" i="15" s="1"/>
  <c r="X8" i="15" s="1"/>
  <c r="X19" i="15" s="1"/>
  <c r="Y8" i="15" s="1"/>
  <c r="Y19" i="15" s="1"/>
  <c r="Z8" i="15" s="1"/>
  <c r="Z19" i="15" s="1"/>
  <c r="AA8" i="15" s="1"/>
  <c r="AA19" i="15" s="1"/>
  <c r="AB8" i="15" s="1"/>
  <c r="AB19" i="15" s="1"/>
  <c r="AC8" i="15" s="1"/>
  <c r="AC19" i="15" s="1"/>
  <c r="AD8" i="15" s="1"/>
  <c r="AD19" i="15" s="1"/>
  <c r="AE8" i="15" s="1"/>
  <c r="AE19" i="15" s="1"/>
  <c r="AF8" i="15" s="1"/>
  <c r="AF19" i="15" s="1"/>
  <c r="AG8" i="15" s="1"/>
  <c r="AG19" i="15" s="1"/>
  <c r="AH8" i="15" s="1"/>
  <c r="AH19" i="15" s="1"/>
  <c r="AI8" i="15" s="1"/>
  <c r="AI19" i="15" s="1"/>
  <c r="AJ8" i="15" s="1"/>
  <c r="AJ19" i="15" s="1"/>
  <c r="AK8" i="15" s="1"/>
  <c r="AK19" i="15" s="1"/>
  <c r="AL8" i="15" s="1"/>
  <c r="AL19" i="15" s="1"/>
  <c r="AM8" i="15" s="1"/>
  <c r="AM19" i="15" s="1"/>
  <c r="AN8" i="15" s="1"/>
  <c r="AN19" i="15" s="1"/>
  <c r="AO8" i="15" s="1"/>
  <c r="AO19" i="15" s="1"/>
  <c r="AP8" i="15" s="1"/>
  <c r="AP19" i="15" s="1"/>
  <c r="AQ8" i="15" s="1"/>
  <c r="AQ19" i="15" s="1"/>
  <c r="AR8" i="15" s="1"/>
  <c r="AR19" i="15" s="1"/>
  <c r="AS8" i="15" s="1"/>
  <c r="AS19" i="15" s="1"/>
  <c r="AT8" i="15" s="1"/>
  <c r="AT19" i="15" s="1"/>
  <c r="AU8" i="15" s="1"/>
  <c r="AU19" i="15" s="1"/>
  <c r="AV8" i="15" s="1"/>
  <c r="AV19" i="15" s="1"/>
  <c r="AW8" i="15" s="1"/>
  <c r="AW19" i="15" s="1"/>
  <c r="AX8" i="15" s="1"/>
  <c r="AX19" i="15" s="1"/>
  <c r="AY8" i="15" s="1"/>
  <c r="AY19" i="15" s="1"/>
  <c r="AZ8" i="15" s="1"/>
  <c r="AZ19" i="15" s="1"/>
  <c r="BA8" i="15" s="1"/>
  <c r="BA19" i="15" s="1"/>
  <c r="BB8" i="15" s="1"/>
  <c r="BB19" i="15" s="1"/>
  <c r="BC8" i="15" s="1"/>
  <c r="BC19" i="15" s="1"/>
  <c r="BD8" i="15" s="1"/>
  <c r="BD19" i="15" s="1"/>
  <c r="BE8" i="15" s="1"/>
  <c r="BE19" i="15" s="1"/>
  <c r="BF8" i="15" s="1"/>
  <c r="BF19" i="15" s="1"/>
  <c r="BG8" i="15" s="1"/>
  <c r="BG19" i="15" s="1"/>
  <c r="BH8" i="15" s="1"/>
  <c r="BH19" i="15" s="1"/>
  <c r="BI8" i="15" s="1"/>
  <c r="BI19" i="15" s="1"/>
  <c r="BJ8" i="15" s="1"/>
  <c r="BJ19" i="15" s="1"/>
  <c r="BK8" i="15" s="1"/>
  <c r="BK19" i="15" s="1"/>
  <c r="BL8" i="15" s="1"/>
  <c r="BL19" i="15" s="1"/>
  <c r="BM8" i="15" s="1"/>
  <c r="BM19" i="15" s="1"/>
  <c r="BN8" i="15" s="1"/>
  <c r="BN19" i="15" s="1"/>
  <c r="BO8" i="15" s="1"/>
  <c r="BO19" i="15" s="1"/>
  <c r="BP8" i="15" s="1"/>
  <c r="BP19" i="15" s="1"/>
  <c r="BQ8" i="15" s="1"/>
  <c r="BQ19" i="15" s="1"/>
  <c r="BR8" i="15" s="1"/>
  <c r="BR19" i="15" s="1"/>
  <c r="BS8" i="15" s="1"/>
  <c r="BS19" i="15" s="1"/>
  <c r="BT8" i="15" s="1"/>
  <c r="BT19" i="15" s="1"/>
  <c r="BU8" i="15" s="1"/>
  <c r="BU19" i="15" s="1"/>
  <c r="BV8" i="15" s="1"/>
  <c r="BV19" i="15" s="1"/>
  <c r="BW8" i="15" s="1"/>
  <c r="BW19" i="15" s="1"/>
  <c r="BX8" i="15" s="1"/>
  <c r="BX19" i="15" s="1"/>
  <c r="BY8" i="15" s="1"/>
  <c r="BY19" i="15" s="1"/>
  <c r="BZ8" i="15" s="1"/>
  <c r="BZ19" i="15" s="1"/>
  <c r="CA8" i="15" s="1"/>
  <c r="CA19" i="15" s="1"/>
  <c r="CB8" i="15" s="1"/>
  <c r="CB19" i="15" s="1"/>
  <c r="CC8" i="15" s="1"/>
  <c r="CC19" i="15" s="1"/>
  <c r="CD8" i="15" s="1"/>
  <c r="CD19" i="15" s="1"/>
  <c r="CE8" i="15" s="1"/>
  <c r="CE19" i="15" s="1"/>
  <c r="CF8" i="15" s="1"/>
  <c r="CF19" i="15" s="1"/>
  <c r="CG8" i="15" s="1"/>
  <c r="CG19" i="15" s="1"/>
  <c r="CH8" i="15" s="1"/>
  <c r="CH19" i="15" s="1"/>
  <c r="CI8" i="15" s="1"/>
  <c r="CI19" i="15" s="1"/>
  <c r="CJ8" i="15" s="1"/>
  <c r="CJ19" i="15" s="1"/>
  <c r="CK8" i="15" s="1"/>
  <c r="CK19" i="15" s="1"/>
  <c r="CL8" i="15" s="1"/>
  <c r="CL19" i="15" s="1"/>
  <c r="CM8" i="15" s="1"/>
  <c r="CM19" i="15" s="1"/>
  <c r="CN8" i="15" s="1"/>
  <c r="CN19" i="15" s="1"/>
  <c r="CO8" i="15" s="1"/>
  <c r="CO19" i="15" s="1"/>
  <c r="CP8" i="15" s="1"/>
  <c r="CP19" i="15" s="1"/>
  <c r="CQ8" i="15" s="1"/>
  <c r="CQ19" i="15" s="1"/>
  <c r="CR8" i="15" s="1"/>
  <c r="CR19" i="15" s="1"/>
  <c r="CS8" i="15" s="1"/>
  <c r="CS19" i="15" s="1"/>
  <c r="CT8" i="15" s="1"/>
  <c r="CT19" i="15" s="1"/>
  <c r="CU8" i="15" s="1"/>
  <c r="CU19" i="15" s="1"/>
  <c r="CV8" i="15" s="1"/>
  <c r="CV19" i="15" s="1"/>
  <c r="CW8" i="15" s="1"/>
  <c r="CW19" i="15" s="1"/>
  <c r="CX8" i="15" s="1"/>
  <c r="CX19" i="15" s="1"/>
  <c r="CY8" i="15" s="1"/>
  <c r="CY19" i="15" s="1"/>
  <c r="CZ8" i="15" s="1"/>
  <c r="CZ19" i="15" s="1"/>
  <c r="DA8" i="15" s="1"/>
  <c r="DA19" i="15" s="1"/>
  <c r="DB8" i="15" s="1"/>
  <c r="DB19" i="15" s="1"/>
  <c r="DC8" i="15" s="1"/>
  <c r="DC19" i="15" s="1"/>
  <c r="DD8" i="15" s="1"/>
  <c r="DD19" i="15" s="1"/>
  <c r="DE8" i="15" s="1"/>
  <c r="DE19" i="15" s="1"/>
  <c r="DF8" i="15" s="1"/>
  <c r="DF19" i="15" s="1"/>
  <c r="DG8" i="15" s="1"/>
  <c r="DG19" i="15" s="1"/>
  <c r="DH8" i="15" s="1"/>
  <c r="DH19" i="15" s="1"/>
  <c r="DI8" i="15" s="1"/>
  <c r="DI19" i="15" s="1"/>
  <c r="DJ8" i="15" s="1"/>
  <c r="DJ19" i="15" s="1"/>
  <c r="DK8" i="15" s="1"/>
  <c r="DK19" i="15" s="1"/>
  <c r="DL8" i="15" s="1"/>
  <c r="DL19" i="15" s="1"/>
  <c r="DM8" i="15" s="1"/>
  <c r="DM19" i="15" s="1"/>
  <c r="DN8" i="15" s="1"/>
  <c r="DN19" i="15" s="1"/>
  <c r="DO8" i="15" s="1"/>
  <c r="DO19" i="15" s="1"/>
  <c r="DP8" i="15" s="1"/>
  <c r="DP19" i="15" s="1"/>
  <c r="DQ8" i="15" s="1"/>
  <c r="DQ19" i="15" s="1"/>
  <c r="AA8" i="19"/>
  <c r="AA32" i="18"/>
  <c r="X8" i="19"/>
  <c r="X32" i="18"/>
  <c r="Y32" i="18"/>
  <c r="Y8" i="19"/>
  <c r="DN8" i="19"/>
  <c r="DN32" i="18"/>
  <c r="BY8" i="19"/>
  <c r="BY32" i="18"/>
  <c r="AS32" i="18"/>
  <c r="AS8" i="19"/>
  <c r="G10" i="12"/>
  <c r="G11" i="12"/>
  <c r="G16" i="12" s="1"/>
  <c r="G14" i="11"/>
  <c r="DI32" i="18"/>
  <c r="DI8" i="19"/>
  <c r="BC32" i="18"/>
  <c r="BC8" i="19"/>
  <c r="AI8" i="19"/>
  <c r="AI32" i="18"/>
  <c r="BL32" i="18"/>
  <c r="BL8" i="19"/>
  <c r="AU8" i="19"/>
  <c r="AU32" i="18"/>
  <c r="H8" i="19"/>
  <c r="H32" i="18"/>
  <c r="CU8" i="19"/>
  <c r="CU32" i="18"/>
  <c r="I10" i="12"/>
  <c r="I12" i="12" s="1"/>
  <c r="I11" i="12"/>
  <c r="I16" i="12" s="1"/>
  <c r="I14" i="11"/>
  <c r="B14" i="11"/>
  <c r="I12" i="21" l="1"/>
  <c r="I7" i="18"/>
  <c r="I14" i="14"/>
  <c r="I16" i="14"/>
  <c r="I15" i="14"/>
  <c r="I17" i="14"/>
  <c r="I25" i="18" s="1"/>
  <c r="D17" i="17"/>
  <c r="D15" i="17"/>
  <c r="E13" i="17" s="1"/>
  <c r="D16" i="17"/>
  <c r="D12" i="13"/>
  <c r="I7" i="21"/>
  <c r="I9" i="14"/>
  <c r="I10" i="13"/>
  <c r="I22" i="13"/>
  <c r="I28" i="12"/>
  <c r="I9" i="13"/>
  <c r="I11" i="13"/>
  <c r="I8" i="13"/>
  <c r="I12" i="13" s="1"/>
  <c r="I21" i="13"/>
  <c r="I17" i="11"/>
  <c r="I22" i="11"/>
  <c r="I21" i="11"/>
  <c r="I18" i="11"/>
  <c r="I24" i="15"/>
  <c r="I25" i="15" s="1"/>
  <c r="I9" i="21" s="1"/>
  <c r="I23" i="13"/>
  <c r="I24" i="13"/>
  <c r="N9" i="11"/>
  <c r="M12" i="11"/>
  <c r="M13" i="11"/>
  <c r="D17" i="12"/>
  <c r="D8" i="18" s="1"/>
  <c r="I15" i="12"/>
  <c r="I17" i="12" s="1"/>
  <c r="I8" i="18" s="1"/>
  <c r="C7" i="21"/>
  <c r="C21" i="13"/>
  <c r="C23" i="13"/>
  <c r="C9" i="14"/>
  <c r="C24" i="13"/>
  <c r="C24" i="15"/>
  <c r="C25" i="15" s="1"/>
  <c r="C9" i="21" s="1"/>
  <c r="C22" i="13"/>
  <c r="C10" i="13"/>
  <c r="C8" i="13"/>
  <c r="C18" i="11"/>
  <c r="C11" i="13"/>
  <c r="C21" i="11"/>
  <c r="C22" i="11"/>
  <c r="C17" i="11"/>
  <c r="C9" i="13"/>
  <c r="L8" i="12"/>
  <c r="L9" i="12"/>
  <c r="L16" i="12" s="1"/>
  <c r="L14" i="11"/>
  <c r="H12" i="21"/>
  <c r="H7" i="18"/>
  <c r="H14" i="14"/>
  <c r="H16" i="14"/>
  <c r="H17" i="14"/>
  <c r="H25" i="18" s="1"/>
  <c r="H15" i="14"/>
  <c r="B12" i="12"/>
  <c r="B28" i="12" s="1"/>
  <c r="G12" i="21"/>
  <c r="G7" i="18"/>
  <c r="G14" i="14"/>
  <c r="G16" i="14"/>
  <c r="G17" i="14"/>
  <c r="G25" i="18" s="1"/>
  <c r="G15" i="14"/>
  <c r="C17" i="12"/>
  <c r="C8" i="18" s="1"/>
  <c r="E8" i="14"/>
  <c r="E21" i="12"/>
  <c r="J7" i="21"/>
  <c r="J24" i="15"/>
  <c r="J25" i="15" s="1"/>
  <c r="J9" i="21" s="1"/>
  <c r="J9" i="14"/>
  <c r="J22" i="13"/>
  <c r="J10" i="13"/>
  <c r="J9" i="13"/>
  <c r="J22" i="11"/>
  <c r="J11" i="13"/>
  <c r="J8" i="13"/>
  <c r="J12" i="13" s="1"/>
  <c r="J23" i="13"/>
  <c r="J21" i="13"/>
  <c r="J17" i="11"/>
  <c r="J24" i="13"/>
  <c r="J28" i="12"/>
  <c r="J18" i="11"/>
  <c r="J21" i="11"/>
  <c r="D12" i="21"/>
  <c r="D7" i="18"/>
  <c r="D16" i="14"/>
  <c r="D14" i="14"/>
  <c r="D17" i="14"/>
  <c r="D25" i="18" s="1"/>
  <c r="D15" i="14"/>
  <c r="C12" i="12"/>
  <c r="F7" i="21"/>
  <c r="F21" i="13"/>
  <c r="F23" i="13"/>
  <c r="F9" i="14"/>
  <c r="F8" i="13"/>
  <c r="F10" i="13"/>
  <c r="F22" i="13"/>
  <c r="F28" i="12"/>
  <c r="F11" i="13"/>
  <c r="F21" i="11"/>
  <c r="F17" i="11"/>
  <c r="F24" i="15"/>
  <c r="F25" i="15" s="1"/>
  <c r="F9" i="21" s="1"/>
  <c r="F18" i="11"/>
  <c r="F22" i="11"/>
  <c r="F9" i="13"/>
  <c r="F24" i="13"/>
  <c r="C7" i="15"/>
  <c r="B20" i="15"/>
  <c r="B15" i="20" s="1"/>
  <c r="B16" i="20" s="1"/>
  <c r="D8" i="14"/>
  <c r="D21" i="12"/>
  <c r="J12" i="21"/>
  <c r="J7" i="18"/>
  <c r="J14" i="14"/>
  <c r="J16" i="14"/>
  <c r="J15" i="14"/>
  <c r="J17" i="14"/>
  <c r="J25" i="18" s="1"/>
  <c r="F12" i="21"/>
  <c r="F14" i="14"/>
  <c r="F16" i="14"/>
  <c r="F17" i="14"/>
  <c r="F25" i="18" s="1"/>
  <c r="F7" i="18"/>
  <c r="F15" i="14"/>
  <c r="E12" i="21"/>
  <c r="E7" i="18"/>
  <c r="E14" i="14"/>
  <c r="E16" i="14"/>
  <c r="E17" i="14"/>
  <c r="E25" i="18" s="1"/>
  <c r="E15" i="14"/>
  <c r="B17" i="12"/>
  <c r="B8" i="18" s="1"/>
  <c r="E17" i="12"/>
  <c r="E8" i="18" s="1"/>
  <c r="E12" i="13"/>
  <c r="E7" i="14"/>
  <c r="E20" i="12"/>
  <c r="E22" i="12" s="1"/>
  <c r="D7" i="14"/>
  <c r="D20" i="12"/>
  <c r="C10" i="17"/>
  <c r="C21" i="17" s="1"/>
  <c r="C9" i="17"/>
  <c r="C8" i="17"/>
  <c r="C17" i="19" s="1"/>
  <c r="K12" i="12"/>
  <c r="K15" i="12"/>
  <c r="D28" i="12"/>
  <c r="H17" i="12"/>
  <c r="H8" i="18" s="1"/>
  <c r="D25" i="13"/>
  <c r="D15" i="18" s="1"/>
  <c r="H7" i="21"/>
  <c r="H23" i="13"/>
  <c r="H9" i="14"/>
  <c r="H24" i="15"/>
  <c r="H25" i="15" s="1"/>
  <c r="H9" i="21" s="1"/>
  <c r="H8" i="13"/>
  <c r="H10" i="13"/>
  <c r="H22" i="13"/>
  <c r="H28" i="12"/>
  <c r="H9" i="13"/>
  <c r="H21" i="13"/>
  <c r="H25" i="13" s="1"/>
  <c r="H15" i="18" s="1"/>
  <c r="H22" i="11"/>
  <c r="H24" i="13"/>
  <c r="H17" i="11"/>
  <c r="H11" i="13"/>
  <c r="H21" i="11"/>
  <c r="H18" i="11"/>
  <c r="B28" i="20"/>
  <c r="B29" i="20" s="1"/>
  <c r="B27" i="21"/>
  <c r="D25" i="11"/>
  <c r="D15" i="13" s="1"/>
  <c r="D27" i="11"/>
  <c r="D26" i="11"/>
  <c r="D16" i="13" s="1"/>
  <c r="K16" i="12"/>
  <c r="E25" i="13"/>
  <c r="E15" i="18" s="1"/>
  <c r="E27" i="11"/>
  <c r="E25" i="11"/>
  <c r="E15" i="13" s="1"/>
  <c r="E26" i="11"/>
  <c r="E16" i="13" s="1"/>
  <c r="G7" i="21"/>
  <c r="G23" i="13"/>
  <c r="G9" i="14"/>
  <c r="G24" i="15"/>
  <c r="G25" i="15" s="1"/>
  <c r="G9" i="21" s="1"/>
  <c r="G8" i="13"/>
  <c r="G10" i="13"/>
  <c r="G22" i="13"/>
  <c r="G28" i="12"/>
  <c r="G9" i="13"/>
  <c r="G11" i="13"/>
  <c r="G21" i="13"/>
  <c r="G17" i="11"/>
  <c r="G18" i="11"/>
  <c r="G21" i="11"/>
  <c r="G24" i="13"/>
  <c r="G22" i="11"/>
  <c r="B7" i="21"/>
  <c r="B9" i="14"/>
  <c r="B24" i="13"/>
  <c r="B21" i="11"/>
  <c r="B24" i="15"/>
  <c r="B25" i="15" s="1"/>
  <c r="B9" i="21" s="1"/>
  <c r="B8" i="13"/>
  <c r="B18" i="11"/>
  <c r="B11" i="13"/>
  <c r="B10" i="13"/>
  <c r="B17" i="11"/>
  <c r="B22" i="11"/>
  <c r="B22" i="13"/>
  <c r="B9" i="13"/>
  <c r="B23" i="13"/>
  <c r="B21" i="13"/>
  <c r="K7" i="21"/>
  <c r="K9" i="14"/>
  <c r="K22" i="13"/>
  <c r="K9" i="13"/>
  <c r="K22" i="11"/>
  <c r="K11" i="13"/>
  <c r="K8" i="13"/>
  <c r="K12" i="13" s="1"/>
  <c r="K10" i="13"/>
  <c r="K23" i="13"/>
  <c r="K21" i="13"/>
  <c r="K17" i="11"/>
  <c r="K24" i="13"/>
  <c r="K21" i="11"/>
  <c r="K24" i="15"/>
  <c r="K25" i="15" s="1"/>
  <c r="K9" i="21" s="1"/>
  <c r="K18" i="11"/>
  <c r="K28" i="12"/>
  <c r="I13" i="18" l="1"/>
  <c r="F12" i="13"/>
  <c r="C25" i="13"/>
  <c r="C15" i="18" s="1"/>
  <c r="D24" i="18"/>
  <c r="D18" i="14"/>
  <c r="G21" i="12"/>
  <c r="G8" i="14"/>
  <c r="L12" i="12"/>
  <c r="L15" i="12"/>
  <c r="L17" i="12" s="1"/>
  <c r="L8" i="18" s="1"/>
  <c r="M10" i="12"/>
  <c r="M11" i="12"/>
  <c r="D13" i="18"/>
  <c r="F8" i="14"/>
  <c r="F21" i="12"/>
  <c r="M8" i="12"/>
  <c r="M9" i="12"/>
  <c r="M16" i="12" s="1"/>
  <c r="M14" i="11"/>
  <c r="N12" i="11"/>
  <c r="O9" i="11"/>
  <c r="N13" i="11"/>
  <c r="E17" i="17"/>
  <c r="E15" i="17"/>
  <c r="F13" i="17" s="1"/>
  <c r="E16" i="17"/>
  <c r="E13" i="18"/>
  <c r="H24" i="18"/>
  <c r="H18" i="14"/>
  <c r="E10" i="14"/>
  <c r="E17" i="13"/>
  <c r="D18" i="13"/>
  <c r="D14" i="18" s="1"/>
  <c r="E9" i="18"/>
  <c r="E30" i="12"/>
  <c r="C12" i="15"/>
  <c r="C14" i="15" s="1"/>
  <c r="C9" i="15"/>
  <c r="E24" i="18"/>
  <c r="E18" i="14"/>
  <c r="K8" i="14"/>
  <c r="K21" i="12"/>
  <c r="J13" i="18"/>
  <c r="F25" i="13"/>
  <c r="F15" i="18" s="1"/>
  <c r="G25" i="11"/>
  <c r="G15" i="13" s="1"/>
  <c r="G27" i="11"/>
  <c r="G26" i="11"/>
  <c r="G16" i="13" s="1"/>
  <c r="G7" i="14"/>
  <c r="G20" i="12"/>
  <c r="G22" i="12" s="1"/>
  <c r="K17" i="12"/>
  <c r="K8" i="18" s="1"/>
  <c r="B7" i="14"/>
  <c r="B20" i="12"/>
  <c r="K26" i="11"/>
  <c r="K16" i="13" s="1"/>
  <c r="K25" i="11"/>
  <c r="K15" i="13" s="1"/>
  <c r="K27" i="11"/>
  <c r="C25" i="11"/>
  <c r="C15" i="13" s="1"/>
  <c r="C27" i="11"/>
  <c r="C26" i="11"/>
  <c r="C16" i="13" s="1"/>
  <c r="H25" i="11"/>
  <c r="H15" i="13" s="1"/>
  <c r="H27" i="11"/>
  <c r="H26" i="11"/>
  <c r="H16" i="13" s="1"/>
  <c r="K12" i="21"/>
  <c r="K7" i="18"/>
  <c r="K16" i="14"/>
  <c r="K15" i="14"/>
  <c r="K14" i="14"/>
  <c r="K17" i="14"/>
  <c r="K25" i="18" s="1"/>
  <c r="J8" i="14"/>
  <c r="J21" i="12"/>
  <c r="I8" i="14"/>
  <c r="I21" i="12"/>
  <c r="E18" i="13"/>
  <c r="E14" i="18" s="1"/>
  <c r="C12" i="21"/>
  <c r="C7" i="18"/>
  <c r="C16" i="14"/>
  <c r="C14" i="14"/>
  <c r="C17" i="14"/>
  <c r="C25" i="18" s="1"/>
  <c r="C15" i="14"/>
  <c r="D17" i="13"/>
  <c r="D10" i="14"/>
  <c r="H21" i="12"/>
  <c r="H8" i="14"/>
  <c r="J27" i="11"/>
  <c r="J26" i="11"/>
  <c r="J16" i="13" s="1"/>
  <c r="J25" i="11"/>
  <c r="J15" i="13" s="1"/>
  <c r="K7" i="14"/>
  <c r="K20" i="12"/>
  <c r="K22" i="12" s="1"/>
  <c r="B8" i="14"/>
  <c r="B21" i="12"/>
  <c r="F24" i="18"/>
  <c r="F18" i="14"/>
  <c r="C8" i="14"/>
  <c r="C21" i="12"/>
  <c r="I27" i="11"/>
  <c r="I25" i="11"/>
  <c r="I15" i="13" s="1"/>
  <c r="I26" i="11"/>
  <c r="I16" i="13" s="1"/>
  <c r="C7" i="14"/>
  <c r="C20" i="12"/>
  <c r="F7" i="14"/>
  <c r="F20" i="12"/>
  <c r="C12" i="13"/>
  <c r="I24" i="18"/>
  <c r="I18" i="14"/>
  <c r="B12" i="21"/>
  <c r="B7" i="18"/>
  <c r="B17" i="14"/>
  <c r="B25" i="18" s="1"/>
  <c r="B14" i="14"/>
  <c r="B16" i="14"/>
  <c r="B15" i="14"/>
  <c r="J24" i="18"/>
  <c r="J18" i="14"/>
  <c r="G25" i="13"/>
  <c r="G15" i="18" s="1"/>
  <c r="K25" i="13"/>
  <c r="K15" i="18" s="1"/>
  <c r="C36" i="18"/>
  <c r="J7" i="14"/>
  <c r="J20" i="12"/>
  <c r="G24" i="18"/>
  <c r="G18" i="14"/>
  <c r="I7" i="14"/>
  <c r="I20" i="12"/>
  <c r="K13" i="18"/>
  <c r="D11" i="14"/>
  <c r="B27" i="11"/>
  <c r="B25" i="11"/>
  <c r="B15" i="13" s="1"/>
  <c r="B26" i="11"/>
  <c r="B16" i="13" s="1"/>
  <c r="E11" i="14"/>
  <c r="E25" i="12"/>
  <c r="H12" i="13"/>
  <c r="B25" i="13"/>
  <c r="B15" i="18" s="1"/>
  <c r="L7" i="21"/>
  <c r="L24" i="15"/>
  <c r="L25" i="15" s="1"/>
  <c r="L9" i="21" s="1"/>
  <c r="L24" i="13"/>
  <c r="L21" i="13"/>
  <c r="L9" i="13"/>
  <c r="L11" i="13"/>
  <c r="L8" i="13"/>
  <c r="L9" i="14"/>
  <c r="L10" i="13"/>
  <c r="L17" i="11"/>
  <c r="L28" i="12"/>
  <c r="L21" i="11"/>
  <c r="L23" i="13"/>
  <c r="L22" i="13"/>
  <c r="L22" i="11"/>
  <c r="L18" i="11"/>
  <c r="F27" i="11"/>
  <c r="F25" i="11"/>
  <c r="F15" i="13" s="1"/>
  <c r="F26" i="11"/>
  <c r="F16" i="13" s="1"/>
  <c r="B12" i="13"/>
  <c r="H7" i="14"/>
  <c r="H20" i="12"/>
  <c r="C20" i="17"/>
  <c r="D7" i="17"/>
  <c r="C24" i="20"/>
  <c r="G12" i="13"/>
  <c r="D22" i="12"/>
  <c r="J25" i="13"/>
  <c r="J15" i="18" s="1"/>
  <c r="C28" i="12"/>
  <c r="I25" i="13"/>
  <c r="I15" i="18" s="1"/>
  <c r="C13" i="19" l="1"/>
  <c r="C14" i="19" s="1"/>
  <c r="E13" i="21"/>
  <c r="E10" i="18"/>
  <c r="E13" i="16"/>
  <c r="E9" i="20" s="1"/>
  <c r="E29" i="12"/>
  <c r="B22" i="12"/>
  <c r="K25" i="12"/>
  <c r="I22" i="12"/>
  <c r="K24" i="18"/>
  <c r="K18" i="14"/>
  <c r="C18" i="15"/>
  <c r="F10" i="14"/>
  <c r="F11" i="14" s="1"/>
  <c r="F17" i="13"/>
  <c r="F18" i="13" s="1"/>
  <c r="B24" i="18"/>
  <c r="B18" i="14"/>
  <c r="G10" i="14"/>
  <c r="G17" i="13"/>
  <c r="L12" i="13"/>
  <c r="L12" i="21"/>
  <c r="L7" i="18"/>
  <c r="L16" i="14"/>
  <c r="L15" i="14"/>
  <c r="L14" i="14"/>
  <c r="L17" i="14"/>
  <c r="L25" i="18" s="1"/>
  <c r="C24" i="18"/>
  <c r="C18" i="14"/>
  <c r="G11" i="14"/>
  <c r="I17" i="13"/>
  <c r="I18" i="13" s="1"/>
  <c r="I10" i="14"/>
  <c r="I11" i="14" s="1"/>
  <c r="L8" i="14"/>
  <c r="L21" i="12"/>
  <c r="H13" i="18"/>
  <c r="K9" i="18"/>
  <c r="K30" i="12"/>
  <c r="L7" i="14"/>
  <c r="L20" i="12"/>
  <c r="J17" i="13"/>
  <c r="J10" i="14"/>
  <c r="D9" i="18"/>
  <c r="D30" i="12"/>
  <c r="D25" i="12"/>
  <c r="C13" i="18"/>
  <c r="L25" i="13"/>
  <c r="L15" i="18" s="1"/>
  <c r="J22" i="12"/>
  <c r="N9" i="12"/>
  <c r="N8" i="12"/>
  <c r="N14" i="11"/>
  <c r="K17" i="13"/>
  <c r="K18" i="13" s="1"/>
  <c r="K10" i="14"/>
  <c r="K11" i="14" s="1"/>
  <c r="B17" i="13"/>
  <c r="B10" i="14"/>
  <c r="B11" i="14" s="1"/>
  <c r="D28" i="13"/>
  <c r="G18" i="13"/>
  <c r="G14" i="18" s="1"/>
  <c r="G13" i="18"/>
  <c r="D10" i="17"/>
  <c r="D21" i="17" s="1"/>
  <c r="D9" i="17"/>
  <c r="D8" i="17"/>
  <c r="D17" i="19" s="1"/>
  <c r="J11" i="14"/>
  <c r="C22" i="12"/>
  <c r="J18" i="13"/>
  <c r="F22" i="12"/>
  <c r="E28" i="13"/>
  <c r="C27" i="21"/>
  <c r="C28" i="20"/>
  <c r="C29" i="20" s="1"/>
  <c r="H10" i="14"/>
  <c r="H11" i="14" s="1"/>
  <c r="H17" i="13"/>
  <c r="F15" i="17"/>
  <c r="G13" i="17" s="1"/>
  <c r="F17" i="17"/>
  <c r="F16" i="17"/>
  <c r="B18" i="13"/>
  <c r="B14" i="18" s="1"/>
  <c r="H22" i="12"/>
  <c r="H18" i="13"/>
  <c r="H14" i="18" s="1"/>
  <c r="F13" i="18"/>
  <c r="M7" i="21"/>
  <c r="M24" i="15"/>
  <c r="M25" i="15" s="1"/>
  <c r="M9" i="21" s="1"/>
  <c r="M22" i="13"/>
  <c r="M11" i="13"/>
  <c r="M9" i="13"/>
  <c r="M22" i="11"/>
  <c r="M8" i="13"/>
  <c r="M9" i="14"/>
  <c r="M10" i="13"/>
  <c r="M23" i="13"/>
  <c r="M21" i="13"/>
  <c r="M17" i="11"/>
  <c r="M28" i="12"/>
  <c r="M24" i="13"/>
  <c r="M18" i="11"/>
  <c r="M21" i="11"/>
  <c r="B4" i="23"/>
  <c r="G9" i="18"/>
  <c r="G30" i="12"/>
  <c r="G25" i="12"/>
  <c r="L26" i="11"/>
  <c r="L16" i="13" s="1"/>
  <c r="L25" i="11"/>
  <c r="L15" i="13" s="1"/>
  <c r="L27" i="11"/>
  <c r="D23" i="18"/>
  <c r="D21" i="14"/>
  <c r="M12" i="12"/>
  <c r="M15" i="12"/>
  <c r="M17" i="12" s="1"/>
  <c r="M8" i="18" s="1"/>
  <c r="E23" i="18"/>
  <c r="E21" i="14"/>
  <c r="N10" i="12"/>
  <c r="N11" i="12"/>
  <c r="B13" i="18"/>
  <c r="C17" i="13"/>
  <c r="C18" i="13" s="1"/>
  <c r="C10" i="14"/>
  <c r="C11" i="14" s="1"/>
  <c r="P9" i="11"/>
  <c r="O13" i="11"/>
  <c r="O12" i="11"/>
  <c r="C23" i="18" l="1"/>
  <c r="C21" i="14"/>
  <c r="H23" i="18"/>
  <c r="H21" i="14"/>
  <c r="F23" i="18"/>
  <c r="F21" i="14"/>
  <c r="B23" i="18"/>
  <c r="B21" i="14"/>
  <c r="K23" i="18"/>
  <c r="K21" i="14"/>
  <c r="C14" i="18"/>
  <c r="C28" i="13"/>
  <c r="F14" i="18"/>
  <c r="F28" i="13"/>
  <c r="I23" i="18"/>
  <c r="I21" i="14"/>
  <c r="I14" i="18"/>
  <c r="I28" i="13"/>
  <c r="K14" i="18"/>
  <c r="K28" i="13"/>
  <c r="H28" i="13"/>
  <c r="L13" i="18"/>
  <c r="J9" i="18"/>
  <c r="J25" i="12"/>
  <c r="J30" i="12"/>
  <c r="M12" i="21"/>
  <c r="M7" i="18"/>
  <c r="M15" i="14"/>
  <c r="M17" i="14"/>
  <c r="M25" i="18" s="1"/>
  <c r="M16" i="14"/>
  <c r="M14" i="14"/>
  <c r="B5" i="23"/>
  <c r="I9" i="18"/>
  <c r="I30" i="12"/>
  <c r="I25" i="12"/>
  <c r="H9" i="18"/>
  <c r="H30" i="12"/>
  <c r="H25" i="12"/>
  <c r="G23" i="18"/>
  <c r="G21" i="14"/>
  <c r="K13" i="21"/>
  <c r="K32" i="13"/>
  <c r="K10" i="18"/>
  <c r="K13" i="16"/>
  <c r="K9" i="20" s="1"/>
  <c r="K29" i="12"/>
  <c r="M7" i="14"/>
  <c r="M20" i="12"/>
  <c r="N7" i="21"/>
  <c r="N24" i="15"/>
  <c r="N25" i="15" s="1"/>
  <c r="N9" i="21" s="1"/>
  <c r="N23" i="13"/>
  <c r="N9" i="13"/>
  <c r="N22" i="11"/>
  <c r="N8" i="13"/>
  <c r="N9" i="14"/>
  <c r="N11" i="13"/>
  <c r="N10" i="13"/>
  <c r="N17" i="11"/>
  <c r="N24" i="13"/>
  <c r="N28" i="12"/>
  <c r="N22" i="13"/>
  <c r="N21" i="11"/>
  <c r="N21" i="13"/>
  <c r="N18" i="11"/>
  <c r="B9" i="18"/>
  <c r="B30" i="12"/>
  <c r="B25" i="12"/>
  <c r="E16" i="18"/>
  <c r="E9" i="16"/>
  <c r="E8" i="16"/>
  <c r="E16" i="16"/>
  <c r="E22" i="20" s="1"/>
  <c r="E7" i="16"/>
  <c r="E10" i="16" s="1"/>
  <c r="E31" i="13"/>
  <c r="D20" i="16"/>
  <c r="D23" i="20" s="1"/>
  <c r="D26" i="18"/>
  <c r="D19" i="16"/>
  <c r="D11" i="20" s="1"/>
  <c r="D13" i="21"/>
  <c r="D10" i="18"/>
  <c r="D32" i="13"/>
  <c r="D13" i="16"/>
  <c r="D9" i="20" s="1"/>
  <c r="D29" i="12"/>
  <c r="L11" i="14"/>
  <c r="M26" i="11"/>
  <c r="M16" i="13" s="1"/>
  <c r="M25" i="11"/>
  <c r="M15" i="13" s="1"/>
  <c r="M27" i="11"/>
  <c r="D16" i="18"/>
  <c r="D8" i="16"/>
  <c r="D16" i="16"/>
  <c r="D22" i="20" s="1"/>
  <c r="D7" i="16"/>
  <c r="D9" i="16"/>
  <c r="D31" i="13"/>
  <c r="G15" i="17"/>
  <c r="H13" i="17" s="1"/>
  <c r="G17" i="17"/>
  <c r="G16" i="17"/>
  <c r="E26" i="18"/>
  <c r="E20" i="16"/>
  <c r="E23" i="20" s="1"/>
  <c r="E19" i="16"/>
  <c r="E11" i="20" s="1"/>
  <c r="F9" i="18"/>
  <c r="F25" i="12"/>
  <c r="F30" i="12"/>
  <c r="E32" i="13"/>
  <c r="N12" i="12"/>
  <c r="N15" i="12"/>
  <c r="N17" i="12" s="1"/>
  <c r="N8" i="18" s="1"/>
  <c r="M12" i="13"/>
  <c r="L18" i="13"/>
  <c r="L14" i="18" s="1"/>
  <c r="E19" i="18"/>
  <c r="E20" i="18" s="1"/>
  <c r="E18" i="21" s="1"/>
  <c r="M8" i="14"/>
  <c r="M21" i="12"/>
  <c r="B28" i="13"/>
  <c r="L17" i="13"/>
  <c r="L10" i="14"/>
  <c r="J23" i="18"/>
  <c r="J21" i="14"/>
  <c r="E7" i="17"/>
  <c r="D20" i="17"/>
  <c r="D24" i="20"/>
  <c r="L24" i="18"/>
  <c r="L18" i="14"/>
  <c r="E14" i="21"/>
  <c r="M25" i="13"/>
  <c r="M15" i="18" s="1"/>
  <c r="N16" i="12"/>
  <c r="D36" i="18"/>
  <c r="D7" i="15"/>
  <c r="C20" i="15"/>
  <c r="C15" i="20" s="1"/>
  <c r="C16" i="20" s="1"/>
  <c r="J14" i="18"/>
  <c r="J28" i="13"/>
  <c r="C9" i="18"/>
  <c r="C30" i="12"/>
  <c r="C25" i="12"/>
  <c r="O9" i="12"/>
  <c r="O16" i="12" s="1"/>
  <c r="O8" i="12"/>
  <c r="O14" i="11"/>
  <c r="G13" i="21"/>
  <c r="G10" i="18"/>
  <c r="G32" i="13"/>
  <c r="G13" i="16"/>
  <c r="G9" i="20" s="1"/>
  <c r="G29" i="12"/>
  <c r="O10" i="12"/>
  <c r="O11" i="12"/>
  <c r="Q9" i="11"/>
  <c r="P12" i="11"/>
  <c r="P13" i="11"/>
  <c r="G28" i="13"/>
  <c r="L22" i="12"/>
  <c r="N12" i="21" l="1"/>
  <c r="N7" i="18"/>
  <c r="N15" i="14"/>
  <c r="N17" i="14"/>
  <c r="N25" i="18" s="1"/>
  <c r="N16" i="14"/>
  <c r="N14" i="14"/>
  <c r="H13" i="21"/>
  <c r="H10" i="18"/>
  <c r="H32" i="13"/>
  <c r="H13" i="16"/>
  <c r="H9" i="20" s="1"/>
  <c r="H29" i="12"/>
  <c r="I16" i="18"/>
  <c r="I9" i="16"/>
  <c r="I8" i="16"/>
  <c r="I16" i="16"/>
  <c r="I22" i="20" s="1"/>
  <c r="I7" i="16"/>
  <c r="I31" i="13"/>
  <c r="E10" i="20"/>
  <c r="E23" i="16"/>
  <c r="M24" i="18"/>
  <c r="M18" i="14"/>
  <c r="E9" i="17"/>
  <c r="E10" i="17"/>
  <c r="E21" i="17" s="1"/>
  <c r="E8" i="17"/>
  <c r="E17" i="19" s="1"/>
  <c r="K20" i="16"/>
  <c r="K23" i="20" s="1"/>
  <c r="K26" i="18"/>
  <c r="K19" i="16"/>
  <c r="K11" i="20" s="1"/>
  <c r="G19" i="16"/>
  <c r="G11" i="20" s="1"/>
  <c r="G26" i="18"/>
  <c r="G20" i="16"/>
  <c r="G23" i="20" s="1"/>
  <c r="I19" i="16"/>
  <c r="I11" i="20" s="1"/>
  <c r="I20" i="16"/>
  <c r="I23" i="20" s="1"/>
  <c r="I26" i="18"/>
  <c r="N12" i="13"/>
  <c r="H15" i="17"/>
  <c r="I13" i="17" s="1"/>
  <c r="H17" i="17"/>
  <c r="H16" i="17"/>
  <c r="J16" i="18"/>
  <c r="J9" i="16"/>
  <c r="J8" i="16"/>
  <c r="J16" i="16"/>
  <c r="J22" i="20" s="1"/>
  <c r="J7" i="16"/>
  <c r="J10" i="16" s="1"/>
  <c r="J31" i="13"/>
  <c r="N8" i="21"/>
  <c r="M13" i="18"/>
  <c r="K14" i="21"/>
  <c r="G14" i="21"/>
  <c r="D19" i="18"/>
  <c r="D29" i="18" s="1"/>
  <c r="O7" i="21"/>
  <c r="O24" i="15"/>
  <c r="O25" i="15" s="1"/>
  <c r="O9" i="21" s="1"/>
  <c r="O9" i="14"/>
  <c r="O22" i="13"/>
  <c r="O24" i="13"/>
  <c r="O8" i="13"/>
  <c r="O11" i="13"/>
  <c r="O10" i="13"/>
  <c r="O23" i="13"/>
  <c r="O28" i="12"/>
  <c r="O22" i="11"/>
  <c r="O21" i="13"/>
  <c r="O25" i="13" s="1"/>
  <c r="O15" i="18" s="1"/>
  <c r="O9" i="13"/>
  <c r="O17" i="11"/>
  <c r="O21" i="11"/>
  <c r="O18" i="11"/>
  <c r="B26" i="18"/>
  <c r="B20" i="16"/>
  <c r="B23" i="20" s="1"/>
  <c r="B19" i="16"/>
  <c r="B11" i="20" s="1"/>
  <c r="B13" i="21"/>
  <c r="B10" i="18"/>
  <c r="B32" i="13"/>
  <c r="B13" i="16"/>
  <c r="B9" i="20" s="1"/>
  <c r="B29" i="12"/>
  <c r="F20" i="16"/>
  <c r="F23" i="20" s="1"/>
  <c r="F19" i="16"/>
  <c r="F11" i="20" s="1"/>
  <c r="F26" i="18"/>
  <c r="H16" i="18"/>
  <c r="H9" i="16"/>
  <c r="H8" i="16"/>
  <c r="H16" i="16"/>
  <c r="H22" i="20" s="1"/>
  <c r="H7" i="16"/>
  <c r="H10" i="16" s="1"/>
  <c r="H31" i="13"/>
  <c r="D27" i="21"/>
  <c r="D28" i="20"/>
  <c r="D29" i="20" s="1"/>
  <c r="D14" i="21"/>
  <c r="I13" i="21"/>
  <c r="I10" i="18"/>
  <c r="I32" i="13"/>
  <c r="I13" i="16"/>
  <c r="I9" i="20" s="1"/>
  <c r="I29" i="12"/>
  <c r="F16" i="18"/>
  <c r="F16" i="16"/>
  <c r="F22" i="20" s="1"/>
  <c r="F7" i="16"/>
  <c r="F8" i="16"/>
  <c r="F9" i="16"/>
  <c r="F31" i="13"/>
  <c r="C16" i="18"/>
  <c r="C8" i="16"/>
  <c r="C16" i="16"/>
  <c r="C22" i="20" s="1"/>
  <c r="C25" i="20" s="1"/>
  <c r="C31" i="20" s="1"/>
  <c r="C7" i="16"/>
  <c r="C9" i="16"/>
  <c r="C31" i="13"/>
  <c r="D12" i="15"/>
  <c r="D14" i="15" s="1"/>
  <c r="D9" i="15"/>
  <c r="D18" i="15"/>
  <c r="L9" i="18"/>
  <c r="L30" i="12"/>
  <c r="L25" i="12"/>
  <c r="D25" i="20"/>
  <c r="M22" i="12"/>
  <c r="D10" i="16"/>
  <c r="G16" i="18"/>
  <c r="G19" i="18" s="1"/>
  <c r="G8" i="16"/>
  <c r="G16" i="16"/>
  <c r="G22" i="20" s="1"/>
  <c r="G9" i="16"/>
  <c r="G7" i="16"/>
  <c r="G10" i="16" s="1"/>
  <c r="G31" i="13"/>
  <c r="M11" i="14"/>
  <c r="H20" i="16"/>
  <c r="H23" i="20" s="1"/>
  <c r="H26" i="18"/>
  <c r="H19" i="16"/>
  <c r="H11" i="20" s="1"/>
  <c r="L23" i="18"/>
  <c r="L21" i="14"/>
  <c r="K16" i="18"/>
  <c r="K19" i="18" s="1"/>
  <c r="K16" i="16"/>
  <c r="K22" i="20" s="1"/>
  <c r="K8" i="16"/>
  <c r="K9" i="16"/>
  <c r="K7" i="16"/>
  <c r="K31" i="13"/>
  <c r="N7" i="14"/>
  <c r="N20" i="12"/>
  <c r="O12" i="12"/>
  <c r="O15" i="12"/>
  <c r="O17" i="12" s="1"/>
  <c r="O8" i="18" s="1"/>
  <c r="J20" i="16"/>
  <c r="J23" i="20" s="1"/>
  <c r="J19" i="16"/>
  <c r="J11" i="20" s="1"/>
  <c r="J26" i="18"/>
  <c r="N8" i="14"/>
  <c r="N21" i="12"/>
  <c r="J13" i="21"/>
  <c r="J10" i="18"/>
  <c r="J32" i="13"/>
  <c r="J13" i="16"/>
  <c r="J9" i="20" s="1"/>
  <c r="J29" i="12"/>
  <c r="F13" i="21"/>
  <c r="F10" i="18"/>
  <c r="F32" i="13"/>
  <c r="F13" i="16"/>
  <c r="F9" i="20" s="1"/>
  <c r="F29" i="12"/>
  <c r="E29" i="18"/>
  <c r="P11" i="12"/>
  <c r="P10" i="12"/>
  <c r="R9" i="11"/>
  <c r="Q12" i="11"/>
  <c r="Q13" i="11"/>
  <c r="M10" i="14"/>
  <c r="M17" i="13"/>
  <c r="N25" i="13"/>
  <c r="N15" i="18" s="1"/>
  <c r="C20" i="16"/>
  <c r="C23" i="20" s="1"/>
  <c r="C26" i="18"/>
  <c r="C19" i="16"/>
  <c r="C11" i="20" s="1"/>
  <c r="C13" i="21"/>
  <c r="C32" i="13"/>
  <c r="C10" i="18"/>
  <c r="C13" i="16"/>
  <c r="C9" i="20" s="1"/>
  <c r="C29" i="12"/>
  <c r="B16" i="16"/>
  <c r="B22" i="20" s="1"/>
  <c r="B25" i="20" s="1"/>
  <c r="B31" i="20" s="1"/>
  <c r="B8" i="16"/>
  <c r="B7" i="16"/>
  <c r="B9" i="16"/>
  <c r="B16" i="18"/>
  <c r="B31" i="13"/>
  <c r="P8" i="12"/>
  <c r="P14" i="11"/>
  <c r="P9" i="12"/>
  <c r="M18" i="13"/>
  <c r="M14" i="18" s="1"/>
  <c r="N26" i="11"/>
  <c r="N16" i="13" s="1"/>
  <c r="N27" i="11"/>
  <c r="N25" i="11"/>
  <c r="N15" i="13" s="1"/>
  <c r="L28" i="13"/>
  <c r="K29" i="18" l="1"/>
  <c r="K20" i="18"/>
  <c r="K18" i="21" s="1"/>
  <c r="G29" i="18"/>
  <c r="G20" i="18"/>
  <c r="G18" i="21" s="1"/>
  <c r="C14" i="21"/>
  <c r="D19" i="21"/>
  <c r="D33" i="18"/>
  <c r="D30" i="21"/>
  <c r="D30" i="18"/>
  <c r="D20" i="21" s="1"/>
  <c r="O26" i="11"/>
  <c r="O16" i="13" s="1"/>
  <c r="O27" i="11"/>
  <c r="O25" i="11"/>
  <c r="O15" i="13" s="1"/>
  <c r="N17" i="13"/>
  <c r="N10" i="14"/>
  <c r="F10" i="16"/>
  <c r="E19" i="21"/>
  <c r="E33" i="18"/>
  <c r="E30" i="18"/>
  <c r="E20" i="21" s="1"/>
  <c r="F14" i="21"/>
  <c r="C10" i="16"/>
  <c r="H19" i="18"/>
  <c r="H29" i="18" s="1"/>
  <c r="H30" i="18"/>
  <c r="H20" i="21" s="1"/>
  <c r="H20" i="18"/>
  <c r="H18" i="21" s="1"/>
  <c r="C30" i="18"/>
  <c r="C20" i="21" s="1"/>
  <c r="C19" i="18"/>
  <c r="C29" i="18" s="1"/>
  <c r="C20" i="18"/>
  <c r="C18" i="21" s="1"/>
  <c r="M23" i="18"/>
  <c r="M21" i="14"/>
  <c r="N18" i="13"/>
  <c r="N14" i="18" s="1"/>
  <c r="D13" i="19"/>
  <c r="D14" i="19" s="1"/>
  <c r="L19" i="16"/>
  <c r="L11" i="20" s="1"/>
  <c r="L20" i="16"/>
  <c r="L23" i="20" s="1"/>
  <c r="L26" i="18"/>
  <c r="O7" i="14"/>
  <c r="O20" i="12"/>
  <c r="H10" i="20"/>
  <c r="H23" i="16"/>
  <c r="M28" i="13"/>
  <c r="E30" i="21"/>
  <c r="E36" i="18"/>
  <c r="O12" i="13"/>
  <c r="F7" i="17"/>
  <c r="E20" i="17"/>
  <c r="E24" i="20"/>
  <c r="E25" i="20" s="1"/>
  <c r="N24" i="18"/>
  <c r="N18" i="14"/>
  <c r="E7" i="15"/>
  <c r="D20" i="15"/>
  <c r="D15" i="20" s="1"/>
  <c r="D16" i="20" s="1"/>
  <c r="I15" i="17"/>
  <c r="J13" i="17" s="1"/>
  <c r="I17" i="17"/>
  <c r="I16" i="17"/>
  <c r="L16" i="18"/>
  <c r="L16" i="16"/>
  <c r="L22" i="20" s="1"/>
  <c r="L8" i="16"/>
  <c r="L9" i="16"/>
  <c r="L7" i="16"/>
  <c r="L31" i="13"/>
  <c r="H14" i="21"/>
  <c r="J10" i="20"/>
  <c r="J23" i="16"/>
  <c r="Q11" i="12"/>
  <c r="Q10" i="12"/>
  <c r="P7" i="21"/>
  <c r="P9" i="14"/>
  <c r="P24" i="15"/>
  <c r="P25" i="15" s="1"/>
  <c r="P9" i="21" s="1"/>
  <c r="P22" i="13"/>
  <c r="P24" i="13"/>
  <c r="P9" i="13"/>
  <c r="P21" i="13"/>
  <c r="P25" i="13" s="1"/>
  <c r="P15" i="18" s="1"/>
  <c r="P11" i="13"/>
  <c r="P10" i="13"/>
  <c r="P23" i="13"/>
  <c r="P8" i="13"/>
  <c r="P22" i="11"/>
  <c r="P21" i="11"/>
  <c r="P18" i="11"/>
  <c r="P17" i="11"/>
  <c r="D10" i="20"/>
  <c r="D23" i="16"/>
  <c r="N22" i="12"/>
  <c r="D31" i="20"/>
  <c r="I19" i="18"/>
  <c r="I29" i="18" s="1"/>
  <c r="B14" i="21"/>
  <c r="E38" i="21"/>
  <c r="E39" i="21" s="1"/>
  <c r="N13" i="18"/>
  <c r="F19" i="18"/>
  <c r="F29" i="18" s="1"/>
  <c r="F30" i="18"/>
  <c r="F20" i="21" s="1"/>
  <c r="F20" i="18"/>
  <c r="F18" i="21" s="1"/>
  <c r="G10" i="20"/>
  <c r="G23" i="16"/>
  <c r="P12" i="12"/>
  <c r="P15" i="12"/>
  <c r="P17" i="12" s="1"/>
  <c r="P8" i="18" s="1"/>
  <c r="O12" i="21"/>
  <c r="O17" i="14"/>
  <c r="O25" i="18" s="1"/>
  <c r="O15" i="14"/>
  <c r="O16" i="14"/>
  <c r="O7" i="18"/>
  <c r="O14" i="14"/>
  <c r="M9" i="18"/>
  <c r="M30" i="12"/>
  <c r="M25" i="12"/>
  <c r="B19" i="18"/>
  <c r="B20" i="18"/>
  <c r="Q8" i="12"/>
  <c r="Q14" i="11"/>
  <c r="Q9" i="12"/>
  <c r="Q16" i="12" s="1"/>
  <c r="R12" i="11"/>
  <c r="S9" i="11"/>
  <c r="R13" i="11"/>
  <c r="N11" i="14"/>
  <c r="L13" i="21"/>
  <c r="L32" i="13"/>
  <c r="L10" i="18"/>
  <c r="L13" i="16"/>
  <c r="L9" i="20" s="1"/>
  <c r="L29" i="12"/>
  <c r="I14" i="21"/>
  <c r="J19" i="18"/>
  <c r="J29" i="18" s="1"/>
  <c r="J14" i="21"/>
  <c r="P16" i="12"/>
  <c r="O8" i="21"/>
  <c r="O8" i="14"/>
  <c r="O21" i="12"/>
  <c r="B10" i="16"/>
  <c r="K10" i="16"/>
  <c r="D20" i="18"/>
  <c r="D18" i="21" s="1"/>
  <c r="I10" i="16"/>
  <c r="L19" i="18" l="1"/>
  <c r="L29" i="18" s="1"/>
  <c r="L30" i="18" s="1"/>
  <c r="L20" i="21" s="1"/>
  <c r="L20" i="18"/>
  <c r="L18" i="21" s="1"/>
  <c r="O13" i="18"/>
  <c r="C19" i="21"/>
  <c r="C33" i="18"/>
  <c r="C30" i="21"/>
  <c r="J38" i="21"/>
  <c r="J39" i="21" s="1"/>
  <c r="J24" i="16"/>
  <c r="J9" i="19" s="1"/>
  <c r="I19" i="21"/>
  <c r="I33" i="18"/>
  <c r="B18" i="21"/>
  <c r="B10" i="20"/>
  <c r="B23" i="16"/>
  <c r="G38" i="21"/>
  <c r="G39" i="21" s="1"/>
  <c r="G24" i="16"/>
  <c r="G9" i="19" s="1"/>
  <c r="F10" i="17"/>
  <c r="F21" i="17" s="1"/>
  <c r="F8" i="17"/>
  <c r="F17" i="19" s="1"/>
  <c r="Q7" i="21"/>
  <c r="Q9" i="14"/>
  <c r="Q24" i="15"/>
  <c r="Q25" i="15" s="1"/>
  <c r="Q9" i="21" s="1"/>
  <c r="Q22" i="13"/>
  <c r="Q24" i="13"/>
  <c r="Q9" i="13"/>
  <c r="Q21" i="13"/>
  <c r="Q11" i="13"/>
  <c r="Q10" i="13"/>
  <c r="Q23" i="13"/>
  <c r="Q28" i="12"/>
  <c r="Q22" i="11"/>
  <c r="Q17" i="11"/>
  <c r="Q18" i="11"/>
  <c r="Q8" i="13"/>
  <c r="Q21" i="11"/>
  <c r="B29" i="18"/>
  <c r="H38" i="21"/>
  <c r="H39" i="21" s="1"/>
  <c r="H24" i="16"/>
  <c r="H9" i="19" s="1"/>
  <c r="K10" i="20"/>
  <c r="K23" i="16"/>
  <c r="P8" i="21"/>
  <c r="M16" i="18"/>
  <c r="M7" i="16"/>
  <c r="M16" i="16"/>
  <c r="M22" i="20" s="1"/>
  <c r="M8" i="16"/>
  <c r="M9" i="16"/>
  <c r="M31" i="13"/>
  <c r="B7" i="23"/>
  <c r="B18" i="23" s="1"/>
  <c r="N28" i="13"/>
  <c r="R10" i="12"/>
  <c r="R11" i="12"/>
  <c r="P12" i="21"/>
  <c r="P17" i="14"/>
  <c r="P25" i="18" s="1"/>
  <c r="P15" i="14"/>
  <c r="P16" i="14"/>
  <c r="P7" i="18"/>
  <c r="P14" i="14"/>
  <c r="T9" i="11"/>
  <c r="S12" i="11"/>
  <c r="S13" i="11"/>
  <c r="M26" i="18"/>
  <c r="M19" i="16"/>
  <c r="M11" i="20" s="1"/>
  <c r="M20" i="16"/>
  <c r="M23" i="20" s="1"/>
  <c r="E27" i="21"/>
  <c r="E28" i="20"/>
  <c r="E29" i="20" s="1"/>
  <c r="E31" i="20" s="1"/>
  <c r="O22" i="12"/>
  <c r="I20" i="18"/>
  <c r="I18" i="21" s="1"/>
  <c r="J19" i="21"/>
  <c r="J33" i="18"/>
  <c r="P28" i="12"/>
  <c r="P12" i="13"/>
  <c r="L10" i="16"/>
  <c r="Q15" i="12"/>
  <c r="Q17" i="12" s="1"/>
  <c r="Q8" i="18" s="1"/>
  <c r="Q12" i="12"/>
  <c r="P7" i="14"/>
  <c r="P20" i="12"/>
  <c r="J20" i="18"/>
  <c r="J18" i="21" s="1"/>
  <c r="P26" i="11"/>
  <c r="P16" i="13" s="1"/>
  <c r="P25" i="11"/>
  <c r="P15" i="13" s="1"/>
  <c r="P27" i="11"/>
  <c r="M13" i="21"/>
  <c r="M10" i="18"/>
  <c r="M32" i="13"/>
  <c r="M13" i="16"/>
  <c r="M9" i="20" s="1"/>
  <c r="M29" i="12"/>
  <c r="B6" i="23"/>
  <c r="H19" i="21"/>
  <c r="H33" i="18"/>
  <c r="E37" i="18"/>
  <c r="E34" i="18"/>
  <c r="E21" i="21" s="1"/>
  <c r="L14" i="21"/>
  <c r="N23" i="18"/>
  <c r="N21" i="14"/>
  <c r="I30" i="18"/>
  <c r="I20" i="21" s="1"/>
  <c r="R9" i="12"/>
  <c r="R16" i="12" s="1"/>
  <c r="R8" i="12"/>
  <c r="R14" i="11"/>
  <c r="N9" i="18"/>
  <c r="N30" i="12"/>
  <c r="N25" i="12"/>
  <c r="D38" i="21"/>
  <c r="D39" i="21" s="1"/>
  <c r="D24" i="16"/>
  <c r="D9" i="19" s="1"/>
  <c r="O17" i="13"/>
  <c r="O18" i="13" s="1"/>
  <c r="O10" i="14"/>
  <c r="O11" i="14" s="1"/>
  <c r="P8" i="14"/>
  <c r="P21" i="12"/>
  <c r="D37" i="18"/>
  <c r="D34" i="18"/>
  <c r="D21" i="21" s="1"/>
  <c r="F19" i="21"/>
  <c r="F33" i="18"/>
  <c r="J30" i="18"/>
  <c r="J20" i="21" s="1"/>
  <c r="E24" i="16"/>
  <c r="E9" i="19" s="1"/>
  <c r="C10" i="20"/>
  <c r="C23" i="16"/>
  <c r="E12" i="15"/>
  <c r="E14" i="15" s="1"/>
  <c r="E9" i="15"/>
  <c r="F10" i="20"/>
  <c r="F23" i="16"/>
  <c r="O24" i="18"/>
  <c r="O18" i="14"/>
  <c r="G19" i="21"/>
  <c r="G33" i="18"/>
  <c r="G30" i="18"/>
  <c r="G20" i="21" s="1"/>
  <c r="J16" i="17"/>
  <c r="J17" i="17"/>
  <c r="J15" i="17"/>
  <c r="K13" i="17" s="1"/>
  <c r="I10" i="20"/>
  <c r="I23" i="16"/>
  <c r="K19" i="21"/>
  <c r="K33" i="18"/>
  <c r="K30" i="18"/>
  <c r="K20" i="21" s="1"/>
  <c r="O14" i="18" l="1"/>
  <c r="O28" i="13"/>
  <c r="O23" i="18"/>
  <c r="O21" i="14"/>
  <c r="R7" i="21"/>
  <c r="R9" i="14"/>
  <c r="R22" i="13"/>
  <c r="R24" i="13"/>
  <c r="R24" i="15"/>
  <c r="R25" i="15" s="1"/>
  <c r="R9" i="21" s="1"/>
  <c r="R9" i="13"/>
  <c r="R21" i="13"/>
  <c r="R11" i="13"/>
  <c r="R23" i="13"/>
  <c r="R28" i="12"/>
  <c r="R22" i="11"/>
  <c r="R18" i="11"/>
  <c r="R10" i="13"/>
  <c r="R17" i="11"/>
  <c r="R8" i="13"/>
  <c r="R21" i="11"/>
  <c r="S9" i="12"/>
  <c r="S16" i="12" s="1"/>
  <c r="S14" i="11"/>
  <c r="S8" i="12"/>
  <c r="I34" i="18"/>
  <c r="I21" i="21" s="1"/>
  <c r="M19" i="18"/>
  <c r="M20" i="18"/>
  <c r="M18" i="21" s="1"/>
  <c r="N13" i="21"/>
  <c r="N32" i="13"/>
  <c r="N10" i="18"/>
  <c r="N13" i="16"/>
  <c r="N9" i="20" s="1"/>
  <c r="N29" i="12"/>
  <c r="M14" i="21"/>
  <c r="S11" i="12"/>
  <c r="S10" i="12"/>
  <c r="Q8" i="21"/>
  <c r="C37" i="18"/>
  <c r="C34" i="18"/>
  <c r="C21" i="21" s="1"/>
  <c r="F30" i="21"/>
  <c r="F36" i="18"/>
  <c r="M10" i="16"/>
  <c r="P10" i="14"/>
  <c r="P11" i="14" s="1"/>
  <c r="P17" i="13"/>
  <c r="P18" i="13" s="1"/>
  <c r="Q25" i="13"/>
  <c r="Q15" i="18" s="1"/>
  <c r="K38" i="21"/>
  <c r="K39" i="21" s="1"/>
  <c r="K24" i="16"/>
  <c r="K9" i="19" s="1"/>
  <c r="R15" i="12"/>
  <c r="R17" i="12" s="1"/>
  <c r="R8" i="18" s="1"/>
  <c r="R12" i="12"/>
  <c r="Q12" i="21"/>
  <c r="Q15" i="14"/>
  <c r="Q16" i="14"/>
  <c r="Q7" i="18"/>
  <c r="Q14" i="14"/>
  <c r="Q17" i="14"/>
  <c r="Q25" i="18" s="1"/>
  <c r="L10" i="20"/>
  <c r="L23" i="16"/>
  <c r="F9" i="17"/>
  <c r="C38" i="21"/>
  <c r="C39" i="21" s="1"/>
  <c r="C24" i="16"/>
  <c r="C9" i="19" s="1"/>
  <c r="P13" i="18"/>
  <c r="Q26" i="11"/>
  <c r="Q16" i="13" s="1"/>
  <c r="Q27" i="11"/>
  <c r="Q25" i="11"/>
  <c r="Q15" i="13" s="1"/>
  <c r="E13" i="19"/>
  <c r="E14" i="19" s="1"/>
  <c r="F37" i="18"/>
  <c r="F34" i="18"/>
  <c r="F21" i="21" s="1"/>
  <c r="E39" i="18"/>
  <c r="E40" i="18" s="1"/>
  <c r="J34" i="18"/>
  <c r="J21" i="21" s="1"/>
  <c r="L19" i="21"/>
  <c r="L33" i="18"/>
  <c r="Q7" i="14"/>
  <c r="Q20" i="12"/>
  <c r="G34" i="18"/>
  <c r="G21" i="21" s="1"/>
  <c r="E18" i="15"/>
  <c r="K34" i="18"/>
  <c r="K21" i="21" s="1"/>
  <c r="K16" i="17"/>
  <c r="K17" i="17"/>
  <c r="K15" i="17"/>
  <c r="L13" i="17" s="1"/>
  <c r="H34" i="18"/>
  <c r="H21" i="21" s="1"/>
  <c r="N7" i="16"/>
  <c r="N10" i="16" s="1"/>
  <c r="N9" i="16"/>
  <c r="N16" i="18"/>
  <c r="N16" i="16"/>
  <c r="N22" i="20" s="1"/>
  <c r="N8" i="16"/>
  <c r="N31" i="13"/>
  <c r="Q12" i="13"/>
  <c r="O9" i="18"/>
  <c r="O30" i="12"/>
  <c r="O25" i="12"/>
  <c r="F38" i="21"/>
  <c r="F39" i="21" s="1"/>
  <c r="F24" i="16"/>
  <c r="F9" i="19" s="1"/>
  <c r="U9" i="11"/>
  <c r="T13" i="11"/>
  <c r="T12" i="11"/>
  <c r="P22" i="12"/>
  <c r="P24" i="18"/>
  <c r="P18" i="14"/>
  <c r="N19" i="16"/>
  <c r="N11" i="20" s="1"/>
  <c r="N20" i="16"/>
  <c r="N23" i="20" s="1"/>
  <c r="N26" i="18"/>
  <c r="B19" i="21"/>
  <c r="B33" i="18"/>
  <c r="B30" i="21"/>
  <c r="B30" i="18"/>
  <c r="B20" i="21" s="1"/>
  <c r="I38" i="21"/>
  <c r="I39" i="21" s="1"/>
  <c r="I24" i="16"/>
  <c r="I9" i="19" s="1"/>
  <c r="D39" i="18"/>
  <c r="D40" i="18"/>
  <c r="Q8" i="14"/>
  <c r="Q21" i="12"/>
  <c r="B38" i="21"/>
  <c r="B39" i="21" s="1"/>
  <c r="B24" i="16"/>
  <c r="B9" i="19" s="1"/>
  <c r="E22" i="21" l="1"/>
  <c r="E7" i="19"/>
  <c r="E10" i="19" s="1"/>
  <c r="E19" i="19"/>
  <c r="E20" i="19" s="1"/>
  <c r="E41" i="18"/>
  <c r="E23" i="21" s="1"/>
  <c r="P14" i="18"/>
  <c r="P28" i="13"/>
  <c r="P23" i="18"/>
  <c r="P21" i="14"/>
  <c r="T9" i="12"/>
  <c r="T14" i="11"/>
  <c r="T8" i="12"/>
  <c r="R8" i="14"/>
  <c r="R21" i="12"/>
  <c r="Q18" i="13"/>
  <c r="Q14" i="18" s="1"/>
  <c r="N19" i="18"/>
  <c r="F20" i="17"/>
  <c r="G7" i="17"/>
  <c r="F24" i="20"/>
  <c r="F25" i="20" s="1"/>
  <c r="Q22" i="12"/>
  <c r="N14" i="21"/>
  <c r="N15" i="21"/>
  <c r="M10" i="20"/>
  <c r="M23" i="16"/>
  <c r="F7" i="15"/>
  <c r="E20" i="15"/>
  <c r="E15" i="20" s="1"/>
  <c r="E16" i="20" s="1"/>
  <c r="Q11" i="14"/>
  <c r="N10" i="20"/>
  <c r="N23" i="16"/>
  <c r="V9" i="11"/>
  <c r="U12" i="11"/>
  <c r="U13" i="11"/>
  <c r="D22" i="21"/>
  <c r="D19" i="19"/>
  <c r="D20" i="19" s="1"/>
  <c r="D7" i="19"/>
  <c r="D10" i="19" s="1"/>
  <c r="D41" i="18"/>
  <c r="D23" i="21" s="1"/>
  <c r="L34" i="18"/>
  <c r="L21" i="21" s="1"/>
  <c r="R8" i="21"/>
  <c r="Q24" i="18"/>
  <c r="Q18" i="14"/>
  <c r="S7" i="21"/>
  <c r="S24" i="15"/>
  <c r="S25" i="15" s="1"/>
  <c r="S9" i="21" s="1"/>
  <c r="S24" i="13"/>
  <c r="S9" i="13"/>
  <c r="S21" i="13"/>
  <c r="S11" i="13"/>
  <c r="S23" i="13"/>
  <c r="S28" i="12"/>
  <c r="S9" i="14"/>
  <c r="S22" i="11"/>
  <c r="S10" i="13"/>
  <c r="S18" i="11"/>
  <c r="S22" i="13"/>
  <c r="S17" i="11"/>
  <c r="S8" i="13"/>
  <c r="S12" i="13" s="1"/>
  <c r="S21" i="11"/>
  <c r="O26" i="18"/>
  <c r="O19" i="16"/>
  <c r="O11" i="20" s="1"/>
  <c r="O20" i="16"/>
  <c r="O23" i="20" s="1"/>
  <c r="Q10" i="14"/>
  <c r="Q17" i="13"/>
  <c r="S15" i="12"/>
  <c r="S17" i="12" s="1"/>
  <c r="S8" i="18" s="1"/>
  <c r="S12" i="12"/>
  <c r="R26" i="11"/>
  <c r="R16" i="13" s="1"/>
  <c r="R27" i="11"/>
  <c r="R25" i="11"/>
  <c r="R15" i="13" s="1"/>
  <c r="P9" i="18"/>
  <c r="P30" i="12"/>
  <c r="P25" i="12"/>
  <c r="L38" i="21"/>
  <c r="L39" i="21" s="1"/>
  <c r="L24" i="16"/>
  <c r="L9" i="19" s="1"/>
  <c r="O8" i="16"/>
  <c r="O16" i="18"/>
  <c r="O16" i="16"/>
  <c r="O22" i="20" s="1"/>
  <c r="O9" i="16"/>
  <c r="O7" i="16"/>
  <c r="O31" i="13"/>
  <c r="F39" i="18"/>
  <c r="F40" i="18"/>
  <c r="L16" i="17"/>
  <c r="L17" i="17"/>
  <c r="L15" i="17"/>
  <c r="M13" i="17" s="1"/>
  <c r="T11" i="12"/>
  <c r="T10" i="12"/>
  <c r="O13" i="21"/>
  <c r="O10" i="18"/>
  <c r="O32" i="13"/>
  <c r="O13" i="16"/>
  <c r="O9" i="20" s="1"/>
  <c r="O29" i="12"/>
  <c r="C39" i="18"/>
  <c r="C40" i="18" s="1"/>
  <c r="R12" i="13"/>
  <c r="R25" i="13"/>
  <c r="R15" i="18" s="1"/>
  <c r="M29" i="18"/>
  <c r="B8" i="23"/>
  <c r="B19" i="23" s="1"/>
  <c r="Q13" i="18"/>
  <c r="Q28" i="13"/>
  <c r="B37" i="18"/>
  <c r="B34" i="18"/>
  <c r="B21" i="21" s="1"/>
  <c r="R12" i="21"/>
  <c r="R7" i="18"/>
  <c r="R15" i="14"/>
  <c r="R17" i="14"/>
  <c r="R25" i="18" s="1"/>
  <c r="R16" i="14"/>
  <c r="R14" i="14"/>
  <c r="R7" i="14"/>
  <c r="R20" i="12"/>
  <c r="C22" i="21" l="1"/>
  <c r="C19" i="19"/>
  <c r="C20" i="19" s="1"/>
  <c r="C7" i="19"/>
  <c r="C10" i="19" s="1"/>
  <c r="C23" i="19" s="1"/>
  <c r="C41" i="18"/>
  <c r="C23" i="21" s="1"/>
  <c r="G10" i="17"/>
  <c r="G21" i="17" s="1"/>
  <c r="G8" i="17"/>
  <c r="G17" i="19" s="1"/>
  <c r="S13" i="18"/>
  <c r="N29" i="18"/>
  <c r="S7" i="14"/>
  <c r="S20" i="12"/>
  <c r="S22" i="12" s="1"/>
  <c r="D23" i="19"/>
  <c r="N20" i="18"/>
  <c r="R17" i="13"/>
  <c r="R18" i="13" s="1"/>
  <c r="R10" i="14"/>
  <c r="R11" i="14" s="1"/>
  <c r="T15" i="12"/>
  <c r="T17" i="12" s="1"/>
  <c r="T8" i="18" s="1"/>
  <c r="T12" i="12"/>
  <c r="T28" i="12" s="1"/>
  <c r="R22" i="12"/>
  <c r="Q23" i="18"/>
  <c r="Q21" i="14"/>
  <c r="T7" i="21"/>
  <c r="T24" i="15"/>
  <c r="T25" i="15" s="1"/>
  <c r="T9" i="21" s="1"/>
  <c r="T24" i="13"/>
  <c r="T21" i="13"/>
  <c r="T9" i="13"/>
  <c r="T11" i="13"/>
  <c r="T23" i="13"/>
  <c r="T9" i="14"/>
  <c r="T22" i="13"/>
  <c r="T21" i="11"/>
  <c r="T22" i="11"/>
  <c r="T10" i="13"/>
  <c r="T18" i="11"/>
  <c r="T17" i="11"/>
  <c r="T8" i="13"/>
  <c r="T12" i="13" s="1"/>
  <c r="F31" i="20"/>
  <c r="M19" i="21"/>
  <c r="M33" i="18"/>
  <c r="B9" i="23"/>
  <c r="M30" i="18"/>
  <c r="M20" i="21" s="1"/>
  <c r="S25" i="13"/>
  <c r="S15" i="18" s="1"/>
  <c r="T16" i="12"/>
  <c r="S26" i="11"/>
  <c r="S16" i="13" s="1"/>
  <c r="S27" i="11"/>
  <c r="S25" i="11"/>
  <c r="S15" i="13" s="1"/>
  <c r="R13" i="18"/>
  <c r="O15" i="21"/>
  <c r="O14" i="21"/>
  <c r="R24" i="18"/>
  <c r="R18" i="14"/>
  <c r="P9" i="16"/>
  <c r="P7" i="16"/>
  <c r="P8" i="16"/>
  <c r="P16" i="18"/>
  <c r="P16" i="16"/>
  <c r="P22" i="20" s="1"/>
  <c r="P31" i="13"/>
  <c r="F12" i="15"/>
  <c r="F14" i="15" s="1"/>
  <c r="F18" i="15" s="1"/>
  <c r="F9" i="15"/>
  <c r="M38" i="21"/>
  <c r="M39" i="21" s="1"/>
  <c r="M24" i="16"/>
  <c r="M9" i="19" s="1"/>
  <c r="S8" i="21"/>
  <c r="Q16" i="18"/>
  <c r="Q7" i="16"/>
  <c r="Q9" i="16"/>
  <c r="Q8" i="16"/>
  <c r="Q16" i="16"/>
  <c r="Q22" i="20" s="1"/>
  <c r="Q31" i="13"/>
  <c r="F27" i="21"/>
  <c r="F28" i="20"/>
  <c r="F29" i="20" s="1"/>
  <c r="P13" i="21"/>
  <c r="P10" i="18"/>
  <c r="P32" i="13"/>
  <c r="P13" i="16"/>
  <c r="P9" i="20" s="1"/>
  <c r="P29" i="12"/>
  <c r="U11" i="12"/>
  <c r="U10" i="12"/>
  <c r="W9" i="11"/>
  <c r="V12" i="11"/>
  <c r="V13" i="11"/>
  <c r="S8" i="14"/>
  <c r="S21" i="12"/>
  <c r="U9" i="12"/>
  <c r="U14" i="11"/>
  <c r="U8" i="12"/>
  <c r="P26" i="18"/>
  <c r="P20" i="16"/>
  <c r="P23" i="20" s="1"/>
  <c r="P19" i="16"/>
  <c r="P11" i="20" s="1"/>
  <c r="F22" i="21"/>
  <c r="F7" i="19"/>
  <c r="F10" i="19" s="1"/>
  <c r="F19" i="19"/>
  <c r="F20" i="19" s="1"/>
  <c r="F41" i="18"/>
  <c r="F23" i="21" s="1"/>
  <c r="N38" i="21"/>
  <c r="N39" i="21" s="1"/>
  <c r="N24" i="16"/>
  <c r="N9" i="19" s="1"/>
  <c r="O19" i="18"/>
  <c r="O29" i="18" s="1"/>
  <c r="S12" i="21"/>
  <c r="S7" i="18"/>
  <c r="S15" i="14"/>
  <c r="S17" i="14"/>
  <c r="S25" i="18" s="1"/>
  <c r="S16" i="14"/>
  <c r="S14" i="14"/>
  <c r="M16" i="17"/>
  <c r="M17" i="17"/>
  <c r="M15" i="17"/>
  <c r="N13" i="17" s="1"/>
  <c r="E23" i="19"/>
  <c r="B39" i="18"/>
  <c r="B40" i="18" s="1"/>
  <c r="O10" i="16"/>
  <c r="Q9" i="18"/>
  <c r="Q30" i="12"/>
  <c r="Q25" i="12"/>
  <c r="R23" i="18" l="1"/>
  <c r="R21" i="14"/>
  <c r="B22" i="21"/>
  <c r="B7" i="19"/>
  <c r="B10" i="19" s="1"/>
  <c r="B19" i="19"/>
  <c r="B20" i="19" s="1"/>
  <c r="B41" i="18"/>
  <c r="B23" i="21" s="1"/>
  <c r="G7" i="15"/>
  <c r="F20" i="15"/>
  <c r="F15" i="20" s="1"/>
  <c r="F16" i="20" s="1"/>
  <c r="R14" i="18"/>
  <c r="R28" i="13"/>
  <c r="T26" i="11"/>
  <c r="T16" i="13" s="1"/>
  <c r="T25" i="11"/>
  <c r="T15" i="13" s="1"/>
  <c r="T27" i="11"/>
  <c r="S11" i="14"/>
  <c r="O19" i="21"/>
  <c r="O33" i="18"/>
  <c r="Q13" i="21"/>
  <c r="Q10" i="18"/>
  <c r="Q32" i="13"/>
  <c r="Q13" i="16"/>
  <c r="Q9" i="20" s="1"/>
  <c r="Q29" i="12"/>
  <c r="X9" i="11"/>
  <c r="W13" i="11"/>
  <c r="W12" i="11"/>
  <c r="T8" i="14"/>
  <c r="T21" i="12"/>
  <c r="O30" i="18"/>
  <c r="O20" i="21" s="1"/>
  <c r="R9" i="18"/>
  <c r="R30" i="12"/>
  <c r="R25" i="12"/>
  <c r="O10" i="20"/>
  <c r="O23" i="16"/>
  <c r="P19" i="18"/>
  <c r="P29" i="18" s="1"/>
  <c r="P30" i="18"/>
  <c r="P20" i="21" s="1"/>
  <c r="N19" i="21"/>
  <c r="N33" i="18"/>
  <c r="N30" i="18"/>
  <c r="N20" i="21" s="1"/>
  <c r="T12" i="21"/>
  <c r="T7" i="18"/>
  <c r="T15" i="14"/>
  <c r="T17" i="14"/>
  <c r="T25" i="18" s="1"/>
  <c r="T16" i="14"/>
  <c r="T14" i="14"/>
  <c r="T13" i="18"/>
  <c r="G30" i="21"/>
  <c r="G36" i="18"/>
  <c r="G37" i="18" s="1"/>
  <c r="S18" i="13"/>
  <c r="N18" i="21"/>
  <c r="S9" i="18"/>
  <c r="S30" i="12"/>
  <c r="P10" i="16"/>
  <c r="U15" i="12"/>
  <c r="U12" i="12"/>
  <c r="T25" i="13"/>
  <c r="T15" i="18" s="1"/>
  <c r="G9" i="17"/>
  <c r="F13" i="19"/>
  <c r="F14" i="19" s="1"/>
  <c r="F23" i="19" s="1"/>
  <c r="N16" i="17"/>
  <c r="N17" i="17"/>
  <c r="N15" i="17"/>
  <c r="O13" i="17" s="1"/>
  <c r="U7" i="21"/>
  <c r="U24" i="15"/>
  <c r="U25" i="15" s="1"/>
  <c r="U9" i="21" s="1"/>
  <c r="U21" i="13"/>
  <c r="U25" i="13" s="1"/>
  <c r="U15" i="18" s="1"/>
  <c r="U11" i="13"/>
  <c r="U23" i="13"/>
  <c r="U9" i="14"/>
  <c r="U22" i="13"/>
  <c r="U8" i="13"/>
  <c r="U21" i="11"/>
  <c r="U10" i="13"/>
  <c r="U24" i="13"/>
  <c r="U18" i="11"/>
  <c r="U17" i="11"/>
  <c r="U9" i="13"/>
  <c r="U22" i="11"/>
  <c r="P15" i="21"/>
  <c r="P14" i="21"/>
  <c r="U16" i="12"/>
  <c r="V11" i="12"/>
  <c r="V10" i="12"/>
  <c r="V9" i="12"/>
  <c r="V16" i="12" s="1"/>
  <c r="V14" i="11"/>
  <c r="V8" i="12"/>
  <c r="S17" i="13"/>
  <c r="S10" i="14"/>
  <c r="T7" i="14"/>
  <c r="T20" i="12"/>
  <c r="T22" i="12" s="1"/>
  <c r="O20" i="18"/>
  <c r="O18" i="21" s="1"/>
  <c r="S24" i="18"/>
  <c r="S18" i="14"/>
  <c r="S25" i="12"/>
  <c r="T8" i="21"/>
  <c r="Q10" i="16"/>
  <c r="M34" i="18"/>
  <c r="M21" i="21" s="1"/>
  <c r="B10" i="23"/>
  <c r="B20" i="23" s="1"/>
  <c r="Q26" i="18"/>
  <c r="Q19" i="16"/>
  <c r="Q11" i="20" s="1"/>
  <c r="Q20" i="16"/>
  <c r="Q23" i="20" s="1"/>
  <c r="R13" i="21" l="1"/>
  <c r="R10" i="18"/>
  <c r="R32" i="13"/>
  <c r="R13" i="16"/>
  <c r="R9" i="20" s="1"/>
  <c r="R29" i="12"/>
  <c r="R16" i="18"/>
  <c r="R8" i="16"/>
  <c r="R7" i="16"/>
  <c r="R16" i="16"/>
  <c r="R22" i="20" s="1"/>
  <c r="R9" i="16"/>
  <c r="R31" i="13"/>
  <c r="P19" i="21"/>
  <c r="P33" i="18"/>
  <c r="O38" i="21"/>
  <c r="O39" i="21" s="1"/>
  <c r="O24" i="16"/>
  <c r="O9" i="19" s="1"/>
  <c r="T18" i="13"/>
  <c r="S14" i="18"/>
  <c r="S28" i="13"/>
  <c r="P20" i="18"/>
  <c r="S23" i="18"/>
  <c r="S21" i="14"/>
  <c r="Q10" i="20"/>
  <c r="Q23" i="16"/>
  <c r="G39" i="18"/>
  <c r="G40" i="18" s="1"/>
  <c r="U8" i="21"/>
  <c r="G12" i="15"/>
  <c r="G14" i="15" s="1"/>
  <c r="G13" i="19" s="1"/>
  <c r="G14" i="19" s="1"/>
  <c r="G18" i="15"/>
  <c r="G9" i="15"/>
  <c r="T9" i="18"/>
  <c r="T30" i="12"/>
  <c r="O16" i="17"/>
  <c r="O17" i="17"/>
  <c r="O15" i="17"/>
  <c r="P13" i="17" s="1"/>
  <c r="T24" i="18"/>
  <c r="T18" i="14"/>
  <c r="T10" i="14"/>
  <c r="T17" i="13"/>
  <c r="S13" i="21"/>
  <c r="S10" i="18"/>
  <c r="S13" i="16"/>
  <c r="S9" i="20" s="1"/>
  <c r="S29" i="12"/>
  <c r="T25" i="12"/>
  <c r="H7" i="17"/>
  <c r="G20" i="17"/>
  <c r="G24" i="20"/>
  <c r="G25" i="20" s="1"/>
  <c r="U17" i="12"/>
  <c r="U8" i="18" s="1"/>
  <c r="B23" i="19"/>
  <c r="B25" i="19" s="1"/>
  <c r="Q15" i="21"/>
  <c r="Q14" i="21"/>
  <c r="T11" i="14"/>
  <c r="U12" i="13"/>
  <c r="N34" i="18"/>
  <c r="N21" i="21" s="1"/>
  <c r="W11" i="12"/>
  <c r="W10" i="12"/>
  <c r="Q19" i="18"/>
  <c r="Q29" i="18" s="1"/>
  <c r="O34" i="18"/>
  <c r="O21" i="21" s="1"/>
  <c r="U8" i="14"/>
  <c r="U21" i="12"/>
  <c r="U26" i="11"/>
  <c r="U16" i="13" s="1"/>
  <c r="U27" i="11"/>
  <c r="U25" i="11"/>
  <c r="U15" i="13" s="1"/>
  <c r="Y9" i="11"/>
  <c r="X13" i="11"/>
  <c r="X12" i="11"/>
  <c r="U7" i="14"/>
  <c r="U20" i="12"/>
  <c r="V15" i="12"/>
  <c r="V17" i="12" s="1"/>
  <c r="V8" i="18" s="1"/>
  <c r="V12" i="12"/>
  <c r="W9" i="12"/>
  <c r="W16" i="12" s="1"/>
  <c r="W14" i="11"/>
  <c r="W8" i="12"/>
  <c r="V7" i="21"/>
  <c r="V24" i="15"/>
  <c r="V25" i="15" s="1"/>
  <c r="V9" i="21" s="1"/>
  <c r="V23" i="13"/>
  <c r="V21" i="13"/>
  <c r="V11" i="13"/>
  <c r="V28" i="12"/>
  <c r="V9" i="14"/>
  <c r="V22" i="13"/>
  <c r="V10" i="13"/>
  <c r="V24" i="13"/>
  <c r="V18" i="11"/>
  <c r="V21" i="11"/>
  <c r="V9" i="13"/>
  <c r="V8" i="13"/>
  <c r="V22" i="11"/>
  <c r="V17" i="11"/>
  <c r="P10" i="20"/>
  <c r="P23" i="16"/>
  <c r="R26" i="18"/>
  <c r="R19" i="16"/>
  <c r="R11" i="20" s="1"/>
  <c r="R20" i="16"/>
  <c r="R23" i="20" s="1"/>
  <c r="U12" i="21"/>
  <c r="U7" i="18"/>
  <c r="U15" i="14"/>
  <c r="U17" i="14"/>
  <c r="U25" i="18" s="1"/>
  <c r="U16" i="14"/>
  <c r="U14" i="14"/>
  <c r="B35" i="20"/>
  <c r="U28" i="12"/>
  <c r="G22" i="21" l="1"/>
  <c r="G7" i="19"/>
  <c r="G10" i="19" s="1"/>
  <c r="G19" i="19"/>
  <c r="G20" i="19" s="1"/>
  <c r="G41" i="18"/>
  <c r="G23" i="21" s="1"/>
  <c r="U18" i="13"/>
  <c r="U14" i="18" s="1"/>
  <c r="U10" i="14"/>
  <c r="U17" i="13"/>
  <c r="T14" i="18"/>
  <c r="T28" i="13"/>
  <c r="Z9" i="11"/>
  <c r="Y13" i="11"/>
  <c r="Y12" i="11"/>
  <c r="P17" i="17"/>
  <c r="P16" i="17"/>
  <c r="P15" i="17"/>
  <c r="Q13" i="17" s="1"/>
  <c r="U24" i="18"/>
  <c r="U18" i="14"/>
  <c r="P34" i="18"/>
  <c r="P21" i="21" s="1"/>
  <c r="H7" i="15"/>
  <c r="G20" i="15"/>
  <c r="G15" i="20" s="1"/>
  <c r="G16" i="20" s="1"/>
  <c r="V25" i="13"/>
  <c r="V15" i="18" s="1"/>
  <c r="Q30" i="18"/>
  <c r="Q20" i="21" s="1"/>
  <c r="R10" i="16"/>
  <c r="B26" i="21"/>
  <c r="B28" i="21" s="1"/>
  <c r="B8" i="20"/>
  <c r="B12" i="20" s="1"/>
  <c r="B18" i="20" s="1"/>
  <c r="C24" i="19"/>
  <c r="C25" i="19" s="1"/>
  <c r="S8" i="16"/>
  <c r="S16" i="16"/>
  <c r="S22" i="20" s="1"/>
  <c r="S7" i="16"/>
  <c r="S9" i="16"/>
  <c r="S16" i="18"/>
  <c r="S19" i="18" s="1"/>
  <c r="S31" i="13"/>
  <c r="G31" i="20"/>
  <c r="V8" i="21"/>
  <c r="P38" i="21"/>
  <c r="P39" i="21" s="1"/>
  <c r="P24" i="16"/>
  <c r="P9" i="19" s="1"/>
  <c r="W7" i="21"/>
  <c r="W24" i="15"/>
  <c r="W25" i="15" s="1"/>
  <c r="W9" i="21" s="1"/>
  <c r="W21" i="13"/>
  <c r="W9" i="14"/>
  <c r="W23" i="13"/>
  <c r="W22" i="13"/>
  <c r="W24" i="13"/>
  <c r="W10" i="13"/>
  <c r="W21" i="11"/>
  <c r="W18" i="11"/>
  <c r="W17" i="11"/>
  <c r="W9" i="13"/>
  <c r="W8" i="13"/>
  <c r="W11" i="13"/>
  <c r="W22" i="11"/>
  <c r="V12" i="21"/>
  <c r="V7" i="18"/>
  <c r="V15" i="14"/>
  <c r="V17" i="14"/>
  <c r="V25" i="18" s="1"/>
  <c r="V14" i="14"/>
  <c r="V16" i="14"/>
  <c r="Q20" i="18"/>
  <c r="Q18" i="21" s="1"/>
  <c r="V12" i="13"/>
  <c r="S32" i="13"/>
  <c r="C35" i="20"/>
  <c r="B36" i="20"/>
  <c r="T13" i="21"/>
  <c r="T10" i="18"/>
  <c r="T13" i="16"/>
  <c r="T9" i="20" s="1"/>
  <c r="T29" i="12"/>
  <c r="Q38" i="21"/>
  <c r="Q39" i="21" s="1"/>
  <c r="Q24" i="16"/>
  <c r="Q9" i="19" s="1"/>
  <c r="V7" i="14"/>
  <c r="V20" i="12"/>
  <c r="P18" i="21"/>
  <c r="G27" i="21"/>
  <c r="G28" i="20"/>
  <c r="G29" i="20" s="1"/>
  <c r="S15" i="21"/>
  <c r="S14" i="21"/>
  <c r="U11" i="14"/>
  <c r="U28" i="13"/>
  <c r="U13" i="18"/>
  <c r="S26" i="18"/>
  <c r="S19" i="16"/>
  <c r="S11" i="20" s="1"/>
  <c r="S20" i="16"/>
  <c r="S23" i="20" s="1"/>
  <c r="Q19" i="21"/>
  <c r="Q33" i="18"/>
  <c r="W15" i="12"/>
  <c r="W17" i="12" s="1"/>
  <c r="W8" i="18" s="1"/>
  <c r="W12" i="12"/>
  <c r="H10" i="17"/>
  <c r="H21" i="17" s="1"/>
  <c r="H8" i="17"/>
  <c r="H17" i="19" s="1"/>
  <c r="V25" i="11"/>
  <c r="V15" i="13" s="1"/>
  <c r="V26" i="11"/>
  <c r="V16" i="13" s="1"/>
  <c r="V27" i="11"/>
  <c r="X8" i="12"/>
  <c r="X14" i="11"/>
  <c r="X9" i="12"/>
  <c r="X16" i="12" s="1"/>
  <c r="T23" i="18"/>
  <c r="T21" i="14"/>
  <c r="R19" i="18"/>
  <c r="R29" i="18" s="1"/>
  <c r="R30" i="18"/>
  <c r="R20" i="21" s="1"/>
  <c r="U22" i="12"/>
  <c r="V8" i="14"/>
  <c r="V21" i="12"/>
  <c r="X11" i="12"/>
  <c r="X10" i="12"/>
  <c r="R15" i="21"/>
  <c r="R14" i="21"/>
  <c r="S29" i="18" l="1"/>
  <c r="S20" i="18"/>
  <c r="S18" i="21" s="1"/>
  <c r="T9" i="16"/>
  <c r="T16" i="18"/>
  <c r="T19" i="18" s="1"/>
  <c r="T7" i="16"/>
  <c r="T10" i="16" s="1"/>
  <c r="T16" i="16"/>
  <c r="T22" i="20" s="1"/>
  <c r="T8" i="16"/>
  <c r="T31" i="13"/>
  <c r="C26" i="21"/>
  <c r="C28" i="21" s="1"/>
  <c r="C8" i="20"/>
  <c r="C12" i="20" s="1"/>
  <c r="C18" i="20" s="1"/>
  <c r="D24" i="19"/>
  <c r="D25" i="19" s="1"/>
  <c r="V13" i="18"/>
  <c r="W7" i="14"/>
  <c r="W20" i="12"/>
  <c r="W22" i="12" s="1"/>
  <c r="Y8" i="12"/>
  <c r="Y9" i="12"/>
  <c r="Y16" i="12" s="1"/>
  <c r="Y14" i="11"/>
  <c r="V18" i="13"/>
  <c r="V14" i="18" s="1"/>
  <c r="B34" i="21"/>
  <c r="B35" i="21"/>
  <c r="B33" i="21"/>
  <c r="B38" i="20"/>
  <c r="B13" i="22" s="1"/>
  <c r="C13" i="22" s="1"/>
  <c r="W25" i="11"/>
  <c r="W15" i="13" s="1"/>
  <c r="W26" i="11"/>
  <c r="W16" i="13" s="1"/>
  <c r="W27" i="11"/>
  <c r="H30" i="21"/>
  <c r="H36" i="18"/>
  <c r="H37" i="18" s="1"/>
  <c r="Q17" i="17"/>
  <c r="Q16" i="17"/>
  <c r="Q15" i="17"/>
  <c r="R13" i="17" s="1"/>
  <c r="X7" i="21"/>
  <c r="X24" i="15"/>
  <c r="X25" i="15" s="1"/>
  <c r="X9" i="21" s="1"/>
  <c r="X9" i="14"/>
  <c r="X23" i="13"/>
  <c r="X22" i="13"/>
  <c r="X21" i="11"/>
  <c r="X10" i="13"/>
  <c r="X24" i="13"/>
  <c r="X18" i="11"/>
  <c r="X9" i="13"/>
  <c r="X17" i="11"/>
  <c r="X8" i="13"/>
  <c r="X21" i="13"/>
  <c r="X11" i="13"/>
  <c r="X22" i="11"/>
  <c r="AA9" i="11"/>
  <c r="Z13" i="11"/>
  <c r="Z12" i="11"/>
  <c r="V22" i="12"/>
  <c r="H9" i="17"/>
  <c r="V11" i="14"/>
  <c r="R10" i="20"/>
  <c r="R23" i="16"/>
  <c r="R33" i="18"/>
  <c r="R19" i="21"/>
  <c r="W12" i="13"/>
  <c r="W8" i="14"/>
  <c r="W21" i="12"/>
  <c r="S10" i="16"/>
  <c r="Y11" i="12"/>
  <c r="Y10" i="12"/>
  <c r="V10" i="14"/>
  <c r="V17" i="13"/>
  <c r="W12" i="21"/>
  <c r="W7" i="18"/>
  <c r="W17" i="14"/>
  <c r="W25" i="18" s="1"/>
  <c r="W14" i="14"/>
  <c r="W15" i="14"/>
  <c r="W16" i="14"/>
  <c r="W28" i="12"/>
  <c r="R20" i="18"/>
  <c r="R18" i="21" s="1"/>
  <c r="U16" i="18"/>
  <c r="U9" i="16"/>
  <c r="U7" i="16"/>
  <c r="U16" i="16"/>
  <c r="U22" i="20" s="1"/>
  <c r="U8" i="16"/>
  <c r="U31" i="13"/>
  <c r="X15" i="12"/>
  <c r="X17" i="12" s="1"/>
  <c r="X8" i="18" s="1"/>
  <c r="X12" i="12"/>
  <c r="X28" i="12" s="1"/>
  <c r="V24" i="18"/>
  <c r="V18" i="14"/>
  <c r="W25" i="13"/>
  <c r="W15" i="18" s="1"/>
  <c r="T15" i="21"/>
  <c r="T14" i="21"/>
  <c r="C36" i="20"/>
  <c r="D35" i="20"/>
  <c r="T26" i="18"/>
  <c r="T19" i="16"/>
  <c r="T11" i="20" s="1"/>
  <c r="T20" i="16"/>
  <c r="T23" i="20" s="1"/>
  <c r="W8" i="21"/>
  <c r="G23" i="19"/>
  <c r="U23" i="18"/>
  <c r="U21" i="14"/>
  <c r="Q34" i="18"/>
  <c r="Q21" i="21" s="1"/>
  <c r="U9" i="18"/>
  <c r="U30" i="12"/>
  <c r="U25" i="12"/>
  <c r="T32" i="13"/>
  <c r="H12" i="15"/>
  <c r="H14" i="15" s="1"/>
  <c r="H13" i="19" s="1"/>
  <c r="H14" i="19" s="1"/>
  <c r="H18" i="15"/>
  <c r="H9" i="15"/>
  <c r="T29" i="18" l="1"/>
  <c r="T20" i="18"/>
  <c r="T18" i="21" s="1"/>
  <c r="C35" i="21"/>
  <c r="C33" i="21"/>
  <c r="C38" i="20"/>
  <c r="X8" i="21"/>
  <c r="Y15" i="12"/>
  <c r="Y17" i="12" s="1"/>
  <c r="Y8" i="18" s="1"/>
  <c r="Y12" i="12"/>
  <c r="I7" i="15"/>
  <c r="H20" i="15"/>
  <c r="H15" i="20" s="1"/>
  <c r="H16" i="20" s="1"/>
  <c r="D26" i="21"/>
  <c r="D28" i="21" s="1"/>
  <c r="D8" i="20"/>
  <c r="D12" i="20" s="1"/>
  <c r="D18" i="20" s="1"/>
  <c r="E24" i="19"/>
  <c r="E25" i="19" s="1"/>
  <c r="X25" i="13"/>
  <c r="X15" i="18" s="1"/>
  <c r="X12" i="13"/>
  <c r="H39" i="18"/>
  <c r="H40" i="18" s="1"/>
  <c r="V28" i="13"/>
  <c r="V9" i="18"/>
  <c r="V30" i="12"/>
  <c r="V25" i="12"/>
  <c r="U13" i="21"/>
  <c r="U10" i="18"/>
  <c r="U32" i="13"/>
  <c r="U13" i="16"/>
  <c r="U9" i="20" s="1"/>
  <c r="U29" i="12"/>
  <c r="U26" i="18"/>
  <c r="U20" i="16"/>
  <c r="U23" i="20" s="1"/>
  <c r="U19" i="16"/>
  <c r="U11" i="20" s="1"/>
  <c r="W13" i="18"/>
  <c r="X20" i="12"/>
  <c r="X22" i="12" s="1"/>
  <c r="X7" i="14"/>
  <c r="W10" i="14"/>
  <c r="W11" i="14" s="1"/>
  <c r="W17" i="13"/>
  <c r="R17" i="17"/>
  <c r="R16" i="17"/>
  <c r="R15" i="17"/>
  <c r="S13" i="17" s="1"/>
  <c r="I7" i="17"/>
  <c r="H20" i="17"/>
  <c r="H24" i="20"/>
  <c r="H25" i="20" s="1"/>
  <c r="Z10" i="12"/>
  <c r="Z11" i="12"/>
  <c r="C34" i="21"/>
  <c r="C41" i="20"/>
  <c r="T10" i="20"/>
  <c r="T23" i="16"/>
  <c r="V23" i="18"/>
  <c r="V21" i="14"/>
  <c r="AB9" i="11"/>
  <c r="AA12" i="11"/>
  <c r="AA13" i="11"/>
  <c r="S10" i="20"/>
  <c r="S23" i="16"/>
  <c r="X12" i="21"/>
  <c r="X17" i="14"/>
  <c r="X25" i="18" s="1"/>
  <c r="X14" i="14"/>
  <c r="X15" i="14"/>
  <c r="X7" i="18"/>
  <c r="X16" i="14"/>
  <c r="X25" i="12"/>
  <c r="X8" i="14"/>
  <c r="X21" i="12"/>
  <c r="E35" i="20"/>
  <c r="D36" i="20"/>
  <c r="W24" i="18"/>
  <c r="W18" i="14"/>
  <c r="Z9" i="12"/>
  <c r="Z16" i="12" s="1"/>
  <c r="Z8" i="12"/>
  <c r="Z14" i="11"/>
  <c r="X27" i="11"/>
  <c r="X25" i="11"/>
  <c r="X15" i="13" s="1"/>
  <c r="X26" i="11"/>
  <c r="X16" i="13" s="1"/>
  <c r="B41" i="20"/>
  <c r="Y7" i="21"/>
  <c r="Y24" i="15"/>
  <c r="Y25" i="15" s="1"/>
  <c r="Y9" i="21" s="1"/>
  <c r="Y21" i="13"/>
  <c r="Y25" i="13" s="1"/>
  <c r="Y15" i="18" s="1"/>
  <c r="Y23" i="13"/>
  <c r="Y22" i="13"/>
  <c r="Y9" i="14"/>
  <c r="Y10" i="13"/>
  <c r="Y24" i="13"/>
  <c r="Y18" i="11"/>
  <c r="Y21" i="11"/>
  <c r="Y9" i="13"/>
  <c r="Y8" i="13"/>
  <c r="Y17" i="11"/>
  <c r="Y11" i="13"/>
  <c r="Y22" i="11"/>
  <c r="C4" i="23"/>
  <c r="U10" i="16"/>
  <c r="R34" i="18"/>
  <c r="R21" i="21" s="1"/>
  <c r="R38" i="21"/>
  <c r="R39" i="21" s="1"/>
  <c r="R24" i="16"/>
  <c r="R9" i="19" s="1"/>
  <c r="W9" i="18"/>
  <c r="W30" i="12"/>
  <c r="W18" i="13"/>
  <c r="W14" i="18" s="1"/>
  <c r="W25" i="12"/>
  <c r="S19" i="21"/>
  <c r="S33" i="18"/>
  <c r="S30" i="18"/>
  <c r="S20" i="21" s="1"/>
  <c r="H22" i="21" l="1"/>
  <c r="H7" i="19"/>
  <c r="H10" i="19" s="1"/>
  <c r="H19" i="19"/>
  <c r="H20" i="19" s="1"/>
  <c r="H41" i="18"/>
  <c r="H23" i="21" s="1"/>
  <c r="W23" i="18"/>
  <c r="W21" i="14"/>
  <c r="S17" i="17"/>
  <c r="S16" i="17"/>
  <c r="S15" i="17"/>
  <c r="T13" i="17" s="1"/>
  <c r="Y8" i="21"/>
  <c r="W28" i="13"/>
  <c r="U10" i="20"/>
  <c r="U23" i="16"/>
  <c r="AC9" i="11"/>
  <c r="AB13" i="11"/>
  <c r="AB12" i="11"/>
  <c r="W13" i="21"/>
  <c r="W10" i="18"/>
  <c r="W32" i="13"/>
  <c r="W13" i="16"/>
  <c r="W9" i="20" s="1"/>
  <c r="W29" i="12"/>
  <c r="X13" i="18"/>
  <c r="S38" i="21"/>
  <c r="S39" i="21" s="1"/>
  <c r="S24" i="16"/>
  <c r="S9" i="19" s="1"/>
  <c r="Y12" i="21"/>
  <c r="Y7" i="18"/>
  <c r="Y16" i="14"/>
  <c r="Y15" i="14"/>
  <c r="Y14" i="14"/>
  <c r="Y17" i="14"/>
  <c r="Y25" i="18" s="1"/>
  <c r="C5" i="23"/>
  <c r="I12" i="15"/>
  <c r="I14" i="15" s="1"/>
  <c r="I13" i="19" s="1"/>
  <c r="I14" i="19" s="1"/>
  <c r="I18" i="15"/>
  <c r="I9" i="15"/>
  <c r="X10" i="14"/>
  <c r="X11" i="14" s="1"/>
  <c r="X17" i="13"/>
  <c r="X18" i="13" s="1"/>
  <c r="V16" i="16"/>
  <c r="V22" i="20" s="1"/>
  <c r="V16" i="18"/>
  <c r="V9" i="16"/>
  <c r="V7" i="16"/>
  <c r="V8" i="16"/>
  <c r="V31" i="13"/>
  <c r="X9" i="18"/>
  <c r="X30" i="12"/>
  <c r="AA10" i="12"/>
  <c r="AA11" i="12"/>
  <c r="AA8" i="12"/>
  <c r="AA14" i="11"/>
  <c r="AA9" i="12"/>
  <c r="AA16" i="12" s="1"/>
  <c r="V26" i="18"/>
  <c r="V19" i="16"/>
  <c r="V11" i="20" s="1"/>
  <c r="V20" i="16"/>
  <c r="V23" i="20" s="1"/>
  <c r="Y25" i="11"/>
  <c r="Y15" i="13" s="1"/>
  <c r="Y27" i="11"/>
  <c r="Y26" i="11"/>
  <c r="Y16" i="13" s="1"/>
  <c r="Y8" i="14"/>
  <c r="Y21" i="12"/>
  <c r="D33" i="21"/>
  <c r="D35" i="21"/>
  <c r="D38" i="20"/>
  <c r="U20" i="18"/>
  <c r="U18" i="21" s="1"/>
  <c r="U19" i="18"/>
  <c r="U29" i="18" s="1"/>
  <c r="U30" i="18"/>
  <c r="U20" i="21" s="1"/>
  <c r="D34" i="21"/>
  <c r="D41" i="20"/>
  <c r="Z7" i="21"/>
  <c r="Z21" i="13"/>
  <c r="Z24" i="15"/>
  <c r="Z25" i="15" s="1"/>
  <c r="Z9" i="21" s="1"/>
  <c r="Z8" i="13"/>
  <c r="Z12" i="13" s="1"/>
  <c r="Z9" i="14"/>
  <c r="Z23" i="13"/>
  <c r="Z24" i="13"/>
  <c r="Z18" i="11"/>
  <c r="Z22" i="13"/>
  <c r="Z9" i="13"/>
  <c r="Z11" i="13"/>
  <c r="Z22" i="11"/>
  <c r="Z10" i="13"/>
  <c r="Z21" i="11"/>
  <c r="Z17" i="11"/>
  <c r="S34" i="18"/>
  <c r="S21" i="21" s="1"/>
  <c r="E36" i="20"/>
  <c r="F35" i="20"/>
  <c r="U15" i="21"/>
  <c r="U14" i="21"/>
  <c r="I10" i="17"/>
  <c r="I21" i="17" s="1"/>
  <c r="I8" i="17"/>
  <c r="I17" i="19" s="1"/>
  <c r="X24" i="18"/>
  <c r="X18" i="14"/>
  <c r="E26" i="21"/>
  <c r="E28" i="21" s="1"/>
  <c r="E8" i="20"/>
  <c r="E12" i="20" s="1"/>
  <c r="E18" i="20" s="1"/>
  <c r="F24" i="19"/>
  <c r="F25" i="19" s="1"/>
  <c r="Y7" i="14"/>
  <c r="Y20" i="12"/>
  <c r="T38" i="21"/>
  <c r="T39" i="21" s="1"/>
  <c r="T24" i="16"/>
  <c r="T9" i="19" s="1"/>
  <c r="V13" i="21"/>
  <c r="V10" i="18"/>
  <c r="V32" i="13"/>
  <c r="V13" i="16"/>
  <c r="V9" i="20" s="1"/>
  <c r="V29" i="12"/>
  <c r="X13" i="21"/>
  <c r="X10" i="18"/>
  <c r="X13" i="16"/>
  <c r="X9" i="20" s="1"/>
  <c r="X29" i="12"/>
  <c r="Z15" i="12"/>
  <c r="Z17" i="12" s="1"/>
  <c r="Z8" i="18" s="1"/>
  <c r="Z12" i="12"/>
  <c r="Z28" i="12" s="1"/>
  <c r="Y12" i="13"/>
  <c r="Y28" i="12"/>
  <c r="H27" i="21"/>
  <c r="H28" i="20"/>
  <c r="H29" i="20" s="1"/>
  <c r="H31" i="20" s="1"/>
  <c r="T19" i="21"/>
  <c r="T33" i="18"/>
  <c r="T30" i="18"/>
  <c r="T20" i="21" s="1"/>
  <c r="X14" i="18" l="1"/>
  <c r="X28" i="13"/>
  <c r="X23" i="18"/>
  <c r="X21" i="14"/>
  <c r="I9" i="17"/>
  <c r="U38" i="21"/>
  <c r="U39" i="21" s="1"/>
  <c r="U24" i="16"/>
  <c r="U9" i="19" s="1"/>
  <c r="X15" i="21"/>
  <c r="X14" i="21"/>
  <c r="F36" i="20"/>
  <c r="G35" i="20"/>
  <c r="Z8" i="21"/>
  <c r="AA7" i="21"/>
  <c r="AA21" i="13"/>
  <c r="AA25" i="13" s="1"/>
  <c r="AA15" i="18" s="1"/>
  <c r="AA24" i="15"/>
  <c r="AA25" i="15" s="1"/>
  <c r="AA9" i="21" s="1"/>
  <c r="AA23" i="13"/>
  <c r="AA8" i="13"/>
  <c r="AA24" i="13"/>
  <c r="AA28" i="12"/>
  <c r="AA21" i="11"/>
  <c r="AA22" i="13"/>
  <c r="AA9" i="13"/>
  <c r="AA9" i="14"/>
  <c r="AA11" i="13"/>
  <c r="AA10" i="13"/>
  <c r="AA17" i="11"/>
  <c r="AA22" i="11"/>
  <c r="AA18" i="11"/>
  <c r="Y24" i="18"/>
  <c r="Y18" i="14"/>
  <c r="I30" i="21"/>
  <c r="I36" i="18"/>
  <c r="I37" i="18" s="1"/>
  <c r="T17" i="17"/>
  <c r="T16" i="17"/>
  <c r="T15" i="17"/>
  <c r="U13" i="17" s="1"/>
  <c r="E34" i="21"/>
  <c r="E41" i="20"/>
  <c r="Y13" i="18"/>
  <c r="AB10" i="12"/>
  <c r="AB11" i="12"/>
  <c r="W16" i="16"/>
  <c r="W22" i="20" s="1"/>
  <c r="W16" i="18"/>
  <c r="W19" i="18" s="1"/>
  <c r="W7" i="16"/>
  <c r="W9" i="16"/>
  <c r="W8" i="16"/>
  <c r="W31" i="13"/>
  <c r="Z25" i="13"/>
  <c r="Z15" i="18" s="1"/>
  <c r="AA15" i="12"/>
  <c r="AA17" i="12" s="1"/>
  <c r="AA8" i="18" s="1"/>
  <c r="AA12" i="12"/>
  <c r="V19" i="18"/>
  <c r="V29" i="18" s="1"/>
  <c r="Z7" i="14"/>
  <c r="Z20" i="12"/>
  <c r="Z22" i="12" s="1"/>
  <c r="Z25" i="12" s="1"/>
  <c r="W26" i="18"/>
  <c r="W19" i="16"/>
  <c r="W11" i="20" s="1"/>
  <c r="W20" i="16"/>
  <c r="W23" i="20" s="1"/>
  <c r="V15" i="21"/>
  <c r="V14" i="21"/>
  <c r="Z12" i="21"/>
  <c r="Z7" i="18"/>
  <c r="Z16" i="14"/>
  <c r="Z15" i="14"/>
  <c r="Z17" i="14"/>
  <c r="Z25" i="18" s="1"/>
  <c r="Z14" i="14"/>
  <c r="AD9" i="11"/>
  <c r="AC12" i="11"/>
  <c r="AC13" i="11"/>
  <c r="Z8" i="14"/>
  <c r="Z21" i="12"/>
  <c r="W15" i="21"/>
  <c r="W14" i="21"/>
  <c r="Y10" i="14"/>
  <c r="Y17" i="13"/>
  <c r="Y18" i="13" s="1"/>
  <c r="J7" i="15"/>
  <c r="I20" i="15"/>
  <c r="I15" i="20" s="1"/>
  <c r="I16" i="20" s="1"/>
  <c r="Z25" i="11"/>
  <c r="Z15" i="13" s="1"/>
  <c r="Z27" i="11"/>
  <c r="Z26" i="11"/>
  <c r="Z16" i="13" s="1"/>
  <c r="U19" i="21"/>
  <c r="U33" i="18"/>
  <c r="T34" i="18"/>
  <c r="T21" i="21" s="1"/>
  <c r="Z13" i="18"/>
  <c r="Y22" i="12"/>
  <c r="Y11" i="14"/>
  <c r="V10" i="16"/>
  <c r="H23" i="19"/>
  <c r="AB8" i="12"/>
  <c r="AB9" i="12"/>
  <c r="AB16" i="12" s="1"/>
  <c r="AB14" i="11"/>
  <c r="E33" i="21"/>
  <c r="E35" i="21"/>
  <c r="E38" i="20"/>
  <c r="F26" i="21"/>
  <c r="F28" i="21" s="1"/>
  <c r="F8" i="20"/>
  <c r="F12" i="20" s="1"/>
  <c r="F18" i="20" s="1"/>
  <c r="G24" i="19"/>
  <c r="G25" i="19" s="1"/>
  <c r="W29" i="18" l="1"/>
  <c r="W20" i="18"/>
  <c r="W18" i="21" s="1"/>
  <c r="Z13" i="21"/>
  <c r="Z10" i="18"/>
  <c r="Z13" i="16"/>
  <c r="Z9" i="20" s="1"/>
  <c r="Z29" i="12"/>
  <c r="Y14" i="18"/>
  <c r="Y28" i="13"/>
  <c r="Y23" i="18"/>
  <c r="Y21" i="14"/>
  <c r="V10" i="20"/>
  <c r="V23" i="16"/>
  <c r="H35" i="20"/>
  <c r="G36" i="20"/>
  <c r="Y9" i="18"/>
  <c r="Y30" i="12"/>
  <c r="Y25" i="12"/>
  <c r="J7" i="17"/>
  <c r="I20" i="17"/>
  <c r="I24" i="20"/>
  <c r="I25" i="20" s="1"/>
  <c r="AA7" i="14"/>
  <c r="AA20" i="12"/>
  <c r="V19" i="21"/>
  <c r="V33" i="18"/>
  <c r="AC10" i="12"/>
  <c r="AC11" i="12"/>
  <c r="U34" i="18"/>
  <c r="U21" i="21" s="1"/>
  <c r="AA8" i="14"/>
  <c r="AA21" i="12"/>
  <c r="AA12" i="21"/>
  <c r="AA7" i="18"/>
  <c r="AA14" i="14"/>
  <c r="AA17" i="14"/>
  <c r="AA25" i="18" s="1"/>
  <c r="AA16" i="14"/>
  <c r="AA15" i="14"/>
  <c r="X26" i="18"/>
  <c r="X20" i="16"/>
  <c r="X23" i="20" s="1"/>
  <c r="X19" i="16"/>
  <c r="X11" i="20" s="1"/>
  <c r="AB12" i="12"/>
  <c r="AB15" i="12"/>
  <c r="AB17" i="12" s="1"/>
  <c r="AB8" i="18" s="1"/>
  <c r="F33" i="21"/>
  <c r="F35" i="21"/>
  <c r="F38" i="20"/>
  <c r="Z9" i="18"/>
  <c r="Z30" i="12"/>
  <c r="AE9" i="11"/>
  <c r="AD12" i="11"/>
  <c r="AD13" i="11"/>
  <c r="AA12" i="13"/>
  <c r="I39" i="18"/>
  <c r="I40" i="18" s="1"/>
  <c r="W10" i="16"/>
  <c r="V30" i="18"/>
  <c r="V20" i="21" s="1"/>
  <c r="AA27" i="11"/>
  <c r="AA25" i="11"/>
  <c r="AA15" i="13" s="1"/>
  <c r="AA26" i="11"/>
  <c r="AA16" i="13" s="1"/>
  <c r="V20" i="18"/>
  <c r="V18" i="21" s="1"/>
  <c r="U17" i="17"/>
  <c r="U16" i="17"/>
  <c r="U15" i="17"/>
  <c r="V13" i="17" s="1"/>
  <c r="AB7" i="21"/>
  <c r="AB21" i="13"/>
  <c r="AB24" i="15"/>
  <c r="AB25" i="15" s="1"/>
  <c r="AB9" i="21" s="1"/>
  <c r="AB23" i="13"/>
  <c r="AB9" i="14"/>
  <c r="AB8" i="13"/>
  <c r="AB24" i="13"/>
  <c r="AB10" i="13"/>
  <c r="AB28" i="12"/>
  <c r="AB21" i="11"/>
  <c r="AB17" i="11"/>
  <c r="AB11" i="13"/>
  <c r="AB22" i="13"/>
  <c r="AB22" i="11"/>
  <c r="AB18" i="11"/>
  <c r="AB9" i="13"/>
  <c r="AA8" i="21"/>
  <c r="J12" i="15"/>
  <c r="J14" i="15" s="1"/>
  <c r="J13" i="19" s="1"/>
  <c r="J14" i="19" s="1"/>
  <c r="J9" i="15"/>
  <c r="AC8" i="12"/>
  <c r="AC9" i="12"/>
  <c r="AC14" i="11"/>
  <c r="F34" i="21"/>
  <c r="F41" i="20"/>
  <c r="Z18" i="13"/>
  <c r="X16" i="16"/>
  <c r="X22" i="20" s="1"/>
  <c r="X16" i="18"/>
  <c r="X19" i="18" s="1"/>
  <c r="X7" i="16"/>
  <c r="X9" i="16"/>
  <c r="X8" i="16"/>
  <c r="X31" i="13"/>
  <c r="X32" i="13"/>
  <c r="G26" i="21"/>
  <c r="G28" i="21" s="1"/>
  <c r="G8" i="20"/>
  <c r="G12" i="20" s="1"/>
  <c r="G18" i="20" s="1"/>
  <c r="H24" i="19"/>
  <c r="H25" i="19" s="1"/>
  <c r="Z24" i="18"/>
  <c r="Z18" i="14"/>
  <c r="Z17" i="13"/>
  <c r="Z10" i="14"/>
  <c r="Z11" i="14" s="1"/>
  <c r="Z23" i="18" l="1"/>
  <c r="Z21" i="14"/>
  <c r="I22" i="21"/>
  <c r="I7" i="19"/>
  <c r="I10" i="19" s="1"/>
  <c r="I19" i="19"/>
  <c r="I20" i="19" s="1"/>
  <c r="I41" i="18"/>
  <c r="I23" i="21" s="1"/>
  <c r="Y16" i="18"/>
  <c r="Y7" i="16"/>
  <c r="Y9" i="16"/>
  <c r="Y8" i="16"/>
  <c r="Y16" i="16"/>
  <c r="Y22" i="20" s="1"/>
  <c r="C7" i="23"/>
  <c r="C18" i="23" s="1"/>
  <c r="Y31" i="13"/>
  <c r="I35" i="20"/>
  <c r="H36" i="20"/>
  <c r="AD8" i="12"/>
  <c r="AD9" i="12"/>
  <c r="AD14" i="11"/>
  <c r="AC16" i="12"/>
  <c r="AB25" i="13"/>
  <c r="AB15" i="18" s="1"/>
  <c r="J9" i="17"/>
  <c r="J10" i="17"/>
  <c r="J21" i="17" s="1"/>
  <c r="J8" i="17"/>
  <c r="J17" i="19" s="1"/>
  <c r="W10" i="20"/>
  <c r="W23" i="16"/>
  <c r="Z14" i="18"/>
  <c r="Z28" i="13"/>
  <c r="AA13" i="18"/>
  <c r="AB8" i="21"/>
  <c r="Y13" i="21"/>
  <c r="Y10" i="18"/>
  <c r="Y32" i="13"/>
  <c r="Y13" i="16"/>
  <c r="Y9" i="20" s="1"/>
  <c r="C6" i="23"/>
  <c r="Y29" i="12"/>
  <c r="AD10" i="12"/>
  <c r="AD11" i="12"/>
  <c r="V38" i="21"/>
  <c r="V39" i="21" s="1"/>
  <c r="V24" i="16"/>
  <c r="V9" i="19" s="1"/>
  <c r="AB12" i="13"/>
  <c r="Y26" i="18"/>
  <c r="Y20" i="16"/>
  <c r="Y23" i="20" s="1"/>
  <c r="Y19" i="16"/>
  <c r="Y11" i="20" s="1"/>
  <c r="V15" i="17"/>
  <c r="W13" i="17" s="1"/>
  <c r="V17" i="17"/>
  <c r="V16" i="17"/>
  <c r="AB12" i="21"/>
  <c r="AB7" i="18"/>
  <c r="AB14" i="14"/>
  <c r="AB17" i="14"/>
  <c r="AB25" i="18" s="1"/>
  <c r="AB16" i="14"/>
  <c r="AB15" i="14"/>
  <c r="X29" i="18"/>
  <c r="X20" i="18"/>
  <c r="X18" i="21" s="1"/>
  <c r="AC7" i="21"/>
  <c r="AC24" i="15"/>
  <c r="AC25" i="15" s="1"/>
  <c r="AC9" i="21" s="1"/>
  <c r="AC23" i="13"/>
  <c r="AC9" i="14"/>
  <c r="AC8" i="13"/>
  <c r="AC24" i="13"/>
  <c r="AC10" i="13"/>
  <c r="AC21" i="11"/>
  <c r="AC22" i="13"/>
  <c r="AC9" i="13"/>
  <c r="AC17" i="11"/>
  <c r="AC11" i="13"/>
  <c r="AC21" i="13"/>
  <c r="AC25" i="13" s="1"/>
  <c r="AC15" i="18" s="1"/>
  <c r="AC22" i="11"/>
  <c r="AC18" i="11"/>
  <c r="AC28" i="12"/>
  <c r="J18" i="15"/>
  <c r="V34" i="18"/>
  <c r="V21" i="21" s="1"/>
  <c r="Z15" i="21"/>
  <c r="Z14" i="21"/>
  <c r="X10" i="16"/>
  <c r="AF9" i="11"/>
  <c r="AE12" i="11"/>
  <c r="AE13" i="11"/>
  <c r="H26" i="21"/>
  <c r="H28" i="21" s="1"/>
  <c r="H8" i="20"/>
  <c r="H12" i="20" s="1"/>
  <c r="H18" i="20" s="1"/>
  <c r="I24" i="19"/>
  <c r="G34" i="21"/>
  <c r="G41" i="20"/>
  <c r="AA22" i="12"/>
  <c r="AA24" i="18"/>
  <c r="AA18" i="14"/>
  <c r="AB7" i="14"/>
  <c r="AB20" i="12"/>
  <c r="AB22" i="12" s="1"/>
  <c r="AB27" i="11"/>
  <c r="AB25" i="11"/>
  <c r="AB15" i="13" s="1"/>
  <c r="AB26" i="11"/>
  <c r="AB16" i="13" s="1"/>
  <c r="G33" i="21"/>
  <c r="G35" i="21"/>
  <c r="G38" i="20"/>
  <c r="AC12" i="12"/>
  <c r="AC15" i="12"/>
  <c r="AB8" i="14"/>
  <c r="AB21" i="12"/>
  <c r="AA10" i="14"/>
  <c r="AA11" i="14" s="1"/>
  <c r="AA17" i="13"/>
  <c r="AA18" i="13" s="1"/>
  <c r="I27" i="21"/>
  <c r="I28" i="20"/>
  <c r="I29" i="20" s="1"/>
  <c r="I31" i="20" s="1"/>
  <c r="W19" i="21"/>
  <c r="W33" i="18"/>
  <c r="W30" i="18"/>
  <c r="W20" i="21" s="1"/>
  <c r="AA14" i="18" l="1"/>
  <c r="AA28" i="13"/>
  <c r="AA23" i="18"/>
  <c r="AA21" i="14"/>
  <c r="AD16" i="12"/>
  <c r="Y15" i="21"/>
  <c r="Y14" i="21"/>
  <c r="AC8" i="21"/>
  <c r="AC7" i="14"/>
  <c r="AC20" i="12"/>
  <c r="Y10" i="16"/>
  <c r="X19" i="21"/>
  <c r="X33" i="18"/>
  <c r="X30" i="18"/>
  <c r="X20" i="21" s="1"/>
  <c r="AC25" i="11"/>
  <c r="AC15" i="13" s="1"/>
  <c r="AC27" i="11"/>
  <c r="AC26" i="11"/>
  <c r="AC16" i="13" s="1"/>
  <c r="AE8" i="12"/>
  <c r="AE9" i="12"/>
  <c r="AE14" i="11"/>
  <c r="AB13" i="18"/>
  <c r="K7" i="15"/>
  <c r="J20" i="15"/>
  <c r="J15" i="20" s="1"/>
  <c r="J16" i="20" s="1"/>
  <c r="AG9" i="11"/>
  <c r="AF12" i="11"/>
  <c r="AF13" i="11"/>
  <c r="AB9" i="18"/>
  <c r="AB30" i="12"/>
  <c r="AC12" i="21"/>
  <c r="AC7" i="18"/>
  <c r="AC14" i="14"/>
  <c r="AC16" i="14"/>
  <c r="AC17" i="14"/>
  <c r="AC25" i="18" s="1"/>
  <c r="AC15" i="14"/>
  <c r="Z16" i="18"/>
  <c r="Z19" i="18" s="1"/>
  <c r="Z9" i="16"/>
  <c r="Z8" i="16"/>
  <c r="Z7" i="16"/>
  <c r="Z10" i="16" s="1"/>
  <c r="Z16" i="16"/>
  <c r="Z22" i="20" s="1"/>
  <c r="Z31" i="13"/>
  <c r="Z32" i="13"/>
  <c r="H35" i="21"/>
  <c r="H33" i="21"/>
  <c r="H38" i="20"/>
  <c r="H41" i="20" s="1"/>
  <c r="AB25" i="12"/>
  <c r="AC12" i="13"/>
  <c r="AD15" i="12"/>
  <c r="AD12" i="12"/>
  <c r="AB24" i="18"/>
  <c r="AB18" i="14"/>
  <c r="AC17" i="12"/>
  <c r="AC8" i="18" s="1"/>
  <c r="W38" i="21"/>
  <c r="W39" i="21" s="1"/>
  <c r="W24" i="16"/>
  <c r="W9" i="19" s="1"/>
  <c r="I23" i="19"/>
  <c r="I25" i="19" s="1"/>
  <c r="AB10" i="14"/>
  <c r="AB11" i="14" s="1"/>
  <c r="AB17" i="13"/>
  <c r="K7" i="17"/>
  <c r="J20" i="17"/>
  <c r="J24" i="20"/>
  <c r="J25" i="20" s="1"/>
  <c r="X10" i="20"/>
  <c r="X23" i="16"/>
  <c r="W15" i="17"/>
  <c r="X13" i="17" s="1"/>
  <c r="W17" i="17"/>
  <c r="W16" i="17"/>
  <c r="W34" i="18"/>
  <c r="W21" i="21" s="1"/>
  <c r="AD7" i="21"/>
  <c r="AD23" i="13"/>
  <c r="AD8" i="13"/>
  <c r="AD24" i="13"/>
  <c r="AD10" i="13"/>
  <c r="AD28" i="12"/>
  <c r="AD21" i="11"/>
  <c r="AD22" i="13"/>
  <c r="AD9" i="13"/>
  <c r="AD24" i="15"/>
  <c r="AD25" i="15" s="1"/>
  <c r="AD9" i="21" s="1"/>
  <c r="AD9" i="14"/>
  <c r="AD11" i="13"/>
  <c r="AD17" i="11"/>
  <c r="AD22" i="11"/>
  <c r="AD21" i="13"/>
  <c r="AD25" i="13" s="1"/>
  <c r="AD15" i="18" s="1"/>
  <c r="AD18" i="11"/>
  <c r="AC8" i="14"/>
  <c r="AC21" i="12"/>
  <c r="AA9" i="18"/>
  <c r="AA30" i="12"/>
  <c r="AA25" i="12"/>
  <c r="Z26" i="18"/>
  <c r="Z20" i="16"/>
  <c r="Z23" i="20" s="1"/>
  <c r="Z19" i="16"/>
  <c r="Z11" i="20" s="1"/>
  <c r="I36" i="20"/>
  <c r="Y19" i="18"/>
  <c r="H34" i="21"/>
  <c r="AE10" i="12"/>
  <c r="AE11" i="12"/>
  <c r="AB18" i="13"/>
  <c r="AB14" i="18" s="1"/>
  <c r="J30" i="21"/>
  <c r="J36" i="18"/>
  <c r="J37" i="18" s="1"/>
  <c r="AB23" i="18" l="1"/>
  <c r="AB21" i="14"/>
  <c r="I8" i="20"/>
  <c r="I12" i="20" s="1"/>
  <c r="I18" i="20" s="1"/>
  <c r="I26" i="21"/>
  <c r="I28" i="21" s="1"/>
  <c r="J24" i="19"/>
  <c r="AD8" i="21"/>
  <c r="AD21" i="12"/>
  <c r="AD8" i="14"/>
  <c r="AB28" i="13"/>
  <c r="AD7" i="14"/>
  <c r="AD20" i="12"/>
  <c r="AD22" i="12" s="1"/>
  <c r="AD25" i="12" s="1"/>
  <c r="Z10" i="20"/>
  <c r="Z23" i="16"/>
  <c r="Y29" i="18"/>
  <c r="C8" i="23"/>
  <c r="C19" i="23" s="1"/>
  <c r="K10" i="17"/>
  <c r="K21" i="17" s="1"/>
  <c r="K8" i="17"/>
  <c r="K17" i="19" s="1"/>
  <c r="Z29" i="18"/>
  <c r="Z20" i="18"/>
  <c r="Z18" i="21" s="1"/>
  <c r="X38" i="21"/>
  <c r="X39" i="21" s="1"/>
  <c r="X24" i="16"/>
  <c r="X9" i="19" s="1"/>
  <c r="AE16" i="12"/>
  <c r="AE12" i="12"/>
  <c r="AE15" i="12"/>
  <c r="AE17" i="12" s="1"/>
  <c r="AE8" i="18" s="1"/>
  <c r="AC10" i="14"/>
  <c r="AC17" i="13"/>
  <c r="AD25" i="11"/>
  <c r="AD15" i="13" s="1"/>
  <c r="AD26" i="11"/>
  <c r="AD16" i="13" s="1"/>
  <c r="AD27" i="11"/>
  <c r="AC18" i="13"/>
  <c r="AC14" i="18" s="1"/>
  <c r="AC11" i="14"/>
  <c r="Y20" i="18"/>
  <c r="Y18" i="21" s="1"/>
  <c r="AB13" i="21"/>
  <c r="AB10" i="18"/>
  <c r="AB13" i="16"/>
  <c r="AB9" i="20" s="1"/>
  <c r="AB29" i="12"/>
  <c r="X15" i="17"/>
  <c r="Y13" i="17" s="1"/>
  <c r="X17" i="17"/>
  <c r="X16" i="17"/>
  <c r="K9" i="15"/>
  <c r="K12" i="15"/>
  <c r="K14" i="15" s="1"/>
  <c r="K13" i="19" s="1"/>
  <c r="K14" i="19" s="1"/>
  <c r="I35" i="21"/>
  <c r="I33" i="21"/>
  <c r="AA26" i="18"/>
  <c r="AA20" i="16"/>
  <c r="AA23" i="20" s="1"/>
  <c r="AA19" i="16"/>
  <c r="AA11" i="20" s="1"/>
  <c r="X34" i="18"/>
  <c r="X21" i="21" s="1"/>
  <c r="AF8" i="12"/>
  <c r="AF9" i="12"/>
  <c r="AF14" i="11"/>
  <c r="J39" i="18"/>
  <c r="J40" i="18" s="1"/>
  <c r="AC22" i="12"/>
  <c r="AE7" i="21"/>
  <c r="AE24" i="13"/>
  <c r="AE10" i="13"/>
  <c r="AE23" i="13"/>
  <c r="AE28" i="12"/>
  <c r="AE21" i="13"/>
  <c r="AE21" i="11"/>
  <c r="AE22" i="13"/>
  <c r="AE9" i="13"/>
  <c r="AE17" i="11"/>
  <c r="AE24" i="15"/>
  <c r="AE25" i="15" s="1"/>
  <c r="AE9" i="21" s="1"/>
  <c r="AE22" i="11"/>
  <c r="AE18" i="11"/>
  <c r="AE8" i="13"/>
  <c r="AE9" i="14"/>
  <c r="AE11" i="13"/>
  <c r="J27" i="21"/>
  <c r="J28" i="20"/>
  <c r="J29" i="20" s="1"/>
  <c r="J31" i="20" s="1"/>
  <c r="AC13" i="18"/>
  <c r="AC28" i="13"/>
  <c r="Y10" i="20"/>
  <c r="Y23" i="16"/>
  <c r="AD12" i="13"/>
  <c r="I38" i="20"/>
  <c r="AC24" i="18"/>
  <c r="AC18" i="14"/>
  <c r="AD12" i="21"/>
  <c r="AD7" i="18"/>
  <c r="AD14" i="14"/>
  <c r="AD16" i="14"/>
  <c r="AD17" i="14"/>
  <c r="AD25" i="18" s="1"/>
  <c r="AD15" i="14"/>
  <c r="AA16" i="18"/>
  <c r="AA9" i="16"/>
  <c r="AA8" i="16"/>
  <c r="AA7" i="16"/>
  <c r="AA10" i="16" s="1"/>
  <c r="AA16" i="16"/>
  <c r="AA22" i="20" s="1"/>
  <c r="AA31" i="13"/>
  <c r="AF10" i="12"/>
  <c r="AF11" i="12"/>
  <c r="AG12" i="11"/>
  <c r="AH9" i="11"/>
  <c r="AG13" i="11"/>
  <c r="AA13" i="21"/>
  <c r="AA10" i="18"/>
  <c r="AA32" i="13"/>
  <c r="AA13" i="16"/>
  <c r="AA9" i="20" s="1"/>
  <c r="AA29" i="12"/>
  <c r="AD17" i="12"/>
  <c r="AD8" i="18" s="1"/>
  <c r="AD10" i="18" l="1"/>
  <c r="AD13" i="21"/>
  <c r="AD13" i="16"/>
  <c r="AD9" i="20" s="1"/>
  <c r="AD29" i="12"/>
  <c r="J22" i="21"/>
  <c r="J19" i="19"/>
  <c r="J20" i="19" s="1"/>
  <c r="J7" i="19"/>
  <c r="J10" i="19" s="1"/>
  <c r="J41" i="18"/>
  <c r="J23" i="21" s="1"/>
  <c r="J35" i="20"/>
  <c r="AB16" i="18"/>
  <c r="AB19" i="18" s="1"/>
  <c r="AB7" i="16"/>
  <c r="AB16" i="16"/>
  <c r="AB22" i="20" s="1"/>
  <c r="AB9" i="16"/>
  <c r="AB8" i="16"/>
  <c r="AB31" i="13"/>
  <c r="AD11" i="14"/>
  <c r="AD18" i="13"/>
  <c r="AD14" i="18" s="1"/>
  <c r="AA10" i="20"/>
  <c r="AA23" i="16"/>
  <c r="Y19" i="21"/>
  <c r="Y33" i="18"/>
  <c r="C9" i="23"/>
  <c r="Y30" i="18"/>
  <c r="Y20" i="21" s="1"/>
  <c r="AG8" i="12"/>
  <c r="AG9" i="12"/>
  <c r="AG16" i="12" s="1"/>
  <c r="AG14" i="11"/>
  <c r="AC16" i="18"/>
  <c r="AC8" i="16"/>
  <c r="AC7" i="16"/>
  <c r="AC9" i="16"/>
  <c r="AC31" i="13"/>
  <c r="AE8" i="21"/>
  <c r="Z38" i="21"/>
  <c r="Z39" i="21" s="1"/>
  <c r="Z24" i="16"/>
  <c r="Z9" i="19" s="1"/>
  <c r="AD24" i="18"/>
  <c r="AD18" i="14"/>
  <c r="Y38" i="21"/>
  <c r="Y39" i="21" s="1"/>
  <c r="Y24" i="16"/>
  <c r="Y9" i="19" s="1"/>
  <c r="Y15" i="17"/>
  <c r="Z13" i="17" s="1"/>
  <c r="Y17" i="17"/>
  <c r="Y16" i="17"/>
  <c r="AC9" i="18"/>
  <c r="AC30" i="12"/>
  <c r="AF7" i="21"/>
  <c r="AF24" i="15"/>
  <c r="AF25" i="15" s="1"/>
  <c r="AF9" i="21" s="1"/>
  <c r="AF9" i="14"/>
  <c r="AF22" i="13"/>
  <c r="AF24" i="13"/>
  <c r="AF10" i="13"/>
  <c r="AF23" i="13"/>
  <c r="AF22" i="11"/>
  <c r="AF21" i="13"/>
  <c r="AF9" i="13"/>
  <c r="AF21" i="11"/>
  <c r="AF17" i="11"/>
  <c r="AF18" i="11"/>
  <c r="AF11" i="13"/>
  <c r="AF8" i="13"/>
  <c r="AF12" i="13" s="1"/>
  <c r="AC23" i="18"/>
  <c r="AC21" i="14"/>
  <c r="AF12" i="12"/>
  <c r="AF28" i="12" s="1"/>
  <c r="AF15" i="12"/>
  <c r="AF17" i="12" s="1"/>
  <c r="AF8" i="18" s="1"/>
  <c r="AC25" i="12"/>
  <c r="AE20" i="12"/>
  <c r="AE7" i="14"/>
  <c r="AE25" i="13"/>
  <c r="AE15" i="18" s="1"/>
  <c r="AE12" i="21"/>
  <c r="AE7" i="18"/>
  <c r="AE14" i="14"/>
  <c r="AE16" i="14"/>
  <c r="AE17" i="14"/>
  <c r="AE25" i="18" s="1"/>
  <c r="AE15" i="14"/>
  <c r="AB15" i="21"/>
  <c r="AB14" i="21"/>
  <c r="AE21" i="12"/>
  <c r="AE8" i="14"/>
  <c r="AD9" i="18"/>
  <c r="AD30" i="12"/>
  <c r="AE25" i="11"/>
  <c r="AE15" i="13" s="1"/>
  <c r="AE27" i="11"/>
  <c r="AE26" i="11"/>
  <c r="AE16" i="13" s="1"/>
  <c r="K18" i="15"/>
  <c r="I34" i="21"/>
  <c r="I41" i="20"/>
  <c r="AI9" i="11"/>
  <c r="AH12" i="11"/>
  <c r="AH13" i="11"/>
  <c r="Z19" i="21"/>
  <c r="Z33" i="18"/>
  <c r="Z30" i="18"/>
  <c r="Z20" i="21" s="1"/>
  <c r="K30" i="21"/>
  <c r="K36" i="18"/>
  <c r="K37" i="18" s="1"/>
  <c r="AF16" i="12"/>
  <c r="AA19" i="18"/>
  <c r="AB26" i="18"/>
  <c r="AB20" i="16"/>
  <c r="AB23" i="20" s="1"/>
  <c r="AB19" i="16"/>
  <c r="AB11" i="20" s="1"/>
  <c r="AB32" i="13"/>
  <c r="K9" i="17"/>
  <c r="AE12" i="13"/>
  <c r="AD10" i="14"/>
  <c r="AD17" i="13"/>
  <c r="AA15" i="21"/>
  <c r="AA14" i="21"/>
  <c r="AG10" i="12"/>
  <c r="AG11" i="12"/>
  <c r="AD13" i="18"/>
  <c r="AB29" i="18" l="1"/>
  <c r="AB20" i="18"/>
  <c r="AB18" i="21" s="1"/>
  <c r="Z34" i="18"/>
  <c r="Z21" i="21" s="1"/>
  <c r="AF25" i="13"/>
  <c r="AF15" i="18" s="1"/>
  <c r="J36" i="20"/>
  <c r="C10" i="23"/>
  <c r="C20" i="23" s="1"/>
  <c r="Y34" i="18"/>
  <c r="Y21" i="21" s="1"/>
  <c r="AC26" i="18"/>
  <c r="AC20" i="16"/>
  <c r="AC23" i="20" s="1"/>
  <c r="AC19" i="16"/>
  <c r="AC11" i="20" s="1"/>
  <c r="AD23" i="18"/>
  <c r="AD21" i="14"/>
  <c r="AF20" i="12"/>
  <c r="AF22" i="12" s="1"/>
  <c r="AF7" i="14"/>
  <c r="AB10" i="16"/>
  <c r="K39" i="18"/>
  <c r="K40" i="18" s="1"/>
  <c r="AH8" i="12"/>
  <c r="AH14" i="11"/>
  <c r="AH9" i="12"/>
  <c r="AE24" i="18"/>
  <c r="AE18" i="14"/>
  <c r="J23" i="19"/>
  <c r="J25" i="19" s="1"/>
  <c r="Z17" i="17"/>
  <c r="Z15" i="17"/>
  <c r="AA13" i="17" s="1"/>
  <c r="Z16" i="17"/>
  <c r="AF21" i="12"/>
  <c r="AF8" i="14"/>
  <c r="AH10" i="12"/>
  <c r="AH11" i="12"/>
  <c r="AA38" i="21"/>
  <c r="AA39" i="21" s="1"/>
  <c r="AA24" i="16"/>
  <c r="AA9" i="19" s="1"/>
  <c r="AF13" i="18"/>
  <c r="AE13" i="18"/>
  <c r="AJ9" i="11"/>
  <c r="AI13" i="11"/>
  <c r="AI12" i="11"/>
  <c r="L7" i="17"/>
  <c r="K20" i="17"/>
  <c r="K24" i="20"/>
  <c r="K25" i="20" s="1"/>
  <c r="AC16" i="16"/>
  <c r="AC22" i="20" s="1"/>
  <c r="AC10" i="16"/>
  <c r="AD28" i="13"/>
  <c r="K20" i="15"/>
  <c r="K15" i="20" s="1"/>
  <c r="K16" i="20" s="1"/>
  <c r="L7" i="15"/>
  <c r="AF8" i="21"/>
  <c r="AF25" i="11"/>
  <c r="AF15" i="13" s="1"/>
  <c r="AF27" i="11"/>
  <c r="AF26" i="11"/>
  <c r="AF16" i="13" s="1"/>
  <c r="AE10" i="14"/>
  <c r="AE11" i="14" s="1"/>
  <c r="AE17" i="13"/>
  <c r="AE18" i="13" s="1"/>
  <c r="AE22" i="12"/>
  <c r="AD15" i="21"/>
  <c r="AD14" i="21"/>
  <c r="AA29" i="18"/>
  <c r="AF12" i="21"/>
  <c r="AF7" i="18"/>
  <c r="AF14" i="14"/>
  <c r="AF16" i="14"/>
  <c r="AF15" i="14"/>
  <c r="AF17" i="14"/>
  <c r="AF25" i="18" s="1"/>
  <c r="AG12" i="12"/>
  <c r="AG15" i="12"/>
  <c r="AG17" i="12" s="1"/>
  <c r="AG8" i="18" s="1"/>
  <c r="AA20" i="18"/>
  <c r="AA18" i="21" s="1"/>
  <c r="AC13" i="21"/>
  <c r="AC10" i="18"/>
  <c r="AC32" i="13"/>
  <c r="AC13" i="16"/>
  <c r="AC9" i="20" s="1"/>
  <c r="AC29" i="12"/>
  <c r="AG7" i="21"/>
  <c r="AG9" i="14"/>
  <c r="AG24" i="15"/>
  <c r="AG25" i="15" s="1"/>
  <c r="AG9" i="21" s="1"/>
  <c r="AG9" i="13"/>
  <c r="AG22" i="11"/>
  <c r="AG24" i="13"/>
  <c r="AG22" i="13"/>
  <c r="AG17" i="11"/>
  <c r="AG18" i="11"/>
  <c r="AG21" i="13"/>
  <c r="AG25" i="13" s="1"/>
  <c r="AG15" i="18" s="1"/>
  <c r="AG23" i="13"/>
  <c r="AG21" i="11"/>
  <c r="AG10" i="13"/>
  <c r="AG8" i="13"/>
  <c r="AG12" i="13" s="1"/>
  <c r="AG11" i="13"/>
  <c r="K22" i="21" l="1"/>
  <c r="K7" i="19"/>
  <c r="K10" i="19" s="1"/>
  <c r="K23" i="19" s="1"/>
  <c r="K19" i="19"/>
  <c r="K20" i="19" s="1"/>
  <c r="K41" i="18"/>
  <c r="K23" i="21" s="1"/>
  <c r="K35" i="20"/>
  <c r="AE14" i="18"/>
  <c r="AE28" i="13"/>
  <c r="AE23" i="18"/>
  <c r="AE21" i="14"/>
  <c r="AI14" i="11"/>
  <c r="AI9" i="12"/>
  <c r="AI16" i="12" s="1"/>
  <c r="AI8" i="12"/>
  <c r="AD26" i="18"/>
  <c r="AD20" i="16"/>
  <c r="AD23" i="20" s="1"/>
  <c r="AD19" i="16"/>
  <c r="AD11" i="20" s="1"/>
  <c r="AJ12" i="11"/>
  <c r="AK9" i="11"/>
  <c r="AJ13" i="11"/>
  <c r="AF10" i="14"/>
  <c r="AF11" i="14" s="1"/>
  <c r="AF17" i="13"/>
  <c r="AF18" i="13" s="1"/>
  <c r="AF9" i="18"/>
  <c r="AF30" i="12"/>
  <c r="AF25" i="12"/>
  <c r="AH12" i="12"/>
  <c r="AH15" i="12"/>
  <c r="AI10" i="12"/>
  <c r="AI11" i="12"/>
  <c r="AB10" i="20"/>
  <c r="AB23" i="16"/>
  <c r="AG12" i="21"/>
  <c r="AG7" i="18"/>
  <c r="AG16" i="14"/>
  <c r="AG14" i="14"/>
  <c r="AG15" i="14"/>
  <c r="AG17" i="14"/>
  <c r="AG25" i="18" s="1"/>
  <c r="AG7" i="14"/>
  <c r="AG20" i="12"/>
  <c r="AG22" i="12" s="1"/>
  <c r="AG25" i="12" s="1"/>
  <c r="L9" i="15"/>
  <c r="L12" i="15"/>
  <c r="L14" i="15" s="1"/>
  <c r="L13" i="19" s="1"/>
  <c r="L14" i="19" s="1"/>
  <c r="AA17" i="17"/>
  <c r="AA15" i="17"/>
  <c r="AB13" i="17" s="1"/>
  <c r="AA16" i="17"/>
  <c r="AG28" i="12"/>
  <c r="AG8" i="21"/>
  <c r="J35" i="21"/>
  <c r="J33" i="21"/>
  <c r="J38" i="20"/>
  <c r="AD16" i="18"/>
  <c r="AD19" i="18" s="1"/>
  <c r="AD9" i="16"/>
  <c r="AD8" i="16"/>
  <c r="AD16" i="16"/>
  <c r="AD22" i="20" s="1"/>
  <c r="AD7" i="16"/>
  <c r="AD10" i="16" s="1"/>
  <c r="AD31" i="13"/>
  <c r="AD32" i="13"/>
  <c r="J8" i="20"/>
  <c r="J12" i="20" s="1"/>
  <c r="J18" i="20" s="1"/>
  <c r="J26" i="21"/>
  <c r="J28" i="21" s="1"/>
  <c r="K24" i="19"/>
  <c r="K25" i="19" s="1"/>
  <c r="K31" i="20"/>
  <c r="AG8" i="14"/>
  <c r="AG21" i="12"/>
  <c r="AC10" i="20"/>
  <c r="AC23" i="16"/>
  <c r="AA19" i="21"/>
  <c r="AA33" i="18"/>
  <c r="AA30" i="18"/>
  <c r="AA20" i="21" s="1"/>
  <c r="K27" i="21"/>
  <c r="K28" i="20"/>
  <c r="K29" i="20" s="1"/>
  <c r="AH16" i="12"/>
  <c r="AE9" i="18"/>
  <c r="AE30" i="12"/>
  <c r="AE25" i="12"/>
  <c r="AG13" i="18"/>
  <c r="AC19" i="18"/>
  <c r="AC20" i="18"/>
  <c r="AC18" i="21" s="1"/>
  <c r="AC15" i="21"/>
  <c r="AC14" i="21"/>
  <c r="AG25" i="11"/>
  <c r="AG15" i="13" s="1"/>
  <c r="AG27" i="11"/>
  <c r="AG26" i="11"/>
  <c r="AG16" i="13" s="1"/>
  <c r="AF24" i="18"/>
  <c r="AF18" i="14"/>
  <c r="L10" i="17"/>
  <c r="L21" i="17" s="1"/>
  <c r="L8" i="17"/>
  <c r="L17" i="19" s="1"/>
  <c r="AH7" i="21"/>
  <c r="AH9" i="14"/>
  <c r="AH24" i="13"/>
  <c r="AH28" i="12"/>
  <c r="AH21" i="13"/>
  <c r="AH9" i="13"/>
  <c r="AH8" i="13"/>
  <c r="AH22" i="13"/>
  <c r="AH24" i="15"/>
  <c r="AH25" i="15" s="1"/>
  <c r="AH9" i="21" s="1"/>
  <c r="AH17" i="11"/>
  <c r="AH18" i="11"/>
  <c r="AH23" i="13"/>
  <c r="AH22" i="11"/>
  <c r="AH21" i="11"/>
  <c r="AH11" i="13"/>
  <c r="AH10" i="13"/>
  <c r="AB19" i="21"/>
  <c r="AB33" i="18"/>
  <c r="AB30" i="18"/>
  <c r="AB20" i="21" s="1"/>
  <c r="AF14" i="18" l="1"/>
  <c r="AF28" i="13"/>
  <c r="AF23" i="18"/>
  <c r="AF21" i="14"/>
  <c r="AG13" i="21"/>
  <c r="AG10" i="18"/>
  <c r="AG13" i="16"/>
  <c r="AG9" i="20" s="1"/>
  <c r="AG29" i="12"/>
  <c r="AH26" i="11"/>
  <c r="AH16" i="13" s="1"/>
  <c r="AH25" i="11"/>
  <c r="AH15" i="13" s="1"/>
  <c r="AH27" i="11"/>
  <c r="AG24" i="18"/>
  <c r="AG18" i="14"/>
  <c r="AE26" i="18"/>
  <c r="AE19" i="16"/>
  <c r="AE11" i="20" s="1"/>
  <c r="AE20" i="16"/>
  <c r="AE23" i="20" s="1"/>
  <c r="AI12" i="12"/>
  <c r="AI28" i="12" s="1"/>
  <c r="AI15" i="12"/>
  <c r="AI17" i="12" s="1"/>
  <c r="AI8" i="18" s="1"/>
  <c r="AH7" i="14"/>
  <c r="AH20" i="12"/>
  <c r="AH22" i="12" s="1"/>
  <c r="AI7" i="21"/>
  <c r="AI24" i="15"/>
  <c r="AI25" i="15" s="1"/>
  <c r="AI9" i="21" s="1"/>
  <c r="AI9" i="14"/>
  <c r="AI22" i="13"/>
  <c r="AI11" i="13"/>
  <c r="AI22" i="11"/>
  <c r="AI21" i="13"/>
  <c r="AI8" i="13"/>
  <c r="AI24" i="13"/>
  <c r="AI17" i="11"/>
  <c r="AI9" i="13"/>
  <c r="AI21" i="11"/>
  <c r="AI18" i="11"/>
  <c r="AI23" i="13"/>
  <c r="AI10" i="13"/>
  <c r="AH12" i="13"/>
  <c r="AB38" i="21"/>
  <c r="AB39" i="21" s="1"/>
  <c r="AB24" i="16"/>
  <c r="AB9" i="19" s="1"/>
  <c r="AK13" i="11"/>
  <c r="AL9" i="11"/>
  <c r="AK12" i="11"/>
  <c r="AH21" i="12"/>
  <c r="AH8" i="14"/>
  <c r="K38" i="20"/>
  <c r="AB34" i="18"/>
  <c r="AB21" i="21" s="1"/>
  <c r="AJ9" i="12"/>
  <c r="AJ8" i="12"/>
  <c r="AJ14" i="11"/>
  <c r="AG18" i="13"/>
  <c r="AE9" i="16"/>
  <c r="AE16" i="18"/>
  <c r="AE7" i="16"/>
  <c r="AE8" i="16"/>
  <c r="AE16" i="16"/>
  <c r="AE22" i="20" s="1"/>
  <c r="AE31" i="13"/>
  <c r="AA34" i="18"/>
  <c r="AA21" i="21" s="1"/>
  <c r="AC29" i="18"/>
  <c r="AH17" i="12"/>
  <c r="AH8" i="18" s="1"/>
  <c r="K36" i="20"/>
  <c r="AC38" i="21"/>
  <c r="AC39" i="21" s="1"/>
  <c r="AC24" i="16"/>
  <c r="AC9" i="19" s="1"/>
  <c r="AH12" i="21"/>
  <c r="AH7" i="18"/>
  <c r="AH16" i="14"/>
  <c r="AH14" i="14"/>
  <c r="AH15" i="14"/>
  <c r="AH17" i="14"/>
  <c r="AH25" i="18" s="1"/>
  <c r="K26" i="21"/>
  <c r="K28" i="21" s="1"/>
  <c r="L24" i="19"/>
  <c r="K8" i="20"/>
  <c r="K12" i="20" s="1"/>
  <c r="K18" i="20" s="1"/>
  <c r="L30" i="21"/>
  <c r="L36" i="18"/>
  <c r="L37" i="18" s="1"/>
  <c r="L9" i="17"/>
  <c r="AJ11" i="12"/>
  <c r="AJ10" i="12"/>
  <c r="AD10" i="20"/>
  <c r="AD23" i="16"/>
  <c r="AG10" i="14"/>
  <c r="AG11" i="14" s="1"/>
  <c r="AG17" i="13"/>
  <c r="AD29" i="18"/>
  <c r="AD20" i="18"/>
  <c r="AD18" i="21" s="1"/>
  <c r="AF10" i="18"/>
  <c r="AF13" i="21"/>
  <c r="AF32" i="13"/>
  <c r="AF13" i="16"/>
  <c r="AF9" i="20" s="1"/>
  <c r="AF29" i="12"/>
  <c r="L18" i="15"/>
  <c r="J34" i="21"/>
  <c r="J41" i="20"/>
  <c r="AH8" i="21"/>
  <c r="AG9" i="18"/>
  <c r="AG30" i="12"/>
  <c r="AH25" i="13"/>
  <c r="AH15" i="18" s="1"/>
  <c r="AE13" i="21"/>
  <c r="AE10" i="18"/>
  <c r="AE32" i="13"/>
  <c r="AE13" i="16"/>
  <c r="AE9" i="20" s="1"/>
  <c r="AE29" i="12"/>
  <c r="AB17" i="17"/>
  <c r="AB15" i="17"/>
  <c r="AC13" i="17" s="1"/>
  <c r="AB16" i="17"/>
  <c r="AG23" i="18" l="1"/>
  <c r="AG21" i="14"/>
  <c r="AI25" i="13"/>
  <c r="AI15" i="18" s="1"/>
  <c r="AI8" i="21"/>
  <c r="AH11" i="14"/>
  <c r="L20" i="15"/>
  <c r="L15" i="20" s="1"/>
  <c r="L16" i="20" s="1"/>
  <c r="M7" i="15"/>
  <c r="AI7" i="14"/>
  <c r="AI20" i="12"/>
  <c r="AF15" i="21"/>
  <c r="AF14" i="21"/>
  <c r="AH13" i="18"/>
  <c r="AH28" i="13"/>
  <c r="AH10" i="14"/>
  <c r="AH17" i="13"/>
  <c r="AG15" i="21"/>
  <c r="AG14" i="21"/>
  <c r="AH9" i="18"/>
  <c r="AH30" i="12"/>
  <c r="L20" i="17"/>
  <c r="M7" i="17"/>
  <c r="L24" i="20"/>
  <c r="L25" i="20" s="1"/>
  <c r="L39" i="18"/>
  <c r="L40" i="18" s="1"/>
  <c r="K41" i="20"/>
  <c r="K34" i="21"/>
  <c r="AE10" i="16"/>
  <c r="AI26" i="11"/>
  <c r="AI16" i="13" s="1"/>
  <c r="AI27" i="11"/>
  <c r="AI25" i="11"/>
  <c r="AI15" i="13" s="1"/>
  <c r="AH18" i="13"/>
  <c r="AH14" i="18" s="1"/>
  <c r="AI12" i="13"/>
  <c r="AC17" i="17"/>
  <c r="AC15" i="17"/>
  <c r="AD13" i="17" s="1"/>
  <c r="AC16" i="17"/>
  <c r="AD38" i="21"/>
  <c r="AD39" i="21" s="1"/>
  <c r="AD24" i="16"/>
  <c r="AD9" i="19" s="1"/>
  <c r="AF26" i="18"/>
  <c r="AF20" i="16"/>
  <c r="AF23" i="20" s="1"/>
  <c r="AF19" i="16"/>
  <c r="AF11" i="20" s="1"/>
  <c r="AH18" i="14"/>
  <c r="AH24" i="18"/>
  <c r="AJ16" i="12"/>
  <c r="K33" i="21"/>
  <c r="K35" i="21"/>
  <c r="AK9" i="12"/>
  <c r="AK16" i="12" s="1"/>
  <c r="AK14" i="11"/>
  <c r="AK8" i="12"/>
  <c r="AG14" i="18"/>
  <c r="AG28" i="13"/>
  <c r="AJ12" i="12"/>
  <c r="AJ15" i="12"/>
  <c r="AJ17" i="12" s="1"/>
  <c r="AJ8" i="18" s="1"/>
  <c r="AL12" i="11"/>
  <c r="AM9" i="11"/>
  <c r="AL13" i="11"/>
  <c r="AF9" i="16"/>
  <c r="AF16" i="18"/>
  <c r="AF8" i="16"/>
  <c r="AF16" i="16"/>
  <c r="AF22" i="20" s="1"/>
  <c r="AF7" i="16"/>
  <c r="AF10" i="16" s="1"/>
  <c r="AF31" i="13"/>
  <c r="AI12" i="21"/>
  <c r="AI15" i="14"/>
  <c r="AI14" i="14"/>
  <c r="AI7" i="18"/>
  <c r="AI17" i="14"/>
  <c r="AI25" i="18" s="1"/>
  <c r="AI16" i="14"/>
  <c r="AI21" i="12"/>
  <c r="AI8" i="14"/>
  <c r="AH25" i="12"/>
  <c r="AJ7" i="21"/>
  <c r="AJ24" i="15"/>
  <c r="AJ25" i="15" s="1"/>
  <c r="AJ9" i="21" s="1"/>
  <c r="AJ9" i="14"/>
  <c r="AJ22" i="11"/>
  <c r="AJ21" i="13"/>
  <c r="AJ24" i="13"/>
  <c r="AJ9" i="13"/>
  <c r="AJ11" i="13"/>
  <c r="AJ10" i="13"/>
  <c r="AJ22" i="13"/>
  <c r="AJ17" i="11"/>
  <c r="AJ18" i="11"/>
  <c r="AJ23" i="13"/>
  <c r="AJ21" i="11"/>
  <c r="AJ8" i="13"/>
  <c r="AJ12" i="13" s="1"/>
  <c r="AF20" i="18"/>
  <c r="AF18" i="21" s="1"/>
  <c r="AF19" i="18"/>
  <c r="AF29" i="18" s="1"/>
  <c r="AD19" i="21"/>
  <c r="AD33" i="18"/>
  <c r="AD30" i="18"/>
  <c r="AD20" i="21" s="1"/>
  <c r="AE19" i="18"/>
  <c r="AE20" i="18" s="1"/>
  <c r="AE18" i="21" s="1"/>
  <c r="AE15" i="21"/>
  <c r="AE14" i="21"/>
  <c r="AC19" i="21"/>
  <c r="AC33" i="18"/>
  <c r="AC30" i="18"/>
  <c r="AC20" i="21" s="1"/>
  <c r="AK11" i="12"/>
  <c r="AK10" i="12"/>
  <c r="L22" i="21" l="1"/>
  <c r="L7" i="19"/>
  <c r="L10" i="19" s="1"/>
  <c r="L23" i="19" s="1"/>
  <c r="L25" i="19" s="1"/>
  <c r="L19" i="19"/>
  <c r="L20" i="19" s="1"/>
  <c r="L41" i="18"/>
  <c r="L23" i="21" s="1"/>
  <c r="L35" i="20"/>
  <c r="L27" i="21"/>
  <c r="L28" i="20"/>
  <c r="L29" i="20" s="1"/>
  <c r="L31" i="20" s="1"/>
  <c r="M9" i="15"/>
  <c r="M12" i="15"/>
  <c r="M14" i="15" s="1"/>
  <c r="M18" i="15" s="1"/>
  <c r="AJ8" i="21"/>
  <c r="AH13" i="21"/>
  <c r="AH10" i="18"/>
  <c r="AH32" i="13"/>
  <c r="AH13" i="16"/>
  <c r="AH9" i="20" s="1"/>
  <c r="AH29" i="12"/>
  <c r="AI10" i="14"/>
  <c r="AI11" i="14" s="1"/>
  <c r="AI17" i="13"/>
  <c r="AI18" i="13" s="1"/>
  <c r="AJ13" i="18"/>
  <c r="AE10" i="20"/>
  <c r="AE23" i="16"/>
  <c r="AH23" i="18"/>
  <c r="AH21" i="14"/>
  <c r="AJ12" i="21"/>
  <c r="AJ15" i="14"/>
  <c r="AJ14" i="14"/>
  <c r="AJ7" i="18"/>
  <c r="AJ17" i="14"/>
  <c r="AJ25" i="18" s="1"/>
  <c r="AJ16" i="14"/>
  <c r="AG16" i="18"/>
  <c r="AG19" i="18" s="1"/>
  <c r="AG8" i="16"/>
  <c r="AG16" i="16"/>
  <c r="AG22" i="20" s="1"/>
  <c r="AG7" i="16"/>
  <c r="AG10" i="16" s="1"/>
  <c r="AG9" i="16"/>
  <c r="AG31" i="13"/>
  <c r="AG32" i="13"/>
  <c r="AF10" i="20"/>
  <c r="AF23" i="16"/>
  <c r="AF19" i="21"/>
  <c r="AF33" i="18"/>
  <c r="AF30" i="18"/>
  <c r="AF20" i="21" s="1"/>
  <c r="AK12" i="12"/>
  <c r="AK15" i="12"/>
  <c r="AK17" i="12" s="1"/>
  <c r="AK8" i="18" s="1"/>
  <c r="AJ27" i="11"/>
  <c r="AJ26" i="11"/>
  <c r="AJ16" i="13" s="1"/>
  <c r="AJ25" i="11"/>
  <c r="AJ15" i="13" s="1"/>
  <c r="AJ7" i="14"/>
  <c r="AJ20" i="12"/>
  <c r="AC34" i="18"/>
  <c r="AC21" i="21" s="1"/>
  <c r="AI22" i="12"/>
  <c r="M10" i="17"/>
  <c r="M21" i="17" s="1"/>
  <c r="M8" i="17"/>
  <c r="M17" i="19" s="1"/>
  <c r="AJ25" i="13"/>
  <c r="AJ15" i="18" s="1"/>
  <c r="AL14" i="11"/>
  <c r="AL9" i="12"/>
  <c r="AL8" i="12"/>
  <c r="AK7" i="21"/>
  <c r="AK24" i="15"/>
  <c r="AK25" i="15" s="1"/>
  <c r="AK9" i="21" s="1"/>
  <c r="AK9" i="14"/>
  <c r="AK22" i="13"/>
  <c r="AK24" i="13"/>
  <c r="AK28" i="12"/>
  <c r="AK21" i="13"/>
  <c r="AK9" i="13"/>
  <c r="AK8" i="13"/>
  <c r="AK11" i="13"/>
  <c r="AK10" i="13"/>
  <c r="AK18" i="11"/>
  <c r="AK23" i="13"/>
  <c r="AK22" i="11"/>
  <c r="AK21" i="11"/>
  <c r="AK17" i="11"/>
  <c r="D4" i="23"/>
  <c r="AE29" i="18"/>
  <c r="AD34" i="18"/>
  <c r="AD21" i="21" s="1"/>
  <c r="AG26" i="18"/>
  <c r="AG20" i="16"/>
  <c r="AG23" i="20" s="1"/>
  <c r="AG19" i="16"/>
  <c r="AG11" i="20" s="1"/>
  <c r="AN9" i="11"/>
  <c r="AM12" i="11"/>
  <c r="AM13" i="11"/>
  <c r="AH16" i="18"/>
  <c r="AH8" i="16"/>
  <c r="AH16" i="16"/>
  <c r="AH22" i="20" s="1"/>
  <c r="AH9" i="16"/>
  <c r="AH7" i="16"/>
  <c r="AH10" i="16" s="1"/>
  <c r="AH31" i="13"/>
  <c r="AI13" i="18"/>
  <c r="AJ21" i="12"/>
  <c r="AJ8" i="14"/>
  <c r="AI24" i="18"/>
  <c r="AI18" i="14"/>
  <c r="AJ28" i="12"/>
  <c r="AL11" i="12"/>
  <c r="AL10" i="12"/>
  <c r="AD15" i="17"/>
  <c r="AE13" i="17" s="1"/>
  <c r="AD16" i="17"/>
  <c r="AD17" i="17"/>
  <c r="AI14" i="18" l="1"/>
  <c r="AI28" i="13"/>
  <c r="M20" i="15"/>
  <c r="M15" i="20" s="1"/>
  <c r="M16" i="20" s="1"/>
  <c r="N7" i="15"/>
  <c r="AI23" i="18"/>
  <c r="AI21" i="14"/>
  <c r="AK12" i="13"/>
  <c r="AJ11" i="14"/>
  <c r="AJ18" i="13"/>
  <c r="AJ24" i="18"/>
  <c r="AJ18" i="14"/>
  <c r="AH10" i="20"/>
  <c r="AH23" i="16"/>
  <c r="AK21" i="12"/>
  <c r="AK8" i="14"/>
  <c r="AM11" i="12"/>
  <c r="AM10" i="12"/>
  <c r="AN12" i="11"/>
  <c r="AO9" i="11"/>
  <c r="AN13" i="11"/>
  <c r="M30" i="21"/>
  <c r="M36" i="18"/>
  <c r="M37" i="18" s="1"/>
  <c r="M9" i="17"/>
  <c r="AH19" i="16"/>
  <c r="AH11" i="20" s="1"/>
  <c r="AH26" i="18"/>
  <c r="AH20" i="16"/>
  <c r="AH23" i="20" s="1"/>
  <c r="AK8" i="21"/>
  <c r="L36" i="20"/>
  <c r="L38" i="20" s="1"/>
  <c r="L28" i="21"/>
  <c r="AK12" i="21"/>
  <c r="AK7" i="18"/>
  <c r="AK17" i="14"/>
  <c r="AK25" i="18" s="1"/>
  <c r="AK14" i="14"/>
  <c r="AK16" i="14"/>
  <c r="AK15" i="14"/>
  <c r="D5" i="23"/>
  <c r="AE19" i="21"/>
  <c r="AE33" i="18"/>
  <c r="AE30" i="18"/>
  <c r="AE20" i="21" s="1"/>
  <c r="AL12" i="12"/>
  <c r="AL28" i="12" s="1"/>
  <c r="AL15" i="12"/>
  <c r="AL17" i="12" s="1"/>
  <c r="AL8" i="18" s="1"/>
  <c r="AF34" i="18"/>
  <c r="AF21" i="21" s="1"/>
  <c r="AE38" i="21"/>
  <c r="AE39" i="21" s="1"/>
  <c r="AE24" i="16"/>
  <c r="AE9" i="19" s="1"/>
  <c r="AG10" i="20"/>
  <c r="AG23" i="16"/>
  <c r="AH15" i="21"/>
  <c r="AH14" i="21"/>
  <c r="AM14" i="11"/>
  <c r="AM8" i="12"/>
  <c r="AM9" i="12"/>
  <c r="M13" i="19"/>
  <c r="M14" i="19" s="1"/>
  <c r="B12" i="23"/>
  <c r="AL16" i="12"/>
  <c r="AH19" i="18"/>
  <c r="AH29" i="18" s="1"/>
  <c r="AH30" i="18" s="1"/>
  <c r="AH20" i="21" s="1"/>
  <c r="AG29" i="18"/>
  <c r="AG20" i="18"/>
  <c r="AG18" i="21" s="1"/>
  <c r="AJ22" i="12"/>
  <c r="AE15" i="17"/>
  <c r="AF13" i="17" s="1"/>
  <c r="AE17" i="17"/>
  <c r="AE16" i="17"/>
  <c r="AK26" i="11"/>
  <c r="AK16" i="13" s="1"/>
  <c r="AK27" i="11"/>
  <c r="AK25" i="11"/>
  <c r="AK15" i="13" s="1"/>
  <c r="AI9" i="18"/>
  <c r="AI30" i="12"/>
  <c r="AI25" i="12"/>
  <c r="AK25" i="13"/>
  <c r="AK15" i="18" s="1"/>
  <c r="AJ10" i="14"/>
  <c r="AJ17" i="13"/>
  <c r="AL7" i="21"/>
  <c r="AL9" i="14"/>
  <c r="AL22" i="13"/>
  <c r="AL24" i="13"/>
  <c r="AL9" i="13"/>
  <c r="AL21" i="13"/>
  <c r="AL8" i="13"/>
  <c r="AL12" i="13" s="1"/>
  <c r="AL24" i="15"/>
  <c r="AL25" i="15" s="1"/>
  <c r="AL9" i="21" s="1"/>
  <c r="AL11" i="13"/>
  <c r="AL22" i="11"/>
  <c r="AL23" i="13"/>
  <c r="AL17" i="11"/>
  <c r="AL21" i="11"/>
  <c r="AL10" i="13"/>
  <c r="AL18" i="11"/>
  <c r="L26" i="21"/>
  <c r="M24" i="19"/>
  <c r="L8" i="20"/>
  <c r="L12" i="20" s="1"/>
  <c r="L18" i="20" s="1"/>
  <c r="AK7" i="14"/>
  <c r="AK20" i="12"/>
  <c r="AF38" i="21"/>
  <c r="AF39" i="21" s="1"/>
  <c r="AF24" i="16"/>
  <c r="AF9" i="19" s="1"/>
  <c r="AK24" i="18" l="1"/>
  <c r="AK18" i="14"/>
  <c r="AP9" i="11"/>
  <c r="AO12" i="11"/>
  <c r="AO13" i="11"/>
  <c r="AN9" i="12"/>
  <c r="AN8" i="12"/>
  <c r="AN14" i="11"/>
  <c r="AJ14" i="18"/>
  <c r="AJ28" i="13"/>
  <c r="L34" i="21"/>
  <c r="L41" i="20"/>
  <c r="AL13" i="18"/>
  <c r="AL25" i="13"/>
  <c r="AL15" i="18" s="1"/>
  <c r="AH38" i="21"/>
  <c r="AH39" i="21" s="1"/>
  <c r="AH24" i="16"/>
  <c r="AH9" i="19" s="1"/>
  <c r="AM16" i="12"/>
  <c r="AI19" i="16"/>
  <c r="AI11" i="20" s="1"/>
  <c r="AI26" i="18"/>
  <c r="AI20" i="16"/>
  <c r="AI23" i="20" s="1"/>
  <c r="AI13" i="21"/>
  <c r="AI10" i="18"/>
  <c r="AI32" i="13"/>
  <c r="AI13" i="16"/>
  <c r="AI9" i="20" s="1"/>
  <c r="AI29" i="12"/>
  <c r="AM12" i="12"/>
  <c r="AM15" i="12"/>
  <c r="M20" i="17"/>
  <c r="N7" i="17"/>
  <c r="M24" i="20"/>
  <c r="M25" i="20" s="1"/>
  <c r="AJ9" i="18"/>
  <c r="AJ30" i="12"/>
  <c r="AJ25" i="12"/>
  <c r="AL12" i="21"/>
  <c r="AL7" i="18"/>
  <c r="AL17" i="14"/>
  <c r="AL25" i="18" s="1"/>
  <c r="AL14" i="14"/>
  <c r="AL16" i="14"/>
  <c r="AL15" i="14"/>
  <c r="AK22" i="12"/>
  <c r="AM7" i="21"/>
  <c r="AM9" i="14"/>
  <c r="AM22" i="13"/>
  <c r="AM24" i="13"/>
  <c r="AM9" i="13"/>
  <c r="AM11" i="13"/>
  <c r="AM24" i="15"/>
  <c r="AM25" i="15" s="1"/>
  <c r="AM9" i="21" s="1"/>
  <c r="AM21" i="13"/>
  <c r="AM25" i="13" s="1"/>
  <c r="AM15" i="18" s="1"/>
  <c r="AM8" i="13"/>
  <c r="AM10" i="13"/>
  <c r="AM22" i="11"/>
  <c r="AM21" i="11"/>
  <c r="AM18" i="11"/>
  <c r="AM23" i="13"/>
  <c r="AM17" i="11"/>
  <c r="M39" i="18"/>
  <c r="M40" i="18"/>
  <c r="N9" i="15"/>
  <c r="N12" i="15"/>
  <c r="N14" i="15" s="1"/>
  <c r="N18" i="15" s="1"/>
  <c r="AJ23" i="18"/>
  <c r="AJ21" i="14"/>
  <c r="AK13" i="18"/>
  <c r="AG38" i="21"/>
  <c r="AG39" i="21" s="1"/>
  <c r="AG24" i="16"/>
  <c r="AG9" i="19" s="1"/>
  <c r="AF16" i="17"/>
  <c r="AF15" i="17"/>
  <c r="AG13" i="17" s="1"/>
  <c r="AF17" i="17"/>
  <c r="AG19" i="21"/>
  <c r="AG33" i="18"/>
  <c r="AG30" i="18"/>
  <c r="AG20" i="21" s="1"/>
  <c r="AH19" i="21"/>
  <c r="AH33" i="18"/>
  <c r="AH20" i="18"/>
  <c r="AH18" i="21" s="1"/>
  <c r="AL8" i="21"/>
  <c r="AE34" i="18"/>
  <c r="AE21" i="21" s="1"/>
  <c r="AK18" i="13"/>
  <c r="AK14" i="18" s="1"/>
  <c r="AI16" i="18"/>
  <c r="AI8" i="16"/>
  <c r="AI16" i="16"/>
  <c r="AI22" i="20" s="1"/>
  <c r="AI7" i="16"/>
  <c r="AI10" i="16" s="1"/>
  <c r="AI9" i="16"/>
  <c r="AI31" i="13"/>
  <c r="L35" i="21"/>
  <c r="L33" i="21"/>
  <c r="AL21" i="12"/>
  <c r="AL8" i="14"/>
  <c r="AL26" i="11"/>
  <c r="AL16" i="13" s="1"/>
  <c r="AL27" i="11"/>
  <c r="AL25" i="11"/>
  <c r="AL15" i="13" s="1"/>
  <c r="AL7" i="14"/>
  <c r="AL20" i="12"/>
  <c r="AL22" i="12" s="1"/>
  <c r="AL25" i="12" s="1"/>
  <c r="AK10" i="14"/>
  <c r="AK11" i="14" s="1"/>
  <c r="AK17" i="13"/>
  <c r="AN11" i="12"/>
  <c r="AN10" i="12"/>
  <c r="AK23" i="18" l="1"/>
  <c r="AK21" i="14"/>
  <c r="AL13" i="21"/>
  <c r="AL10" i="18"/>
  <c r="AL13" i="16"/>
  <c r="AL9" i="20" s="1"/>
  <c r="AL29" i="12"/>
  <c r="O7" i="15"/>
  <c r="N20" i="15"/>
  <c r="N15" i="20" s="1"/>
  <c r="N16" i="20" s="1"/>
  <c r="N10" i="17"/>
  <c r="N21" i="17" s="1"/>
  <c r="N8" i="17"/>
  <c r="N17" i="19" s="1"/>
  <c r="AK28" i="13"/>
  <c r="AJ19" i="16"/>
  <c r="AJ11" i="20" s="1"/>
  <c r="AJ20" i="16"/>
  <c r="AJ23" i="20" s="1"/>
  <c r="AJ26" i="18"/>
  <c r="AM12" i="21"/>
  <c r="AM15" i="14"/>
  <c r="AM14" i="14"/>
  <c r="AM16" i="14"/>
  <c r="AM17" i="14"/>
  <c r="AM25" i="18" s="1"/>
  <c r="AM7" i="18"/>
  <c r="AH34" i="18"/>
  <c r="AH21" i="21" s="1"/>
  <c r="AN7" i="21"/>
  <c r="AN9" i="14"/>
  <c r="AN22" i="13"/>
  <c r="AN24" i="13"/>
  <c r="AN9" i="13"/>
  <c r="AN11" i="13"/>
  <c r="AN24" i="15"/>
  <c r="AN25" i="15" s="1"/>
  <c r="AN9" i="21" s="1"/>
  <c r="AN21" i="13"/>
  <c r="AN8" i="13"/>
  <c r="AN10" i="13"/>
  <c r="AN18" i="11"/>
  <c r="AN17" i="11"/>
  <c r="AN23" i="13"/>
  <c r="AN22" i="11"/>
  <c r="AN28" i="12"/>
  <c r="AN21" i="11"/>
  <c r="AJ16" i="18"/>
  <c r="AJ16" i="16"/>
  <c r="AJ22" i="20" s="1"/>
  <c r="AJ7" i="16"/>
  <c r="AJ9" i="16"/>
  <c r="AJ8" i="16"/>
  <c r="AJ31" i="13"/>
  <c r="AM8" i="21"/>
  <c r="M22" i="21"/>
  <c r="M19" i="19"/>
  <c r="M20" i="19" s="1"/>
  <c r="M7" i="19"/>
  <c r="M10" i="19" s="1"/>
  <c r="M41" i="18"/>
  <c r="M23" i="21" s="1"/>
  <c r="B11" i="23"/>
  <c r="M35" i="20"/>
  <c r="AI10" i="20"/>
  <c r="AI23" i="16"/>
  <c r="AG16" i="17"/>
  <c r="AG15" i="17"/>
  <c r="AH13" i="17" s="1"/>
  <c r="AG17" i="17"/>
  <c r="AI15" i="21"/>
  <c r="AI14" i="21"/>
  <c r="AO9" i="12"/>
  <c r="AO14" i="11"/>
  <c r="AO8" i="12"/>
  <c r="AL11" i="14"/>
  <c r="AN16" i="12"/>
  <c r="AK9" i="18"/>
  <c r="AK30" i="12"/>
  <c r="AK25" i="12"/>
  <c r="AI19" i="18"/>
  <c r="AI29" i="18" s="1"/>
  <c r="AI20" i="18"/>
  <c r="AI18" i="21" s="1"/>
  <c r="AI30" i="18"/>
  <c r="AI20" i="21" s="1"/>
  <c r="AO11" i="12"/>
  <c r="AO10" i="12"/>
  <c r="AM7" i="14"/>
  <c r="AM20" i="12"/>
  <c r="AM22" i="12" s="1"/>
  <c r="AQ9" i="11"/>
  <c r="AP12" i="11"/>
  <c r="AP13" i="11"/>
  <c r="AM25" i="11"/>
  <c r="AM15" i="13" s="1"/>
  <c r="AM27" i="11"/>
  <c r="AM26" i="11"/>
  <c r="AM16" i="13" s="1"/>
  <c r="M27" i="21"/>
  <c r="B15" i="23"/>
  <c r="M28" i="20"/>
  <c r="M29" i="20" s="1"/>
  <c r="AG34" i="18"/>
  <c r="AG21" i="21" s="1"/>
  <c r="AM28" i="12"/>
  <c r="M31" i="20"/>
  <c r="AL9" i="18"/>
  <c r="AL30" i="12"/>
  <c r="AM12" i="13"/>
  <c r="AJ10" i="18"/>
  <c r="AJ13" i="21"/>
  <c r="AJ32" i="13"/>
  <c r="AJ13" i="16"/>
  <c r="AJ9" i="20" s="1"/>
  <c r="AJ29" i="12"/>
  <c r="AM17" i="12"/>
  <c r="AM8" i="18" s="1"/>
  <c r="AL17" i="13"/>
  <c r="AL18" i="13" s="1"/>
  <c r="AL10" i="14"/>
  <c r="N13" i="19"/>
  <c r="N14" i="19" s="1"/>
  <c r="AN15" i="12"/>
  <c r="AN12" i="12"/>
  <c r="AM8" i="14"/>
  <c r="AM21" i="12"/>
  <c r="AL24" i="18"/>
  <c r="AL18" i="14"/>
  <c r="AL14" i="18" l="1"/>
  <c r="AL28" i="13"/>
  <c r="AH16" i="17"/>
  <c r="AH15" i="17"/>
  <c r="AI13" i="17" s="1"/>
  <c r="AH17" i="17"/>
  <c r="AI33" i="18"/>
  <c r="AI19" i="21"/>
  <c r="M23" i="19"/>
  <c r="M25" i="19" s="1"/>
  <c r="B13" i="23"/>
  <c r="M38" i="20"/>
  <c r="AK13" i="21"/>
  <c r="AK10" i="18"/>
  <c r="AK32" i="13"/>
  <c r="AK13" i="16"/>
  <c r="AK9" i="20" s="1"/>
  <c r="AK29" i="12"/>
  <c r="D6" i="23"/>
  <c r="AN25" i="13"/>
  <c r="AN15" i="18" s="1"/>
  <c r="N9" i="17"/>
  <c r="AL23" i="18"/>
  <c r="AL21" i="14"/>
  <c r="O9" i="15"/>
  <c r="O12" i="15"/>
  <c r="O14" i="15" s="1"/>
  <c r="O18" i="15"/>
  <c r="M36" i="20"/>
  <c r="AK16" i="18"/>
  <c r="AK8" i="16"/>
  <c r="AK16" i="16"/>
  <c r="AK22" i="20" s="1"/>
  <c r="AK9" i="16"/>
  <c r="AK7" i="16"/>
  <c r="AK10" i="16" s="1"/>
  <c r="AK31" i="13"/>
  <c r="D7" i="23"/>
  <c r="D18" i="23" s="1"/>
  <c r="N30" i="21"/>
  <c r="N36" i="18"/>
  <c r="N37" i="18" s="1"/>
  <c r="AO16" i="12"/>
  <c r="AJ10" i="16"/>
  <c r="AM17" i="13"/>
  <c r="AM10" i="14"/>
  <c r="AM11" i="14" s="1"/>
  <c r="AI38" i="21"/>
  <c r="AI39" i="21" s="1"/>
  <c r="AI24" i="16"/>
  <c r="AI9" i="19" s="1"/>
  <c r="AJ15" i="21"/>
  <c r="AJ14" i="21"/>
  <c r="AN20" i="12"/>
  <c r="AN22" i="12" s="1"/>
  <c r="AN7" i="14"/>
  <c r="AJ19" i="18"/>
  <c r="AJ29" i="18" s="1"/>
  <c r="AJ30" i="18" s="1"/>
  <c r="AJ20" i="21" s="1"/>
  <c r="AN12" i="13"/>
  <c r="AO15" i="12"/>
  <c r="AO17" i="12" s="1"/>
  <c r="AO8" i="18" s="1"/>
  <c r="AO12" i="12"/>
  <c r="AN12" i="21"/>
  <c r="AN15" i="14"/>
  <c r="AN7" i="18"/>
  <c r="AN17" i="14"/>
  <c r="AN25" i="18" s="1"/>
  <c r="AN14" i="14"/>
  <c r="AN16" i="14"/>
  <c r="AN17" i="12"/>
  <c r="AN8" i="18" s="1"/>
  <c r="AN8" i="21"/>
  <c r="AM18" i="13"/>
  <c r="AM14" i="18" s="1"/>
  <c r="AL15" i="21"/>
  <c r="AL14" i="21"/>
  <c r="AM24" i="18"/>
  <c r="AM18" i="14"/>
  <c r="AN8" i="14"/>
  <c r="AN21" i="12"/>
  <c r="AO9" i="14"/>
  <c r="AO24" i="13"/>
  <c r="AO9" i="13"/>
  <c r="AO7" i="21"/>
  <c r="AO11" i="13"/>
  <c r="AO24" i="15"/>
  <c r="AO25" i="15" s="1"/>
  <c r="AO9" i="21" s="1"/>
  <c r="AO28" i="12"/>
  <c r="AO21" i="13"/>
  <c r="AO8" i="13"/>
  <c r="AO10" i="13"/>
  <c r="AO22" i="13"/>
  <c r="AO22" i="11"/>
  <c r="AO18" i="11"/>
  <c r="AO23" i="13"/>
  <c r="AO17" i="11"/>
  <c r="AO21" i="11"/>
  <c r="AP11" i="12"/>
  <c r="AP10" i="12"/>
  <c r="AM9" i="18"/>
  <c r="AM30" i="12"/>
  <c r="AM13" i="18"/>
  <c r="AP9" i="12"/>
  <c r="AP16" i="12" s="1"/>
  <c r="AP14" i="11"/>
  <c r="AP8" i="12"/>
  <c r="AN26" i="11"/>
  <c r="AN16" i="13" s="1"/>
  <c r="AN25" i="11"/>
  <c r="AN15" i="13" s="1"/>
  <c r="AN27" i="11"/>
  <c r="AM25" i="12"/>
  <c r="AK26" i="18"/>
  <c r="AK20" i="16"/>
  <c r="AK23" i="20" s="1"/>
  <c r="AK19" i="16"/>
  <c r="AK11" i="20" s="1"/>
  <c r="AR9" i="11"/>
  <c r="AQ13" i="11"/>
  <c r="AQ12" i="11"/>
  <c r="AM23" i="18" l="1"/>
  <c r="AM21" i="14"/>
  <c r="AO7" i="14"/>
  <c r="AO20" i="12"/>
  <c r="B14" i="23"/>
  <c r="M26" i="21"/>
  <c r="M28" i="21" s="1"/>
  <c r="M29" i="21" s="1"/>
  <c r="N24" i="19"/>
  <c r="M8" i="20"/>
  <c r="M12" i="20" s="1"/>
  <c r="M18" i="20" s="1"/>
  <c r="AP24" i="15"/>
  <c r="AP25" i="15" s="1"/>
  <c r="AP9" i="21" s="1"/>
  <c r="AP24" i="13"/>
  <c r="AP21" i="13"/>
  <c r="AP9" i="13"/>
  <c r="AP7" i="21"/>
  <c r="AP11" i="13"/>
  <c r="AP28" i="12"/>
  <c r="AP23" i="13"/>
  <c r="AP8" i="13"/>
  <c r="AP10" i="13"/>
  <c r="AP21" i="11"/>
  <c r="AP22" i="13"/>
  <c r="AP22" i="11"/>
  <c r="AP9" i="14"/>
  <c r="AP18" i="11"/>
  <c r="AP17" i="11"/>
  <c r="AL26" i="18"/>
  <c r="AL20" i="16"/>
  <c r="AL23" i="20" s="1"/>
  <c r="AL19" i="16"/>
  <c r="AL11" i="20" s="1"/>
  <c r="AQ11" i="12"/>
  <c r="AQ10" i="12"/>
  <c r="AS9" i="11"/>
  <c r="AR13" i="11"/>
  <c r="AR12" i="11"/>
  <c r="AI34" i="18"/>
  <c r="AI21" i="21" s="1"/>
  <c r="AO12" i="13"/>
  <c r="AO25" i="13"/>
  <c r="AO15" i="18" s="1"/>
  <c r="N20" i="17"/>
  <c r="O7" i="17"/>
  <c r="N24" i="20"/>
  <c r="N25" i="20" s="1"/>
  <c r="AK15" i="21"/>
  <c r="AK14" i="21"/>
  <c r="AO8" i="14"/>
  <c r="AO21" i="12"/>
  <c r="AN10" i="14"/>
  <c r="AN17" i="13"/>
  <c r="AN18" i="13" s="1"/>
  <c r="AN25" i="12"/>
  <c r="P7" i="15"/>
  <c r="O20" i="15"/>
  <c r="O15" i="20" s="1"/>
  <c r="O16" i="20" s="1"/>
  <c r="AO8" i="21"/>
  <c r="AI16" i="17"/>
  <c r="AI15" i="17"/>
  <c r="AJ13" i="17" s="1"/>
  <c r="AI17" i="17"/>
  <c r="AN11" i="14"/>
  <c r="AN9" i="18"/>
  <c r="AN30" i="12"/>
  <c r="AK10" i="20"/>
  <c r="AK23" i="16"/>
  <c r="AP12" i="12"/>
  <c r="AP15" i="12"/>
  <c r="AP17" i="12" s="1"/>
  <c r="AP8" i="18" s="1"/>
  <c r="O13" i="19"/>
  <c r="O14" i="19" s="1"/>
  <c r="AO26" i="11"/>
  <c r="AO16" i="13" s="1"/>
  <c r="AO27" i="11"/>
  <c r="AO25" i="11"/>
  <c r="AO15" i="13" s="1"/>
  <c r="AM13" i="21"/>
  <c r="AM10" i="18"/>
  <c r="AM13" i="16"/>
  <c r="AM9" i="20" s="1"/>
  <c r="AM29" i="12"/>
  <c r="AN24" i="18"/>
  <c r="AN18" i="14"/>
  <c r="AN13" i="18"/>
  <c r="AJ10" i="20"/>
  <c r="AJ23" i="16"/>
  <c r="AJ20" i="18"/>
  <c r="AJ18" i="21" s="1"/>
  <c r="N40" i="18"/>
  <c r="N39" i="18"/>
  <c r="AL16" i="18"/>
  <c r="AL19" i="18" s="1"/>
  <c r="AL16" i="16"/>
  <c r="AL22" i="20" s="1"/>
  <c r="AL9" i="16"/>
  <c r="AL8" i="16"/>
  <c r="AL7" i="16"/>
  <c r="AL10" i="16" s="1"/>
  <c r="AL31" i="13"/>
  <c r="AL32" i="13"/>
  <c r="M33" i="21"/>
  <c r="B16" i="23"/>
  <c r="M35" i="21"/>
  <c r="AM28" i="13"/>
  <c r="AO12" i="21"/>
  <c r="AO7" i="18"/>
  <c r="AO15" i="14"/>
  <c r="AO17" i="14"/>
  <c r="AO25" i="18" s="1"/>
  <c r="AO16" i="14"/>
  <c r="AO14" i="14"/>
  <c r="AQ9" i="12"/>
  <c r="AQ16" i="12" s="1"/>
  <c r="AQ14" i="11"/>
  <c r="AQ8" i="12"/>
  <c r="AJ33" i="18"/>
  <c r="AJ19" i="21"/>
  <c r="AK19" i="18"/>
  <c r="AK20" i="18" s="1"/>
  <c r="AK18" i="21" s="1"/>
  <c r="AN14" i="18" l="1"/>
  <c r="AN28" i="13"/>
  <c r="AJ16" i="17"/>
  <c r="AJ15" i="17"/>
  <c r="AK13" i="17" s="1"/>
  <c r="AJ17" i="17"/>
  <c r="AM16" i="18"/>
  <c r="AM19" i="18" s="1"/>
  <c r="AM7" i="16"/>
  <c r="AM8" i="16"/>
  <c r="AM16" i="16"/>
  <c r="AM22" i="20" s="1"/>
  <c r="AM9" i="16"/>
  <c r="AM31" i="13"/>
  <c r="AR9" i="12"/>
  <c r="AR14" i="11"/>
  <c r="AR8" i="12"/>
  <c r="AR11" i="12"/>
  <c r="AR10" i="12"/>
  <c r="AT9" i="11"/>
  <c r="AS12" i="11"/>
  <c r="AS13" i="11"/>
  <c r="AP25" i="13"/>
  <c r="AP15" i="18" s="1"/>
  <c r="N27" i="21"/>
  <c r="N28" i="20"/>
  <c r="N29" i="20" s="1"/>
  <c r="N31" i="20" s="1"/>
  <c r="AM32" i="13"/>
  <c r="AM15" i="21"/>
  <c r="AM14" i="21"/>
  <c r="P9" i="15"/>
  <c r="P12" i="15"/>
  <c r="P14" i="15" s="1"/>
  <c r="O10" i="17"/>
  <c r="O21" i="17" s="1"/>
  <c r="O8" i="17"/>
  <c r="O17" i="19" s="1"/>
  <c r="AP8" i="21"/>
  <c r="AO18" i="13"/>
  <c r="AO14" i="18" s="1"/>
  <c r="AP20" i="12"/>
  <c r="AP22" i="12" s="1"/>
  <c r="AP7" i="14"/>
  <c r="AN23" i="18"/>
  <c r="AN21" i="14"/>
  <c r="AP8" i="14"/>
  <c r="AP21" i="12"/>
  <c r="AO22" i="12"/>
  <c r="N22" i="21"/>
  <c r="N19" i="19"/>
  <c r="N20" i="19" s="1"/>
  <c r="N7" i="19"/>
  <c r="N10" i="19" s="1"/>
  <c r="N41" i="18"/>
  <c r="N23" i="21" s="1"/>
  <c r="N35" i="20"/>
  <c r="AK38" i="21"/>
  <c r="AK39" i="21" s="1"/>
  <c r="AK24" i="16"/>
  <c r="AK9" i="19" s="1"/>
  <c r="AJ38" i="21"/>
  <c r="AJ39" i="21" s="1"/>
  <c r="AJ24" i="16"/>
  <c r="AJ9" i="19" s="1"/>
  <c r="AO17" i="13"/>
  <c r="AO10" i="14"/>
  <c r="AO11" i="14" s="1"/>
  <c r="AJ34" i="18"/>
  <c r="AJ21" i="21" s="1"/>
  <c r="AL29" i="18"/>
  <c r="AL20" i="18"/>
  <c r="AL18" i="21" s="1"/>
  <c r="AP27" i="11"/>
  <c r="AP25" i="11"/>
  <c r="AP15" i="13" s="1"/>
  <c r="AP26" i="11"/>
  <c r="AP16" i="13" s="1"/>
  <c r="AO13" i="18"/>
  <c r="AN13" i="21"/>
  <c r="AN10" i="18"/>
  <c r="AN32" i="13"/>
  <c r="AN13" i="16"/>
  <c r="AN9" i="20" s="1"/>
  <c r="AN29" i="12"/>
  <c r="AM26" i="18"/>
  <c r="AM20" i="16"/>
  <c r="AM23" i="20" s="1"/>
  <c r="AM19" i="16"/>
  <c r="AM11" i="20" s="1"/>
  <c r="AO24" i="18"/>
  <c r="AO18" i="14"/>
  <c r="AP12" i="13"/>
  <c r="AK29" i="18"/>
  <c r="D8" i="23"/>
  <c r="D19" i="23" s="1"/>
  <c r="M34" i="21"/>
  <c r="M41" i="20"/>
  <c r="AL10" i="20"/>
  <c r="AL23" i="16"/>
  <c r="AQ15" i="12"/>
  <c r="AQ17" i="12" s="1"/>
  <c r="AQ8" i="18" s="1"/>
  <c r="AQ12" i="12"/>
  <c r="AP12" i="21"/>
  <c r="AP7" i="18"/>
  <c r="AP15" i="14"/>
  <c r="AP17" i="14"/>
  <c r="AP25" i="18" s="1"/>
  <c r="AP16" i="14"/>
  <c r="AP14" i="14"/>
  <c r="AQ7" i="21"/>
  <c r="AQ24" i="15"/>
  <c r="AQ25" i="15" s="1"/>
  <c r="AQ9" i="21" s="1"/>
  <c r="AQ11" i="13"/>
  <c r="AQ28" i="12"/>
  <c r="AQ8" i="13"/>
  <c r="AQ10" i="13"/>
  <c r="AQ21" i="11"/>
  <c r="AQ9" i="13"/>
  <c r="AQ24" i="13"/>
  <c r="AQ22" i="11"/>
  <c r="AQ18" i="11"/>
  <c r="AQ23" i="13"/>
  <c r="AQ9" i="14"/>
  <c r="AQ22" i="13"/>
  <c r="AQ21" i="13"/>
  <c r="AQ17" i="11"/>
  <c r="AM29" i="18" l="1"/>
  <c r="AM20" i="18"/>
  <c r="AM18" i="21" s="1"/>
  <c r="AO23" i="18"/>
  <c r="AO21" i="14"/>
  <c r="AR15" i="12"/>
  <c r="AR12" i="12"/>
  <c r="AN15" i="21"/>
  <c r="AN14" i="21"/>
  <c r="O9" i="17"/>
  <c r="AQ20" i="12"/>
  <c r="AQ22" i="12" s="1"/>
  <c r="AQ7" i="14"/>
  <c r="AQ12" i="13"/>
  <c r="AK19" i="21"/>
  <c r="AK33" i="18"/>
  <c r="D9" i="23"/>
  <c r="AK30" i="18"/>
  <c r="AK20" i="21" s="1"/>
  <c r="AP9" i="18"/>
  <c r="AP30" i="12"/>
  <c r="P13" i="19"/>
  <c r="P14" i="19" s="1"/>
  <c r="AO28" i="13"/>
  <c r="AM10" i="16"/>
  <c r="AP10" i="14"/>
  <c r="AP11" i="14" s="1"/>
  <c r="AP17" i="13"/>
  <c r="AP18" i="13" s="1"/>
  <c r="AP13" i="18"/>
  <c r="AS11" i="12"/>
  <c r="AS10" i="12"/>
  <c r="AS9" i="12"/>
  <c r="AS14" i="11"/>
  <c r="AS8" i="12"/>
  <c r="AU9" i="11"/>
  <c r="AT12" i="11"/>
  <c r="AT13" i="11"/>
  <c r="O30" i="21"/>
  <c r="O36" i="18"/>
  <c r="O37" i="18" s="1"/>
  <c r="N23" i="19"/>
  <c r="N25" i="19" s="1"/>
  <c r="AO9" i="18"/>
  <c r="AO30" i="12"/>
  <c r="AO25" i="12"/>
  <c r="AP24" i="18"/>
  <c r="AP18" i="14"/>
  <c r="P18" i="15"/>
  <c r="AR16" i="12"/>
  <c r="AL38" i="21"/>
  <c r="AL39" i="21" s="1"/>
  <c r="AL24" i="16"/>
  <c r="AL9" i="19" s="1"/>
  <c r="AN26" i="18"/>
  <c r="AN20" i="16"/>
  <c r="AN23" i="20" s="1"/>
  <c r="AN19" i="16"/>
  <c r="AN11" i="20" s="1"/>
  <c r="AQ8" i="21"/>
  <c r="AP25" i="12"/>
  <c r="N36" i="20"/>
  <c r="AR7" i="21"/>
  <c r="AR23" i="13"/>
  <c r="AR11" i="13"/>
  <c r="AR28" i="12"/>
  <c r="AR24" i="15"/>
  <c r="AR25" i="15" s="1"/>
  <c r="AR9" i="21" s="1"/>
  <c r="AR22" i="13"/>
  <c r="AR8" i="13"/>
  <c r="AR10" i="13"/>
  <c r="AR9" i="13"/>
  <c r="AR24" i="13"/>
  <c r="AR22" i="11"/>
  <c r="AR18" i="11"/>
  <c r="AR9" i="14"/>
  <c r="AR21" i="13"/>
  <c r="AR17" i="11"/>
  <c r="AR21" i="11"/>
  <c r="AQ25" i="13"/>
  <c r="AQ15" i="18" s="1"/>
  <c r="AQ21" i="12"/>
  <c r="AQ8" i="14"/>
  <c r="AN16" i="18"/>
  <c r="AN19" i="18" s="1"/>
  <c r="AN8" i="16"/>
  <c r="AN7" i="16"/>
  <c r="AN9" i="16"/>
  <c r="AN16" i="16"/>
  <c r="AN22" i="20" s="1"/>
  <c r="AN31" i="13"/>
  <c r="AQ12" i="21"/>
  <c r="AQ7" i="18"/>
  <c r="AQ15" i="14"/>
  <c r="AQ17" i="14"/>
  <c r="AQ25" i="18" s="1"/>
  <c r="AQ14" i="14"/>
  <c r="AQ16" i="14"/>
  <c r="AK16" i="17"/>
  <c r="AK15" i="17"/>
  <c r="AL13" i="17" s="1"/>
  <c r="AK17" i="17"/>
  <c r="AL19" i="21"/>
  <c r="AL33" i="18"/>
  <c r="AL30" i="18"/>
  <c r="AL20" i="21" s="1"/>
  <c r="AQ26" i="11"/>
  <c r="AQ16" i="13" s="1"/>
  <c r="AQ25" i="11"/>
  <c r="AQ15" i="13" s="1"/>
  <c r="AQ27" i="11"/>
  <c r="AP21" i="14" l="1"/>
  <c r="AP23" i="18"/>
  <c r="AN29" i="18"/>
  <c r="AN20" i="18"/>
  <c r="AN18" i="21" s="1"/>
  <c r="AP14" i="18"/>
  <c r="AP28" i="13"/>
  <c r="AR12" i="21"/>
  <c r="AR7" i="18"/>
  <c r="AR15" i="14"/>
  <c r="AR17" i="14"/>
  <c r="AR25" i="18" s="1"/>
  <c r="AR14" i="14"/>
  <c r="AR16" i="14"/>
  <c r="AT11" i="12"/>
  <c r="AT10" i="12"/>
  <c r="AR8" i="14"/>
  <c r="AR21" i="12"/>
  <c r="AL34" i="18"/>
  <c r="AL21" i="21" s="1"/>
  <c r="AO26" i="18"/>
  <c r="AO19" i="16"/>
  <c r="AO11" i="20" s="1"/>
  <c r="AO20" i="16"/>
  <c r="AO23" i="20" s="1"/>
  <c r="AQ17" i="13"/>
  <c r="AQ10" i="14"/>
  <c r="AN10" i="16"/>
  <c r="Q7" i="15"/>
  <c r="P20" i="15"/>
  <c r="P15" i="20" s="1"/>
  <c r="P16" i="20" s="1"/>
  <c r="AR12" i="13"/>
  <c r="AQ11" i="14"/>
  <c r="AQ9" i="18"/>
  <c r="AQ30" i="12"/>
  <c r="N26" i="21"/>
  <c r="N28" i="21" s="1"/>
  <c r="N29" i="21" s="1"/>
  <c r="O24" i="19"/>
  <c r="N8" i="20"/>
  <c r="N12" i="20" s="1"/>
  <c r="N18" i="20" s="1"/>
  <c r="AR8" i="21"/>
  <c r="AP13" i="21"/>
  <c r="AP10" i="18"/>
  <c r="AP32" i="13"/>
  <c r="AP13" i="16"/>
  <c r="AP9" i="20" s="1"/>
  <c r="AP29" i="12"/>
  <c r="AQ25" i="12"/>
  <c r="AR25" i="11"/>
  <c r="AR15" i="13" s="1"/>
  <c r="AR26" i="11"/>
  <c r="AR16" i="13" s="1"/>
  <c r="AR27" i="11"/>
  <c r="AV9" i="11"/>
  <c r="AU12" i="11"/>
  <c r="AU13" i="11"/>
  <c r="AM10" i="20"/>
  <c r="AM23" i="16"/>
  <c r="AO13" i="21"/>
  <c r="AO10" i="18"/>
  <c r="AO32" i="13"/>
  <c r="AO13" i="16"/>
  <c r="AO9" i="20" s="1"/>
  <c r="AO29" i="12"/>
  <c r="N35" i="21"/>
  <c r="N33" i="21"/>
  <c r="AT8" i="12"/>
  <c r="AT14" i="11"/>
  <c r="AT9" i="12"/>
  <c r="AT16" i="12" s="1"/>
  <c r="AQ24" i="18"/>
  <c r="AQ18" i="14"/>
  <c r="AR20" i="12"/>
  <c r="AR7" i="14"/>
  <c r="AS15" i="12"/>
  <c r="AS12" i="12"/>
  <c r="AQ18" i="13"/>
  <c r="AQ14" i="18" s="1"/>
  <c r="O20" i="17"/>
  <c r="P7" i="17"/>
  <c r="O24" i="20"/>
  <c r="O25" i="20" s="1"/>
  <c r="AR25" i="13"/>
  <c r="AR15" i="18" s="1"/>
  <c r="AS7" i="21"/>
  <c r="AS24" i="15"/>
  <c r="AS25" i="15" s="1"/>
  <c r="AS9" i="21" s="1"/>
  <c r="AS21" i="13"/>
  <c r="AS28" i="12"/>
  <c r="AS10" i="13"/>
  <c r="AS21" i="11"/>
  <c r="AS9" i="13"/>
  <c r="AS24" i="13"/>
  <c r="AS22" i="13"/>
  <c r="AS11" i="13"/>
  <c r="AS22" i="11"/>
  <c r="AS18" i="11"/>
  <c r="AS9" i="14"/>
  <c r="AS8" i="13"/>
  <c r="AS17" i="11"/>
  <c r="AS23" i="13"/>
  <c r="AQ13" i="18"/>
  <c r="O39" i="18"/>
  <c r="O40" i="18" s="1"/>
  <c r="AL15" i="17"/>
  <c r="AM13" i="17" s="1"/>
  <c r="AL17" i="17"/>
  <c r="AL16" i="17"/>
  <c r="AS16" i="12"/>
  <c r="AM19" i="21"/>
  <c r="AM33" i="18"/>
  <c r="AM30" i="18"/>
  <c r="AM20" i="21" s="1"/>
  <c r="D10" i="23"/>
  <c r="D20" i="23" s="1"/>
  <c r="AK34" i="18"/>
  <c r="AK21" i="21" s="1"/>
  <c r="AO16" i="18"/>
  <c r="AO8" i="16"/>
  <c r="AO16" i="16"/>
  <c r="AO22" i="20" s="1"/>
  <c r="AO7" i="16"/>
  <c r="AO9" i="16"/>
  <c r="AO31" i="13"/>
  <c r="AR17" i="12"/>
  <c r="AR8" i="18" s="1"/>
  <c r="N38" i="20"/>
  <c r="O22" i="21" l="1"/>
  <c r="O7" i="19"/>
  <c r="O10" i="19" s="1"/>
  <c r="O19" i="19"/>
  <c r="O20" i="19" s="1"/>
  <c r="O41" i="18"/>
  <c r="O23" i="21" s="1"/>
  <c r="O35" i="20"/>
  <c r="AM38" i="21"/>
  <c r="AM39" i="21" s="1"/>
  <c r="AM24" i="16"/>
  <c r="AM9" i="19" s="1"/>
  <c r="AQ21" i="14"/>
  <c r="AQ23" i="18"/>
  <c r="AT15" i="12"/>
  <c r="AT17" i="12" s="1"/>
  <c r="AT8" i="18" s="1"/>
  <c r="AT12" i="12"/>
  <c r="AS8" i="21"/>
  <c r="AQ28" i="13"/>
  <c r="AR13" i="18"/>
  <c r="AR28" i="13"/>
  <c r="N34" i="21"/>
  <c r="N41" i="20"/>
  <c r="AO19" i="18"/>
  <c r="AO15" i="21"/>
  <c r="AO14" i="21"/>
  <c r="P9" i="17"/>
  <c r="P10" i="17"/>
  <c r="P21" i="17" s="1"/>
  <c r="P8" i="17"/>
  <c r="P17" i="19" s="1"/>
  <c r="AU11" i="12"/>
  <c r="AU10" i="12"/>
  <c r="AS12" i="13"/>
  <c r="AS12" i="21"/>
  <c r="AS7" i="18"/>
  <c r="AS17" i="14"/>
  <c r="AS25" i="18" s="1"/>
  <c r="AS14" i="14"/>
  <c r="AS15" i="14"/>
  <c r="AS16" i="14"/>
  <c r="AR17" i="13"/>
  <c r="AR10" i="14"/>
  <c r="AM34" i="18"/>
  <c r="AM21" i="21" s="1"/>
  <c r="AS25" i="11"/>
  <c r="AS15" i="13" s="1"/>
  <c r="AS26" i="11"/>
  <c r="AS16" i="13" s="1"/>
  <c r="AS27" i="11"/>
  <c r="AR24" i="18"/>
  <c r="AR18" i="14"/>
  <c r="AO10" i="16"/>
  <c r="AR11" i="14"/>
  <c r="AS8" i="14"/>
  <c r="AS21" i="12"/>
  <c r="AR22" i="12"/>
  <c r="AQ13" i="21"/>
  <c r="AQ10" i="18"/>
  <c r="AQ32" i="13"/>
  <c r="AQ13" i="16"/>
  <c r="AQ9" i="20" s="1"/>
  <c r="AQ29" i="12"/>
  <c r="AN19" i="21"/>
  <c r="AN33" i="18"/>
  <c r="AN30" i="18"/>
  <c r="AN20" i="21" s="1"/>
  <c r="AS25" i="13"/>
  <c r="AS15" i="18" s="1"/>
  <c r="AM15" i="17"/>
  <c r="AN13" i="17" s="1"/>
  <c r="AM17" i="17"/>
  <c r="AM16" i="17"/>
  <c r="O27" i="21"/>
  <c r="O28" i="20"/>
  <c r="O29" i="20" s="1"/>
  <c r="O31" i="20" s="1"/>
  <c r="Q9" i="15"/>
  <c r="Q12" i="15"/>
  <c r="Q14" i="15" s="1"/>
  <c r="AS7" i="14"/>
  <c r="AS20" i="12"/>
  <c r="AW9" i="11"/>
  <c r="AV13" i="11"/>
  <c r="AV12" i="11"/>
  <c r="AP16" i="18"/>
  <c r="AP9" i="16"/>
  <c r="AP8" i="16"/>
  <c r="AP16" i="16"/>
  <c r="AP22" i="20" s="1"/>
  <c r="AP7" i="16"/>
  <c r="AP10" i="16" s="1"/>
  <c r="AP31" i="13"/>
  <c r="AS17" i="12"/>
  <c r="AS8" i="18" s="1"/>
  <c r="AR18" i="13"/>
  <c r="AR14" i="18" s="1"/>
  <c r="AT7" i="21"/>
  <c r="AT24" i="15"/>
  <c r="AT25" i="15" s="1"/>
  <c r="AT9" i="21" s="1"/>
  <c r="AT21" i="13"/>
  <c r="AT10" i="13"/>
  <c r="AT21" i="11"/>
  <c r="AT9" i="13"/>
  <c r="AT24" i="13"/>
  <c r="AT22" i="13"/>
  <c r="AT11" i="13"/>
  <c r="AT22" i="11"/>
  <c r="AT18" i="11"/>
  <c r="AT9" i="14"/>
  <c r="AT23" i="13"/>
  <c r="AT8" i="13"/>
  <c r="AT17" i="11"/>
  <c r="AT28" i="12"/>
  <c r="AP19" i="18"/>
  <c r="AP29" i="18" s="1"/>
  <c r="AP30" i="18" s="1"/>
  <c r="AP20" i="21" s="1"/>
  <c r="AP15" i="21"/>
  <c r="AP14" i="21"/>
  <c r="AU8" i="12"/>
  <c r="AU14" i="11"/>
  <c r="AU9" i="12"/>
  <c r="AU16" i="12" s="1"/>
  <c r="AN10" i="20"/>
  <c r="AN23" i="16"/>
  <c r="AP26" i="18"/>
  <c r="AP19" i="16"/>
  <c r="AP11" i="20" s="1"/>
  <c r="AP20" i="16"/>
  <c r="AP23" i="20" s="1"/>
  <c r="Q13" i="19" l="1"/>
  <c r="Q14" i="19" s="1"/>
  <c r="AT25" i="13"/>
  <c r="AT15" i="18" s="1"/>
  <c r="AQ15" i="21"/>
  <c r="AQ14" i="21"/>
  <c r="AP20" i="18"/>
  <c r="AP18" i="21" s="1"/>
  <c r="AR21" i="14"/>
  <c r="AR23" i="18"/>
  <c r="AT12" i="21"/>
  <c r="AT7" i="18"/>
  <c r="AT17" i="14"/>
  <c r="AT25" i="18" s="1"/>
  <c r="AT14" i="14"/>
  <c r="AT15" i="14"/>
  <c r="AT16" i="14"/>
  <c r="AP10" i="20"/>
  <c r="AP23" i="16"/>
  <c r="AO10" i="20"/>
  <c r="AO23" i="16"/>
  <c r="P30" i="21"/>
  <c r="P36" i="18"/>
  <c r="P37" i="18" s="1"/>
  <c r="P20" i="17"/>
  <c r="Q7" i="17"/>
  <c r="P24" i="20"/>
  <c r="P25" i="20" s="1"/>
  <c r="AQ26" i="18"/>
  <c r="AQ20" i="16"/>
  <c r="AQ23" i="20" s="1"/>
  <c r="AQ19" i="16"/>
  <c r="AQ11" i="20" s="1"/>
  <c r="Q18" i="15"/>
  <c r="AU15" i="12"/>
  <c r="AU17" i="12" s="1"/>
  <c r="AU8" i="18" s="1"/>
  <c r="AU12" i="12"/>
  <c r="AR9" i="18"/>
  <c r="AR30" i="12"/>
  <c r="AR25" i="12"/>
  <c r="AT7" i="14"/>
  <c r="AT20" i="12"/>
  <c r="AT22" i="12" s="1"/>
  <c r="AU7" i="21"/>
  <c r="AU24" i="15"/>
  <c r="AU25" i="15" s="1"/>
  <c r="AU9" i="21" s="1"/>
  <c r="AU21" i="13"/>
  <c r="AU23" i="13"/>
  <c r="AU9" i="13"/>
  <c r="AU24" i="13"/>
  <c r="AU22" i="13"/>
  <c r="AU11" i="13"/>
  <c r="AU18" i="11"/>
  <c r="AU9" i="14"/>
  <c r="AU8" i="13"/>
  <c r="AU17" i="11"/>
  <c r="AU22" i="11"/>
  <c r="AU28" i="12"/>
  <c r="AU10" i="13"/>
  <c r="AU21" i="11"/>
  <c r="AQ16" i="18"/>
  <c r="AQ19" i="18" s="1"/>
  <c r="AQ9" i="16"/>
  <c r="AQ8" i="16"/>
  <c r="AQ16" i="16"/>
  <c r="AQ22" i="20" s="1"/>
  <c r="AQ7" i="16"/>
  <c r="AQ10" i="16" s="1"/>
  <c r="AQ31" i="13"/>
  <c r="AP19" i="21"/>
  <c r="AP33" i="18"/>
  <c r="AS13" i="18"/>
  <c r="AT12" i="13"/>
  <c r="AS17" i="13"/>
  <c r="AS10" i="14"/>
  <c r="AS24" i="18"/>
  <c r="AS18" i="14"/>
  <c r="AN15" i="17"/>
  <c r="AO13" i="17" s="1"/>
  <c r="AN17" i="17"/>
  <c r="AN16" i="17"/>
  <c r="O36" i="20"/>
  <c r="AS18" i="13"/>
  <c r="AS14" i="18" s="1"/>
  <c r="AO29" i="18"/>
  <c r="AT27" i="11"/>
  <c r="AT26" i="11"/>
  <c r="AT16" i="13" s="1"/>
  <c r="AT25" i="11"/>
  <c r="AT15" i="13" s="1"/>
  <c r="AR16" i="18"/>
  <c r="AR8" i="16"/>
  <c r="AR7" i="16"/>
  <c r="AR10" i="16" s="1"/>
  <c r="AR9" i="16"/>
  <c r="AR31" i="13"/>
  <c r="AX9" i="11"/>
  <c r="AW13" i="11"/>
  <c r="AW12" i="11"/>
  <c r="AT8" i="21"/>
  <c r="AV8" i="12"/>
  <c r="AV9" i="12"/>
  <c r="AV16" i="12" s="1"/>
  <c r="AV14" i="11"/>
  <c r="AV10" i="12"/>
  <c r="AV11" i="12"/>
  <c r="AN38" i="21"/>
  <c r="AN39" i="21" s="1"/>
  <c r="AN24" i="16"/>
  <c r="AN9" i="19" s="1"/>
  <c r="AS22" i="12"/>
  <c r="O23" i="19"/>
  <c r="O25" i="19" s="1"/>
  <c r="AT8" i="14"/>
  <c r="AT21" i="12"/>
  <c r="AS11" i="14"/>
  <c r="AN34" i="18"/>
  <c r="AN21" i="21" s="1"/>
  <c r="AO20" i="18"/>
  <c r="AO18" i="21" s="1"/>
  <c r="AQ29" i="18" l="1"/>
  <c r="AQ20" i="18"/>
  <c r="AQ18" i="21" s="1"/>
  <c r="AT24" i="18"/>
  <c r="AT18" i="14"/>
  <c r="AO15" i="17"/>
  <c r="AP13" i="17" s="1"/>
  <c r="AO17" i="17"/>
  <c r="AO16" i="17"/>
  <c r="AT18" i="13"/>
  <c r="AT14" i="18" s="1"/>
  <c r="AS9" i="18"/>
  <c r="AS30" i="12"/>
  <c r="AS25" i="12"/>
  <c r="AT9" i="18"/>
  <c r="AT30" i="12"/>
  <c r="AT11" i="14"/>
  <c r="AV7" i="21"/>
  <c r="AV24" i="15"/>
  <c r="AV25" i="15" s="1"/>
  <c r="AV9" i="21" s="1"/>
  <c r="AV21" i="13"/>
  <c r="AV25" i="13" s="1"/>
  <c r="AV15" i="18" s="1"/>
  <c r="AV23" i="13"/>
  <c r="AV8" i="13"/>
  <c r="AV12" i="13" s="1"/>
  <c r="AV22" i="13"/>
  <c r="AV24" i="13"/>
  <c r="AV11" i="13"/>
  <c r="AV18" i="11"/>
  <c r="AV9" i="13"/>
  <c r="AV9" i="14"/>
  <c r="AV22" i="11"/>
  <c r="AV17" i="11"/>
  <c r="AV21" i="11"/>
  <c r="AV28" i="12"/>
  <c r="AV10" i="13"/>
  <c r="O35" i="21"/>
  <c r="O33" i="21"/>
  <c r="AU7" i="14"/>
  <c r="AU20" i="12"/>
  <c r="AU22" i="12" s="1"/>
  <c r="AR26" i="18"/>
  <c r="AR19" i="16"/>
  <c r="AR11" i="20" s="1"/>
  <c r="AR20" i="16"/>
  <c r="AR23" i="20" s="1"/>
  <c r="AW8" i="12"/>
  <c r="AW14" i="11"/>
  <c r="AW9" i="12"/>
  <c r="AW16" i="12" s="1"/>
  <c r="AT17" i="13"/>
  <c r="AT10" i="14"/>
  <c r="AT25" i="12"/>
  <c r="AR13" i="21"/>
  <c r="AR10" i="18"/>
  <c r="AR32" i="13"/>
  <c r="AR13" i="16"/>
  <c r="AR9" i="20" s="1"/>
  <c r="AR29" i="12"/>
  <c r="R7" i="15"/>
  <c r="Q20" i="15"/>
  <c r="Q15" i="20" s="1"/>
  <c r="Q16" i="20" s="1"/>
  <c r="AU12" i="13"/>
  <c r="AU8" i="14"/>
  <c r="AU21" i="12"/>
  <c r="Q10" i="17"/>
  <c r="Q21" i="17" s="1"/>
  <c r="Q8" i="17"/>
  <c r="Q17" i="19" s="1"/>
  <c r="AW10" i="12"/>
  <c r="AW11" i="12"/>
  <c r="P27" i="21"/>
  <c r="P28" i="20"/>
  <c r="P29" i="20" s="1"/>
  <c r="P31" i="20" s="1"/>
  <c r="AP38" i="21"/>
  <c r="AP39" i="21" s="1"/>
  <c r="AP24" i="16"/>
  <c r="AP9" i="19" s="1"/>
  <c r="AQ10" i="20"/>
  <c r="AQ23" i="16"/>
  <c r="AU8" i="21"/>
  <c r="AY9" i="11"/>
  <c r="AX13" i="11"/>
  <c r="AX12" i="11"/>
  <c r="AR10" i="20"/>
  <c r="P39" i="18"/>
  <c r="P40" i="18" s="1"/>
  <c r="AU25" i="13"/>
  <c r="AU15" i="18" s="1"/>
  <c r="AT13" i="18"/>
  <c r="AT28" i="13"/>
  <c r="AU25" i="11"/>
  <c r="AU15" i="13" s="1"/>
  <c r="AU27" i="11"/>
  <c r="AU26" i="11"/>
  <c r="AU16" i="13" s="1"/>
  <c r="AV15" i="12"/>
  <c r="AV17" i="12" s="1"/>
  <c r="AV8" i="18" s="1"/>
  <c r="AV12" i="12"/>
  <c r="AS21" i="14"/>
  <c r="AS23" i="18"/>
  <c r="AS28" i="13"/>
  <c r="AP34" i="18"/>
  <c r="AP21" i="21" s="1"/>
  <c r="AR16" i="16"/>
  <c r="AR22" i="20" s="1"/>
  <c r="AO38" i="21"/>
  <c r="AO39" i="21" s="1"/>
  <c r="AO24" i="16"/>
  <c r="AO9" i="19" s="1"/>
  <c r="AO19" i="21"/>
  <c r="AO33" i="18"/>
  <c r="AO30" i="18"/>
  <c r="AO20" i="21" s="1"/>
  <c r="AU12" i="21"/>
  <c r="AU7" i="18"/>
  <c r="AU16" i="14"/>
  <c r="AU15" i="14"/>
  <c r="AU17" i="14"/>
  <c r="AU25" i="18" s="1"/>
  <c r="AU14" i="14"/>
  <c r="O26" i="21"/>
  <c r="O28" i="21" s="1"/>
  <c r="O29" i="21" s="1"/>
  <c r="O8" i="20"/>
  <c r="O12" i="20" s="1"/>
  <c r="O18" i="20" s="1"/>
  <c r="P24" i="19"/>
  <c r="O38" i="20"/>
  <c r="P22" i="21" l="1"/>
  <c r="P7" i="19"/>
  <c r="P10" i="19" s="1"/>
  <c r="P19" i="19"/>
  <c r="P20" i="19" s="1"/>
  <c r="P41" i="18"/>
  <c r="P23" i="21" s="1"/>
  <c r="P35" i="20"/>
  <c r="Q30" i="21"/>
  <c r="Q36" i="18"/>
  <c r="Q37" i="18" s="1"/>
  <c r="Q9" i="17"/>
  <c r="AO34" i="18"/>
  <c r="AO21" i="21" s="1"/>
  <c r="AS13" i="21"/>
  <c r="AS32" i="13"/>
  <c r="AS10" i="18"/>
  <c r="AS13" i="16"/>
  <c r="AS9" i="20" s="1"/>
  <c r="AS29" i="12"/>
  <c r="AW7" i="21"/>
  <c r="AW24" i="15"/>
  <c r="AW25" i="15" s="1"/>
  <c r="AW9" i="21" s="1"/>
  <c r="AW21" i="13"/>
  <c r="AW25" i="13" s="1"/>
  <c r="AW15" i="18" s="1"/>
  <c r="AW23" i="13"/>
  <c r="AW8" i="13"/>
  <c r="AW22" i="13"/>
  <c r="AW9" i="14"/>
  <c r="AW11" i="13"/>
  <c r="AW9" i="13"/>
  <c r="AW22" i="11"/>
  <c r="AW24" i="13"/>
  <c r="AW17" i="11"/>
  <c r="AW21" i="11"/>
  <c r="AW10" i="13"/>
  <c r="AW18" i="11"/>
  <c r="E4" i="23"/>
  <c r="AW15" i="12"/>
  <c r="AW17" i="12" s="1"/>
  <c r="AW8" i="18" s="1"/>
  <c r="AW12" i="12"/>
  <c r="AW28" i="12" s="1"/>
  <c r="AU9" i="18"/>
  <c r="AU30" i="12"/>
  <c r="AT21" i="14"/>
  <c r="AT23" i="18"/>
  <c r="AX8" i="12"/>
  <c r="AX14" i="11"/>
  <c r="AX9" i="12"/>
  <c r="AV25" i="11"/>
  <c r="AV15" i="13" s="1"/>
  <c r="AV26" i="11"/>
  <c r="AV16" i="13" s="1"/>
  <c r="AV27" i="11"/>
  <c r="R9" i="15"/>
  <c r="R12" i="15"/>
  <c r="R14" i="15" s="1"/>
  <c r="AV7" i="14"/>
  <c r="AV20" i="12"/>
  <c r="AR23" i="16"/>
  <c r="AT9" i="16"/>
  <c r="AT16" i="18"/>
  <c r="AT7" i="16"/>
  <c r="AT8" i="16"/>
  <c r="AT31" i="13"/>
  <c r="AU25" i="12"/>
  <c r="AZ9" i="11"/>
  <c r="AY12" i="11"/>
  <c r="AY13" i="11"/>
  <c r="AR19" i="18"/>
  <c r="AR29" i="18" s="1"/>
  <c r="AR30" i="18" s="1"/>
  <c r="AR20" i="21" s="1"/>
  <c r="AR20" i="18"/>
  <c r="AR18" i="21" s="1"/>
  <c r="AP15" i="17"/>
  <c r="AQ13" i="17" s="1"/>
  <c r="AP17" i="17"/>
  <c r="AP16" i="17"/>
  <c r="AU13" i="18"/>
  <c r="AU24" i="18"/>
  <c r="AU18" i="14"/>
  <c r="AR15" i="21"/>
  <c r="AR14" i="21"/>
  <c r="AV8" i="14"/>
  <c r="AV21" i="12"/>
  <c r="AV8" i="21"/>
  <c r="AS16" i="16"/>
  <c r="AS22" i="20" s="1"/>
  <c r="AS9" i="16"/>
  <c r="AS16" i="18"/>
  <c r="AS7" i="16"/>
  <c r="AS8" i="16"/>
  <c r="AS31" i="13"/>
  <c r="AQ38" i="21"/>
  <c r="AQ39" i="21" s="1"/>
  <c r="AQ24" i="16"/>
  <c r="AQ9" i="19" s="1"/>
  <c r="AT13" i="21"/>
  <c r="AT32" i="13"/>
  <c r="AT10" i="18"/>
  <c r="AT13" i="16"/>
  <c r="AT9" i="20" s="1"/>
  <c r="AT29" i="12"/>
  <c r="AV13" i="18"/>
  <c r="AU17" i="13"/>
  <c r="AU18" i="13" s="1"/>
  <c r="AU10" i="14"/>
  <c r="AU11" i="14" s="1"/>
  <c r="O34" i="21"/>
  <c r="O41" i="20"/>
  <c r="AX11" i="12"/>
  <c r="AX10" i="12"/>
  <c r="AS26" i="18"/>
  <c r="AS19" i="16"/>
  <c r="AS11" i="20" s="1"/>
  <c r="AS20" i="16"/>
  <c r="AS23" i="20" s="1"/>
  <c r="AV12" i="21"/>
  <c r="AV7" i="18"/>
  <c r="AV16" i="14"/>
  <c r="AV15" i="14"/>
  <c r="AV17" i="14"/>
  <c r="AV25" i="18" s="1"/>
  <c r="AV14" i="14"/>
  <c r="AQ19" i="21"/>
  <c r="AQ33" i="18"/>
  <c r="AQ30" i="18"/>
  <c r="AQ20" i="21" s="1"/>
  <c r="AU14" i="18" l="1"/>
  <c r="AU28" i="13"/>
  <c r="AU21" i="14"/>
  <c r="AU23" i="18"/>
  <c r="AT26" i="18"/>
  <c r="AT20" i="16"/>
  <c r="AT23" i="20" s="1"/>
  <c r="AT19" i="16"/>
  <c r="AT11" i="20" s="1"/>
  <c r="AQ34" i="18"/>
  <c r="AQ21" i="21" s="1"/>
  <c r="AT15" i="21"/>
  <c r="AT14" i="21"/>
  <c r="AR38" i="21"/>
  <c r="AR39" i="21" s="1"/>
  <c r="AR24" i="16"/>
  <c r="AR9" i="19" s="1"/>
  <c r="AW27" i="11"/>
  <c r="AW25" i="11"/>
  <c r="AW15" i="13" s="1"/>
  <c r="AW26" i="11"/>
  <c r="AW16" i="13" s="1"/>
  <c r="AQ17" i="17"/>
  <c r="AQ15" i="17"/>
  <c r="AR13" i="17" s="1"/>
  <c r="AQ16" i="17"/>
  <c r="Q20" i="17"/>
  <c r="R7" i="17"/>
  <c r="Q24" i="20"/>
  <c r="Q25" i="20" s="1"/>
  <c r="Q39" i="18"/>
  <c r="Q40" i="18"/>
  <c r="R13" i="19"/>
  <c r="R14" i="19" s="1"/>
  <c r="R18" i="15"/>
  <c r="AW7" i="14"/>
  <c r="AW20" i="12"/>
  <c r="AS10" i="16"/>
  <c r="AR19" i="21"/>
  <c r="AR33" i="18"/>
  <c r="P36" i="20"/>
  <c r="AT20" i="18"/>
  <c r="AT18" i="21" s="1"/>
  <c r="AT19" i="18"/>
  <c r="AT29" i="18" s="1"/>
  <c r="AS15" i="21"/>
  <c r="AS14" i="21"/>
  <c r="AT16" i="16"/>
  <c r="AT22" i="20" s="1"/>
  <c r="AW8" i="14"/>
  <c r="AW21" i="12"/>
  <c r="AV18" i="13"/>
  <c r="AW8" i="21"/>
  <c r="AW12" i="21"/>
  <c r="AW7" i="18"/>
  <c r="AW14" i="14"/>
  <c r="AW17" i="14"/>
  <c r="AW25" i="18" s="1"/>
  <c r="AW16" i="14"/>
  <c r="AW15" i="14"/>
  <c r="E5" i="23"/>
  <c r="AY8" i="12"/>
  <c r="AY14" i="11"/>
  <c r="AY9" i="12"/>
  <c r="AY16" i="12" s="1"/>
  <c r="AX16" i="12"/>
  <c r="P23" i="19"/>
  <c r="P25" i="19" s="1"/>
  <c r="AS19" i="18"/>
  <c r="AS29" i="18" s="1"/>
  <c r="AS30" i="18" s="1"/>
  <c r="AS20" i="21" s="1"/>
  <c r="BA9" i="11"/>
  <c r="AZ13" i="11"/>
  <c r="AZ12" i="11"/>
  <c r="AX7" i="21"/>
  <c r="AX24" i="15"/>
  <c r="AX25" i="15" s="1"/>
  <c r="AX9" i="21" s="1"/>
  <c r="AX21" i="13"/>
  <c r="AX23" i="13"/>
  <c r="AX8" i="13"/>
  <c r="AX22" i="13"/>
  <c r="AX10" i="13"/>
  <c r="AX11" i="13"/>
  <c r="AX9" i="14"/>
  <c r="AX21" i="11"/>
  <c r="AX17" i="11"/>
  <c r="AX18" i="11"/>
  <c r="AX24" i="13"/>
  <c r="AX28" i="12"/>
  <c r="AX9" i="13"/>
  <c r="AX22" i="11"/>
  <c r="AT10" i="16"/>
  <c r="AV24" i="18"/>
  <c r="AV18" i="14"/>
  <c r="AV22" i="12"/>
  <c r="AV17" i="13"/>
  <c r="AV10" i="14"/>
  <c r="AV11" i="14" s="1"/>
  <c r="AY10" i="12"/>
  <c r="AY11" i="12"/>
  <c r="AU13" i="21"/>
  <c r="AU10" i="18"/>
  <c r="AU32" i="13"/>
  <c r="AU13" i="16"/>
  <c r="AU9" i="20" s="1"/>
  <c r="AU29" i="12"/>
  <c r="AX12" i="12"/>
  <c r="AX15" i="12"/>
  <c r="AX17" i="12" s="1"/>
  <c r="AX8" i="18" s="1"/>
  <c r="AW12" i="13"/>
  <c r="AV21" i="14" l="1"/>
  <c r="AV23" i="18"/>
  <c r="AX12" i="21"/>
  <c r="AX7" i="18"/>
  <c r="AX14" i="14"/>
  <c r="AX16" i="14"/>
  <c r="AX17" i="14"/>
  <c r="AX25" i="18" s="1"/>
  <c r="AX15" i="14"/>
  <c r="AZ10" i="12"/>
  <c r="AZ11" i="12"/>
  <c r="BB9" i="11"/>
  <c r="BA12" i="11"/>
  <c r="BA13" i="11"/>
  <c r="AV14" i="18"/>
  <c r="AV28" i="13"/>
  <c r="AX8" i="14"/>
  <c r="AX21" i="12"/>
  <c r="AY7" i="21"/>
  <c r="AY24" i="15"/>
  <c r="AY25" i="15" s="1"/>
  <c r="AY9" i="21" s="1"/>
  <c r="AY23" i="13"/>
  <c r="AY8" i="13"/>
  <c r="AY22" i="13"/>
  <c r="AY10" i="13"/>
  <c r="AY21" i="13"/>
  <c r="AY11" i="13"/>
  <c r="AY9" i="14"/>
  <c r="AY21" i="11"/>
  <c r="AY17" i="11"/>
  <c r="AY22" i="11"/>
  <c r="AY24" i="13"/>
  <c r="AY18" i="11"/>
  <c r="AY9" i="13"/>
  <c r="AT19" i="21"/>
  <c r="AT33" i="18"/>
  <c r="AW13" i="18"/>
  <c r="AX27" i="11"/>
  <c r="AX25" i="11"/>
  <c r="AX15" i="13" s="1"/>
  <c r="AX26" i="11"/>
  <c r="AX16" i="13" s="1"/>
  <c r="R20" i="15"/>
  <c r="R15" i="20" s="1"/>
  <c r="R16" i="20" s="1"/>
  <c r="S7" i="15"/>
  <c r="AR15" i="17"/>
  <c r="AS13" i="17" s="1"/>
  <c r="AR17" i="17"/>
  <c r="AR16" i="17"/>
  <c r="AS19" i="21"/>
  <c r="AS33" i="18"/>
  <c r="AX7" i="14"/>
  <c r="AX20" i="12"/>
  <c r="Q22" i="21"/>
  <c r="Q7" i="19"/>
  <c r="Q10" i="19" s="1"/>
  <c r="Q19" i="19"/>
  <c r="Q20" i="19" s="1"/>
  <c r="Q41" i="18"/>
  <c r="Q23" i="21" s="1"/>
  <c r="AZ8" i="12"/>
  <c r="AZ14" i="11"/>
  <c r="AZ9" i="12"/>
  <c r="AR34" i="18"/>
  <c r="AR21" i="21" s="1"/>
  <c r="P26" i="21"/>
  <c r="P28" i="21" s="1"/>
  <c r="P29" i="21" s="1"/>
  <c r="P8" i="20"/>
  <c r="P12" i="20" s="1"/>
  <c r="P18" i="20" s="1"/>
  <c r="Q24" i="19"/>
  <c r="AT30" i="18"/>
  <c r="AT20" i="21" s="1"/>
  <c r="AV9" i="18"/>
  <c r="AV30" i="12"/>
  <c r="AV25" i="12"/>
  <c r="AX8" i="21"/>
  <c r="AW10" i="14"/>
  <c r="AW11" i="14" s="1"/>
  <c r="AW17" i="13"/>
  <c r="AW18" i="13" s="1"/>
  <c r="AY12" i="12"/>
  <c r="AY15" i="12"/>
  <c r="AY17" i="12" s="1"/>
  <c r="AY8" i="18" s="1"/>
  <c r="AU15" i="21"/>
  <c r="AU14" i="21"/>
  <c r="P35" i="21"/>
  <c r="P33" i="21"/>
  <c r="P38" i="20"/>
  <c r="AS20" i="18"/>
  <c r="AS18" i="21" s="1"/>
  <c r="AX12" i="13"/>
  <c r="Q35" i="20"/>
  <c r="R10" i="17"/>
  <c r="R21" i="17" s="1"/>
  <c r="R8" i="17"/>
  <c r="R17" i="19" s="1"/>
  <c r="AU26" i="18"/>
  <c r="AU20" i="16"/>
  <c r="AU23" i="20" s="1"/>
  <c r="AU19" i="16"/>
  <c r="AU11" i="20" s="1"/>
  <c r="Q28" i="20"/>
  <c r="Q29" i="20" s="1"/>
  <c r="Q31" i="20" s="1"/>
  <c r="Q27" i="21"/>
  <c r="AU9" i="16"/>
  <c r="AU16" i="18"/>
  <c r="AU16" i="16"/>
  <c r="AU22" i="20" s="1"/>
  <c r="AU7" i="16"/>
  <c r="AU8" i="16"/>
  <c r="AU31" i="13"/>
  <c r="AT23" i="16"/>
  <c r="AT10" i="20"/>
  <c r="AS23" i="16"/>
  <c r="AS10" i="20"/>
  <c r="AW22" i="12"/>
  <c r="AU20" i="18"/>
  <c r="AU18" i="21" s="1"/>
  <c r="AU19" i="18"/>
  <c r="AU29" i="18" s="1"/>
  <c r="AU30" i="18" s="1"/>
  <c r="AU20" i="21" s="1"/>
  <c r="AX25" i="13"/>
  <c r="AX15" i="18" s="1"/>
  <c r="AW24" i="18"/>
  <c r="AW18" i="14"/>
  <c r="AW14" i="18" l="1"/>
  <c r="AW28" i="13"/>
  <c r="AW21" i="14"/>
  <c r="AW23" i="18"/>
  <c r="AS34" i="18"/>
  <c r="AS21" i="21" s="1"/>
  <c r="AY7" i="14"/>
  <c r="AY20" i="12"/>
  <c r="AY12" i="21"/>
  <c r="AY7" i="18"/>
  <c r="AY14" i="14"/>
  <c r="AY16" i="14"/>
  <c r="AY15" i="14"/>
  <c r="AY17" i="14"/>
  <c r="AY25" i="18" s="1"/>
  <c r="AT34" i="18"/>
  <c r="AT21" i="21" s="1"/>
  <c r="AX11" i="14"/>
  <c r="BC9" i="11"/>
  <c r="BB13" i="11"/>
  <c r="BB12" i="11"/>
  <c r="R30" i="21"/>
  <c r="R36" i="18"/>
  <c r="R37" i="18" s="1"/>
  <c r="BA10" i="12"/>
  <c r="BA11" i="12"/>
  <c r="R9" i="17"/>
  <c r="Q36" i="20"/>
  <c r="AY8" i="14"/>
  <c r="AY21" i="12"/>
  <c r="AT38" i="21"/>
  <c r="AT39" i="21" s="1"/>
  <c r="AT24" i="16"/>
  <c r="AT9" i="19" s="1"/>
  <c r="AS15" i="17"/>
  <c r="AT13" i="17" s="1"/>
  <c r="AS17" i="17"/>
  <c r="AS16" i="17"/>
  <c r="AY25" i="13"/>
  <c r="AY15" i="18" s="1"/>
  <c r="S9" i="15"/>
  <c r="S12" i="15"/>
  <c r="S14" i="15" s="1"/>
  <c r="S13" i="19" s="1"/>
  <c r="S14" i="19" s="1"/>
  <c r="AX24" i="18"/>
  <c r="AX18" i="14"/>
  <c r="BA8" i="12"/>
  <c r="BA9" i="12"/>
  <c r="BA14" i="11"/>
  <c r="AW9" i="18"/>
  <c r="AW30" i="12"/>
  <c r="AW25" i="12"/>
  <c r="AX13" i="18"/>
  <c r="AY12" i="13"/>
  <c r="Q23" i="19"/>
  <c r="Q25" i="19" s="1"/>
  <c r="AY8" i="21"/>
  <c r="AU19" i="21"/>
  <c r="AU33" i="18"/>
  <c r="AY28" i="12"/>
  <c r="AS38" i="21"/>
  <c r="AS39" i="21" s="1"/>
  <c r="AS24" i="16"/>
  <c r="AS9" i="19" s="1"/>
  <c r="AZ7" i="21"/>
  <c r="AZ23" i="13"/>
  <c r="AZ8" i="13"/>
  <c r="AZ22" i="13"/>
  <c r="AZ24" i="15"/>
  <c r="AZ25" i="15" s="1"/>
  <c r="AZ9" i="21" s="1"/>
  <c r="AZ10" i="13"/>
  <c r="AZ21" i="13"/>
  <c r="AZ25" i="13" s="1"/>
  <c r="AZ15" i="18" s="1"/>
  <c r="AZ24" i="13"/>
  <c r="AZ9" i="14"/>
  <c r="AZ11" i="13"/>
  <c r="AZ28" i="12"/>
  <c r="AZ17" i="11"/>
  <c r="AZ18" i="11"/>
  <c r="AZ9" i="13"/>
  <c r="AZ21" i="11"/>
  <c r="AZ22" i="11"/>
  <c r="AX18" i="13"/>
  <c r="AX14" i="18" s="1"/>
  <c r="AV9" i="16"/>
  <c r="AV16" i="18"/>
  <c r="AV16" i="16"/>
  <c r="AV22" i="20" s="1"/>
  <c r="AV8" i="16"/>
  <c r="AV7" i="16"/>
  <c r="AV10" i="16" s="1"/>
  <c r="AV31" i="13"/>
  <c r="AV13" i="21"/>
  <c r="AV10" i="18"/>
  <c r="AV32" i="13"/>
  <c r="AV13" i="16"/>
  <c r="AV9" i="20" s="1"/>
  <c r="AV29" i="12"/>
  <c r="P34" i="21"/>
  <c r="P41" i="20"/>
  <c r="AY25" i="11"/>
  <c r="AY15" i="13" s="1"/>
  <c r="AY26" i="11"/>
  <c r="AY16" i="13" s="1"/>
  <c r="AY27" i="11"/>
  <c r="AZ15" i="12"/>
  <c r="AZ12" i="12"/>
  <c r="AX10" i="14"/>
  <c r="AX17" i="13"/>
  <c r="AX22" i="12"/>
  <c r="AZ16" i="12"/>
  <c r="AU10" i="16"/>
  <c r="AV26" i="18"/>
  <c r="AV20" i="16"/>
  <c r="AV23" i="20" s="1"/>
  <c r="AV19" i="16"/>
  <c r="AV11" i="20" s="1"/>
  <c r="Q26" i="21" l="1"/>
  <c r="Q28" i="21" s="1"/>
  <c r="Q29" i="21" s="1"/>
  <c r="Q8" i="20"/>
  <c r="Q12" i="20" s="1"/>
  <c r="Q18" i="20" s="1"/>
  <c r="R24" i="19"/>
  <c r="AT15" i="17"/>
  <c r="AU13" i="17" s="1"/>
  <c r="AT17" i="17"/>
  <c r="AT16" i="17"/>
  <c r="AV23" i="16"/>
  <c r="AV10" i="20"/>
  <c r="AY13" i="18"/>
  <c r="AY24" i="18"/>
  <c r="AY18" i="14"/>
  <c r="AZ12" i="13"/>
  <c r="AX28" i="13"/>
  <c r="Q35" i="21"/>
  <c r="Q33" i="21"/>
  <c r="BB10" i="12"/>
  <c r="BB11" i="12"/>
  <c r="AW13" i="21"/>
  <c r="AW10" i="18"/>
  <c r="AW32" i="13"/>
  <c r="AW13" i="16"/>
  <c r="AW9" i="20" s="1"/>
  <c r="AW29" i="12"/>
  <c r="E6" i="23"/>
  <c r="S7" i="17"/>
  <c r="R20" i="17"/>
  <c r="R24" i="20"/>
  <c r="R25" i="20" s="1"/>
  <c r="AY22" i="12"/>
  <c r="AX21" i="14"/>
  <c r="AX23" i="18"/>
  <c r="AZ8" i="21"/>
  <c r="AY11" i="14"/>
  <c r="AV19" i="18"/>
  <c r="AV29" i="18" s="1"/>
  <c r="AV30" i="18" s="1"/>
  <c r="AV20" i="21" s="1"/>
  <c r="BA7" i="21"/>
  <c r="BA22" i="13"/>
  <c r="BA24" i="15"/>
  <c r="BA25" i="15" s="1"/>
  <c r="BA9" i="21" s="1"/>
  <c r="BA10" i="13"/>
  <c r="BA21" i="13"/>
  <c r="BA9" i="14"/>
  <c r="BA23" i="13"/>
  <c r="BA18" i="11"/>
  <c r="BA21" i="11"/>
  <c r="BA17" i="11"/>
  <c r="BA28" i="12"/>
  <c r="BA24" i="13"/>
  <c r="BA9" i="13"/>
  <c r="BA8" i="13"/>
  <c r="BA11" i="13"/>
  <c r="BA22" i="11"/>
  <c r="AU34" i="18"/>
  <c r="AU21" i="21" s="1"/>
  <c r="BA16" i="12"/>
  <c r="AY18" i="13"/>
  <c r="AY14" i="18" s="1"/>
  <c r="AZ7" i="14"/>
  <c r="AZ20" i="12"/>
  <c r="AZ22" i="12" s="1"/>
  <c r="BC12" i="11"/>
  <c r="BD9" i="11"/>
  <c r="BC13" i="11"/>
  <c r="BA12" i="12"/>
  <c r="BA15" i="12"/>
  <c r="Q38" i="20"/>
  <c r="AZ12" i="21"/>
  <c r="AZ14" i="14"/>
  <c r="AZ7" i="18"/>
  <c r="AZ16" i="14"/>
  <c r="AZ15" i="14"/>
  <c r="AZ17" i="14"/>
  <c r="AZ25" i="18" s="1"/>
  <c r="R39" i="18"/>
  <c r="R40" i="18" s="1"/>
  <c r="AZ17" i="12"/>
  <c r="AZ8" i="18" s="1"/>
  <c r="AW26" i="18"/>
  <c r="AW19" i="16"/>
  <c r="AW11" i="20" s="1"/>
  <c r="AW20" i="16"/>
  <c r="AW23" i="20" s="1"/>
  <c r="AV15" i="21"/>
  <c r="AV14" i="21"/>
  <c r="AY10" i="14"/>
  <c r="AY17" i="13"/>
  <c r="AW9" i="16"/>
  <c r="AW16" i="18"/>
  <c r="AW16" i="16"/>
  <c r="AW22" i="20" s="1"/>
  <c r="AW8" i="16"/>
  <c r="AW7" i="16"/>
  <c r="AW10" i="16" s="1"/>
  <c r="AW31" i="13"/>
  <c r="E7" i="23"/>
  <c r="E18" i="23" s="1"/>
  <c r="AU10" i="20"/>
  <c r="AU23" i="16"/>
  <c r="AX9" i="18"/>
  <c r="AX30" i="12"/>
  <c r="AX25" i="12"/>
  <c r="AZ25" i="11"/>
  <c r="AZ15" i="13" s="1"/>
  <c r="AZ26" i="11"/>
  <c r="AZ16" i="13" s="1"/>
  <c r="AZ27" i="11"/>
  <c r="AZ8" i="14"/>
  <c r="AZ21" i="12"/>
  <c r="S18" i="15"/>
  <c r="BB8" i="12"/>
  <c r="BB14" i="11"/>
  <c r="BB9" i="12"/>
  <c r="R22" i="21" l="1"/>
  <c r="R19" i="19"/>
  <c r="R20" i="19" s="1"/>
  <c r="R7" i="19"/>
  <c r="R10" i="19" s="1"/>
  <c r="R41" i="18"/>
  <c r="R23" i="21" s="1"/>
  <c r="R35" i="20"/>
  <c r="AZ13" i="18"/>
  <c r="AZ25" i="12"/>
  <c r="BA12" i="13"/>
  <c r="AY23" i="18"/>
  <c r="AY21" i="14"/>
  <c r="BB12" i="12"/>
  <c r="BB15" i="12"/>
  <c r="S20" i="15"/>
  <c r="S15" i="20" s="1"/>
  <c r="S16" i="20" s="1"/>
  <c r="T7" i="15"/>
  <c r="AX13" i="21"/>
  <c r="AX10" i="18"/>
  <c r="AX32" i="13"/>
  <c r="AX13" i="16"/>
  <c r="AX9" i="20" s="1"/>
  <c r="AX29" i="12"/>
  <c r="AY28" i="13"/>
  <c r="AW20" i="18"/>
  <c r="AW18" i="21" s="1"/>
  <c r="AW19" i="18"/>
  <c r="AW15" i="21"/>
  <c r="AW14" i="21"/>
  <c r="AU38" i="21"/>
  <c r="AU39" i="21" s="1"/>
  <c r="AU24" i="16"/>
  <c r="AU9" i="19" s="1"/>
  <c r="AW10" i="20"/>
  <c r="AW23" i="16"/>
  <c r="AX26" i="18"/>
  <c r="AX19" i="16"/>
  <c r="AX11" i="20" s="1"/>
  <c r="AX20" i="16"/>
  <c r="AX23" i="20" s="1"/>
  <c r="AV38" i="21"/>
  <c r="AV39" i="21" s="1"/>
  <c r="AV24" i="16"/>
  <c r="AV9" i="19" s="1"/>
  <c r="AZ9" i="18"/>
  <c r="AZ30" i="12"/>
  <c r="BA8" i="21"/>
  <c r="AX16" i="16"/>
  <c r="AX22" i="20" s="1"/>
  <c r="AX16" i="18"/>
  <c r="AX7" i="16"/>
  <c r="AX9" i="16"/>
  <c r="AX8" i="16"/>
  <c r="AX31" i="13"/>
  <c r="BA25" i="11"/>
  <c r="BA15" i="13" s="1"/>
  <c r="BA26" i="11"/>
  <c r="BA16" i="13" s="1"/>
  <c r="BA27" i="11"/>
  <c r="AY9" i="18"/>
  <c r="AY30" i="12"/>
  <c r="AY25" i="12"/>
  <c r="BC8" i="12"/>
  <c r="BC9" i="12"/>
  <c r="BC16" i="12" s="1"/>
  <c r="BC14" i="11"/>
  <c r="BA8" i="14"/>
  <c r="BA21" i="12"/>
  <c r="R31" i="20"/>
  <c r="AV19" i="21"/>
  <c r="AV33" i="18"/>
  <c r="R27" i="21"/>
  <c r="R28" i="20"/>
  <c r="R29" i="20" s="1"/>
  <c r="AU15" i="17"/>
  <c r="AV13" i="17" s="1"/>
  <c r="AU17" i="17"/>
  <c r="AU16" i="17"/>
  <c r="AZ10" i="14"/>
  <c r="AZ11" i="14" s="1"/>
  <c r="AZ17" i="13"/>
  <c r="AZ18" i="13" s="1"/>
  <c r="AZ24" i="18"/>
  <c r="AZ18" i="14"/>
  <c r="BA17" i="12"/>
  <c r="BA8" i="18" s="1"/>
  <c r="S10" i="17"/>
  <c r="S21" i="17" s="1"/>
  <c r="S8" i="17"/>
  <c r="S17" i="19" s="1"/>
  <c r="AV20" i="18"/>
  <c r="AV18" i="21" s="1"/>
  <c r="BA7" i="14"/>
  <c r="BA20" i="12"/>
  <c r="BA12" i="21"/>
  <c r="BA7" i="18"/>
  <c r="BA14" i="14"/>
  <c r="BA16" i="14"/>
  <c r="BA15" i="14"/>
  <c r="BA17" i="14"/>
  <c r="BA25" i="18" s="1"/>
  <c r="Q34" i="21"/>
  <c r="Q41" i="20"/>
  <c r="BB7" i="21"/>
  <c r="BB24" i="15"/>
  <c r="BB25" i="15" s="1"/>
  <c r="BB9" i="21" s="1"/>
  <c r="BB22" i="13"/>
  <c r="BB9" i="14"/>
  <c r="BB10" i="13"/>
  <c r="BB21" i="13"/>
  <c r="BB23" i="13"/>
  <c r="BB22" i="11"/>
  <c r="BB21" i="11"/>
  <c r="BB17" i="11"/>
  <c r="BB11" i="13"/>
  <c r="BB8" i="13"/>
  <c r="BB28" i="12"/>
  <c r="BB24" i="13"/>
  <c r="BB18" i="11"/>
  <c r="BB9" i="13"/>
  <c r="BE9" i="11"/>
  <c r="BD12" i="11"/>
  <c r="BD13" i="11"/>
  <c r="BB16" i="12"/>
  <c r="BC10" i="12"/>
  <c r="BC11" i="12"/>
  <c r="BA25" i="13"/>
  <c r="BA15" i="18" s="1"/>
  <c r="AZ14" i="18" l="1"/>
  <c r="AZ28" i="13"/>
  <c r="AZ23" i="18"/>
  <c r="AZ21" i="14"/>
  <c r="BD9" i="12"/>
  <c r="BD8" i="12"/>
  <c r="BD14" i="11"/>
  <c r="BF9" i="11"/>
  <c r="BE12" i="11"/>
  <c r="BE13" i="11"/>
  <c r="AY26" i="18"/>
  <c r="AY19" i="16"/>
  <c r="AY11" i="20" s="1"/>
  <c r="AY20" i="16"/>
  <c r="AY23" i="20" s="1"/>
  <c r="T9" i="15"/>
  <c r="T18" i="15"/>
  <c r="T12" i="15"/>
  <c r="T14" i="15" s="1"/>
  <c r="T13" i="19" s="1"/>
  <c r="T14" i="19" s="1"/>
  <c r="BB12" i="13"/>
  <c r="BA13" i="18"/>
  <c r="BD10" i="12"/>
  <c r="BD11" i="12"/>
  <c r="AX19" i="18"/>
  <c r="BA22" i="12"/>
  <c r="BB27" i="11"/>
  <c r="BB26" i="11"/>
  <c r="BB16" i="13" s="1"/>
  <c r="BB25" i="11"/>
  <c r="BB15" i="13" s="1"/>
  <c r="AZ13" i="21"/>
  <c r="AZ10" i="18"/>
  <c r="AZ32" i="13"/>
  <c r="AZ13" i="16"/>
  <c r="AZ9" i="20" s="1"/>
  <c r="AZ29" i="12"/>
  <c r="BA18" i="13"/>
  <c r="BA14" i="18" s="1"/>
  <c r="AX15" i="21"/>
  <c r="AX14" i="21"/>
  <c r="AW38" i="21"/>
  <c r="AW39" i="21" s="1"/>
  <c r="AW24" i="16"/>
  <c r="AW9" i="19" s="1"/>
  <c r="BA24" i="18"/>
  <c r="BA18" i="14"/>
  <c r="BB12" i="21"/>
  <c r="BB7" i="18"/>
  <c r="BB14" i="14"/>
  <c r="BB16" i="14"/>
  <c r="BB15" i="14"/>
  <c r="BB17" i="14"/>
  <c r="BB25" i="18" s="1"/>
  <c r="BB7" i="14"/>
  <c r="BB20" i="12"/>
  <c r="AX10" i="16"/>
  <c r="BB17" i="12"/>
  <c r="BB8" i="18" s="1"/>
  <c r="AW29" i="18"/>
  <c r="E8" i="23"/>
  <c r="E19" i="23" s="1"/>
  <c r="R36" i="20"/>
  <c r="BB8" i="14"/>
  <c r="BB21" i="12"/>
  <c r="BA10" i="14"/>
  <c r="BA11" i="14" s="1"/>
  <c r="BA17" i="13"/>
  <c r="BC12" i="12"/>
  <c r="BC15" i="12"/>
  <c r="BC17" i="12" s="1"/>
  <c r="BC8" i="18" s="1"/>
  <c r="AV17" i="17"/>
  <c r="AV16" i="17"/>
  <c r="AV15" i="17"/>
  <c r="AW13" i="17" s="1"/>
  <c r="AY13" i="21"/>
  <c r="AY10" i="18"/>
  <c r="AY32" i="13"/>
  <c r="AY13" i="16"/>
  <c r="AY9" i="20" s="1"/>
  <c r="AY29" i="12"/>
  <c r="R38" i="20"/>
  <c r="S30" i="21"/>
  <c r="S36" i="18"/>
  <c r="S37" i="18" s="1"/>
  <c r="AV34" i="18"/>
  <c r="AV21" i="21" s="1"/>
  <c r="R23" i="19"/>
  <c r="R25" i="19" s="1"/>
  <c r="BC7" i="21"/>
  <c r="BC9" i="14"/>
  <c r="BC24" i="15"/>
  <c r="BC25" i="15" s="1"/>
  <c r="BC9" i="21" s="1"/>
  <c r="BC21" i="13"/>
  <c r="BC23" i="13"/>
  <c r="BC9" i="13"/>
  <c r="BC18" i="11"/>
  <c r="BC22" i="13"/>
  <c r="BC22" i="11"/>
  <c r="BC28" i="12"/>
  <c r="BC21" i="11"/>
  <c r="BC17" i="11"/>
  <c r="BC11" i="13"/>
  <c r="BC8" i="13"/>
  <c r="BC10" i="13"/>
  <c r="BC24" i="13"/>
  <c r="S9" i="17"/>
  <c r="BB8" i="21"/>
  <c r="BB25" i="13"/>
  <c r="BB15" i="18" s="1"/>
  <c r="AY16" i="16"/>
  <c r="AY22" i="20" s="1"/>
  <c r="AY16" i="18"/>
  <c r="AY7" i="16"/>
  <c r="AY9" i="16"/>
  <c r="AY8" i="16"/>
  <c r="AY31" i="13"/>
  <c r="BA23" i="18" l="1"/>
  <c r="BA21" i="14"/>
  <c r="AX10" i="20"/>
  <c r="AX23" i="16"/>
  <c r="BB25" i="12"/>
  <c r="BE8" i="12"/>
  <c r="BE9" i="12"/>
  <c r="BE16" i="12" s="1"/>
  <c r="BE14" i="11"/>
  <c r="BB13" i="18"/>
  <c r="AW19" i="21"/>
  <c r="AW33" i="18"/>
  <c r="E9" i="23"/>
  <c r="AW30" i="18"/>
  <c r="AW20" i="21" s="1"/>
  <c r="BE10" i="12"/>
  <c r="BE11" i="12"/>
  <c r="BF12" i="11"/>
  <c r="BG9" i="11"/>
  <c r="BF13" i="11"/>
  <c r="AX29" i="18"/>
  <c r="T7" i="17"/>
  <c r="S20" i="17"/>
  <c r="S24" i="20"/>
  <c r="S25" i="20" s="1"/>
  <c r="BB11" i="14"/>
  <c r="AY19" i="18"/>
  <c r="AY29" i="18" s="1"/>
  <c r="AY30" i="18"/>
  <c r="AY20" i="21" s="1"/>
  <c r="BB10" i="14"/>
  <c r="BB17" i="13"/>
  <c r="BB18" i="13" s="1"/>
  <c r="BD7" i="21"/>
  <c r="BD24" i="13"/>
  <c r="BD24" i="15"/>
  <c r="BD25" i="15" s="1"/>
  <c r="BD9" i="21" s="1"/>
  <c r="BD23" i="13"/>
  <c r="BD9" i="14"/>
  <c r="BD22" i="13"/>
  <c r="BD28" i="12"/>
  <c r="BD21" i="11"/>
  <c r="BD17" i="11"/>
  <c r="BD11" i="13"/>
  <c r="BD8" i="13"/>
  <c r="BD21" i="13"/>
  <c r="BD25" i="13" s="1"/>
  <c r="BD15" i="18" s="1"/>
  <c r="BD9" i="13"/>
  <c r="BD18" i="11"/>
  <c r="BD10" i="13"/>
  <c r="BD22" i="11"/>
  <c r="AY15" i="21"/>
  <c r="AY14" i="21"/>
  <c r="BA9" i="18"/>
  <c r="BA30" i="12"/>
  <c r="BA25" i="12"/>
  <c r="BD12" i="12"/>
  <c r="BD15" i="12"/>
  <c r="BB18" i="14"/>
  <c r="BB24" i="18"/>
  <c r="BD16" i="12"/>
  <c r="BC8" i="14"/>
  <c r="BC21" i="12"/>
  <c r="AW17" i="17"/>
  <c r="AW16" i="17"/>
  <c r="AW15" i="17"/>
  <c r="AX13" i="17" s="1"/>
  <c r="AX20" i="18"/>
  <c r="AX18" i="21" s="1"/>
  <c r="AZ26" i="18"/>
  <c r="AZ19" i="16"/>
  <c r="AZ11" i="20" s="1"/>
  <c r="AZ20" i="16"/>
  <c r="AZ23" i="20" s="1"/>
  <c r="BC8" i="21"/>
  <c r="T20" i="15"/>
  <c r="T15" i="20" s="1"/>
  <c r="T16" i="20" s="1"/>
  <c r="U7" i="15"/>
  <c r="AZ15" i="21"/>
  <c r="AZ14" i="21"/>
  <c r="BC25" i="11"/>
  <c r="BC15" i="13" s="1"/>
  <c r="BC27" i="11"/>
  <c r="BC26" i="11"/>
  <c r="BC16" i="13" s="1"/>
  <c r="BA28" i="13"/>
  <c r="R26" i="21"/>
  <c r="R28" i="21" s="1"/>
  <c r="R29" i="21" s="1"/>
  <c r="R8" i="20"/>
  <c r="R12" i="20" s="1"/>
  <c r="R18" i="20" s="1"/>
  <c r="S24" i="19"/>
  <c r="R33" i="21"/>
  <c r="R35" i="21"/>
  <c r="AY10" i="16"/>
  <c r="AZ16" i="18"/>
  <c r="AZ19" i="18" s="1"/>
  <c r="AZ9" i="16"/>
  <c r="AZ8" i="16"/>
  <c r="AZ7" i="16"/>
  <c r="AZ16" i="16"/>
  <c r="AZ22" i="20" s="1"/>
  <c r="AZ31" i="13"/>
  <c r="S40" i="18"/>
  <c r="S39" i="18"/>
  <c r="BC12" i="13"/>
  <c r="BB22" i="12"/>
  <c r="BC7" i="14"/>
  <c r="BC20" i="12"/>
  <c r="BC25" i="13"/>
  <c r="BC15" i="18" s="1"/>
  <c r="BC12" i="21"/>
  <c r="BC7" i="18"/>
  <c r="BC16" i="14"/>
  <c r="BC15" i="14"/>
  <c r="BC17" i="14"/>
  <c r="BC25" i="18" s="1"/>
  <c r="BC14" i="14"/>
  <c r="AZ29" i="18" l="1"/>
  <c r="AZ20" i="18"/>
  <c r="AZ18" i="21" s="1"/>
  <c r="BB14" i="18"/>
  <c r="BB28" i="13"/>
  <c r="AY19" i="21"/>
  <c r="AY33" i="18"/>
  <c r="E10" i="23"/>
  <c r="E20" i="23" s="1"/>
  <c r="AW34" i="18"/>
  <c r="AW21" i="21" s="1"/>
  <c r="BD8" i="14"/>
  <c r="BD21" i="12"/>
  <c r="BB23" i="18"/>
  <c r="BB21" i="14"/>
  <c r="AY10" i="20"/>
  <c r="AY23" i="16"/>
  <c r="BC24" i="18"/>
  <c r="BC18" i="14"/>
  <c r="AX16" i="17"/>
  <c r="AX17" i="17"/>
  <c r="AX15" i="17"/>
  <c r="AY13" i="17" s="1"/>
  <c r="BE12" i="12"/>
  <c r="BE15" i="12"/>
  <c r="BE17" i="12" s="1"/>
  <c r="BE8" i="18" s="1"/>
  <c r="R34" i="21"/>
  <c r="R41" i="20"/>
  <c r="BF9" i="12"/>
  <c r="BF14" i="11"/>
  <c r="BF8" i="12"/>
  <c r="BD12" i="13"/>
  <c r="BG13" i="11"/>
  <c r="BH9" i="11"/>
  <c r="BG12" i="11"/>
  <c r="BB13" i="21"/>
  <c r="BB10" i="18"/>
  <c r="BB32" i="13"/>
  <c r="BB13" i="16"/>
  <c r="BB9" i="20" s="1"/>
  <c r="BB29" i="12"/>
  <c r="BD7" i="14"/>
  <c r="BD20" i="12"/>
  <c r="BE7" i="21"/>
  <c r="BE24" i="15"/>
  <c r="BE25" i="15" s="1"/>
  <c r="BE9" i="21" s="1"/>
  <c r="BE22" i="13"/>
  <c r="BE23" i="13"/>
  <c r="BE9" i="14"/>
  <c r="BE24" i="13"/>
  <c r="BE11" i="13"/>
  <c r="BE22" i="11"/>
  <c r="BE21" i="11"/>
  <c r="BE17" i="11"/>
  <c r="BE8" i="13"/>
  <c r="BE28" i="12"/>
  <c r="BE18" i="11"/>
  <c r="BE9" i="13"/>
  <c r="BE10" i="13"/>
  <c r="BE21" i="13"/>
  <c r="BE25" i="13" s="1"/>
  <c r="BE15" i="18" s="1"/>
  <c r="BD26" i="11"/>
  <c r="BD16" i="13" s="1"/>
  <c r="BD25" i="11"/>
  <c r="BD15" i="13" s="1"/>
  <c r="BD27" i="11"/>
  <c r="BC22" i="12"/>
  <c r="AX38" i="21"/>
  <c r="AX39" i="21" s="1"/>
  <c r="AX24" i="16"/>
  <c r="AX9" i="19" s="1"/>
  <c r="BF10" i="12"/>
  <c r="BF11" i="12"/>
  <c r="BD17" i="12"/>
  <c r="BD8" i="18" s="1"/>
  <c r="BD8" i="21"/>
  <c r="S27" i="21"/>
  <c r="S28" i="20"/>
  <c r="S29" i="20" s="1"/>
  <c r="S31" i="20" s="1"/>
  <c r="AX19" i="21"/>
  <c r="AX33" i="18"/>
  <c r="AX30" i="18"/>
  <c r="AX20" i="21" s="1"/>
  <c r="BA16" i="18"/>
  <c r="BA9" i="16"/>
  <c r="BA8" i="16"/>
  <c r="BA7" i="16"/>
  <c r="BA16" i="16"/>
  <c r="BA22" i="20" s="1"/>
  <c r="BA31" i="13"/>
  <c r="BC10" i="14"/>
  <c r="BC17" i="13"/>
  <c r="BC18" i="13"/>
  <c r="BC14" i="18" s="1"/>
  <c r="BC11" i="14"/>
  <c r="U9" i="15"/>
  <c r="U12" i="15"/>
  <c r="U14" i="15" s="1"/>
  <c r="U13" i="19" s="1"/>
  <c r="U14" i="19" s="1"/>
  <c r="T10" i="17"/>
  <c r="T21" i="17" s="1"/>
  <c r="T8" i="17"/>
  <c r="T17" i="19" s="1"/>
  <c r="S22" i="21"/>
  <c r="S19" i="19"/>
  <c r="S20" i="19" s="1"/>
  <c r="S7" i="19"/>
  <c r="S10" i="19" s="1"/>
  <c r="S23" i="19" s="1"/>
  <c r="S25" i="19" s="1"/>
  <c r="S41" i="18"/>
  <c r="S23" i="21" s="1"/>
  <c r="S35" i="20"/>
  <c r="BA26" i="18"/>
  <c r="BA19" i="16"/>
  <c r="BA11" i="20" s="1"/>
  <c r="BA20" i="16"/>
  <c r="BA23" i="20" s="1"/>
  <c r="BD12" i="21"/>
  <c r="BD7" i="18"/>
  <c r="BD16" i="14"/>
  <c r="BD15" i="14"/>
  <c r="BD17" i="14"/>
  <c r="BD25" i="18" s="1"/>
  <c r="BD14" i="14"/>
  <c r="BB9" i="18"/>
  <c r="BB30" i="12"/>
  <c r="BA13" i="21"/>
  <c r="BA10" i="18"/>
  <c r="BA32" i="13"/>
  <c r="BA13" i="16"/>
  <c r="BA9" i="20" s="1"/>
  <c r="BA29" i="12"/>
  <c r="BC13" i="18"/>
  <c r="BC28" i="13"/>
  <c r="AZ10" i="16"/>
  <c r="AY20" i="18"/>
  <c r="AY18" i="21" s="1"/>
  <c r="S26" i="21" l="1"/>
  <c r="S8" i="20"/>
  <c r="S12" i="20" s="1"/>
  <c r="S18" i="20" s="1"/>
  <c r="T24" i="19"/>
  <c r="S36" i="20"/>
  <c r="BF7" i="21"/>
  <c r="BF24" i="15"/>
  <c r="BF25" i="15" s="1"/>
  <c r="BF9" i="21" s="1"/>
  <c r="BF9" i="14"/>
  <c r="BF23" i="13"/>
  <c r="BF24" i="13"/>
  <c r="BF22" i="11"/>
  <c r="BF22" i="13"/>
  <c r="BF21" i="11"/>
  <c r="BF17" i="11"/>
  <c r="BF8" i="13"/>
  <c r="BF12" i="13" s="1"/>
  <c r="BF11" i="13"/>
  <c r="BF10" i="13"/>
  <c r="BF21" i="13"/>
  <c r="BF18" i="11"/>
  <c r="BF9" i="13"/>
  <c r="AZ10" i="20"/>
  <c r="AZ23" i="16"/>
  <c r="BC16" i="18"/>
  <c r="BC8" i="16"/>
  <c r="BC7" i="16"/>
  <c r="BC9" i="16"/>
  <c r="BC31" i="13"/>
  <c r="AX34" i="18"/>
  <c r="AX21" i="21" s="1"/>
  <c r="T9" i="17"/>
  <c r="BF16" i="12"/>
  <c r="BE8" i="14"/>
  <c r="BE21" i="12"/>
  <c r="BB15" i="21"/>
  <c r="BB14" i="21"/>
  <c r="BE12" i="13"/>
  <c r="BE7" i="14"/>
  <c r="BE20" i="12"/>
  <c r="BE22" i="12" s="1"/>
  <c r="T36" i="18"/>
  <c r="T37" i="18" s="1"/>
  <c r="T30" i="21"/>
  <c r="BA19" i="18"/>
  <c r="U18" i="15"/>
  <c r="AY38" i="21"/>
  <c r="AY39" i="21" s="1"/>
  <c r="AY24" i="16"/>
  <c r="AY9" i="19" s="1"/>
  <c r="BB26" i="18"/>
  <c r="BB19" i="16"/>
  <c r="BB11" i="20" s="1"/>
  <c r="BB20" i="16"/>
  <c r="BB23" i="20" s="1"/>
  <c r="BG10" i="12"/>
  <c r="BG11" i="12"/>
  <c r="BE26" i="11"/>
  <c r="BE16" i="13" s="1"/>
  <c r="BE25" i="11"/>
  <c r="BE15" i="13" s="1"/>
  <c r="BE27" i="11"/>
  <c r="S28" i="21"/>
  <c r="S29" i="21" s="1"/>
  <c r="BD13" i="18"/>
  <c r="BB16" i="18"/>
  <c r="BB19" i="18" s="1"/>
  <c r="BB9" i="16"/>
  <c r="BB8" i="16"/>
  <c r="BB7" i="16"/>
  <c r="BB16" i="16"/>
  <c r="BB22" i="20" s="1"/>
  <c r="BB31" i="13"/>
  <c r="BA15" i="21"/>
  <c r="BA14" i="21"/>
  <c r="BF12" i="12"/>
  <c r="BF28" i="12" s="1"/>
  <c r="BF15" i="12"/>
  <c r="BF17" i="12" s="1"/>
  <c r="BF8" i="18" s="1"/>
  <c r="BE12" i="21"/>
  <c r="BE7" i="18"/>
  <c r="BE15" i="14"/>
  <c r="BE17" i="14"/>
  <c r="BE25" i="18" s="1"/>
  <c r="BE14" i="14"/>
  <c r="BE16" i="14"/>
  <c r="BD17" i="13"/>
  <c r="BD10" i="14"/>
  <c r="BD11" i="14" s="1"/>
  <c r="BE8" i="21"/>
  <c r="AY16" i="17"/>
  <c r="AY17" i="17"/>
  <c r="AY15" i="17"/>
  <c r="AZ13" i="17" s="1"/>
  <c r="AZ19" i="21"/>
  <c r="AZ33" i="18"/>
  <c r="AZ30" i="18"/>
  <c r="AZ20" i="21" s="1"/>
  <c r="BG9" i="12"/>
  <c r="BG16" i="12" s="1"/>
  <c r="BG8" i="12"/>
  <c r="BG14" i="11"/>
  <c r="BH12" i="11"/>
  <c r="BI9" i="11"/>
  <c r="BH13" i="11"/>
  <c r="BD24" i="18"/>
  <c r="BD18" i="14"/>
  <c r="AY34" i="18"/>
  <c r="AY21" i="21" s="1"/>
  <c r="BC23" i="18"/>
  <c r="BC21" i="14"/>
  <c r="BC9" i="18"/>
  <c r="BC30" i="12"/>
  <c r="BC25" i="12"/>
  <c r="BA10" i="16"/>
  <c r="BD18" i="13"/>
  <c r="BD14" i="18" s="1"/>
  <c r="BD22" i="12"/>
  <c r="BB29" i="18" l="1"/>
  <c r="BB20" i="18"/>
  <c r="BB18" i="21" s="1"/>
  <c r="BD23" i="18"/>
  <c r="BD21" i="14"/>
  <c r="BD9" i="18"/>
  <c r="BD30" i="12"/>
  <c r="BA10" i="20"/>
  <c r="BA23" i="16"/>
  <c r="BC26" i="18"/>
  <c r="BC19" i="16"/>
  <c r="BC11" i="20" s="1"/>
  <c r="BC20" i="16"/>
  <c r="BC23" i="20" s="1"/>
  <c r="BB10" i="16"/>
  <c r="AZ16" i="17"/>
  <c r="AZ17" i="17"/>
  <c r="AZ15" i="17"/>
  <c r="BA13" i="17" s="1"/>
  <c r="U20" i="15"/>
  <c r="U15" i="20" s="1"/>
  <c r="U16" i="20" s="1"/>
  <c r="V7" i="15"/>
  <c r="BA29" i="18"/>
  <c r="BC10" i="16"/>
  <c r="BE13" i="18"/>
  <c r="BF8" i="21"/>
  <c r="AZ34" i="18"/>
  <c r="AZ21" i="21" s="1"/>
  <c r="BF7" i="14"/>
  <c r="BF20" i="12"/>
  <c r="BC13" i="21"/>
  <c r="BC10" i="18"/>
  <c r="BC32" i="13"/>
  <c r="BC13" i="16"/>
  <c r="BC9" i="20" s="1"/>
  <c r="BC29" i="12"/>
  <c r="BA20" i="18"/>
  <c r="BA18" i="21" s="1"/>
  <c r="T40" i="18"/>
  <c r="T39" i="18"/>
  <c r="BE9" i="18"/>
  <c r="BE30" i="12"/>
  <c r="BH11" i="12"/>
  <c r="BH10" i="12"/>
  <c r="BJ9" i="11"/>
  <c r="BI13" i="11"/>
  <c r="BI12" i="11"/>
  <c r="S33" i="21"/>
  <c r="S35" i="21"/>
  <c r="BD28" i="13"/>
  <c r="BE24" i="18"/>
  <c r="BE18" i="14"/>
  <c r="BE17" i="13"/>
  <c r="BE10" i="14"/>
  <c r="AZ38" i="21"/>
  <c r="AZ39" i="21" s="1"/>
  <c r="AZ24" i="16"/>
  <c r="AZ9" i="19" s="1"/>
  <c r="BD25" i="12"/>
  <c r="BE11" i="14"/>
  <c r="BH9" i="12"/>
  <c r="BH14" i="11"/>
  <c r="BH8" i="12"/>
  <c r="BG7" i="21"/>
  <c r="BG24" i="15"/>
  <c r="BG25" i="15" s="1"/>
  <c r="BG9" i="21" s="1"/>
  <c r="BG9" i="14"/>
  <c r="BG22" i="13"/>
  <c r="BG24" i="13"/>
  <c r="BG23" i="13"/>
  <c r="BG8" i="13"/>
  <c r="BG11" i="13"/>
  <c r="BG10" i="13"/>
  <c r="BG17" i="11"/>
  <c r="BG18" i="11"/>
  <c r="BG21" i="11"/>
  <c r="BG9" i="13"/>
  <c r="BG22" i="11"/>
  <c r="BG21" i="13"/>
  <c r="BE25" i="12"/>
  <c r="BE18" i="13"/>
  <c r="BE14" i="18" s="1"/>
  <c r="BF13" i="18"/>
  <c r="BG12" i="12"/>
  <c r="BG15" i="12"/>
  <c r="BG17" i="12" s="1"/>
  <c r="BG8" i="18" s="1"/>
  <c r="S38" i="20"/>
  <c r="S41" i="20" s="1"/>
  <c r="BF8" i="14"/>
  <c r="BF21" i="12"/>
  <c r="T20" i="17"/>
  <c r="U7" i="17"/>
  <c r="T24" i="20"/>
  <c r="T25" i="20" s="1"/>
  <c r="BF25" i="13"/>
  <c r="BF15" i="18" s="1"/>
  <c r="S34" i="21"/>
  <c r="BF12" i="21"/>
  <c r="BF7" i="18"/>
  <c r="BF15" i="14"/>
  <c r="BF17" i="14"/>
  <c r="BF25" i="18" s="1"/>
  <c r="BF16" i="14"/>
  <c r="BF14" i="14"/>
  <c r="BF25" i="11"/>
  <c r="BF15" i="13" s="1"/>
  <c r="BF27" i="11"/>
  <c r="BF26" i="11"/>
  <c r="BF16" i="13" s="1"/>
  <c r="BC16" i="16"/>
  <c r="BC22" i="20" s="1"/>
  <c r="BH7" i="21" l="1"/>
  <c r="BH9" i="14"/>
  <c r="BH22" i="13"/>
  <c r="BH24" i="13"/>
  <c r="BH24" i="15"/>
  <c r="BH25" i="15" s="1"/>
  <c r="BH9" i="21" s="1"/>
  <c r="BH9" i="13"/>
  <c r="BH23" i="13"/>
  <c r="BH11" i="13"/>
  <c r="BH10" i="13"/>
  <c r="BH8" i="13"/>
  <c r="BH21" i="11"/>
  <c r="BH22" i="11"/>
  <c r="BH21" i="13"/>
  <c r="BH18" i="11"/>
  <c r="BH17" i="11"/>
  <c r="BH16" i="12"/>
  <c r="BE23" i="18"/>
  <c r="BE21" i="14"/>
  <c r="BB10" i="20"/>
  <c r="BB23" i="16"/>
  <c r="BD13" i="21"/>
  <c r="BD10" i="18"/>
  <c r="BD32" i="13"/>
  <c r="BD13" i="16"/>
  <c r="BD9" i="20" s="1"/>
  <c r="BD29" i="12"/>
  <c r="BG8" i="21"/>
  <c r="BC15" i="21"/>
  <c r="BC14" i="21"/>
  <c r="BA38" i="21"/>
  <c r="BA39" i="21" s="1"/>
  <c r="BA24" i="16"/>
  <c r="BA9" i="19" s="1"/>
  <c r="BJ12" i="11"/>
  <c r="BK9" i="11"/>
  <c r="BJ13" i="11"/>
  <c r="BC10" i="20"/>
  <c r="BC23" i="16"/>
  <c r="BF24" i="18"/>
  <c r="BF18" i="14"/>
  <c r="BG26" i="11"/>
  <c r="BG16" i="13" s="1"/>
  <c r="BG25" i="11"/>
  <c r="BG15" i="13" s="1"/>
  <c r="BG27" i="11"/>
  <c r="BG7" i="14"/>
  <c r="BG20" i="12"/>
  <c r="BF22" i="12"/>
  <c r="BA19" i="21"/>
  <c r="BA33" i="18"/>
  <c r="BA30" i="18"/>
  <c r="BA20" i="21" s="1"/>
  <c r="BG7" i="18"/>
  <c r="BG12" i="21"/>
  <c r="BG17" i="14"/>
  <c r="BG25" i="18" s="1"/>
  <c r="BG16" i="14"/>
  <c r="BG14" i="14"/>
  <c r="BG15" i="14"/>
  <c r="BF17" i="13"/>
  <c r="BF18" i="13" s="1"/>
  <c r="BF10" i="14"/>
  <c r="BE13" i="21"/>
  <c r="BE10" i="18"/>
  <c r="BE13" i="16"/>
  <c r="BE9" i="20" s="1"/>
  <c r="BE29" i="12"/>
  <c r="BF11" i="14"/>
  <c r="BD16" i="16"/>
  <c r="BD22" i="20" s="1"/>
  <c r="BD7" i="16"/>
  <c r="BD8" i="16"/>
  <c r="BD16" i="18"/>
  <c r="BD9" i="16"/>
  <c r="BD31" i="13"/>
  <c r="BD26" i="18"/>
  <c r="BD19" i="16"/>
  <c r="BD11" i="20" s="1"/>
  <c r="BD20" i="16"/>
  <c r="BD23" i="20" s="1"/>
  <c r="V9" i="15"/>
  <c r="V12" i="15"/>
  <c r="V14" i="15" s="1"/>
  <c r="V13" i="19" s="1"/>
  <c r="V14" i="19" s="1"/>
  <c r="T22" i="21"/>
  <c r="T19" i="19"/>
  <c r="T20" i="19" s="1"/>
  <c r="T7" i="19"/>
  <c r="T10" i="19" s="1"/>
  <c r="T23" i="19" s="1"/>
  <c r="T25" i="19" s="1"/>
  <c r="T41" i="18"/>
  <c r="T23" i="21" s="1"/>
  <c r="T35" i="20"/>
  <c r="BC19" i="18"/>
  <c r="BG8" i="14"/>
  <c r="BG21" i="12"/>
  <c r="BG12" i="13"/>
  <c r="T31" i="20"/>
  <c r="BG25" i="13"/>
  <c r="BG15" i="18" s="1"/>
  <c r="T27" i="21"/>
  <c r="T28" i="20"/>
  <c r="T29" i="20" s="1"/>
  <c r="BI9" i="12"/>
  <c r="BI14" i="11"/>
  <c r="BI8" i="12"/>
  <c r="BB19" i="21"/>
  <c r="BB33" i="18"/>
  <c r="BB30" i="18"/>
  <c r="BB20" i="21" s="1"/>
  <c r="BH12" i="12"/>
  <c r="BH15" i="12"/>
  <c r="BA16" i="17"/>
  <c r="BA17" i="17"/>
  <c r="BA15" i="17"/>
  <c r="BB13" i="17" s="1"/>
  <c r="U10" i="17"/>
  <c r="U21" i="17" s="1"/>
  <c r="U8" i="17"/>
  <c r="U17" i="19" s="1"/>
  <c r="BG28" i="12"/>
  <c r="BI11" i="12"/>
  <c r="BI10" i="12"/>
  <c r="BE28" i="13"/>
  <c r="BF14" i="18" l="1"/>
  <c r="BF28" i="13"/>
  <c r="BD10" i="16"/>
  <c r="T26" i="21"/>
  <c r="T8" i="20"/>
  <c r="T12" i="20" s="1"/>
  <c r="T18" i="20" s="1"/>
  <c r="U24" i="19"/>
  <c r="BH12" i="21"/>
  <c r="BH7" i="18"/>
  <c r="BH17" i="14"/>
  <c r="BH25" i="18" s="1"/>
  <c r="BH16" i="14"/>
  <c r="BH14" i="14"/>
  <c r="BH15" i="14"/>
  <c r="BF9" i="18"/>
  <c r="BF30" i="12"/>
  <c r="BF25" i="12"/>
  <c r="BH8" i="14"/>
  <c r="BH21" i="12"/>
  <c r="BH17" i="12"/>
  <c r="BH8" i="18" s="1"/>
  <c r="BB34" i="18"/>
  <c r="BB21" i="21" s="1"/>
  <c r="BG22" i="12"/>
  <c r="BE8" i="16"/>
  <c r="BE7" i="16"/>
  <c r="BE16" i="18"/>
  <c r="BE16" i="16"/>
  <c r="BE22" i="20" s="1"/>
  <c r="BE9" i="16"/>
  <c r="BE31" i="13"/>
  <c r="BJ10" i="12"/>
  <c r="BJ11" i="12"/>
  <c r="BK13" i="11"/>
  <c r="BL9" i="11"/>
  <c r="BK12" i="11"/>
  <c r="BH26" i="11"/>
  <c r="BH16" i="13" s="1"/>
  <c r="BH25" i="11"/>
  <c r="BH15" i="13" s="1"/>
  <c r="BH27" i="11"/>
  <c r="BG13" i="18"/>
  <c r="BG28" i="13"/>
  <c r="BJ9" i="12"/>
  <c r="BJ16" i="12" s="1"/>
  <c r="BJ14" i="11"/>
  <c r="BJ8" i="12"/>
  <c r="T36" i="20"/>
  <c r="BG10" i="14"/>
  <c r="BG17" i="13"/>
  <c r="BD19" i="18"/>
  <c r="BD29" i="18" s="1"/>
  <c r="BC29" i="18"/>
  <c r="U30" i="21"/>
  <c r="U36" i="18"/>
  <c r="U37" i="18" s="1"/>
  <c r="BF23" i="18"/>
  <c r="BF21" i="14"/>
  <c r="BC20" i="18"/>
  <c r="BC18" i="21" s="1"/>
  <c r="BG18" i="13"/>
  <c r="BG14" i="18" s="1"/>
  <c r="BD15" i="21"/>
  <c r="BD14" i="21"/>
  <c r="T38" i="20"/>
  <c r="BH7" i="14"/>
  <c r="BH20" i="12"/>
  <c r="U9" i="17"/>
  <c r="BB16" i="17"/>
  <c r="BB17" i="17"/>
  <c r="BB15" i="17"/>
  <c r="BC13" i="17" s="1"/>
  <c r="BE32" i="13"/>
  <c r="BH28" i="12"/>
  <c r="BB38" i="21"/>
  <c r="BB39" i="21" s="1"/>
  <c r="BB24" i="16"/>
  <c r="BB9" i="19" s="1"/>
  <c r="BE30" i="18"/>
  <c r="BE20" i="21" s="1"/>
  <c r="BE19" i="18"/>
  <c r="BE29" i="18" s="1"/>
  <c r="BE20" i="18"/>
  <c r="BE18" i="21" s="1"/>
  <c r="BE15" i="21"/>
  <c r="BE14" i="21"/>
  <c r="BG11" i="14"/>
  <c r="BI15" i="12"/>
  <c r="BI12" i="12"/>
  <c r="BI28" i="12" s="1"/>
  <c r="BI16" i="12"/>
  <c r="BH8" i="21"/>
  <c r="V18" i="15"/>
  <c r="BI7" i="21"/>
  <c r="BI9" i="14"/>
  <c r="BI22" i="13"/>
  <c r="BI24" i="13"/>
  <c r="BI9" i="13"/>
  <c r="BI11" i="13"/>
  <c r="BI24" i="15"/>
  <c r="BI25" i="15" s="1"/>
  <c r="BI9" i="21" s="1"/>
  <c r="BI23" i="13"/>
  <c r="BI21" i="13"/>
  <c r="BI25" i="13" s="1"/>
  <c r="BI15" i="18" s="1"/>
  <c r="BI21" i="11"/>
  <c r="BI10" i="13"/>
  <c r="BI8" i="13"/>
  <c r="BI17" i="11"/>
  <c r="BI18" i="11"/>
  <c r="BI22" i="11"/>
  <c r="F4" i="23"/>
  <c r="BE26" i="18"/>
  <c r="BE19" i="16"/>
  <c r="BE11" i="20" s="1"/>
  <c r="BE20" i="16"/>
  <c r="BE23" i="20" s="1"/>
  <c r="BH25" i="13"/>
  <c r="BH15" i="18" s="1"/>
  <c r="BH12" i="13"/>
  <c r="BA34" i="18"/>
  <c r="BA21" i="21" s="1"/>
  <c r="BG24" i="18"/>
  <c r="BG18" i="14"/>
  <c r="T28" i="21"/>
  <c r="T29" i="21" s="1"/>
  <c r="BC38" i="21"/>
  <c r="BC39" i="21" s="1"/>
  <c r="BC24" i="16"/>
  <c r="BC9" i="19" s="1"/>
  <c r="BE19" i="21" l="1"/>
  <c r="BE33" i="18"/>
  <c r="BK9" i="12"/>
  <c r="BK14" i="11"/>
  <c r="BK8" i="12"/>
  <c r="U39" i="18"/>
  <c r="U40" i="18" s="1"/>
  <c r="BM9" i="11"/>
  <c r="BL13" i="11"/>
  <c r="BL12" i="11"/>
  <c r="BH24" i="18"/>
  <c r="BH18" i="14"/>
  <c r="BI17" i="12"/>
  <c r="BI8" i="18" s="1"/>
  <c r="BC19" i="21"/>
  <c r="BC33" i="18"/>
  <c r="BC30" i="18"/>
  <c r="BC20" i="21" s="1"/>
  <c r="BI7" i="14"/>
  <c r="BI20" i="12"/>
  <c r="BJ15" i="12"/>
  <c r="BJ17" i="12" s="1"/>
  <c r="BJ8" i="18" s="1"/>
  <c r="BJ12" i="12"/>
  <c r="BD20" i="18"/>
  <c r="BD18" i="21" s="1"/>
  <c r="BD19" i="21"/>
  <c r="BD33" i="18"/>
  <c r="BG23" i="18"/>
  <c r="BG21" i="14"/>
  <c r="BI27" i="11"/>
  <c r="BI26" i="11"/>
  <c r="BI16" i="13" s="1"/>
  <c r="BI25" i="11"/>
  <c r="BI15" i="13" s="1"/>
  <c r="BH13" i="18"/>
  <c r="BC16" i="17"/>
  <c r="BC17" i="17"/>
  <c r="BC15" i="17"/>
  <c r="BD13" i="17" s="1"/>
  <c r="T34" i="21"/>
  <c r="T41" i="20"/>
  <c r="BI8" i="14"/>
  <c r="BI21" i="12"/>
  <c r="BJ7" i="21"/>
  <c r="BJ9" i="14"/>
  <c r="BJ22" i="13"/>
  <c r="BJ24" i="13"/>
  <c r="BJ9" i="13"/>
  <c r="BJ11" i="13"/>
  <c r="BJ28" i="12"/>
  <c r="BJ23" i="13"/>
  <c r="BJ8" i="13"/>
  <c r="BJ24" i="15"/>
  <c r="BJ25" i="15" s="1"/>
  <c r="BJ9" i="21" s="1"/>
  <c r="BJ10" i="13"/>
  <c r="BJ21" i="13"/>
  <c r="BJ18" i="11"/>
  <c r="BJ22" i="11"/>
  <c r="BJ21" i="11"/>
  <c r="BJ17" i="11"/>
  <c r="BF13" i="21"/>
  <c r="BF10" i="18"/>
  <c r="BF32" i="13"/>
  <c r="BF13" i="16"/>
  <c r="BF9" i="20" s="1"/>
  <c r="BF29" i="12"/>
  <c r="BD30" i="18"/>
  <c r="BD20" i="21" s="1"/>
  <c r="BE10" i="16"/>
  <c r="BG8" i="16"/>
  <c r="BG16" i="16"/>
  <c r="BG22" i="20" s="1"/>
  <c r="BG7" i="16"/>
  <c r="BG10" i="16" s="1"/>
  <c r="BG16" i="18"/>
  <c r="BG9" i="16"/>
  <c r="BG31" i="13"/>
  <c r="BF26" i="18"/>
  <c r="BF19" i="16"/>
  <c r="BF11" i="20" s="1"/>
  <c r="BF20" i="16"/>
  <c r="BF23" i="20" s="1"/>
  <c r="BK11" i="12"/>
  <c r="BK10" i="12"/>
  <c r="BI8" i="21"/>
  <c r="V20" i="15"/>
  <c r="V15" i="20" s="1"/>
  <c r="V16" i="20" s="1"/>
  <c r="W7" i="15"/>
  <c r="BD10" i="20"/>
  <c r="BD23" i="16"/>
  <c r="BI12" i="21"/>
  <c r="BI7" i="18"/>
  <c r="BI15" i="14"/>
  <c r="BI17" i="14"/>
  <c r="BI25" i="18" s="1"/>
  <c r="BI14" i="14"/>
  <c r="BI16" i="14"/>
  <c r="F5" i="23"/>
  <c r="BI12" i="13"/>
  <c r="BH17" i="13"/>
  <c r="BH18" i="13" s="1"/>
  <c r="BH10" i="14"/>
  <c r="BH11" i="14" s="1"/>
  <c r="U20" i="17"/>
  <c r="V7" i="17"/>
  <c r="U24" i="20"/>
  <c r="U25" i="20" s="1"/>
  <c r="BG9" i="18"/>
  <c r="BG30" i="12"/>
  <c r="BG25" i="12"/>
  <c r="BF8" i="16"/>
  <c r="BF7" i="16"/>
  <c r="BF16" i="16"/>
  <c r="BF22" i="20" s="1"/>
  <c r="BF16" i="18"/>
  <c r="BF9" i="16"/>
  <c r="BF31" i="13"/>
  <c r="BH22" i="12"/>
  <c r="BH25" i="12" s="1"/>
  <c r="T33" i="21"/>
  <c r="T35" i="21"/>
  <c r="BH23" i="18" l="1"/>
  <c r="BH21" i="14"/>
  <c r="BH14" i="18"/>
  <c r="BH28" i="13"/>
  <c r="BH13" i="21"/>
  <c r="BH10" i="18"/>
  <c r="BH32" i="13"/>
  <c r="BH13" i="16"/>
  <c r="BH9" i="20" s="1"/>
  <c r="BH29" i="12"/>
  <c r="U22" i="21"/>
  <c r="U19" i="19"/>
  <c r="U20" i="19" s="1"/>
  <c r="U7" i="19"/>
  <c r="U10" i="19" s="1"/>
  <c r="U41" i="18"/>
  <c r="U23" i="21" s="1"/>
  <c r="U35" i="20"/>
  <c r="BG10" i="20"/>
  <c r="BG23" i="16"/>
  <c r="BE10" i="20"/>
  <c r="BE23" i="16"/>
  <c r="BL9" i="12"/>
  <c r="BL16" i="12" s="1"/>
  <c r="BL14" i="11"/>
  <c r="BL8" i="12"/>
  <c r="BD38" i="21"/>
  <c r="BD39" i="21" s="1"/>
  <c r="BD24" i="16"/>
  <c r="BD9" i="19" s="1"/>
  <c r="BI22" i="12"/>
  <c r="BI24" i="18"/>
  <c r="BI18" i="14"/>
  <c r="BJ8" i="14"/>
  <c r="BJ21" i="12"/>
  <c r="BK15" i="12"/>
  <c r="BK17" i="12" s="1"/>
  <c r="BK8" i="18" s="1"/>
  <c r="BK12" i="12"/>
  <c r="BJ25" i="13"/>
  <c r="BJ15" i="18" s="1"/>
  <c r="BK7" i="21"/>
  <c r="BK24" i="13"/>
  <c r="BK9" i="14"/>
  <c r="BK24" i="15"/>
  <c r="BK25" i="15" s="1"/>
  <c r="BK9" i="21" s="1"/>
  <c r="BK9" i="13"/>
  <c r="BK11" i="13"/>
  <c r="BK28" i="12"/>
  <c r="BK22" i="13"/>
  <c r="BK23" i="13"/>
  <c r="BK8" i="13"/>
  <c r="BK10" i="13"/>
  <c r="BK21" i="13"/>
  <c r="BK18" i="11"/>
  <c r="BK22" i="11"/>
  <c r="BK17" i="11"/>
  <c r="BK21" i="11"/>
  <c r="BH9" i="18"/>
  <c r="BH30" i="12"/>
  <c r="BJ12" i="21"/>
  <c r="BJ7" i="18"/>
  <c r="BJ15" i="14"/>
  <c r="BJ17" i="14"/>
  <c r="BJ25" i="18" s="1"/>
  <c r="BJ14" i="14"/>
  <c r="BJ16" i="14"/>
  <c r="BJ25" i="12"/>
  <c r="W18" i="15"/>
  <c r="W12" i="15"/>
  <c r="W14" i="15" s="1"/>
  <c r="W13" i="19" s="1"/>
  <c r="W14" i="19" s="1"/>
  <c r="W9" i="15"/>
  <c r="BJ27" i="11"/>
  <c r="BJ25" i="11"/>
  <c r="BJ15" i="13" s="1"/>
  <c r="BJ26" i="11"/>
  <c r="BJ16" i="13" s="1"/>
  <c r="BD16" i="17"/>
  <c r="BD17" i="17"/>
  <c r="BD15" i="17"/>
  <c r="BE13" i="17" s="1"/>
  <c r="BK16" i="12"/>
  <c r="BC34" i="18"/>
  <c r="BC21" i="21" s="1"/>
  <c r="BD34" i="18"/>
  <c r="BD21" i="21" s="1"/>
  <c r="BJ8" i="21"/>
  <c r="BF19" i="18"/>
  <c r="BF29" i="18" s="1"/>
  <c r="BF20" i="18"/>
  <c r="BF18" i="21" s="1"/>
  <c r="BG13" i="21"/>
  <c r="BG10" i="18"/>
  <c r="BG32" i="13"/>
  <c r="BG13" i="16"/>
  <c r="BG9" i="20" s="1"/>
  <c r="BG29" i="12"/>
  <c r="BF15" i="21"/>
  <c r="BF14" i="21"/>
  <c r="BF10" i="16"/>
  <c r="BJ7" i="14"/>
  <c r="BJ20" i="12"/>
  <c r="BJ22" i="12" s="1"/>
  <c r="BE34" i="18"/>
  <c r="BE21" i="21" s="1"/>
  <c r="BL11" i="12"/>
  <c r="BL10" i="12"/>
  <c r="U28" i="20"/>
  <c r="U29" i="20" s="1"/>
  <c r="U31" i="20" s="1"/>
  <c r="U27" i="21"/>
  <c r="BI17" i="13"/>
  <c r="BI18" i="13" s="1"/>
  <c r="BI10" i="14"/>
  <c r="BI11" i="14" s="1"/>
  <c r="BN9" i="11"/>
  <c r="BM12" i="11"/>
  <c r="BM13" i="11"/>
  <c r="V10" i="17"/>
  <c r="V21" i="17" s="1"/>
  <c r="V9" i="17"/>
  <c r="V8" i="17"/>
  <c r="V17" i="19" s="1"/>
  <c r="BJ12" i="13"/>
  <c r="BI13" i="18"/>
  <c r="BG26" i="18"/>
  <c r="BG19" i="16"/>
  <c r="BG11" i="20" s="1"/>
  <c r="BG20" i="16"/>
  <c r="BG23" i="20" s="1"/>
  <c r="BI14" i="18" l="1"/>
  <c r="BI28" i="13"/>
  <c r="U38" i="20"/>
  <c r="BI23" i="18"/>
  <c r="BI21" i="14"/>
  <c r="BK12" i="21"/>
  <c r="BK7" i="18"/>
  <c r="BK15" i="14"/>
  <c r="BK17" i="14"/>
  <c r="BK25" i="18" s="1"/>
  <c r="BK16" i="14"/>
  <c r="BK14" i="14"/>
  <c r="BK25" i="11"/>
  <c r="BK15" i="13" s="1"/>
  <c r="BK27" i="11"/>
  <c r="BK26" i="11"/>
  <c r="BK16" i="13" s="1"/>
  <c r="BK7" i="14"/>
  <c r="BK20" i="12"/>
  <c r="BK22" i="12" s="1"/>
  <c r="BJ11" i="14"/>
  <c r="BJ13" i="18"/>
  <c r="BJ28" i="13"/>
  <c r="BE16" i="17"/>
  <c r="BE17" i="17"/>
  <c r="BE15" i="17"/>
  <c r="BF13" i="17" s="1"/>
  <c r="BK8" i="14"/>
  <c r="BK21" i="12"/>
  <c r="BJ24" i="18"/>
  <c r="BJ18" i="14"/>
  <c r="BK25" i="13"/>
  <c r="BK15" i="18" s="1"/>
  <c r="BH19" i="18"/>
  <c r="BH29" i="18" s="1"/>
  <c r="BH30" i="18"/>
  <c r="BH20" i="21" s="1"/>
  <c r="BH20" i="18"/>
  <c r="BH18" i="21" s="1"/>
  <c r="BI9" i="18"/>
  <c r="BI30" i="12"/>
  <c r="BI25" i="12"/>
  <c r="BH15" i="21"/>
  <c r="BH14" i="21"/>
  <c r="U36" i="20"/>
  <c r="V20" i="17"/>
  <c r="W7" i="17"/>
  <c r="V24" i="20"/>
  <c r="V25" i="20" s="1"/>
  <c r="BK12" i="13"/>
  <c r="BH16" i="18"/>
  <c r="BH8" i="16"/>
  <c r="BH7" i="16"/>
  <c r="BH16" i="16"/>
  <c r="BH22" i="20" s="1"/>
  <c r="BH9" i="16"/>
  <c r="BH31" i="13"/>
  <c r="BG15" i="21"/>
  <c r="BG14" i="21"/>
  <c r="BE38" i="21"/>
  <c r="BE39" i="21" s="1"/>
  <c r="BE24" i="16"/>
  <c r="BE9" i="19" s="1"/>
  <c r="BF33" i="18"/>
  <c r="BF19" i="21"/>
  <c r="BK8" i="21"/>
  <c r="BJ9" i="18"/>
  <c r="BJ30" i="12"/>
  <c r="V30" i="21"/>
  <c r="V36" i="18"/>
  <c r="V37" i="18" s="1"/>
  <c r="BJ18" i="13"/>
  <c r="BJ14" i="18" s="1"/>
  <c r="W20" i="15"/>
  <c r="W15" i="20" s="1"/>
  <c r="W16" i="20" s="1"/>
  <c r="X7" i="15"/>
  <c r="BG38" i="21"/>
  <c r="BG39" i="21" s="1"/>
  <c r="BG24" i="16"/>
  <c r="BG9" i="19" s="1"/>
  <c r="BF30" i="18"/>
  <c r="BF20" i="21" s="1"/>
  <c r="U23" i="19"/>
  <c r="U25" i="19" s="1"/>
  <c r="BJ17" i="13"/>
  <c r="BJ10" i="14"/>
  <c r="BL15" i="12"/>
  <c r="BL17" i="12" s="1"/>
  <c r="BL8" i="18" s="1"/>
  <c r="BL12" i="12"/>
  <c r="BH26" i="18"/>
  <c r="BH20" i="16"/>
  <c r="BH23" i="20" s="1"/>
  <c r="BH19" i="16"/>
  <c r="BH11" i="20" s="1"/>
  <c r="BJ13" i="21"/>
  <c r="BJ10" i="18"/>
  <c r="BJ13" i="16"/>
  <c r="BJ9" i="20" s="1"/>
  <c r="BJ29" i="12"/>
  <c r="BF10" i="20"/>
  <c r="BF23" i="16"/>
  <c r="BM11" i="12"/>
  <c r="BM10" i="12"/>
  <c r="BM9" i="12"/>
  <c r="BM14" i="11"/>
  <c r="BM8" i="12"/>
  <c r="BO9" i="11"/>
  <c r="BN13" i="11"/>
  <c r="BN12" i="11"/>
  <c r="BG30" i="18"/>
  <c r="BG20" i="21" s="1"/>
  <c r="BG19" i="18"/>
  <c r="BG29" i="18" s="1"/>
  <c r="BG20" i="18"/>
  <c r="BG18" i="21" s="1"/>
  <c r="BL7" i="21"/>
  <c r="BL24" i="13"/>
  <c r="BL9" i="14"/>
  <c r="BL24" i="15"/>
  <c r="BL25" i="15" s="1"/>
  <c r="BL9" i="21" s="1"/>
  <c r="BL21" i="13"/>
  <c r="BL9" i="13"/>
  <c r="BL11" i="13"/>
  <c r="BL28" i="12"/>
  <c r="BL23" i="13"/>
  <c r="BL21" i="11"/>
  <c r="BL10" i="13"/>
  <c r="BL22" i="11"/>
  <c r="BL18" i="11"/>
  <c r="BL22" i="13"/>
  <c r="BL8" i="13"/>
  <c r="BL17" i="11"/>
  <c r="BM7" i="21" l="1"/>
  <c r="BM9" i="14"/>
  <c r="BM24" i="15"/>
  <c r="BM25" i="15" s="1"/>
  <c r="BM9" i="21" s="1"/>
  <c r="BM11" i="13"/>
  <c r="BM24" i="13"/>
  <c r="BM8" i="13"/>
  <c r="BM23" i="13"/>
  <c r="BM21" i="11"/>
  <c r="BM10" i="13"/>
  <c r="BM21" i="13"/>
  <c r="BM22" i="11"/>
  <c r="BM18" i="11"/>
  <c r="BM22" i="13"/>
  <c r="BM17" i="11"/>
  <c r="BM9" i="13"/>
  <c r="BH19" i="21"/>
  <c r="BH33" i="18"/>
  <c r="BP9" i="11"/>
  <c r="BO13" i="11"/>
  <c r="BO12" i="11"/>
  <c r="BJ16" i="18"/>
  <c r="BJ8" i="16"/>
  <c r="BJ7" i="16"/>
  <c r="BJ10" i="16" s="1"/>
  <c r="BJ9" i="16"/>
  <c r="BJ31" i="13"/>
  <c r="BM16" i="12"/>
  <c r="BK11" i="14"/>
  <c r="V40" i="18"/>
  <c r="V39" i="18"/>
  <c r="BJ32" i="13"/>
  <c r="BJ19" i="18"/>
  <c r="BJ20" i="18" s="1"/>
  <c r="BJ18" i="21" s="1"/>
  <c r="BJ15" i="21"/>
  <c r="BJ14" i="21"/>
  <c r="BK9" i="18"/>
  <c r="BK30" i="12"/>
  <c r="BL26" i="11"/>
  <c r="BL16" i="13" s="1"/>
  <c r="BL27" i="11"/>
  <c r="BL25" i="11"/>
  <c r="BL15" i="13" s="1"/>
  <c r="BJ23" i="18"/>
  <c r="BJ21" i="14"/>
  <c r="BI13" i="21"/>
  <c r="BI10" i="18"/>
  <c r="BI32" i="13"/>
  <c r="BI13" i="16"/>
  <c r="BI9" i="20" s="1"/>
  <c r="F6" i="23"/>
  <c r="BI29" i="12"/>
  <c r="BK25" i="12"/>
  <c r="BL8" i="21"/>
  <c r="BF34" i="18"/>
  <c r="BF21" i="21" s="1"/>
  <c r="BG19" i="21"/>
  <c r="BG33" i="18"/>
  <c r="BK13" i="18"/>
  <c r="BI26" i="18"/>
  <c r="BI20" i="16"/>
  <c r="BI23" i="20" s="1"/>
  <c r="BI19" i="16"/>
  <c r="BI11" i="20" s="1"/>
  <c r="BM15" i="12"/>
  <c r="BM17" i="12" s="1"/>
  <c r="BM8" i="18" s="1"/>
  <c r="BM12" i="12"/>
  <c r="X18" i="15"/>
  <c r="X12" i="15"/>
  <c r="X14" i="15" s="1"/>
  <c r="X13" i="19" s="1"/>
  <c r="X14" i="19" s="1"/>
  <c r="X9" i="15"/>
  <c r="V31" i="20"/>
  <c r="W10" i="17"/>
  <c r="W21" i="17" s="1"/>
  <c r="W9" i="17"/>
  <c r="W8" i="17"/>
  <c r="W17" i="19" s="1"/>
  <c r="BF16" i="17"/>
  <c r="BF15" i="17"/>
  <c r="BG13" i="17" s="1"/>
  <c r="BF17" i="17"/>
  <c r="BF38" i="21"/>
  <c r="BF39" i="21" s="1"/>
  <c r="BF24" i="16"/>
  <c r="BF9" i="19" s="1"/>
  <c r="BL12" i="21"/>
  <c r="BL7" i="18"/>
  <c r="BL15" i="14"/>
  <c r="BL17" i="14"/>
  <c r="BL25" i="18" s="1"/>
  <c r="BL16" i="14"/>
  <c r="BL14" i="14"/>
  <c r="V28" i="20"/>
  <c r="V29" i="20" s="1"/>
  <c r="V27" i="21"/>
  <c r="BI16" i="18"/>
  <c r="BI8" i="16"/>
  <c r="BI7" i="16"/>
  <c r="BI10" i="16" s="1"/>
  <c r="BI16" i="16"/>
  <c r="BI22" i="20" s="1"/>
  <c r="BI9" i="16"/>
  <c r="F7" i="23"/>
  <c r="F18" i="23" s="1"/>
  <c r="BI31" i="13"/>
  <c r="BK10" i="14"/>
  <c r="BK17" i="13"/>
  <c r="BK18" i="13" s="1"/>
  <c r="BL25" i="13"/>
  <c r="BL15" i="18" s="1"/>
  <c r="BK24" i="18"/>
  <c r="BK18" i="14"/>
  <c r="BH10" i="16"/>
  <c r="BL7" i="14"/>
  <c r="BL20" i="12"/>
  <c r="BL12" i="13"/>
  <c r="BN9" i="12"/>
  <c r="BN14" i="11"/>
  <c r="BN8" i="12"/>
  <c r="BL8" i="14"/>
  <c r="BL21" i="12"/>
  <c r="BN11" i="12"/>
  <c r="BN10" i="12"/>
  <c r="U26" i="21"/>
  <c r="U28" i="21" s="1"/>
  <c r="U29" i="21" s="1"/>
  <c r="U8" i="20"/>
  <c r="U12" i="20" s="1"/>
  <c r="U18" i="20" s="1"/>
  <c r="V24" i="19"/>
  <c r="U35" i="21"/>
  <c r="U33" i="21"/>
  <c r="BK14" i="18" l="1"/>
  <c r="BK28" i="13"/>
  <c r="BM26" i="11"/>
  <c r="BM16" i="13" s="1"/>
  <c r="BM27" i="11"/>
  <c r="BM25" i="11"/>
  <c r="BM15" i="13" s="1"/>
  <c r="BL22" i="12"/>
  <c r="BI15" i="21"/>
  <c r="BI14" i="21"/>
  <c r="U34" i="21"/>
  <c r="U41" i="20"/>
  <c r="X20" i="15"/>
  <c r="X15" i="20" s="1"/>
  <c r="X16" i="20" s="1"/>
  <c r="Y7" i="15"/>
  <c r="BM12" i="21"/>
  <c r="BM7" i="18"/>
  <c r="BM15" i="14"/>
  <c r="BM17" i="14"/>
  <c r="BM25" i="18" s="1"/>
  <c r="BM14" i="14"/>
  <c r="BM16" i="14"/>
  <c r="BN16" i="12"/>
  <c r="BK23" i="18"/>
  <c r="BK21" i="14"/>
  <c r="BH10" i="20"/>
  <c r="BH23" i="16"/>
  <c r="BL13" i="18"/>
  <c r="BL28" i="13"/>
  <c r="BJ26" i="18"/>
  <c r="BJ20" i="16"/>
  <c r="BJ23" i="20" s="1"/>
  <c r="BJ19" i="16"/>
  <c r="BJ11" i="20" s="1"/>
  <c r="BL18" i="13"/>
  <c r="BL14" i="18" s="1"/>
  <c r="BJ16" i="16"/>
  <c r="BJ22" i="20" s="1"/>
  <c r="BM12" i="13"/>
  <c r="BI10" i="20"/>
  <c r="BI23" i="16"/>
  <c r="BM8" i="14"/>
  <c r="BM21" i="12"/>
  <c r="BM25" i="13"/>
  <c r="BM15" i="18" s="1"/>
  <c r="BI19" i="18"/>
  <c r="BL10" i="14"/>
  <c r="BL17" i="13"/>
  <c r="BJ10" i="20"/>
  <c r="BN7" i="21"/>
  <c r="BN9" i="14"/>
  <c r="BN24" i="15"/>
  <c r="BN25" i="15" s="1"/>
  <c r="BN9" i="21" s="1"/>
  <c r="BN23" i="13"/>
  <c r="BN11" i="13"/>
  <c r="BN28" i="12"/>
  <c r="BN24" i="13"/>
  <c r="BN8" i="13"/>
  <c r="BN9" i="13"/>
  <c r="BN10" i="13"/>
  <c r="BN21" i="13"/>
  <c r="BN25" i="13" s="1"/>
  <c r="BN15" i="18" s="1"/>
  <c r="BN18" i="11"/>
  <c r="BN17" i="11"/>
  <c r="BN22" i="11"/>
  <c r="BN22" i="13"/>
  <c r="BN21" i="11"/>
  <c r="W20" i="17"/>
  <c r="X7" i="17"/>
  <c r="W24" i="20"/>
  <c r="W25" i="20" s="1"/>
  <c r="BM7" i="14"/>
  <c r="BM20" i="12"/>
  <c r="BK13" i="21"/>
  <c r="BK10" i="18"/>
  <c r="BK32" i="13"/>
  <c r="BK13" i="16"/>
  <c r="BK9" i="20" s="1"/>
  <c r="BK29" i="12"/>
  <c r="BL24" i="18"/>
  <c r="BL18" i="14"/>
  <c r="BL11" i="14"/>
  <c r="BG34" i="18"/>
  <c r="BG21" i="21" s="1"/>
  <c r="BM28" i="12"/>
  <c r="W30" i="21"/>
  <c r="W36" i="18"/>
  <c r="W37" i="18" s="1"/>
  <c r="BO9" i="12"/>
  <c r="BO14" i="11"/>
  <c r="BO8" i="12"/>
  <c r="BN15" i="12"/>
  <c r="BN12" i="12"/>
  <c r="BG16" i="17"/>
  <c r="BG17" i="17"/>
  <c r="BG15" i="17"/>
  <c r="BH13" i="17" s="1"/>
  <c r="BO11" i="12"/>
  <c r="BO10" i="12"/>
  <c r="BQ9" i="11"/>
  <c r="BP12" i="11"/>
  <c r="BP13" i="11"/>
  <c r="BM8" i="21"/>
  <c r="BJ29" i="18"/>
  <c r="V22" i="21"/>
  <c r="V19" i="19"/>
  <c r="V20" i="19" s="1"/>
  <c r="V7" i="19"/>
  <c r="V10" i="19" s="1"/>
  <c r="V23" i="19" s="1"/>
  <c r="V25" i="19" s="1"/>
  <c r="V41" i="18"/>
  <c r="V23" i="21" s="1"/>
  <c r="BH34" i="18"/>
  <c r="BH21" i="21" s="1"/>
  <c r="V26" i="21" l="1"/>
  <c r="V28" i="21" s="1"/>
  <c r="V29" i="21" s="1"/>
  <c r="V8" i="20"/>
  <c r="V12" i="20" s="1"/>
  <c r="V18" i="20" s="1"/>
  <c r="W24" i="19"/>
  <c r="BI38" i="21"/>
  <c r="BI39" i="21" s="1"/>
  <c r="BI24" i="16"/>
  <c r="BI9" i="19" s="1"/>
  <c r="Y9" i="15"/>
  <c r="Y12" i="15"/>
  <c r="Y14" i="15" s="1"/>
  <c r="BP8" i="12"/>
  <c r="BP14" i="11"/>
  <c r="BP9" i="12"/>
  <c r="BM13" i="18"/>
  <c r="W40" i="18"/>
  <c r="W39" i="18"/>
  <c r="BK19" i="18"/>
  <c r="BK20" i="18" s="1"/>
  <c r="BK18" i="21" s="1"/>
  <c r="BN8" i="14"/>
  <c r="BN21" i="12"/>
  <c r="BN12" i="13"/>
  <c r="BR9" i="11"/>
  <c r="BQ13" i="11"/>
  <c r="BQ12" i="11"/>
  <c r="BM22" i="12"/>
  <c r="BJ19" i="21"/>
  <c r="BJ33" i="18"/>
  <c r="BJ30" i="18"/>
  <c r="BJ20" i="21" s="1"/>
  <c r="BH17" i="17"/>
  <c r="BH15" i="17"/>
  <c r="BI13" i="17" s="1"/>
  <c r="BH16" i="17"/>
  <c r="BL8" i="16"/>
  <c r="BL16" i="16"/>
  <c r="BL22" i="20" s="1"/>
  <c r="BL16" i="18"/>
  <c r="BL7" i="16"/>
  <c r="BL9" i="16"/>
  <c r="BL31" i="13"/>
  <c r="BL9" i="18"/>
  <c r="BL30" i="12"/>
  <c r="BL25" i="12"/>
  <c r="BN8" i="21"/>
  <c r="BM18" i="13"/>
  <c r="BM14" i="18" s="1"/>
  <c r="BM24" i="18"/>
  <c r="BM18" i="14"/>
  <c r="BL23" i="18"/>
  <c r="BL21" i="14"/>
  <c r="BP11" i="12"/>
  <c r="BP10" i="12"/>
  <c r="BK15" i="21"/>
  <c r="BK14" i="21"/>
  <c r="X10" i="17"/>
  <c r="X21" i="17" s="1"/>
  <c r="X8" i="17"/>
  <c r="X17" i="19" s="1"/>
  <c r="BJ23" i="16"/>
  <c r="BH38" i="21"/>
  <c r="BH39" i="21" s="1"/>
  <c r="BH24" i="16"/>
  <c r="BH9" i="19" s="1"/>
  <c r="BM17" i="13"/>
  <c r="BM10" i="14"/>
  <c r="BN12" i="21"/>
  <c r="BN7" i="18"/>
  <c r="BN15" i="14"/>
  <c r="BN17" i="14"/>
  <c r="BN25" i="18" s="1"/>
  <c r="BN14" i="14"/>
  <c r="BN16" i="14"/>
  <c r="BO15" i="12"/>
  <c r="BO17" i="12" s="1"/>
  <c r="BO8" i="18" s="1"/>
  <c r="BO12" i="12"/>
  <c r="W27" i="21"/>
  <c r="W28" i="20"/>
  <c r="W29" i="20" s="1"/>
  <c r="W31" i="20" s="1"/>
  <c r="BN17" i="12"/>
  <c r="BN8" i="18" s="1"/>
  <c r="BO7" i="21"/>
  <c r="BO9" i="14"/>
  <c r="BO24" i="15"/>
  <c r="BO25" i="15" s="1"/>
  <c r="BO9" i="21" s="1"/>
  <c r="BO21" i="13"/>
  <c r="BO28" i="12"/>
  <c r="BO24" i="13"/>
  <c r="BO10" i="13"/>
  <c r="BO21" i="11"/>
  <c r="BO23" i="13"/>
  <c r="BO8" i="13"/>
  <c r="BO9" i="13"/>
  <c r="BO22" i="11"/>
  <c r="BO18" i="11"/>
  <c r="BO17" i="11"/>
  <c r="BO22" i="13"/>
  <c r="BO11" i="13"/>
  <c r="BK26" i="18"/>
  <c r="BK20" i="16"/>
  <c r="BK23" i="20" s="1"/>
  <c r="BK19" i="16"/>
  <c r="BK11" i="20" s="1"/>
  <c r="BK8" i="16"/>
  <c r="BK16" i="16"/>
  <c r="BK22" i="20" s="1"/>
  <c r="BK7" i="16"/>
  <c r="BK16" i="18"/>
  <c r="BK9" i="16"/>
  <c r="BK31" i="13"/>
  <c r="BN7" i="14"/>
  <c r="BN20" i="12"/>
  <c r="BI29" i="18"/>
  <c r="F8" i="23"/>
  <c r="F19" i="23" s="1"/>
  <c r="BI20" i="18"/>
  <c r="BI18" i="21" s="1"/>
  <c r="BM11" i="14"/>
  <c r="V35" i="20"/>
  <c r="BO16" i="12"/>
  <c r="BN25" i="11"/>
  <c r="BN15" i="13" s="1"/>
  <c r="BN26" i="11"/>
  <c r="BN16" i="13" s="1"/>
  <c r="BN27" i="11"/>
  <c r="BJ38" i="21" l="1"/>
  <c r="BJ39" i="21" s="1"/>
  <c r="BJ24" i="16"/>
  <c r="BJ9" i="19" s="1"/>
  <c r="BO25" i="13"/>
  <c r="BO15" i="18" s="1"/>
  <c r="BO8" i="21"/>
  <c r="BM28" i="13"/>
  <c r="X30" i="21"/>
  <c r="X36" i="18"/>
  <c r="X37" i="18" s="1"/>
  <c r="BI17" i="17"/>
  <c r="BI15" i="17"/>
  <c r="BJ13" i="17" s="1"/>
  <c r="BI16" i="17"/>
  <c r="BO7" i="14"/>
  <c r="BO20" i="12"/>
  <c r="BO22" i="12" s="1"/>
  <c r="BO25" i="12" s="1"/>
  <c r="BL20" i="16"/>
  <c r="BL23" i="20" s="1"/>
  <c r="BL26" i="18"/>
  <c r="BL19" i="16"/>
  <c r="BL11" i="20" s="1"/>
  <c r="BP7" i="21"/>
  <c r="BP24" i="15"/>
  <c r="BP25" i="15" s="1"/>
  <c r="BP9" i="21" s="1"/>
  <c r="BP24" i="13"/>
  <c r="BP9" i="14"/>
  <c r="BP21" i="11"/>
  <c r="BP23" i="13"/>
  <c r="BP8" i="13"/>
  <c r="BP10" i="13"/>
  <c r="BP21" i="13"/>
  <c r="BP22" i="11"/>
  <c r="BP18" i="11"/>
  <c r="BP17" i="11"/>
  <c r="BP9" i="13"/>
  <c r="BP22" i="13"/>
  <c r="BP11" i="13"/>
  <c r="BK10" i="16"/>
  <c r="BL10" i="16"/>
  <c r="X9" i="17"/>
  <c r="BN18" i="13"/>
  <c r="BN14" i="18" s="1"/>
  <c r="BO8" i="14"/>
  <c r="BO21" i="12"/>
  <c r="BJ34" i="18"/>
  <c r="BJ21" i="21" s="1"/>
  <c r="BP15" i="12"/>
  <c r="BP12" i="12"/>
  <c r="BK29" i="18"/>
  <c r="BN10" i="14"/>
  <c r="BN17" i="13"/>
  <c r="Y13" i="19"/>
  <c r="Y14" i="19" s="1"/>
  <c r="C12" i="23"/>
  <c r="V36" i="20"/>
  <c r="W35" i="20"/>
  <c r="BN24" i="18"/>
  <c r="BN18" i="14"/>
  <c r="Y18" i="15"/>
  <c r="BP16" i="12"/>
  <c r="BM9" i="18"/>
  <c r="BM30" i="12"/>
  <c r="BM25" i="12"/>
  <c r="W22" i="21"/>
  <c r="W19" i="19"/>
  <c r="W20" i="19" s="1"/>
  <c r="W7" i="19"/>
  <c r="W10" i="19" s="1"/>
  <c r="W23" i="19" s="1"/>
  <c r="W41" i="18"/>
  <c r="W23" i="21" s="1"/>
  <c r="BO12" i="21"/>
  <c r="BO7" i="18"/>
  <c r="BO17" i="14"/>
  <c r="BO25" i="18" s="1"/>
  <c r="BO14" i="14"/>
  <c r="BO16" i="14"/>
  <c r="BO15" i="14"/>
  <c r="BM23" i="18"/>
  <c r="BM21" i="14"/>
  <c r="BO12" i="13"/>
  <c r="BI19" i="21"/>
  <c r="BI33" i="18"/>
  <c r="F9" i="23"/>
  <c r="BI30" i="18"/>
  <c r="BI20" i="21" s="1"/>
  <c r="BQ8" i="12"/>
  <c r="BQ9" i="12"/>
  <c r="BQ14" i="11"/>
  <c r="BO25" i="11"/>
  <c r="BO15" i="13" s="1"/>
  <c r="BO26" i="11"/>
  <c r="BO16" i="13" s="1"/>
  <c r="BO27" i="11"/>
  <c r="BN22" i="12"/>
  <c r="BN25" i="12" s="1"/>
  <c r="BQ11" i="12"/>
  <c r="BQ10" i="12"/>
  <c r="W25" i="19"/>
  <c r="BN11" i="14"/>
  <c r="BL13" i="21"/>
  <c r="BL10" i="18"/>
  <c r="BL32" i="13"/>
  <c r="BL13" i="16"/>
  <c r="BL9" i="20" s="1"/>
  <c r="BL29" i="12"/>
  <c r="BS9" i="11"/>
  <c r="BR12" i="11"/>
  <c r="BR13" i="11"/>
  <c r="V34" i="21"/>
  <c r="BN13" i="18"/>
  <c r="BO13" i="21" l="1"/>
  <c r="BO10" i="18"/>
  <c r="BO13" i="16"/>
  <c r="BO9" i="20" s="1"/>
  <c r="BO29" i="12"/>
  <c r="BN13" i="21"/>
  <c r="BN10" i="18"/>
  <c r="BN32" i="13"/>
  <c r="BN13" i="16"/>
  <c r="BN9" i="20" s="1"/>
  <c r="BN29" i="12"/>
  <c r="BN23" i="18"/>
  <c r="BN21" i="14"/>
  <c r="BP8" i="21"/>
  <c r="F10" i="23"/>
  <c r="F20" i="23" s="1"/>
  <c r="BI34" i="18"/>
  <c r="BI21" i="21" s="1"/>
  <c r="Y20" i="15"/>
  <c r="Y15" i="20" s="1"/>
  <c r="Y16" i="20" s="1"/>
  <c r="Z7" i="15"/>
  <c r="BK10" i="20"/>
  <c r="BK23" i="16"/>
  <c r="BM26" i="18"/>
  <c r="BM20" i="16"/>
  <c r="BM23" i="20" s="1"/>
  <c r="BM19" i="16"/>
  <c r="BM11" i="20" s="1"/>
  <c r="BP8" i="14"/>
  <c r="BP21" i="12"/>
  <c r="X39" i="18"/>
  <c r="X40" i="18" s="1"/>
  <c r="W26" i="21"/>
  <c r="W28" i="21" s="1"/>
  <c r="W29" i="21" s="1"/>
  <c r="W8" i="20"/>
  <c r="W12" i="20" s="1"/>
  <c r="W18" i="20" s="1"/>
  <c r="X24" i="19"/>
  <c r="BO13" i="18"/>
  <c r="W36" i="20"/>
  <c r="BP25" i="13"/>
  <c r="BP15" i="18" s="1"/>
  <c r="BO17" i="13"/>
  <c r="BO10" i="14"/>
  <c r="BQ7" i="21"/>
  <c r="BQ24" i="15"/>
  <c r="BQ25" i="15" s="1"/>
  <c r="BQ9" i="21" s="1"/>
  <c r="BQ21" i="13"/>
  <c r="BQ25" i="13" s="1"/>
  <c r="BQ15" i="18" s="1"/>
  <c r="BQ23" i="13"/>
  <c r="BQ9" i="14"/>
  <c r="BQ8" i="13"/>
  <c r="BQ12" i="13" s="1"/>
  <c r="BQ10" i="13"/>
  <c r="BQ9" i="13"/>
  <c r="BQ22" i="11"/>
  <c r="BQ18" i="11"/>
  <c r="BQ11" i="13"/>
  <c r="BQ24" i="13"/>
  <c r="BQ21" i="11"/>
  <c r="BQ17" i="11"/>
  <c r="BQ22" i="13"/>
  <c r="BM16" i="18"/>
  <c r="BM16" i="16"/>
  <c r="BM22" i="20" s="1"/>
  <c r="BM7" i="16"/>
  <c r="BM9" i="16"/>
  <c r="BM8" i="16"/>
  <c r="BM31" i="13"/>
  <c r="X20" i="17"/>
  <c r="Y7" i="17"/>
  <c r="X24" i="20"/>
  <c r="X25" i="20" s="1"/>
  <c r="BL10" i="20"/>
  <c r="BL23" i="16"/>
  <c r="BN28" i="13"/>
  <c r="BR10" i="12"/>
  <c r="BR11" i="12"/>
  <c r="BK19" i="21"/>
  <c r="BK33" i="18"/>
  <c r="BK30" i="18"/>
  <c r="BK20" i="21" s="1"/>
  <c r="BP12" i="13"/>
  <c r="BP12" i="21"/>
  <c r="BP7" i="18"/>
  <c r="BP17" i="14"/>
  <c r="BP25" i="18" s="1"/>
  <c r="BP14" i="14"/>
  <c r="BP16" i="14"/>
  <c r="BP15" i="14"/>
  <c r="BP28" i="12"/>
  <c r="BP7" i="14"/>
  <c r="BP20" i="12"/>
  <c r="BP22" i="12" s="1"/>
  <c r="BQ16" i="12"/>
  <c r="BO24" i="18"/>
  <c r="BO18" i="14"/>
  <c r="BP17" i="12"/>
  <c r="BP8" i="18" s="1"/>
  <c r="BO18" i="13"/>
  <c r="BO14" i="18" s="1"/>
  <c r="BJ17" i="17"/>
  <c r="BJ15" i="17"/>
  <c r="BK13" i="17" s="1"/>
  <c r="BJ16" i="17"/>
  <c r="BP27" i="11"/>
  <c r="BP26" i="11"/>
  <c r="BP16" i="13" s="1"/>
  <c r="BP25" i="11"/>
  <c r="BP15" i="13" s="1"/>
  <c r="BL15" i="21"/>
  <c r="BL14" i="21"/>
  <c r="BO11" i="14"/>
  <c r="V35" i="21"/>
  <c r="V33" i="21"/>
  <c r="V38" i="20"/>
  <c r="V41" i="20" s="1"/>
  <c r="BR9" i="12"/>
  <c r="BR8" i="12"/>
  <c r="BR14" i="11"/>
  <c r="BM13" i="21"/>
  <c r="BM10" i="18"/>
  <c r="BM32" i="13"/>
  <c r="BM13" i="16"/>
  <c r="BM9" i="20" s="1"/>
  <c r="BM29" i="12"/>
  <c r="BT9" i="11"/>
  <c r="BS13" i="11"/>
  <c r="BS12" i="11"/>
  <c r="BN9" i="18"/>
  <c r="BN30" i="12"/>
  <c r="BO9" i="18"/>
  <c r="BO30" i="12"/>
  <c r="BQ15" i="12"/>
  <c r="BQ17" i="12" s="1"/>
  <c r="BQ8" i="18" s="1"/>
  <c r="BQ12" i="12"/>
  <c r="BQ28" i="12" s="1"/>
  <c r="BL20" i="18"/>
  <c r="BL18" i="21" s="1"/>
  <c r="BL19" i="18"/>
  <c r="X22" i="21" l="1"/>
  <c r="X19" i="19"/>
  <c r="X20" i="19" s="1"/>
  <c r="X7" i="19"/>
  <c r="X10" i="19" s="1"/>
  <c r="X23" i="19" s="1"/>
  <c r="X41" i="18"/>
  <c r="X23" i="21" s="1"/>
  <c r="X35" i="20"/>
  <c r="BQ8" i="21"/>
  <c r="BP18" i="13"/>
  <c r="BP14" i="18" s="1"/>
  <c r="BO28" i="13"/>
  <c r="BS9" i="12"/>
  <c r="BS16" i="12" s="1"/>
  <c r="BS8" i="12"/>
  <c r="BS14" i="11"/>
  <c r="BK34" i="18"/>
  <c r="BK21" i="21" s="1"/>
  <c r="X25" i="19"/>
  <c r="BP13" i="18"/>
  <c r="BP28" i="13"/>
  <c r="BQ7" i="14"/>
  <c r="BQ20" i="12"/>
  <c r="BQ22" i="12" s="1"/>
  <c r="BS10" i="12"/>
  <c r="BS11" i="12"/>
  <c r="BU9" i="11"/>
  <c r="BT12" i="11"/>
  <c r="BT13" i="11"/>
  <c r="BN16" i="16"/>
  <c r="BN22" i="20" s="1"/>
  <c r="BN16" i="18"/>
  <c r="BN19" i="18" s="1"/>
  <c r="BN9" i="16"/>
  <c r="BN7" i="16"/>
  <c r="BN8" i="16"/>
  <c r="BN31" i="13"/>
  <c r="BN15" i="21"/>
  <c r="BN14" i="21"/>
  <c r="BO23" i="18"/>
  <c r="BO21" i="14"/>
  <c r="BM19" i="18"/>
  <c r="BM29" i="18" s="1"/>
  <c r="BM30" i="18"/>
  <c r="BM20" i="21" s="1"/>
  <c r="BM20" i="18"/>
  <c r="BM18" i="21" s="1"/>
  <c r="BL38" i="21"/>
  <c r="BL39" i="21" s="1"/>
  <c r="BL24" i="16"/>
  <c r="BL9" i="19" s="1"/>
  <c r="BM15" i="21"/>
  <c r="BM14" i="21"/>
  <c r="BQ12" i="21"/>
  <c r="BQ7" i="18"/>
  <c r="BQ16" i="14"/>
  <c r="BQ17" i="14"/>
  <c r="BQ25" i="18" s="1"/>
  <c r="BQ14" i="14"/>
  <c r="BQ15" i="14"/>
  <c r="W33" i="21"/>
  <c r="W35" i="21"/>
  <c r="W38" i="20"/>
  <c r="W41" i="20" s="1"/>
  <c r="BN26" i="18"/>
  <c r="BN20" i="16"/>
  <c r="BN23" i="20" s="1"/>
  <c r="BN19" i="16"/>
  <c r="BN11" i="20" s="1"/>
  <c r="BP17" i="13"/>
  <c r="BP10" i="14"/>
  <c r="BK16" i="17"/>
  <c r="BK17" i="17"/>
  <c r="BK15" i="17"/>
  <c r="BL13" i="17" s="1"/>
  <c r="BP9" i="18"/>
  <c r="BP30" i="12"/>
  <c r="BR15" i="12"/>
  <c r="BR12" i="12"/>
  <c r="BP11" i="14"/>
  <c r="Y10" i="17"/>
  <c r="Y21" i="17" s="1"/>
  <c r="Y8" i="17"/>
  <c r="Y17" i="19" s="1"/>
  <c r="BP24" i="18"/>
  <c r="BP18" i="14"/>
  <c r="BM10" i="16"/>
  <c r="BQ13" i="18"/>
  <c r="BR7" i="21"/>
  <c r="BR24" i="15"/>
  <c r="BR25" i="15" s="1"/>
  <c r="BR9" i="21" s="1"/>
  <c r="BR21" i="13"/>
  <c r="BR23" i="13"/>
  <c r="BR9" i="14"/>
  <c r="BR8" i="13"/>
  <c r="BR10" i="13"/>
  <c r="BR9" i="13"/>
  <c r="BR22" i="11"/>
  <c r="BR18" i="11"/>
  <c r="BR22" i="13"/>
  <c r="BR24" i="13"/>
  <c r="BR11" i="13"/>
  <c r="BR21" i="11"/>
  <c r="BR17" i="11"/>
  <c r="X28" i="20"/>
  <c r="X29" i="20" s="1"/>
  <c r="X27" i="21"/>
  <c r="BK38" i="21"/>
  <c r="BK39" i="21" s="1"/>
  <c r="BK24" i="16"/>
  <c r="BK9" i="19" s="1"/>
  <c r="BO15" i="21"/>
  <c r="BO14" i="21"/>
  <c r="Z12" i="15"/>
  <c r="Z14" i="15" s="1"/>
  <c r="Z9" i="15"/>
  <c r="BQ25" i="11"/>
  <c r="BQ15" i="13" s="1"/>
  <c r="BQ27" i="11"/>
  <c r="BQ26" i="11"/>
  <c r="BQ16" i="13" s="1"/>
  <c r="W34" i="21"/>
  <c r="BQ8" i="14"/>
  <c r="BQ21" i="12"/>
  <c r="X31" i="20"/>
  <c r="BR16" i="12"/>
  <c r="BL29" i="18"/>
  <c r="BP25" i="12"/>
  <c r="BN29" i="18" l="1"/>
  <c r="BN20" i="18"/>
  <c r="BN18" i="21" s="1"/>
  <c r="BR12" i="21"/>
  <c r="BR7" i="18"/>
  <c r="BR16" i="14"/>
  <c r="BR17" i="14"/>
  <c r="BR25" i="18" s="1"/>
  <c r="BR14" i="14"/>
  <c r="BR15" i="14"/>
  <c r="BR7" i="14"/>
  <c r="BR20" i="12"/>
  <c r="BR22" i="12" s="1"/>
  <c r="BL19" i="21"/>
  <c r="BL33" i="18"/>
  <c r="BL30" i="18"/>
  <c r="BL20" i="21" s="1"/>
  <c r="BQ11" i="14"/>
  <c r="BO16" i="18"/>
  <c r="BO19" i="18" s="1"/>
  <c r="BO16" i="16"/>
  <c r="BO22" i="20" s="1"/>
  <c r="BO9" i="16"/>
  <c r="BO8" i="16"/>
  <c r="BO7" i="16"/>
  <c r="BO10" i="16" s="1"/>
  <c r="BO31" i="13"/>
  <c r="BO32" i="13"/>
  <c r="BO26" i="18"/>
  <c r="BO20" i="16"/>
  <c r="BO23" i="20" s="1"/>
  <c r="BO19" i="16"/>
  <c r="BO11" i="20" s="1"/>
  <c r="BP16" i="18"/>
  <c r="BP16" i="16"/>
  <c r="BP22" i="20" s="1"/>
  <c r="BP9" i="16"/>
  <c r="BP8" i="16"/>
  <c r="BP7" i="16"/>
  <c r="BP10" i="16" s="1"/>
  <c r="BP31" i="13"/>
  <c r="BN10" i="16"/>
  <c r="BQ18" i="13"/>
  <c r="Z13" i="19"/>
  <c r="Z14" i="19" s="1"/>
  <c r="BR12" i="13"/>
  <c r="BR17" i="12"/>
  <c r="BR8" i="18" s="1"/>
  <c r="Z18" i="15"/>
  <c r="X26" i="21"/>
  <c r="X8" i="20"/>
  <c r="X12" i="20" s="1"/>
  <c r="X18" i="20" s="1"/>
  <c r="Y24" i="19"/>
  <c r="BR8" i="14"/>
  <c r="BR21" i="12"/>
  <c r="BQ24" i="18"/>
  <c r="BQ18" i="14"/>
  <c r="BS15" i="12"/>
  <c r="BS17" i="12" s="1"/>
  <c r="BS8" i="18" s="1"/>
  <c r="BS12" i="12"/>
  <c r="BT11" i="12"/>
  <c r="BT10" i="12"/>
  <c r="X36" i="20"/>
  <c r="BQ9" i="18"/>
  <c r="BQ30" i="12"/>
  <c r="Y9" i="17"/>
  <c r="BQ10" i="14"/>
  <c r="BQ17" i="13"/>
  <c r="BR28" i="12"/>
  <c r="BL16" i="17"/>
  <c r="BL17" i="17"/>
  <c r="BL15" i="17"/>
  <c r="BM13" i="17" s="1"/>
  <c r="BT8" i="12"/>
  <c r="BT9" i="12"/>
  <c r="BT14" i="11"/>
  <c r="Y30" i="21"/>
  <c r="Y36" i="18"/>
  <c r="Y37" i="18" s="1"/>
  <c r="BS7" i="21"/>
  <c r="BS24" i="15"/>
  <c r="BS25" i="15" s="1"/>
  <c r="BS9" i="21" s="1"/>
  <c r="BS21" i="13"/>
  <c r="BS23" i="13"/>
  <c r="BS8" i="13"/>
  <c r="BS10" i="13"/>
  <c r="BS9" i="13"/>
  <c r="BS9" i="14"/>
  <c r="BS11" i="13"/>
  <c r="BS22" i="11"/>
  <c r="BS18" i="11"/>
  <c r="BS24" i="13"/>
  <c r="BS21" i="11"/>
  <c r="BS17" i="11"/>
  <c r="BS22" i="13"/>
  <c r="BP23" i="18"/>
  <c r="BP21" i="14"/>
  <c r="BV9" i="11"/>
  <c r="BU12" i="11"/>
  <c r="BU13" i="11"/>
  <c r="BR25" i="11"/>
  <c r="BR15" i="13" s="1"/>
  <c r="BR26" i="11"/>
  <c r="BR16" i="13" s="1"/>
  <c r="BR27" i="11"/>
  <c r="BQ25" i="12"/>
  <c r="BR25" i="13"/>
  <c r="BR15" i="18" s="1"/>
  <c r="BR8" i="21"/>
  <c r="X28" i="21"/>
  <c r="X29" i="21" s="1"/>
  <c r="BM19" i="21"/>
  <c r="BM33" i="18"/>
  <c r="BP13" i="21"/>
  <c r="BP10" i="18"/>
  <c r="BP32" i="13"/>
  <c r="BP13" i="16"/>
  <c r="BP9" i="20" s="1"/>
  <c r="BP29" i="12"/>
  <c r="BM10" i="20"/>
  <c r="BM23" i="16"/>
  <c r="X34" i="21" l="1"/>
  <c r="BR25" i="12"/>
  <c r="BP10" i="20"/>
  <c r="X33" i="21"/>
  <c r="X35" i="21"/>
  <c r="BS25" i="13"/>
  <c r="BS15" i="18" s="1"/>
  <c r="BU10" i="12"/>
  <c r="BU11" i="12"/>
  <c r="BT12" i="12"/>
  <c r="BT15" i="12"/>
  <c r="BQ13" i="21"/>
  <c r="BQ10" i="18"/>
  <c r="BQ32" i="13"/>
  <c r="BQ13" i="16"/>
  <c r="BQ9" i="20" s="1"/>
  <c r="BQ29" i="12"/>
  <c r="BS8" i="21"/>
  <c r="BR9" i="18"/>
  <c r="BR30" i="12"/>
  <c r="X38" i="20"/>
  <c r="X41" i="20" s="1"/>
  <c r="BP19" i="18"/>
  <c r="BP20" i="18" s="1"/>
  <c r="BP18" i="21" s="1"/>
  <c r="BR24" i="18"/>
  <c r="BR18" i="14"/>
  <c r="BU8" i="12"/>
  <c r="BU14" i="11"/>
  <c r="BU9" i="12"/>
  <c r="BU16" i="12" s="1"/>
  <c r="Z20" i="15"/>
  <c r="Z15" i="20" s="1"/>
  <c r="Z16" i="20" s="1"/>
  <c r="AA7" i="15"/>
  <c r="BQ23" i="18"/>
  <c r="BQ21" i="14"/>
  <c r="BS12" i="13"/>
  <c r="BW9" i="11"/>
  <c r="BV12" i="11"/>
  <c r="BV13" i="11"/>
  <c r="BR13" i="18"/>
  <c r="BS12" i="21"/>
  <c r="BS7" i="18"/>
  <c r="BS14" i="14"/>
  <c r="BS17" i="14"/>
  <c r="BS25" i="18" s="1"/>
  <c r="BS16" i="14"/>
  <c r="BS15" i="14"/>
  <c r="BT16" i="12"/>
  <c r="BM17" i="17"/>
  <c r="BM16" i="17"/>
  <c r="BM15" i="17"/>
  <c r="BN13" i="17" s="1"/>
  <c r="BR18" i="13"/>
  <c r="BR14" i="18" s="1"/>
  <c r="BM38" i="21"/>
  <c r="BM39" i="21" s="1"/>
  <c r="BM24" i="16"/>
  <c r="BM9" i="19" s="1"/>
  <c r="BT7" i="21"/>
  <c r="BT24" i="15"/>
  <c r="BT25" i="15" s="1"/>
  <c r="BT9" i="21" s="1"/>
  <c r="BT21" i="13"/>
  <c r="BT25" i="13" s="1"/>
  <c r="BT15" i="18" s="1"/>
  <c r="BT23" i="13"/>
  <c r="BT8" i="13"/>
  <c r="BT10" i="13"/>
  <c r="BT22" i="13"/>
  <c r="BT9" i="13"/>
  <c r="BT11" i="13"/>
  <c r="BT9" i="14"/>
  <c r="BT22" i="11"/>
  <c r="BT18" i="11"/>
  <c r="BT17" i="11"/>
  <c r="BT21" i="11"/>
  <c r="BT24" i="13"/>
  <c r="BS8" i="14"/>
  <c r="BS21" i="12"/>
  <c r="BL34" i="18"/>
  <c r="BL21" i="21" s="1"/>
  <c r="BO10" i="20"/>
  <c r="BO23" i="16"/>
  <c r="BS28" i="12"/>
  <c r="BS7" i="14"/>
  <c r="BS20" i="12"/>
  <c r="BM34" i="18"/>
  <c r="BM21" i="21" s="1"/>
  <c r="BQ14" i="18"/>
  <c r="BQ28" i="13"/>
  <c r="BR17" i="13"/>
  <c r="BR10" i="14"/>
  <c r="BR11" i="14" s="1"/>
  <c r="Y39" i="18"/>
  <c r="Y40" i="18" s="1"/>
  <c r="BP26" i="18"/>
  <c r="BP20" i="16"/>
  <c r="BP23" i="20" s="1"/>
  <c r="BP19" i="16"/>
  <c r="BP11" i="20" s="1"/>
  <c r="Y20" i="17"/>
  <c r="Z7" i="17"/>
  <c r="Y24" i="20"/>
  <c r="Y25" i="20" s="1"/>
  <c r="BN10" i="20"/>
  <c r="BN23" i="16"/>
  <c r="BP15" i="21"/>
  <c r="BP14" i="21"/>
  <c r="BS27" i="11"/>
  <c r="BS26" i="11"/>
  <c r="BS16" i="13" s="1"/>
  <c r="BS25" i="11"/>
  <c r="BS15" i="13" s="1"/>
  <c r="BO29" i="18"/>
  <c r="BO20" i="18"/>
  <c r="BO18" i="21" s="1"/>
  <c r="BN19" i="21"/>
  <c r="BN33" i="18"/>
  <c r="BN30" i="18"/>
  <c r="BN20" i="21" s="1"/>
  <c r="Y22" i="21" l="1"/>
  <c r="Y19" i="19"/>
  <c r="Y20" i="19" s="1"/>
  <c r="Y7" i="19"/>
  <c r="Y10" i="19" s="1"/>
  <c r="Y41" i="18"/>
  <c r="Y23" i="21" s="1"/>
  <c r="C11" i="23"/>
  <c r="Y35" i="20"/>
  <c r="BR23" i="18"/>
  <c r="BR21" i="14"/>
  <c r="BN38" i="21"/>
  <c r="BN39" i="21" s="1"/>
  <c r="BN24" i="16"/>
  <c r="BN9" i="19" s="1"/>
  <c r="Z10" i="17"/>
  <c r="Z21" i="17" s="1"/>
  <c r="Z9" i="17"/>
  <c r="Z8" i="17"/>
  <c r="Z17" i="19" s="1"/>
  <c r="C15" i="23"/>
  <c r="Y28" i="20"/>
  <c r="Y29" i="20" s="1"/>
  <c r="Y31" i="20" s="1"/>
  <c r="Y27" i="21"/>
  <c r="BT12" i="21"/>
  <c r="BT7" i="18"/>
  <c r="BT14" i="14"/>
  <c r="BT16" i="14"/>
  <c r="BT17" i="14"/>
  <c r="BT25" i="18" s="1"/>
  <c r="BT15" i="14"/>
  <c r="BT28" i="12"/>
  <c r="BT27" i="11"/>
  <c r="BT26" i="11"/>
  <c r="BT16" i="13" s="1"/>
  <c r="BT25" i="11"/>
  <c r="BT15" i="13" s="1"/>
  <c r="BU12" i="12"/>
  <c r="BU15" i="12"/>
  <c r="BU17" i="12" s="1"/>
  <c r="BU8" i="18" s="1"/>
  <c r="BS11" i="14"/>
  <c r="BT8" i="14"/>
  <c r="BT21" i="12"/>
  <c r="BO19" i="21"/>
  <c r="BO33" i="18"/>
  <c r="BO30" i="18"/>
  <c r="BO20" i="21" s="1"/>
  <c r="BS24" i="18"/>
  <c r="BS18" i="14"/>
  <c r="BR13" i="21"/>
  <c r="BR10" i="18"/>
  <c r="BR13" i="16"/>
  <c r="BR9" i="20" s="1"/>
  <c r="BR29" i="12"/>
  <c r="BV10" i="12"/>
  <c r="BV11" i="12"/>
  <c r="BS18" i="13"/>
  <c r="BS14" i="18" s="1"/>
  <c r="BV8" i="12"/>
  <c r="BV9" i="12"/>
  <c r="BV16" i="12" s="1"/>
  <c r="BV14" i="11"/>
  <c r="BT8" i="21"/>
  <c r="AA12" i="15"/>
  <c r="AA14" i="15" s="1"/>
  <c r="AA9" i="15"/>
  <c r="AA18" i="15"/>
  <c r="BT17" i="12"/>
  <c r="BT8" i="18" s="1"/>
  <c r="BN15" i="17"/>
  <c r="BO13" i="17" s="1"/>
  <c r="BN17" i="17"/>
  <c r="BN16" i="17"/>
  <c r="BT7" i="14"/>
  <c r="BT20" i="12"/>
  <c r="BN34" i="18"/>
  <c r="BN21" i="21" s="1"/>
  <c r="BP23" i="16"/>
  <c r="BS10" i="14"/>
  <c r="BS17" i="13"/>
  <c r="BR28" i="13"/>
  <c r="BT12" i="13"/>
  <c r="BO38" i="21"/>
  <c r="BO39" i="21" s="1"/>
  <c r="BO24" i="16"/>
  <c r="BO9" i="19" s="1"/>
  <c r="BX9" i="11"/>
  <c r="BW12" i="11"/>
  <c r="BW13" i="11"/>
  <c r="BS13" i="18"/>
  <c r="BS28" i="13"/>
  <c r="BQ20" i="16"/>
  <c r="BQ23" i="20" s="1"/>
  <c r="BQ19" i="16"/>
  <c r="BQ11" i="20" s="1"/>
  <c r="BQ26" i="18"/>
  <c r="BQ15" i="21"/>
  <c r="BQ14" i="21"/>
  <c r="BU7" i="21"/>
  <c r="BU24" i="15"/>
  <c r="BU25" i="15" s="1"/>
  <c r="BU9" i="21" s="1"/>
  <c r="BU23" i="13"/>
  <c r="BU8" i="13"/>
  <c r="BU10" i="13"/>
  <c r="BU9" i="13"/>
  <c r="BU9" i="14"/>
  <c r="BU21" i="13"/>
  <c r="BU25" i="13" s="1"/>
  <c r="BU15" i="18" s="1"/>
  <c r="BU28" i="12"/>
  <c r="BU17" i="11"/>
  <c r="BU21" i="11"/>
  <c r="BU18" i="11"/>
  <c r="BU22" i="11"/>
  <c r="BU22" i="13"/>
  <c r="BU11" i="13"/>
  <c r="BU24" i="13"/>
  <c r="G4" i="23"/>
  <c r="BP29" i="18"/>
  <c r="BQ16" i="18"/>
  <c r="BQ19" i="18" s="1"/>
  <c r="BQ9" i="16"/>
  <c r="BQ8" i="16"/>
  <c r="BQ16" i="16"/>
  <c r="BQ22" i="20" s="1"/>
  <c r="BQ7" i="16"/>
  <c r="BQ10" i="16" s="1"/>
  <c r="BQ31" i="13"/>
  <c r="BS22" i="12"/>
  <c r="BQ29" i="18" l="1"/>
  <c r="BQ20" i="18"/>
  <c r="BQ18" i="21" s="1"/>
  <c r="Z30" i="21"/>
  <c r="Z36" i="18"/>
  <c r="Z37" i="18" s="1"/>
  <c r="BV7" i="21"/>
  <c r="BV24" i="15"/>
  <c r="BV25" i="15" s="1"/>
  <c r="BV9" i="21" s="1"/>
  <c r="BV23" i="13"/>
  <c r="BV8" i="13"/>
  <c r="BV10" i="13"/>
  <c r="BV21" i="13"/>
  <c r="BV9" i="13"/>
  <c r="BV9" i="14"/>
  <c r="BV11" i="13"/>
  <c r="BV24" i="13"/>
  <c r="BV21" i="11"/>
  <c r="BV18" i="11"/>
  <c r="BV22" i="13"/>
  <c r="BV22" i="11"/>
  <c r="BV17" i="11"/>
  <c r="BQ10" i="20"/>
  <c r="BQ23" i="16"/>
  <c r="Z20" i="17"/>
  <c r="AA7" i="17"/>
  <c r="Z24" i="20"/>
  <c r="Z25" i="20" s="1"/>
  <c r="BU8" i="21"/>
  <c r="BP19" i="21"/>
  <c r="BP33" i="18"/>
  <c r="BP30" i="18"/>
  <c r="BP20" i="21" s="1"/>
  <c r="BP38" i="21"/>
  <c r="BP39" i="21" s="1"/>
  <c r="BP24" i="16"/>
  <c r="BP9" i="19" s="1"/>
  <c r="BO34" i="18"/>
  <c r="BO21" i="21" s="1"/>
  <c r="BR20" i="16"/>
  <c r="BR23" i="20" s="1"/>
  <c r="BR19" i="16"/>
  <c r="BR11" i="20" s="1"/>
  <c r="BR26" i="18"/>
  <c r="BU26" i="11"/>
  <c r="BU16" i="13" s="1"/>
  <c r="BU27" i="11"/>
  <c r="BU25" i="11"/>
  <c r="BU15" i="13" s="1"/>
  <c r="BU7" i="14"/>
  <c r="BU20" i="12"/>
  <c r="AA13" i="19"/>
  <c r="AA14" i="19" s="1"/>
  <c r="BW8" i="12"/>
  <c r="BW9" i="12"/>
  <c r="BW14" i="11"/>
  <c r="BY9" i="11"/>
  <c r="BX12" i="11"/>
  <c r="BX13" i="11"/>
  <c r="BU12" i="13"/>
  <c r="BS23" i="18"/>
  <c r="BS21" i="14"/>
  <c r="BT22" i="12"/>
  <c r="BT25" i="12" s="1"/>
  <c r="BR15" i="21"/>
  <c r="BR14" i="21"/>
  <c r="BU12" i="21"/>
  <c r="BU7" i="18"/>
  <c r="BU14" i="14"/>
  <c r="BU16" i="14"/>
  <c r="BU17" i="14"/>
  <c r="BU25" i="18" s="1"/>
  <c r="BU15" i="14"/>
  <c r="G5" i="23"/>
  <c r="Y36" i="20"/>
  <c r="AB7" i="15"/>
  <c r="AA20" i="15"/>
  <c r="AA15" i="20" s="1"/>
  <c r="AA16" i="20" s="1"/>
  <c r="BT24" i="18"/>
  <c r="BT18" i="14"/>
  <c r="BT13" i="18"/>
  <c r="BS9" i="18"/>
  <c r="BS30" i="12"/>
  <c r="BS25" i="12"/>
  <c r="BT10" i="14"/>
  <c r="BT17" i="13"/>
  <c r="BT18" i="13" s="1"/>
  <c r="Y23" i="19"/>
  <c r="Y25" i="19" s="1"/>
  <c r="C13" i="23"/>
  <c r="BW10" i="12"/>
  <c r="BW11" i="12"/>
  <c r="BV15" i="12"/>
  <c r="BV17" i="12" s="1"/>
  <c r="BV8" i="18" s="1"/>
  <c r="BV12" i="12"/>
  <c r="BV28" i="12" s="1"/>
  <c r="BS16" i="18"/>
  <c r="BS9" i="16"/>
  <c r="BS8" i="16"/>
  <c r="BS16" i="16"/>
  <c r="BS22" i="20" s="1"/>
  <c r="BS7" i="16"/>
  <c r="BS31" i="13"/>
  <c r="BR16" i="18"/>
  <c r="BR19" i="18" s="1"/>
  <c r="BR9" i="16"/>
  <c r="BR8" i="16"/>
  <c r="BR16" i="16"/>
  <c r="BR22" i="20" s="1"/>
  <c r="BR7" i="16"/>
  <c r="BR10" i="16" s="1"/>
  <c r="BR31" i="13"/>
  <c r="BR32" i="13"/>
  <c r="BT11" i="14"/>
  <c r="BO15" i="17"/>
  <c r="BP13" i="17" s="1"/>
  <c r="BO17" i="17"/>
  <c r="BO16" i="17"/>
  <c r="BU21" i="12"/>
  <c r="BU8" i="14"/>
  <c r="BR29" i="18" l="1"/>
  <c r="BR20" i="18"/>
  <c r="BR18" i="21" s="1"/>
  <c r="BT13" i="21"/>
  <c r="BT10" i="18"/>
  <c r="BT13" i="16"/>
  <c r="BT9" i="20" s="1"/>
  <c r="BT29" i="12"/>
  <c r="BT14" i="18"/>
  <c r="BT28" i="13"/>
  <c r="BT32" i="13" s="1"/>
  <c r="BS20" i="16"/>
  <c r="BS23" i="20" s="1"/>
  <c r="BS26" i="18"/>
  <c r="BS19" i="16"/>
  <c r="BS11" i="20" s="1"/>
  <c r="AB12" i="15"/>
  <c r="AB14" i="15" s="1"/>
  <c r="AB9" i="15"/>
  <c r="AB18" i="15"/>
  <c r="BX8" i="12"/>
  <c r="BX9" i="12"/>
  <c r="BX16" i="12" s="1"/>
  <c r="BX14" i="11"/>
  <c r="BP34" i="18"/>
  <c r="BP21" i="21" s="1"/>
  <c r="BV25" i="13"/>
  <c r="BV15" i="18" s="1"/>
  <c r="Y26" i="21"/>
  <c r="Y28" i="21" s="1"/>
  <c r="Y29" i="21" s="1"/>
  <c r="C14" i="23"/>
  <c r="Y8" i="20"/>
  <c r="Y12" i="20" s="1"/>
  <c r="Y18" i="20" s="1"/>
  <c r="Z24" i="19"/>
  <c r="Y35" i="21"/>
  <c r="C16" i="23"/>
  <c r="Y33" i="21"/>
  <c r="BX10" i="12"/>
  <c r="BX11" i="12"/>
  <c r="BZ9" i="11"/>
  <c r="BY12" i="11"/>
  <c r="BY13" i="11"/>
  <c r="BU22" i="12"/>
  <c r="BU18" i="13"/>
  <c r="BU14" i="18" s="1"/>
  <c r="Z27" i="21"/>
  <c r="Z28" i="20"/>
  <c r="Z29" i="20" s="1"/>
  <c r="Z31" i="20" s="1"/>
  <c r="BT9" i="18"/>
  <c r="BT30" i="12"/>
  <c r="BU10" i="14"/>
  <c r="BU11" i="14" s="1"/>
  <c r="BU17" i="13"/>
  <c r="BQ38" i="21"/>
  <c r="BQ39" i="21" s="1"/>
  <c r="BQ24" i="16"/>
  <c r="BQ9" i="19" s="1"/>
  <c r="BV8" i="21"/>
  <c r="BV26" i="11"/>
  <c r="BV16" i="13" s="1"/>
  <c r="BV25" i="11"/>
  <c r="BV15" i="13" s="1"/>
  <c r="BV27" i="11"/>
  <c r="BW7" i="21"/>
  <c r="BW24" i="15"/>
  <c r="BW25" i="15" s="1"/>
  <c r="BW9" i="21" s="1"/>
  <c r="BW10" i="13"/>
  <c r="BW23" i="13"/>
  <c r="BW9" i="13"/>
  <c r="BW8" i="13"/>
  <c r="BW18" i="11"/>
  <c r="BW9" i="14"/>
  <c r="BW11" i="13"/>
  <c r="BW24" i="13"/>
  <c r="BW28" i="12"/>
  <c r="BW21" i="13"/>
  <c r="BW17" i="11"/>
  <c r="BW21" i="11"/>
  <c r="BW22" i="13"/>
  <c r="BW22" i="11"/>
  <c r="BP15" i="17"/>
  <c r="BQ13" i="17" s="1"/>
  <c r="BP17" i="17"/>
  <c r="BP16" i="17"/>
  <c r="BT23" i="18"/>
  <c r="BT21" i="14"/>
  <c r="BR10" i="20"/>
  <c r="BR23" i="16"/>
  <c r="Z39" i="18"/>
  <c r="Z40" i="18" s="1"/>
  <c r="BV8" i="14"/>
  <c r="BV21" i="12"/>
  <c r="BV12" i="21"/>
  <c r="BV7" i="18"/>
  <c r="BV14" i="14"/>
  <c r="BV16" i="14"/>
  <c r="BV17" i="14"/>
  <c r="BV25" i="18" s="1"/>
  <c r="BV15" i="14"/>
  <c r="BW16" i="12"/>
  <c r="BW12" i="12"/>
  <c r="BW15" i="12"/>
  <c r="BW17" i="12" s="1"/>
  <c r="BW8" i="18" s="1"/>
  <c r="BS13" i="21"/>
  <c r="BS10" i="18"/>
  <c r="BS32" i="13"/>
  <c r="BS13" i="16"/>
  <c r="BS9" i="20" s="1"/>
  <c r="BS29" i="12"/>
  <c r="BU24" i="18"/>
  <c r="BU18" i="14"/>
  <c r="BV12" i="13"/>
  <c r="BV20" i="12"/>
  <c r="BV22" i="12" s="1"/>
  <c r="BV7" i="14"/>
  <c r="BQ19" i="21"/>
  <c r="BQ33" i="18"/>
  <c r="BQ30" i="18"/>
  <c r="BQ20" i="21" s="1"/>
  <c r="BU13" i="18"/>
  <c r="AA10" i="17"/>
  <c r="AA21" i="17" s="1"/>
  <c r="AA9" i="17"/>
  <c r="AA8" i="17"/>
  <c r="AA17" i="19" s="1"/>
  <c r="BS10" i="16"/>
  <c r="Y38" i="20"/>
  <c r="BU23" i="18" l="1"/>
  <c r="BU21" i="14"/>
  <c r="Z22" i="21"/>
  <c r="Z19" i="19"/>
  <c r="Z20" i="19" s="1"/>
  <c r="Z7" i="19"/>
  <c r="Z10" i="19" s="1"/>
  <c r="Z41" i="18"/>
  <c r="Z23" i="21" s="1"/>
  <c r="Z35" i="20"/>
  <c r="BV9" i="18"/>
  <c r="BV30" i="12"/>
  <c r="BW8" i="14"/>
  <c r="BW21" i="12"/>
  <c r="BS10" i="20"/>
  <c r="BS23" i="16"/>
  <c r="BU28" i="13"/>
  <c r="BZ12" i="11"/>
  <c r="CA9" i="11"/>
  <c r="BZ13" i="11"/>
  <c r="BS15" i="21"/>
  <c r="BS14" i="21"/>
  <c r="BV10" i="14"/>
  <c r="BV17" i="13"/>
  <c r="BW25" i="13"/>
  <c r="BW15" i="18" s="1"/>
  <c r="AB20" i="15"/>
  <c r="AB15" i="20" s="1"/>
  <c r="AB16" i="20" s="1"/>
  <c r="AC7" i="15"/>
  <c r="BX12" i="12"/>
  <c r="BX15" i="12"/>
  <c r="BX17" i="12" s="1"/>
  <c r="BX8" i="18" s="1"/>
  <c r="AA30" i="21"/>
  <c r="AA36" i="18"/>
  <c r="AA37" i="18" s="1"/>
  <c r="BW8" i="21"/>
  <c r="BW12" i="21"/>
  <c r="BW7" i="18"/>
  <c r="BW14" i="14"/>
  <c r="BW16" i="14"/>
  <c r="BW15" i="14"/>
  <c r="BW25" i="12"/>
  <c r="BW17" i="14"/>
  <c r="BW25" i="18" s="1"/>
  <c r="AB13" i="19"/>
  <c r="AB14" i="19" s="1"/>
  <c r="BW12" i="13"/>
  <c r="BU9" i="18"/>
  <c r="BU30" i="12"/>
  <c r="BU25" i="12"/>
  <c r="BY8" i="12"/>
  <c r="BY14" i="11"/>
  <c r="BY9" i="12"/>
  <c r="BY16" i="12" s="1"/>
  <c r="BT19" i="16"/>
  <c r="BT11" i="20" s="1"/>
  <c r="BT20" i="16"/>
  <c r="BT23" i="20" s="1"/>
  <c r="BT26" i="18"/>
  <c r="BT16" i="18"/>
  <c r="BT19" i="18" s="1"/>
  <c r="BT9" i="16"/>
  <c r="BT8" i="16"/>
  <c r="BT16" i="16"/>
  <c r="BT22" i="20" s="1"/>
  <c r="BT7" i="16"/>
  <c r="BT31" i="13"/>
  <c r="BT15" i="21"/>
  <c r="BT14" i="21"/>
  <c r="BY10" i="12"/>
  <c r="BY11" i="12"/>
  <c r="BS19" i="18"/>
  <c r="BS29" i="18" s="1"/>
  <c r="BS30" i="18"/>
  <c r="BS20" i="21" s="1"/>
  <c r="BV18" i="13"/>
  <c r="BV14" i="18" s="1"/>
  <c r="Y34" i="21"/>
  <c r="Y41" i="20"/>
  <c r="BV11" i="14"/>
  <c r="BQ15" i="17"/>
  <c r="BR13" i="17" s="1"/>
  <c r="BQ17" i="17"/>
  <c r="BQ16" i="17"/>
  <c r="BW26" i="11"/>
  <c r="BW16" i="13" s="1"/>
  <c r="BW27" i="11"/>
  <c r="BW25" i="11"/>
  <c r="BW15" i="13" s="1"/>
  <c r="BR19" i="21"/>
  <c r="BR33" i="18"/>
  <c r="BR30" i="18"/>
  <c r="BR20" i="21" s="1"/>
  <c r="BX7" i="21"/>
  <c r="BX24" i="15"/>
  <c r="BX25" i="15" s="1"/>
  <c r="BX9" i="21" s="1"/>
  <c r="BX22" i="13"/>
  <c r="BX10" i="13"/>
  <c r="BX8" i="13"/>
  <c r="BX9" i="14"/>
  <c r="BX11" i="13"/>
  <c r="BX22" i="11"/>
  <c r="BX21" i="13"/>
  <c r="BX24" i="13"/>
  <c r="BX28" i="12"/>
  <c r="BX23" i="13"/>
  <c r="BX17" i="11"/>
  <c r="BX21" i="11"/>
  <c r="BX18" i="11"/>
  <c r="BX9" i="13"/>
  <c r="BV13" i="18"/>
  <c r="AA20" i="17"/>
  <c r="AB7" i="17"/>
  <c r="AA24" i="20"/>
  <c r="AA25" i="20" s="1"/>
  <c r="BR38" i="21"/>
  <c r="BR39" i="21" s="1"/>
  <c r="BR24" i="16"/>
  <c r="BR9" i="19" s="1"/>
  <c r="BV25" i="12"/>
  <c r="BQ34" i="18"/>
  <c r="BQ21" i="21" s="1"/>
  <c r="BV24" i="18"/>
  <c r="BV18" i="14"/>
  <c r="BW7" i="14"/>
  <c r="BW20" i="12"/>
  <c r="BW22" i="12" s="1"/>
  <c r="BT29" i="18" l="1"/>
  <c r="BT20" i="18"/>
  <c r="BT18" i="21" s="1"/>
  <c r="BX12" i="21"/>
  <c r="BX14" i="14"/>
  <c r="BX7" i="18"/>
  <c r="BX16" i="14"/>
  <c r="BX15" i="14"/>
  <c r="BX17" i="14"/>
  <c r="BX25" i="18" s="1"/>
  <c r="Z36" i="20"/>
  <c r="BX25" i="13"/>
  <c r="BX15" i="18" s="1"/>
  <c r="BW11" i="14"/>
  <c r="CA12" i="11"/>
  <c r="CB9" i="11"/>
  <c r="CA13" i="11"/>
  <c r="BU16" i="18"/>
  <c r="BU9" i="16"/>
  <c r="BU8" i="16"/>
  <c r="BU16" i="16"/>
  <c r="BU22" i="20" s="1"/>
  <c r="BU7" i="16"/>
  <c r="G7" i="23"/>
  <c r="G18" i="23" s="1"/>
  <c r="BU31" i="13"/>
  <c r="BX12" i="13"/>
  <c r="BW13" i="18"/>
  <c r="AC12" i="15"/>
  <c r="AC14" i="15" s="1"/>
  <c r="AC18" i="15"/>
  <c r="AC9" i="15"/>
  <c r="Z23" i="19"/>
  <c r="Z25" i="19" s="1"/>
  <c r="BW13" i="21"/>
  <c r="BW10" i="18"/>
  <c r="BW13" i="16"/>
  <c r="BW9" i="20" s="1"/>
  <c r="BW29" i="12"/>
  <c r="BY12" i="12"/>
  <c r="BY15" i="12"/>
  <c r="BY17" i="12" s="1"/>
  <c r="BY8" i="18" s="1"/>
  <c r="AA31" i="20"/>
  <c r="AB10" i="17"/>
  <c r="AB21" i="17" s="1"/>
  <c r="AB9" i="17"/>
  <c r="AB8" i="17"/>
  <c r="AB17" i="19" s="1"/>
  <c r="BT10" i="16"/>
  <c r="BZ8" i="12"/>
  <c r="BZ9" i="12"/>
  <c r="BZ16" i="12" s="1"/>
  <c r="BZ14" i="11"/>
  <c r="BV28" i="13"/>
  <c r="BW9" i="18"/>
  <c r="BW30" i="12"/>
  <c r="BZ10" i="12"/>
  <c r="BZ11" i="12"/>
  <c r="BW24" i="18"/>
  <c r="BW18" i="14"/>
  <c r="BS38" i="21"/>
  <c r="BS39" i="21" s="1"/>
  <c r="BS24" i="16"/>
  <c r="BS9" i="19" s="1"/>
  <c r="BS19" i="21"/>
  <c r="BS33" i="18"/>
  <c r="BR34" i="18"/>
  <c r="BR21" i="21" s="1"/>
  <c r="BX8" i="14"/>
  <c r="BX21" i="12"/>
  <c r="BV13" i="21"/>
  <c r="BV10" i="18"/>
  <c r="BV32" i="13"/>
  <c r="BV13" i="16"/>
  <c r="BV9" i="20" s="1"/>
  <c r="BV29" i="12"/>
  <c r="BY7" i="21"/>
  <c r="BY24" i="15"/>
  <c r="BY25" i="15" s="1"/>
  <c r="BY9" i="21" s="1"/>
  <c r="BY22" i="13"/>
  <c r="BY9" i="13"/>
  <c r="BY8" i="13"/>
  <c r="BY18" i="11"/>
  <c r="BY9" i="14"/>
  <c r="BY10" i="13"/>
  <c r="BY11" i="13"/>
  <c r="BY22" i="11"/>
  <c r="BY21" i="13"/>
  <c r="BY23" i="13"/>
  <c r="BY17" i="11"/>
  <c r="BY21" i="11"/>
  <c r="BY24" i="13"/>
  <c r="AA39" i="18"/>
  <c r="AA40" i="18" s="1"/>
  <c r="BU13" i="21"/>
  <c r="BU10" i="18"/>
  <c r="BU32" i="13"/>
  <c r="BU13" i="16"/>
  <c r="BU9" i="20" s="1"/>
  <c r="G6" i="23"/>
  <c r="BU29" i="12"/>
  <c r="BR17" i="17"/>
  <c r="BR16" i="17"/>
  <c r="BR15" i="17"/>
  <c r="BS13" i="17" s="1"/>
  <c r="BS20" i="18"/>
  <c r="BS18" i="21" s="1"/>
  <c r="BX26" i="11"/>
  <c r="BX16" i="13" s="1"/>
  <c r="BX27" i="11"/>
  <c r="BX25" i="11"/>
  <c r="BX15" i="13" s="1"/>
  <c r="BU26" i="18"/>
  <c r="BU19" i="16"/>
  <c r="BU11" i="20" s="1"/>
  <c r="BU20" i="16"/>
  <c r="BU23" i="20" s="1"/>
  <c r="BV23" i="18"/>
  <c r="BV21" i="14"/>
  <c r="BX8" i="21"/>
  <c r="AA27" i="21"/>
  <c r="AA28" i="20"/>
  <c r="AA29" i="20" s="1"/>
  <c r="BX20" i="12"/>
  <c r="BX22" i="12" s="1"/>
  <c r="BX25" i="12" s="1"/>
  <c r="BX7" i="14"/>
  <c r="BW10" i="14"/>
  <c r="BW17" i="13"/>
  <c r="BW18" i="13" s="1"/>
  <c r="BW14" i="18" l="1"/>
  <c r="BW28" i="13"/>
  <c r="BX13" i="21"/>
  <c r="BX10" i="18"/>
  <c r="BX13" i="16"/>
  <c r="BX9" i="20" s="1"/>
  <c r="BX29" i="12"/>
  <c r="AA22" i="21"/>
  <c r="AA7" i="19"/>
  <c r="AA10" i="19" s="1"/>
  <c r="AA19" i="19"/>
  <c r="AA20" i="19" s="1"/>
  <c r="AA41" i="18"/>
  <c r="AA23" i="21" s="1"/>
  <c r="AA35" i="20"/>
  <c r="CB12" i="11"/>
  <c r="CC9" i="11"/>
  <c r="CB13" i="11"/>
  <c r="AB20" i="17"/>
  <c r="AC7" i="17"/>
  <c r="AB24" i="20"/>
  <c r="AB25" i="20" s="1"/>
  <c r="BS34" i="18"/>
  <c r="BS21" i="21" s="1"/>
  <c r="BV26" i="18"/>
  <c r="BV19" i="16"/>
  <c r="BV11" i="20" s="1"/>
  <c r="BV20" i="16"/>
  <c r="BV23" i="20" s="1"/>
  <c r="AC13" i="19"/>
  <c r="AC14" i="19" s="1"/>
  <c r="BV15" i="21"/>
  <c r="BV14" i="21"/>
  <c r="BY12" i="13"/>
  <c r="BW15" i="21"/>
  <c r="BW14" i="21"/>
  <c r="Z8" i="20"/>
  <c r="Z12" i="20" s="1"/>
  <c r="Z18" i="20" s="1"/>
  <c r="AA24" i="19"/>
  <c r="Z26" i="21"/>
  <c r="Z28" i="21" s="1"/>
  <c r="Z29" i="21" s="1"/>
  <c r="BU15" i="21"/>
  <c r="BU14" i="21"/>
  <c r="AC20" i="15"/>
  <c r="AC15" i="20" s="1"/>
  <c r="AC16" i="20" s="1"/>
  <c r="AD7" i="15"/>
  <c r="BV9" i="16"/>
  <c r="BV16" i="18"/>
  <c r="BV19" i="18" s="1"/>
  <c r="BV8" i="16"/>
  <c r="BV16" i="16"/>
  <c r="BV22" i="20" s="1"/>
  <c r="BV7" i="16"/>
  <c r="BV10" i="16" s="1"/>
  <c r="BV31" i="13"/>
  <c r="BX24" i="18"/>
  <c r="BX18" i="14"/>
  <c r="BS17" i="17"/>
  <c r="BS16" i="17"/>
  <c r="BS15" i="17"/>
  <c r="BT13" i="17" s="1"/>
  <c r="CA10" i="12"/>
  <c r="CA11" i="12"/>
  <c r="CA14" i="11"/>
  <c r="CA8" i="12"/>
  <c r="CA9" i="12"/>
  <c r="CA16" i="12" s="1"/>
  <c r="BU19" i="18"/>
  <c r="BU20" i="18" s="1"/>
  <c r="BU18" i="21" s="1"/>
  <c r="BY20" i="12"/>
  <c r="BY7" i="14"/>
  <c r="BZ7" i="21"/>
  <c r="BZ24" i="15"/>
  <c r="BZ25" i="15" s="1"/>
  <c r="BZ9" i="21" s="1"/>
  <c r="BZ24" i="13"/>
  <c r="BZ22" i="13"/>
  <c r="BZ21" i="13"/>
  <c r="BZ23" i="13"/>
  <c r="BZ18" i="11"/>
  <c r="BZ9" i="14"/>
  <c r="BZ10" i="13"/>
  <c r="BZ11" i="13"/>
  <c r="BZ17" i="11"/>
  <c r="BZ8" i="13"/>
  <c r="BZ21" i="11"/>
  <c r="BZ22" i="11"/>
  <c r="BZ28" i="12"/>
  <c r="BZ9" i="13"/>
  <c r="BX13" i="18"/>
  <c r="AB30" i="21"/>
  <c r="AB36" i="18"/>
  <c r="AB37" i="18" s="1"/>
  <c r="BY12" i="21"/>
  <c r="BY7" i="18"/>
  <c r="BY16" i="14"/>
  <c r="BY14" i="14"/>
  <c r="BY15" i="14"/>
  <c r="BY17" i="14"/>
  <c r="BY25" i="18" s="1"/>
  <c r="BX9" i="18"/>
  <c r="BX30" i="12"/>
  <c r="Z33" i="21"/>
  <c r="Z35" i="21"/>
  <c r="Z38" i="20"/>
  <c r="BY8" i="21"/>
  <c r="BY28" i="12"/>
  <c r="BZ12" i="12"/>
  <c r="BZ15" i="12"/>
  <c r="BZ17" i="12" s="1"/>
  <c r="BZ8" i="18" s="1"/>
  <c r="BY8" i="14"/>
  <c r="BY21" i="12"/>
  <c r="BY27" i="11"/>
  <c r="BY25" i="11"/>
  <c r="BY15" i="13" s="1"/>
  <c r="BY26" i="11"/>
  <c r="BY16" i="13" s="1"/>
  <c r="BX18" i="13"/>
  <c r="BX14" i="18" s="1"/>
  <c r="BY25" i="13"/>
  <c r="BY15" i="18" s="1"/>
  <c r="BT10" i="20"/>
  <c r="BT23" i="16"/>
  <c r="BU10" i="16"/>
  <c r="BT19" i="21"/>
  <c r="BT33" i="18"/>
  <c r="BT30" i="18"/>
  <c r="BT20" i="21" s="1"/>
  <c r="BW23" i="18"/>
  <c r="BW21" i="14"/>
  <c r="BX17" i="13"/>
  <c r="BX10" i="14"/>
  <c r="BX11" i="14" s="1"/>
  <c r="BV29" i="18" l="1"/>
  <c r="BV20" i="18"/>
  <c r="BV18" i="21" s="1"/>
  <c r="BX23" i="18"/>
  <c r="BX21" i="14"/>
  <c r="BZ25" i="13"/>
  <c r="BZ15" i="18" s="1"/>
  <c r="CD9" i="11"/>
  <c r="CC13" i="11"/>
  <c r="CC12" i="11"/>
  <c r="CB9" i="12"/>
  <c r="CB8" i="12"/>
  <c r="CB14" i="11"/>
  <c r="AA36" i="20"/>
  <c r="AD12" i="15"/>
  <c r="AD14" i="15" s="1"/>
  <c r="AD9" i="15"/>
  <c r="BY18" i="13"/>
  <c r="BY14" i="18" s="1"/>
  <c r="CB11" i="12"/>
  <c r="CB10" i="12"/>
  <c r="BT16" i="17"/>
  <c r="BT17" i="17"/>
  <c r="BT15" i="17"/>
  <c r="BU13" i="17" s="1"/>
  <c r="AA23" i="19"/>
  <c r="BZ26" i="11"/>
  <c r="BZ16" i="13" s="1"/>
  <c r="BZ25" i="11"/>
  <c r="BZ15" i="13" s="1"/>
  <c r="BZ27" i="11"/>
  <c r="BX28" i="13"/>
  <c r="BY22" i="12"/>
  <c r="BW26" i="18"/>
  <c r="BW19" i="16"/>
  <c r="BW11" i="20" s="1"/>
  <c r="BW20" i="16"/>
  <c r="BW23" i="20" s="1"/>
  <c r="BT34" i="18"/>
  <c r="BT21" i="21" s="1"/>
  <c r="BU29" i="18"/>
  <c r="G8" i="23"/>
  <c r="G19" i="23" s="1"/>
  <c r="AB31" i="20"/>
  <c r="BZ8" i="14"/>
  <c r="BZ21" i="12"/>
  <c r="BY24" i="18"/>
  <c r="BY18" i="14"/>
  <c r="BY13" i="18"/>
  <c r="BV10" i="20"/>
  <c r="BV23" i="16"/>
  <c r="BZ12" i="21"/>
  <c r="BZ7" i="18"/>
  <c r="BZ16" i="14"/>
  <c r="BZ14" i="14"/>
  <c r="BZ15" i="14"/>
  <c r="BZ17" i="14"/>
  <c r="BZ25" i="18" s="1"/>
  <c r="BZ8" i="21"/>
  <c r="AC10" i="17"/>
  <c r="AC21" i="17" s="1"/>
  <c r="AC8" i="17"/>
  <c r="AC17" i="19" s="1"/>
  <c r="BX15" i="21"/>
  <c r="BX14" i="21"/>
  <c r="BZ12" i="13"/>
  <c r="AB27" i="21"/>
  <c r="AB28" i="20"/>
  <c r="AB29" i="20" s="1"/>
  <c r="BY10" i="14"/>
  <c r="BY17" i="13"/>
  <c r="AB39" i="18"/>
  <c r="AB40" i="18" s="1"/>
  <c r="BY11" i="14"/>
  <c r="BU10" i="20"/>
  <c r="BU23" i="16"/>
  <c r="CA7" i="21"/>
  <c r="CA24" i="15"/>
  <c r="CA25" i="15" s="1"/>
  <c r="CA9" i="21" s="1"/>
  <c r="CA22" i="13"/>
  <c r="CA21" i="13"/>
  <c r="CA25" i="13" s="1"/>
  <c r="CA15" i="18" s="1"/>
  <c r="CA11" i="13"/>
  <c r="CA9" i="14"/>
  <c r="CA10" i="13"/>
  <c r="CA22" i="11"/>
  <c r="CA24" i="13"/>
  <c r="CA23" i="13"/>
  <c r="CA17" i="11"/>
  <c r="CA21" i="11"/>
  <c r="CA9" i="13"/>
  <c r="CA8" i="13"/>
  <c r="CA18" i="11"/>
  <c r="AA25" i="19"/>
  <c r="BW9" i="16"/>
  <c r="BW16" i="18"/>
  <c r="BW19" i="18" s="1"/>
  <c r="BW8" i="16"/>
  <c r="BW7" i="16"/>
  <c r="BW10" i="16" s="1"/>
  <c r="BW16" i="16"/>
  <c r="BW22" i="20" s="1"/>
  <c r="BW31" i="13"/>
  <c r="BW32" i="13"/>
  <c r="BZ7" i="14"/>
  <c r="BZ20" i="12"/>
  <c r="BZ22" i="12" s="1"/>
  <c r="CA12" i="12"/>
  <c r="CA15" i="12"/>
  <c r="CA17" i="12" s="1"/>
  <c r="CA8" i="18" s="1"/>
  <c r="BT38" i="21"/>
  <c r="BT39" i="21" s="1"/>
  <c r="BT24" i="16"/>
  <c r="BT9" i="19" s="1"/>
  <c r="Z34" i="21"/>
  <c r="Z41" i="20"/>
  <c r="AB22" i="21" l="1"/>
  <c r="AB19" i="19"/>
  <c r="AB20" i="19" s="1"/>
  <c r="AB7" i="19"/>
  <c r="AB10" i="19" s="1"/>
  <c r="AB41" i="18"/>
  <c r="AB23" i="21" s="1"/>
  <c r="AB35" i="20"/>
  <c r="CB7" i="21"/>
  <c r="CB24" i="15"/>
  <c r="CB25" i="15" s="1"/>
  <c r="CB9" i="21" s="1"/>
  <c r="CB9" i="14"/>
  <c r="CB22" i="13"/>
  <c r="CB21" i="13"/>
  <c r="CB22" i="11"/>
  <c r="CB11" i="13"/>
  <c r="CB24" i="13"/>
  <c r="CB23" i="13"/>
  <c r="CB17" i="11"/>
  <c r="CB10" i="13"/>
  <c r="CB21" i="11"/>
  <c r="CB9" i="13"/>
  <c r="CB18" i="11"/>
  <c r="CB8" i="13"/>
  <c r="AD13" i="19"/>
  <c r="AD14" i="19" s="1"/>
  <c r="BU38" i="21"/>
  <c r="BU39" i="21" s="1"/>
  <c r="BU24" i="16"/>
  <c r="BU9" i="19" s="1"/>
  <c r="CB16" i="12"/>
  <c r="CC9" i="12"/>
  <c r="CC16" i="12" s="1"/>
  <c r="CC8" i="12"/>
  <c r="CC14" i="11"/>
  <c r="BV38" i="21"/>
  <c r="BV39" i="21" s="1"/>
  <c r="BV24" i="16"/>
  <c r="BV9" i="19" s="1"/>
  <c r="BX9" i="16"/>
  <c r="BX16" i="18"/>
  <c r="BX19" i="18" s="1"/>
  <c r="BX8" i="16"/>
  <c r="BX16" i="16"/>
  <c r="BX22" i="20" s="1"/>
  <c r="BX7" i="16"/>
  <c r="BX10" i="16" s="1"/>
  <c r="BX31" i="13"/>
  <c r="BX32" i="13"/>
  <c r="CC11" i="12"/>
  <c r="CC10" i="12"/>
  <c r="BZ9" i="18"/>
  <c r="BZ30" i="12"/>
  <c r="AD18" i="15"/>
  <c r="BZ25" i="12"/>
  <c r="CA8" i="14"/>
  <c r="CA21" i="12"/>
  <c r="BY9" i="18"/>
  <c r="BY30" i="12"/>
  <c r="BY25" i="12"/>
  <c r="CA12" i="13"/>
  <c r="BZ10" i="14"/>
  <c r="BZ11" i="14" s="1"/>
  <c r="BZ17" i="13"/>
  <c r="BZ18" i="13" s="1"/>
  <c r="CE9" i="11"/>
  <c r="CD12" i="11"/>
  <c r="CD13" i="11"/>
  <c r="CA12" i="21"/>
  <c r="CA15" i="14"/>
  <c r="CA16" i="14"/>
  <c r="CA14" i="14"/>
  <c r="CA7" i="18"/>
  <c r="CA17" i="14"/>
  <c r="CA25" i="18" s="1"/>
  <c r="BW29" i="18"/>
  <c r="BW20" i="18"/>
  <c r="BW18" i="21" s="1"/>
  <c r="AA33" i="21"/>
  <c r="AA35" i="21"/>
  <c r="AA38" i="20"/>
  <c r="BY23" i="18"/>
  <c r="BY21" i="14"/>
  <c r="BY28" i="13"/>
  <c r="CA8" i="21"/>
  <c r="AA26" i="21"/>
  <c r="AA28" i="21" s="1"/>
  <c r="AA29" i="21" s="1"/>
  <c r="AA8" i="20"/>
  <c r="AA12" i="20" s="1"/>
  <c r="AA18" i="20" s="1"/>
  <c r="AB24" i="19"/>
  <c r="CA28" i="12"/>
  <c r="BX26" i="18"/>
  <c r="BX19" i="16"/>
  <c r="BX11" i="20" s="1"/>
  <c r="BX20" i="16"/>
  <c r="BX23" i="20" s="1"/>
  <c r="AC9" i="17"/>
  <c r="BW10" i="20"/>
  <c r="BW23" i="16"/>
  <c r="AC30" i="21"/>
  <c r="AC36" i="18"/>
  <c r="AC37" i="18" s="1"/>
  <c r="BU19" i="21"/>
  <c r="BU33" i="18"/>
  <c r="G9" i="23"/>
  <c r="BU30" i="18"/>
  <c r="BU20" i="21" s="1"/>
  <c r="CB12" i="12"/>
  <c r="CB28" i="12" s="1"/>
  <c r="CB15" i="12"/>
  <c r="CA26" i="11"/>
  <c r="CA16" i="13" s="1"/>
  <c r="CA25" i="11"/>
  <c r="CA15" i="13" s="1"/>
  <c r="CA27" i="11"/>
  <c r="CA7" i="14"/>
  <c r="CA20" i="12"/>
  <c r="CA22" i="12" s="1"/>
  <c r="BZ13" i="18"/>
  <c r="BV19" i="21"/>
  <c r="BV33" i="18"/>
  <c r="BV30" i="18"/>
  <c r="BV20" i="21" s="1"/>
  <c r="BZ24" i="18"/>
  <c r="BZ18" i="14"/>
  <c r="BU16" i="17"/>
  <c r="BU17" i="17"/>
  <c r="BU15" i="17"/>
  <c r="BV13" i="17" s="1"/>
  <c r="BZ14" i="18" l="1"/>
  <c r="BZ28" i="13"/>
  <c r="BZ23" i="18"/>
  <c r="BZ21" i="14"/>
  <c r="AA34" i="21"/>
  <c r="AA41" i="20"/>
  <c r="CF9" i="11"/>
  <c r="CE13" i="11"/>
  <c r="CE12" i="11"/>
  <c r="CA13" i="18"/>
  <c r="BY13" i="21"/>
  <c r="BY10" i="18"/>
  <c r="BY32" i="13"/>
  <c r="BY13" i="16"/>
  <c r="BY9" i="20" s="1"/>
  <c r="BY29" i="12"/>
  <c r="CC7" i="21"/>
  <c r="CC24" i="15"/>
  <c r="CC25" i="15" s="1"/>
  <c r="CC9" i="21" s="1"/>
  <c r="CC9" i="14"/>
  <c r="CC22" i="13"/>
  <c r="CC24" i="13"/>
  <c r="CC21" i="13"/>
  <c r="CC11" i="13"/>
  <c r="CC10" i="13"/>
  <c r="CC21" i="11"/>
  <c r="CC8" i="13"/>
  <c r="CC12" i="13" s="1"/>
  <c r="CC23" i="13"/>
  <c r="CC9" i="13"/>
  <c r="CC22" i="11"/>
  <c r="CC17" i="11"/>
  <c r="CC18" i="11"/>
  <c r="BX29" i="18"/>
  <c r="BX20" i="18"/>
  <c r="BX18" i="21" s="1"/>
  <c r="BV16" i="17"/>
  <c r="BV15" i="17"/>
  <c r="BW13" i="17" s="1"/>
  <c r="BV17" i="17"/>
  <c r="BX10" i="20"/>
  <c r="BX23" i="16"/>
  <c r="CB27" i="11"/>
  <c r="CB25" i="11"/>
  <c r="CB15" i="13" s="1"/>
  <c r="CB26" i="11"/>
  <c r="CB16" i="13" s="1"/>
  <c r="CD11" i="12"/>
  <c r="CD10" i="12"/>
  <c r="BY26" i="18"/>
  <c r="BY19" i="16"/>
  <c r="BY11" i="20" s="1"/>
  <c r="BY20" i="16"/>
  <c r="BY23" i="20" s="1"/>
  <c r="CB12" i="21"/>
  <c r="CB15" i="14"/>
  <c r="CB16" i="14"/>
  <c r="CB7" i="18"/>
  <c r="CB14" i="14"/>
  <c r="CB25" i="12"/>
  <c r="CB17" i="14"/>
  <c r="CB25" i="18" s="1"/>
  <c r="BY16" i="18"/>
  <c r="BY9" i="16"/>
  <c r="BY8" i="16"/>
  <c r="BY16" i="16"/>
  <c r="BY22" i="20" s="1"/>
  <c r="BY7" i="16"/>
  <c r="BY10" i="16" s="1"/>
  <c r="BY31" i="13"/>
  <c r="G10" i="23"/>
  <c r="G20" i="23" s="1"/>
  <c r="BU34" i="18"/>
  <c r="BU21" i="21" s="1"/>
  <c r="AC39" i="18"/>
  <c r="AC40" i="18" s="1"/>
  <c r="BZ13" i="21"/>
  <c r="BZ10" i="18"/>
  <c r="BZ32" i="13"/>
  <c r="BZ13" i="16"/>
  <c r="BZ9" i="20" s="1"/>
  <c r="BZ29" i="12"/>
  <c r="CB8" i="21"/>
  <c r="CB7" i="14"/>
  <c r="CB20" i="12"/>
  <c r="CB22" i="12" s="1"/>
  <c r="CC12" i="12"/>
  <c r="CC28" i="12" s="1"/>
  <c r="CC15" i="12"/>
  <c r="CC17" i="12" s="1"/>
  <c r="CC8" i="18" s="1"/>
  <c r="CB25" i="13"/>
  <c r="CB15" i="18" s="1"/>
  <c r="AD20" i="15"/>
  <c r="AD15" i="20" s="1"/>
  <c r="AD16" i="20" s="1"/>
  <c r="AE7" i="15"/>
  <c r="AB36" i="20"/>
  <c r="CA11" i="14"/>
  <c r="CA10" i="14"/>
  <c r="CA17" i="13"/>
  <c r="BW38" i="21"/>
  <c r="BW39" i="21" s="1"/>
  <c r="BW24" i="16"/>
  <c r="BW9" i="19" s="1"/>
  <c r="BW19" i="21"/>
  <c r="BW33" i="18"/>
  <c r="BW30" i="18"/>
  <c r="BW20" i="21" s="1"/>
  <c r="BV34" i="18"/>
  <c r="BV21" i="21" s="1"/>
  <c r="CA9" i="18"/>
  <c r="CA30" i="12"/>
  <c r="CB12" i="13"/>
  <c r="AB23" i="19"/>
  <c r="AB25" i="19" s="1"/>
  <c r="CD8" i="12"/>
  <c r="CD14" i="11"/>
  <c r="CD9" i="12"/>
  <c r="CD16" i="12" s="1"/>
  <c r="CA18" i="13"/>
  <c r="CA14" i="18" s="1"/>
  <c r="CA24" i="18"/>
  <c r="CA18" i="14"/>
  <c r="AC20" i="17"/>
  <c r="AD7" i="17"/>
  <c r="AC24" i="20"/>
  <c r="AC25" i="20" s="1"/>
  <c r="CB17" i="12"/>
  <c r="CB8" i="18" s="1"/>
  <c r="CA25" i="12"/>
  <c r="CB8" i="14"/>
  <c r="CB21" i="12"/>
  <c r="AB26" i="21" l="1"/>
  <c r="AB28" i="21" s="1"/>
  <c r="AB29" i="21" s="1"/>
  <c r="AB8" i="20"/>
  <c r="AB12" i="20" s="1"/>
  <c r="AB18" i="20" s="1"/>
  <c r="AC24" i="19"/>
  <c r="AC22" i="21"/>
  <c r="AC19" i="19"/>
  <c r="AC20" i="19" s="1"/>
  <c r="AC7" i="19"/>
  <c r="AC10" i="19" s="1"/>
  <c r="AC41" i="18"/>
  <c r="AC23" i="21" s="1"/>
  <c r="AC35" i="20"/>
  <c r="CC8" i="21"/>
  <c r="CB13" i="18"/>
  <c r="CC7" i="14"/>
  <c r="CC20" i="12"/>
  <c r="CC22" i="12" s="1"/>
  <c r="CB24" i="18"/>
  <c r="CB18" i="14"/>
  <c r="BY15" i="21"/>
  <c r="BY14" i="21"/>
  <c r="CA28" i="13"/>
  <c r="CB13" i="21"/>
  <c r="CB10" i="18"/>
  <c r="CB13" i="16"/>
  <c r="CB9" i="20" s="1"/>
  <c r="CB29" i="12"/>
  <c r="CE9" i="12"/>
  <c r="CE16" i="12" s="1"/>
  <c r="CE8" i="12"/>
  <c r="CE14" i="11"/>
  <c r="CE11" i="12"/>
  <c r="CE10" i="12"/>
  <c r="CC13" i="18"/>
  <c r="CF12" i="11"/>
  <c r="CG9" i="11"/>
  <c r="CF13" i="11"/>
  <c r="BY19" i="18"/>
  <c r="BY20" i="18"/>
  <c r="BY18" i="21" s="1"/>
  <c r="BW34" i="18"/>
  <c r="BW21" i="21" s="1"/>
  <c r="BX38" i="21"/>
  <c r="BX39" i="21" s="1"/>
  <c r="BX24" i="16"/>
  <c r="BX9" i="19" s="1"/>
  <c r="BY10" i="20"/>
  <c r="BY23" i="16"/>
  <c r="AE12" i="15"/>
  <c r="AE14" i="15" s="1"/>
  <c r="AE13" i="19" s="1"/>
  <c r="AE14" i="19" s="1"/>
  <c r="AE18" i="15"/>
  <c r="AE9" i="15"/>
  <c r="BX19" i="21"/>
  <c r="BX33" i="18"/>
  <c r="BX30" i="18"/>
  <c r="BX20" i="21" s="1"/>
  <c r="CC12" i="21"/>
  <c r="CC17" i="14"/>
  <c r="CC25" i="18" s="1"/>
  <c r="CC7" i="18"/>
  <c r="CC16" i="14"/>
  <c r="CC15" i="14"/>
  <c r="CC14" i="14"/>
  <c r="CC8" i="14"/>
  <c r="CC21" i="12"/>
  <c r="CC26" i="11"/>
  <c r="CC16" i="13" s="1"/>
  <c r="CC25" i="11"/>
  <c r="CC15" i="13" s="1"/>
  <c r="CC27" i="11"/>
  <c r="CA13" i="21"/>
  <c r="CA10" i="18"/>
  <c r="CA32" i="13"/>
  <c r="CA13" i="16"/>
  <c r="CA9" i="20" s="1"/>
  <c r="CA29" i="12"/>
  <c r="BZ26" i="18"/>
  <c r="BZ19" i="16"/>
  <c r="BZ11" i="20" s="1"/>
  <c r="BZ20" i="16"/>
  <c r="BZ23" i="20" s="1"/>
  <c r="CD7" i="21"/>
  <c r="CD9" i="14"/>
  <c r="CD22" i="13"/>
  <c r="CD24" i="13"/>
  <c r="CD21" i="13"/>
  <c r="CD9" i="13"/>
  <c r="CD23" i="13"/>
  <c r="CD10" i="13"/>
  <c r="CD24" i="15"/>
  <c r="CD25" i="15" s="1"/>
  <c r="CD9" i="21" s="1"/>
  <c r="CD21" i="11"/>
  <c r="CD11" i="13"/>
  <c r="CD17" i="11"/>
  <c r="CD22" i="11"/>
  <c r="CD18" i="11"/>
  <c r="CD8" i="13"/>
  <c r="CD12" i="13" s="1"/>
  <c r="CD12" i="12"/>
  <c r="CD28" i="12" s="1"/>
  <c r="CD15" i="12"/>
  <c r="CD17" i="12" s="1"/>
  <c r="CD8" i="18" s="1"/>
  <c r="BW16" i="17"/>
  <c r="BW15" i="17"/>
  <c r="BX13" i="17" s="1"/>
  <c r="BW17" i="17"/>
  <c r="BZ15" i="21"/>
  <c r="BZ14" i="21"/>
  <c r="CB9" i="18"/>
  <c r="CB30" i="12"/>
  <c r="CB11" i="14"/>
  <c r="AC27" i="21"/>
  <c r="AC28" i="20"/>
  <c r="AC29" i="20" s="1"/>
  <c r="AC31" i="20" s="1"/>
  <c r="CB18" i="13"/>
  <c r="CB14" i="18" s="1"/>
  <c r="CC25" i="13"/>
  <c r="CC15" i="18" s="1"/>
  <c r="BZ16" i="18"/>
  <c r="BZ19" i="18" s="1"/>
  <c r="BZ9" i="16"/>
  <c r="BZ8" i="16"/>
  <c r="BZ7" i="16"/>
  <c r="BZ10" i="16" s="1"/>
  <c r="BZ16" i="16"/>
  <c r="BZ22" i="20" s="1"/>
  <c r="BZ31" i="13"/>
  <c r="CA23" i="18"/>
  <c r="CA21" i="14"/>
  <c r="AB33" i="21"/>
  <c r="AB35" i="21"/>
  <c r="AB38" i="20"/>
  <c r="AD9" i="17"/>
  <c r="AD10" i="17"/>
  <c r="AD21" i="17" s="1"/>
  <c r="AD8" i="17"/>
  <c r="AD17" i="19" s="1"/>
  <c r="CB10" i="14"/>
  <c r="CB17" i="13"/>
  <c r="BZ29" i="18" l="1"/>
  <c r="BZ20" i="18"/>
  <c r="BZ18" i="21" s="1"/>
  <c r="CD26" i="11"/>
  <c r="CD16" i="13" s="1"/>
  <c r="CD25" i="11"/>
  <c r="CD15" i="13" s="1"/>
  <c r="CD27" i="11"/>
  <c r="CB28" i="13"/>
  <c r="AD30" i="21"/>
  <c r="AD36" i="18"/>
  <c r="AD37" i="18" s="1"/>
  <c r="CE7" i="21"/>
  <c r="CE9" i="14"/>
  <c r="CE22" i="13"/>
  <c r="CE24" i="13"/>
  <c r="CE21" i="13"/>
  <c r="CE9" i="13"/>
  <c r="CE23" i="13"/>
  <c r="CE11" i="13"/>
  <c r="CE24" i="15"/>
  <c r="CE25" i="15" s="1"/>
  <c r="CE9" i="21" s="1"/>
  <c r="CE21" i="11"/>
  <c r="CE10" i="13"/>
  <c r="CE22" i="11"/>
  <c r="CE8" i="13"/>
  <c r="CE17" i="11"/>
  <c r="CE18" i="11"/>
  <c r="AC36" i="20"/>
  <c r="CC18" i="13"/>
  <c r="CE12" i="12"/>
  <c r="CE28" i="12" s="1"/>
  <c r="CE15" i="12"/>
  <c r="CE17" i="12" s="1"/>
  <c r="CE8" i="18" s="1"/>
  <c r="CD13" i="18"/>
  <c r="BY29" i="18"/>
  <c r="CC9" i="18"/>
  <c r="CC30" i="12"/>
  <c r="BX34" i="18"/>
  <c r="BX21" i="21" s="1"/>
  <c r="CD25" i="13"/>
  <c r="CD15" i="18" s="1"/>
  <c r="AF7" i="15"/>
  <c r="AE20" i="15"/>
  <c r="AE15" i="20" s="1"/>
  <c r="AE16" i="20" s="1"/>
  <c r="CD8" i="14"/>
  <c r="CD21" i="12"/>
  <c r="CA15" i="21"/>
  <c r="CA14" i="21"/>
  <c r="CC11" i="14"/>
  <c r="AD20" i="17"/>
  <c r="AE7" i="17"/>
  <c r="AD24" i="20"/>
  <c r="AD25" i="20" s="1"/>
  <c r="CC25" i="12"/>
  <c r="AC23" i="19"/>
  <c r="AC25" i="19" s="1"/>
  <c r="CD12" i="21"/>
  <c r="CD17" i="14"/>
  <c r="CD25" i="18" s="1"/>
  <c r="CD14" i="14"/>
  <c r="CD16" i="14"/>
  <c r="CD7" i="18"/>
  <c r="CD15" i="14"/>
  <c r="BZ10" i="20"/>
  <c r="BZ23" i="16"/>
  <c r="CD7" i="14"/>
  <c r="CD20" i="12"/>
  <c r="CD22" i="12" s="1"/>
  <c r="CD25" i="12" s="1"/>
  <c r="CC10" i="14"/>
  <c r="CC17" i="13"/>
  <c r="CC24" i="18"/>
  <c r="CC18" i="14"/>
  <c r="BY38" i="21"/>
  <c r="BY39" i="21" s="1"/>
  <c r="BY24" i="16"/>
  <c r="BY9" i="19" s="1"/>
  <c r="CF11" i="12"/>
  <c r="CF10" i="12"/>
  <c r="CH9" i="11"/>
  <c r="CG12" i="11"/>
  <c r="CG13" i="11"/>
  <c r="CB23" i="18"/>
  <c r="CB21" i="14"/>
  <c r="CF9" i="12"/>
  <c r="CF8" i="12"/>
  <c r="CF14" i="11"/>
  <c r="CD8" i="21"/>
  <c r="CB15" i="21"/>
  <c r="CB14" i="21"/>
  <c r="AB34" i="21"/>
  <c r="AB41" i="20"/>
  <c r="CA19" i="16"/>
  <c r="CA11" i="20" s="1"/>
  <c r="CA26" i="18"/>
  <c r="CA20" i="16"/>
  <c r="CA23" i="20" s="1"/>
  <c r="BX16" i="17"/>
  <c r="BX15" i="17"/>
  <c r="BY13" i="17" s="1"/>
  <c r="BX17" i="17"/>
  <c r="CA16" i="18"/>
  <c r="CA19" i="18" s="1"/>
  <c r="CA7" i="16"/>
  <c r="CA9" i="16"/>
  <c r="CA16" i="16"/>
  <c r="CA22" i="20" s="1"/>
  <c r="CA8" i="16"/>
  <c r="CA31" i="13"/>
  <c r="CD13" i="21" l="1"/>
  <c r="CD10" i="18"/>
  <c r="CD13" i="16"/>
  <c r="CD9" i="20" s="1"/>
  <c r="CD29" i="12"/>
  <c r="CA29" i="18"/>
  <c r="CA20" i="18"/>
  <c r="CA18" i="21" s="1"/>
  <c r="AC8" i="20"/>
  <c r="AC12" i="20" s="1"/>
  <c r="AC18" i="20" s="1"/>
  <c r="AD24" i="19"/>
  <c r="AC26" i="21"/>
  <c r="AC28" i="21" s="1"/>
  <c r="AC29" i="21" s="1"/>
  <c r="CD10" i="14"/>
  <c r="CD17" i="13"/>
  <c r="CD18" i="13" s="1"/>
  <c r="CE25" i="13"/>
  <c r="CE15" i="18" s="1"/>
  <c r="AC33" i="21"/>
  <c r="AC35" i="21"/>
  <c r="BZ38" i="21"/>
  <c r="BZ39" i="21" s="1"/>
  <c r="BZ24" i="16"/>
  <c r="BZ9" i="19" s="1"/>
  <c r="CE12" i="13"/>
  <c r="AD40" i="18"/>
  <c r="AD39" i="18"/>
  <c r="CE7" i="14"/>
  <c r="CE20" i="12"/>
  <c r="AF12" i="15"/>
  <c r="AF14" i="15" s="1"/>
  <c r="AF13" i="19" s="1"/>
  <c r="AF14" i="19" s="1"/>
  <c r="AF18" i="15"/>
  <c r="AF9" i="15"/>
  <c r="BY19" i="21"/>
  <c r="BY33" i="18"/>
  <c r="BY30" i="18"/>
  <c r="BY20" i="21" s="1"/>
  <c r="CI9" i="11"/>
  <c r="CH12" i="11"/>
  <c r="CH13" i="11"/>
  <c r="CC14" i="18"/>
  <c r="CC28" i="13"/>
  <c r="CB16" i="18"/>
  <c r="CB19" i="18" s="1"/>
  <c r="CB7" i="16"/>
  <c r="CB8" i="16"/>
  <c r="CB9" i="16"/>
  <c r="CB16" i="16"/>
  <c r="CB22" i="20" s="1"/>
  <c r="CB31" i="13"/>
  <c r="CB32" i="13"/>
  <c r="CA10" i="16"/>
  <c r="CG11" i="12"/>
  <c r="CG10" i="12"/>
  <c r="CG9" i="12"/>
  <c r="CG16" i="12" s="1"/>
  <c r="CG8" i="12"/>
  <c r="CG14" i="11"/>
  <c r="CC13" i="21"/>
  <c r="CC10" i="18"/>
  <c r="CC32" i="13"/>
  <c r="CC13" i="16"/>
  <c r="CC9" i="20" s="1"/>
  <c r="CC29" i="12"/>
  <c r="AE10" i="17"/>
  <c r="AE21" i="17" s="1"/>
  <c r="AE8" i="17"/>
  <c r="AE17" i="19" s="1"/>
  <c r="CF7" i="21"/>
  <c r="CF9" i="14"/>
  <c r="CF22" i="13"/>
  <c r="CF24" i="13"/>
  <c r="CF9" i="13"/>
  <c r="CF23" i="13"/>
  <c r="CF11" i="13"/>
  <c r="CF21" i="13"/>
  <c r="CF25" i="13" s="1"/>
  <c r="CF15" i="18" s="1"/>
  <c r="CF24" i="15"/>
  <c r="CF25" i="15" s="1"/>
  <c r="CF9" i="21" s="1"/>
  <c r="CF21" i="11"/>
  <c r="CF18" i="11"/>
  <c r="CF22" i="11"/>
  <c r="CF8" i="13"/>
  <c r="CF17" i="11"/>
  <c r="CF10" i="13"/>
  <c r="CE25" i="11"/>
  <c r="CE15" i="13" s="1"/>
  <c r="CE27" i="11"/>
  <c r="CE26" i="11"/>
  <c r="CE16" i="13" s="1"/>
  <c r="AC38" i="20"/>
  <c r="CE8" i="21"/>
  <c r="CE8" i="14"/>
  <c r="CE21" i="12"/>
  <c r="CD9" i="18"/>
  <c r="CD30" i="12"/>
  <c r="CD11" i="14"/>
  <c r="BY16" i="17"/>
  <c r="BY15" i="17"/>
  <c r="BZ13" i="17" s="1"/>
  <c r="BY17" i="17"/>
  <c r="CF15" i="12"/>
  <c r="CF12" i="12"/>
  <c r="CF16" i="12"/>
  <c r="CD24" i="18"/>
  <c r="CD18" i="14"/>
  <c r="AD31" i="20"/>
  <c r="CE12" i="21"/>
  <c r="CE15" i="14"/>
  <c r="CE7" i="18"/>
  <c r="CE14" i="14"/>
  <c r="CE16" i="14"/>
  <c r="CE17" i="14"/>
  <c r="CE25" i="18" s="1"/>
  <c r="AD27" i="21"/>
  <c r="AD28" i="20"/>
  <c r="AD29" i="20" s="1"/>
  <c r="CC23" i="18"/>
  <c r="CC21" i="14"/>
  <c r="CB19" i="16"/>
  <c r="CB11" i="20" s="1"/>
  <c r="CB26" i="18"/>
  <c r="CB20" i="16"/>
  <c r="CB23" i="20" s="1"/>
  <c r="BZ19" i="21"/>
  <c r="BZ33" i="18"/>
  <c r="BZ30" i="18"/>
  <c r="BZ20" i="21" s="1"/>
  <c r="CD14" i="18" l="1"/>
  <c r="CD28" i="13"/>
  <c r="CF8" i="14"/>
  <c r="CF21" i="12"/>
  <c r="CG7" i="21"/>
  <c r="CG24" i="13"/>
  <c r="CG9" i="14"/>
  <c r="CG9" i="13"/>
  <c r="CG23" i="13"/>
  <c r="CG22" i="13"/>
  <c r="CG11" i="13"/>
  <c r="CG21" i="13"/>
  <c r="CG25" i="13" s="1"/>
  <c r="CG15" i="18" s="1"/>
  <c r="CG24" i="15"/>
  <c r="CG25" i="15" s="1"/>
  <c r="CG9" i="21" s="1"/>
  <c r="CG21" i="11"/>
  <c r="CG8" i="13"/>
  <c r="CG10" i="13"/>
  <c r="CG22" i="11"/>
  <c r="CG17" i="11"/>
  <c r="CG18" i="11"/>
  <c r="H4" i="23"/>
  <c r="CD23" i="18"/>
  <c r="CD21" i="14"/>
  <c r="CH9" i="12"/>
  <c r="CH16" i="12" s="1"/>
  <c r="CH14" i="11"/>
  <c r="CH8" i="12"/>
  <c r="CF17" i="12"/>
  <c r="CF8" i="18" s="1"/>
  <c r="AC34" i="21"/>
  <c r="AC41" i="20"/>
  <c r="CC19" i="16"/>
  <c r="CC11" i="20" s="1"/>
  <c r="CC26" i="18"/>
  <c r="CC20" i="16"/>
  <c r="CC23" i="20" s="1"/>
  <c r="CF20" i="12"/>
  <c r="CF22" i="12" s="1"/>
  <c r="CF7" i="14"/>
  <c r="CF12" i="13"/>
  <c r="CJ9" i="11"/>
  <c r="CI13" i="11"/>
  <c r="CI12" i="11"/>
  <c r="CC15" i="21"/>
  <c r="CC14" i="21"/>
  <c r="BY34" i="18"/>
  <c r="BY21" i="21" s="1"/>
  <c r="CA19" i="21"/>
  <c r="CA33" i="18"/>
  <c r="CA30" i="18"/>
  <c r="CA20" i="21" s="1"/>
  <c r="AD22" i="21"/>
  <c r="AD7" i="19"/>
  <c r="AD10" i="19" s="1"/>
  <c r="AD19" i="19"/>
  <c r="AD20" i="19" s="1"/>
  <c r="AD41" i="18"/>
  <c r="AD23" i="21" s="1"/>
  <c r="BZ16" i="17"/>
  <c r="BZ15" i="17"/>
  <c r="CA13" i="17" s="1"/>
  <c r="BZ17" i="17"/>
  <c r="CH11" i="12"/>
  <c r="CH10" i="12"/>
  <c r="CF12" i="21"/>
  <c r="CF7" i="18"/>
  <c r="CF15" i="14"/>
  <c r="CF17" i="14"/>
  <c r="CF25" i="18" s="1"/>
  <c r="CF14" i="14"/>
  <c r="CF16" i="14"/>
  <c r="CB10" i="16"/>
  <c r="AF20" i="15"/>
  <c r="AF15" i="20" s="1"/>
  <c r="AF16" i="20" s="1"/>
  <c r="AG7" i="15"/>
  <c r="CF8" i="21"/>
  <c r="CE24" i="18"/>
  <c r="CE18" i="14"/>
  <c r="CE10" i="14"/>
  <c r="CE11" i="14" s="1"/>
  <c r="CE17" i="13"/>
  <c r="CE18" i="13" s="1"/>
  <c r="AE30" i="21"/>
  <c r="AE36" i="18"/>
  <c r="AE37" i="18" s="1"/>
  <c r="CB29" i="18"/>
  <c r="CB20" i="18"/>
  <c r="CB18" i="21" s="1"/>
  <c r="CE13" i="18"/>
  <c r="CC19" i="18"/>
  <c r="BZ34" i="18"/>
  <c r="BZ21" i="21" s="1"/>
  <c r="CG15" i="12"/>
  <c r="CG17" i="12" s="1"/>
  <c r="CG8" i="18" s="1"/>
  <c r="CG12" i="12"/>
  <c r="CF25" i="11"/>
  <c r="CF15" i="13" s="1"/>
  <c r="CF27" i="11"/>
  <c r="CF26" i="11"/>
  <c r="CF16" i="13" s="1"/>
  <c r="CF28" i="12"/>
  <c r="CA10" i="20"/>
  <c r="CA23" i="16"/>
  <c r="AE9" i="17"/>
  <c r="CC16" i="18"/>
  <c r="CC8" i="16"/>
  <c r="CC9" i="16"/>
  <c r="CC16" i="16"/>
  <c r="CC22" i="20" s="1"/>
  <c r="CC7" i="16"/>
  <c r="CC10" i="16" s="1"/>
  <c r="CC31" i="13"/>
  <c r="CE22" i="12"/>
  <c r="CD15" i="21"/>
  <c r="CD14" i="21"/>
  <c r="CE21" i="14" l="1"/>
  <c r="CE23" i="18"/>
  <c r="CE14" i="18"/>
  <c r="CE28" i="13"/>
  <c r="CG12" i="21"/>
  <c r="CG7" i="18"/>
  <c r="CG15" i="14"/>
  <c r="CG17" i="14"/>
  <c r="CG25" i="18" s="1"/>
  <c r="CG14" i="14"/>
  <c r="CG16" i="14"/>
  <c r="H5" i="23"/>
  <c r="CG12" i="13"/>
  <c r="CC10" i="20"/>
  <c r="CC23" i="16"/>
  <c r="CF17" i="13"/>
  <c r="CF10" i="14"/>
  <c r="AD23" i="19"/>
  <c r="AD25" i="19" s="1"/>
  <c r="CA34" i="18"/>
  <c r="CA21" i="21" s="1"/>
  <c r="CF24" i="18"/>
  <c r="CF18" i="14"/>
  <c r="CH7" i="21"/>
  <c r="CH24" i="13"/>
  <c r="CH21" i="13"/>
  <c r="CH9" i="13"/>
  <c r="CH23" i="13"/>
  <c r="CH22" i="13"/>
  <c r="CH11" i="13"/>
  <c r="CH21" i="11"/>
  <c r="CH24" i="15"/>
  <c r="CH25" i="15" s="1"/>
  <c r="CH9" i="21" s="1"/>
  <c r="CH22" i="11"/>
  <c r="CH8" i="13"/>
  <c r="CH17" i="11"/>
  <c r="CH18" i="11"/>
  <c r="CH9" i="14"/>
  <c r="CH10" i="13"/>
  <c r="CA16" i="17"/>
  <c r="CA15" i="17"/>
  <c r="CB13" i="17" s="1"/>
  <c r="CA17" i="17"/>
  <c r="CG7" i="14"/>
  <c r="CG20" i="12"/>
  <c r="CG22" i="12" s="1"/>
  <c r="CG25" i="12" s="1"/>
  <c r="CI11" i="12"/>
  <c r="CI10" i="12"/>
  <c r="CG25" i="11"/>
  <c r="CG15" i="13" s="1"/>
  <c r="CG27" i="11"/>
  <c r="CG26" i="11"/>
  <c r="CG16" i="13" s="1"/>
  <c r="AG9" i="15"/>
  <c r="AG12" i="15"/>
  <c r="AG14" i="15" s="1"/>
  <c r="AG13" i="19" s="1"/>
  <c r="AG14" i="19" s="1"/>
  <c r="CG8" i="21"/>
  <c r="CF18" i="13"/>
  <c r="CF14" i="18" s="1"/>
  <c r="CB10" i="20"/>
  <c r="CB23" i="16"/>
  <c r="AE20" i="17"/>
  <c r="AF7" i="17"/>
  <c r="AE24" i="20"/>
  <c r="AE25" i="20" s="1"/>
  <c r="CD19" i="16"/>
  <c r="CD11" i="20" s="1"/>
  <c r="CD26" i="18"/>
  <c r="CD20" i="16"/>
  <c r="CD23" i="20" s="1"/>
  <c r="AD35" i="20"/>
  <c r="CK9" i="11"/>
  <c r="CJ13" i="11"/>
  <c r="CJ12" i="11"/>
  <c r="CG28" i="12"/>
  <c r="CH12" i="12"/>
  <c r="CH28" i="12" s="1"/>
  <c r="CH15" i="12"/>
  <c r="CH17" i="12" s="1"/>
  <c r="CH8" i="18" s="1"/>
  <c r="CC29" i="18"/>
  <c r="CC20" i="18"/>
  <c r="CC18" i="21" s="1"/>
  <c r="CI9" i="12"/>
  <c r="CI16" i="12" s="1"/>
  <c r="CI14" i="11"/>
  <c r="CI8" i="12"/>
  <c r="CF9" i="18"/>
  <c r="CF30" i="12"/>
  <c r="CE9" i="18"/>
  <c r="CE30" i="12"/>
  <c r="CE25" i="12"/>
  <c r="CF25" i="12"/>
  <c r="CG8" i="14"/>
  <c r="CG21" i="12"/>
  <c r="CD16" i="18"/>
  <c r="CD19" i="18" s="1"/>
  <c r="CD7" i="16"/>
  <c r="CD8" i="16"/>
  <c r="CD16" i="16"/>
  <c r="CD22" i="20" s="1"/>
  <c r="CD9" i="16"/>
  <c r="CD31" i="13"/>
  <c r="CD32" i="13"/>
  <c r="CF13" i="18"/>
  <c r="CF11" i="14"/>
  <c r="CA38" i="21"/>
  <c r="CA39" i="21" s="1"/>
  <c r="CA24" i="16"/>
  <c r="CA9" i="19" s="1"/>
  <c r="CB19" i="21"/>
  <c r="CB33" i="18"/>
  <c r="CB30" i="18"/>
  <c r="CB20" i="21" s="1"/>
  <c r="AE39" i="18"/>
  <c r="AE40" i="18" s="1"/>
  <c r="AE22" i="21" l="1"/>
  <c r="AE7" i="19"/>
  <c r="AE10" i="19" s="1"/>
  <c r="AE19" i="19"/>
  <c r="AE20" i="19" s="1"/>
  <c r="AE41" i="18"/>
  <c r="AE23" i="21" s="1"/>
  <c r="CG13" i="21"/>
  <c r="CG10" i="18"/>
  <c r="CG13" i="16"/>
  <c r="CG9" i="20" s="1"/>
  <c r="CG29" i="12"/>
  <c r="AE31" i="20"/>
  <c r="AD26" i="21"/>
  <c r="AD28" i="21" s="1"/>
  <c r="AD29" i="21" s="1"/>
  <c r="AE24" i="19"/>
  <c r="AD8" i="20"/>
  <c r="AD12" i="20" s="1"/>
  <c r="AD18" i="20" s="1"/>
  <c r="CH7" i="14"/>
  <c r="CH20" i="12"/>
  <c r="CB34" i="18"/>
  <c r="CB21" i="21" s="1"/>
  <c r="CC19" i="21"/>
  <c r="CC33" i="18"/>
  <c r="CC30" i="18"/>
  <c r="CC20" i="21" s="1"/>
  <c r="AG18" i="15"/>
  <c r="CG13" i="18"/>
  <c r="CF28" i="13"/>
  <c r="CE13" i="21"/>
  <c r="CE10" i="18"/>
  <c r="CE32" i="13"/>
  <c r="CE13" i="16"/>
  <c r="CE9" i="20" s="1"/>
  <c r="CE29" i="12"/>
  <c r="H6" i="23"/>
  <c r="CH8" i="14"/>
  <c r="CH21" i="12"/>
  <c r="CI15" i="12"/>
  <c r="CI17" i="12" s="1"/>
  <c r="CI8" i="18" s="1"/>
  <c r="CI12" i="12"/>
  <c r="CG24" i="18"/>
  <c r="CG18" i="14"/>
  <c r="CH12" i="13"/>
  <c r="CH25" i="11"/>
  <c r="CH15" i="13" s="1"/>
  <c r="CH27" i="11"/>
  <c r="CH26" i="11"/>
  <c r="CH16" i="13" s="1"/>
  <c r="CG9" i="18"/>
  <c r="CG30" i="12"/>
  <c r="CB38" i="21"/>
  <c r="CB39" i="21" s="1"/>
  <c r="CB24" i="16"/>
  <c r="CB9" i="19" s="1"/>
  <c r="CC38" i="21"/>
  <c r="CC39" i="21" s="1"/>
  <c r="CC24" i="16"/>
  <c r="CC9" i="19" s="1"/>
  <c r="CH12" i="21"/>
  <c r="CH7" i="18"/>
  <c r="CH15" i="14"/>
  <c r="CH17" i="14"/>
  <c r="CH25" i="18" s="1"/>
  <c r="CH14" i="14"/>
  <c r="CH16" i="14"/>
  <c r="CG11" i="14"/>
  <c r="CE16" i="18"/>
  <c r="CE7" i="16"/>
  <c r="CE10" i="16" s="1"/>
  <c r="CE16" i="16"/>
  <c r="CE22" i="20" s="1"/>
  <c r="CE9" i="16"/>
  <c r="CE8" i="16"/>
  <c r="CE31" i="13"/>
  <c r="CF23" i="18"/>
  <c r="CF21" i="14"/>
  <c r="CG10" i="14"/>
  <c r="CG17" i="13"/>
  <c r="CG18" i="13" s="1"/>
  <c r="CJ9" i="12"/>
  <c r="CJ16" i="12" s="1"/>
  <c r="CJ14" i="11"/>
  <c r="CJ8" i="12"/>
  <c r="CL9" i="11"/>
  <c r="CK13" i="11"/>
  <c r="CK12" i="11"/>
  <c r="CH8" i="21"/>
  <c r="AF10" i="17"/>
  <c r="AF21" i="17" s="1"/>
  <c r="AF8" i="17"/>
  <c r="AF17" i="19" s="1"/>
  <c r="AE27" i="21"/>
  <c r="AE28" i="20"/>
  <c r="AE29" i="20" s="1"/>
  <c r="CI7" i="21"/>
  <c r="CI23" i="13"/>
  <c r="CI22" i="13"/>
  <c r="CI11" i="13"/>
  <c r="CI8" i="13"/>
  <c r="CI21" i="13"/>
  <c r="CI21" i="11"/>
  <c r="CI24" i="13"/>
  <c r="CI24" i="15"/>
  <c r="CI25" i="15" s="1"/>
  <c r="CI9" i="21" s="1"/>
  <c r="CI9" i="13"/>
  <c r="CI22" i="11"/>
  <c r="CI9" i="14"/>
  <c r="CI17" i="11"/>
  <c r="CI18" i="11"/>
  <c r="CI10" i="13"/>
  <c r="CH25" i="13"/>
  <c r="CH15" i="18" s="1"/>
  <c r="CD29" i="18"/>
  <c r="CD20" i="18"/>
  <c r="CD18" i="21" s="1"/>
  <c r="CB16" i="17"/>
  <c r="CB15" i="17"/>
  <c r="CC13" i="17" s="1"/>
  <c r="CB17" i="17"/>
  <c r="CJ11" i="12"/>
  <c r="CJ10" i="12"/>
  <c r="CD10" i="16"/>
  <c r="AE35" i="20"/>
  <c r="AD36" i="20"/>
  <c r="CF13" i="21"/>
  <c r="CF10" i="18"/>
  <c r="CF32" i="13"/>
  <c r="CF13" i="16"/>
  <c r="CF9" i="20" s="1"/>
  <c r="CF29" i="12"/>
  <c r="CE20" i="16"/>
  <c r="CE23" i="20" s="1"/>
  <c r="CE26" i="18"/>
  <c r="CE19" i="16"/>
  <c r="CE11" i="20" s="1"/>
  <c r="CG14" i="18" l="1"/>
  <c r="CG28" i="13"/>
  <c r="CE10" i="20"/>
  <c r="CE23" i="16"/>
  <c r="AF30" i="21"/>
  <c r="AF36" i="18"/>
  <c r="AF37" i="18" s="1"/>
  <c r="CG23" i="18"/>
  <c r="CG21" i="14"/>
  <c r="CH13" i="18"/>
  <c r="CH28" i="13"/>
  <c r="CI8" i="14"/>
  <c r="CI21" i="12"/>
  <c r="CK9" i="12"/>
  <c r="CK16" i="12" s="1"/>
  <c r="CK14" i="11"/>
  <c r="CK8" i="12"/>
  <c r="CF15" i="21"/>
  <c r="CF14" i="21"/>
  <c r="AE36" i="20"/>
  <c r="CI12" i="13"/>
  <c r="AE38" i="20"/>
  <c r="CI28" i="12"/>
  <c r="CF20" i="16"/>
  <c r="CF23" i="20" s="1"/>
  <c r="CF26" i="18"/>
  <c r="CF19" i="16"/>
  <c r="CF11" i="20" s="1"/>
  <c r="AG20" i="15"/>
  <c r="AG15" i="20" s="1"/>
  <c r="AG16" i="20" s="1"/>
  <c r="AH7" i="15"/>
  <c r="CM9" i="11"/>
  <c r="CL13" i="11"/>
  <c r="CL12" i="11"/>
  <c r="AD35" i="21"/>
  <c r="AD33" i="21"/>
  <c r="AD38" i="20"/>
  <c r="CI27" i="11"/>
  <c r="CI25" i="11"/>
  <c r="CI15" i="13" s="1"/>
  <c r="CI26" i="11"/>
  <c r="CI16" i="13" s="1"/>
  <c r="CD10" i="20"/>
  <c r="CD23" i="16"/>
  <c r="CF16" i="18"/>
  <c r="CF8" i="16"/>
  <c r="CF7" i="16"/>
  <c r="CF16" i="16"/>
  <c r="CF22" i="20" s="1"/>
  <c r="CF9" i="16"/>
  <c r="CF31" i="13"/>
  <c r="CC16" i="17"/>
  <c r="CC15" i="17"/>
  <c r="CD13" i="17" s="1"/>
  <c r="CC17" i="17"/>
  <c r="CG15" i="21"/>
  <c r="CG14" i="21"/>
  <c r="AF9" i="17"/>
  <c r="CI7" i="14"/>
  <c r="CI20" i="12"/>
  <c r="CI22" i="12" s="1"/>
  <c r="CI25" i="12" s="1"/>
  <c r="CH24" i="18"/>
  <c r="CH18" i="14"/>
  <c r="CI25" i="13"/>
  <c r="CI15" i="18" s="1"/>
  <c r="CI12" i="21"/>
  <c r="CI7" i="18"/>
  <c r="CI15" i="14"/>
  <c r="CI17" i="14"/>
  <c r="CI25" i="18" s="1"/>
  <c r="CI14" i="14"/>
  <c r="CI16" i="14"/>
  <c r="CF19" i="18"/>
  <c r="CF29" i="18" s="1"/>
  <c r="AD34" i="21"/>
  <c r="AD41" i="20"/>
  <c r="CJ15" i="12"/>
  <c r="CJ17" i="12" s="1"/>
  <c r="CJ8" i="18" s="1"/>
  <c r="CJ12" i="12"/>
  <c r="CE15" i="21"/>
  <c r="CE14" i="21"/>
  <c r="CI8" i="21"/>
  <c r="CH10" i="14"/>
  <c r="CH11" i="14" s="1"/>
  <c r="CH17" i="13"/>
  <c r="CC34" i="18"/>
  <c r="CC21" i="21" s="1"/>
  <c r="AE23" i="19"/>
  <c r="AE25" i="19" s="1"/>
  <c r="CH22" i="12"/>
  <c r="CK11" i="12"/>
  <c r="CK10" i="12"/>
  <c r="CE20" i="18"/>
  <c r="CE18" i="21" s="1"/>
  <c r="CE30" i="18"/>
  <c r="CE20" i="21" s="1"/>
  <c r="CE19" i="18"/>
  <c r="CE29" i="18" s="1"/>
  <c r="CJ7" i="21"/>
  <c r="CJ9" i="14"/>
  <c r="CJ23" i="13"/>
  <c r="CJ11" i="13"/>
  <c r="CJ24" i="13"/>
  <c r="CJ21" i="13"/>
  <c r="CJ24" i="15"/>
  <c r="CJ25" i="15" s="1"/>
  <c r="CJ9" i="21" s="1"/>
  <c r="CJ9" i="13"/>
  <c r="CJ8" i="13"/>
  <c r="CJ10" i="13"/>
  <c r="CJ17" i="11"/>
  <c r="CJ18" i="11"/>
  <c r="CJ22" i="13"/>
  <c r="CJ22" i="11"/>
  <c r="CJ21" i="11"/>
  <c r="CD19" i="21"/>
  <c r="CD33" i="18"/>
  <c r="CD30" i="18"/>
  <c r="CD20" i="21" s="1"/>
  <c r="CH18" i="13"/>
  <c r="CH14" i="18" s="1"/>
  <c r="AE8" i="20" l="1"/>
  <c r="AE12" i="20" s="1"/>
  <c r="AE18" i="20" s="1"/>
  <c r="AF24" i="19"/>
  <c r="AE26" i="21"/>
  <c r="AE28" i="21" s="1"/>
  <c r="AE29" i="21" s="1"/>
  <c r="CI13" i="21"/>
  <c r="CI10" i="18"/>
  <c r="CI13" i="16"/>
  <c r="CI9" i="20" s="1"/>
  <c r="CI29" i="12"/>
  <c r="CH23" i="18"/>
  <c r="CH21" i="14"/>
  <c r="CL8" i="12"/>
  <c r="CL14" i="11"/>
  <c r="CL9" i="12"/>
  <c r="CJ12" i="21"/>
  <c r="CJ7" i="18"/>
  <c r="CJ15" i="14"/>
  <c r="CJ17" i="14"/>
  <c r="CJ25" i="18" s="1"/>
  <c r="CJ14" i="14"/>
  <c r="CJ16" i="14"/>
  <c r="CK15" i="12"/>
  <c r="CK17" i="12" s="1"/>
  <c r="CK8" i="18" s="1"/>
  <c r="CK12" i="12"/>
  <c r="AH9" i="15"/>
  <c r="AH12" i="15"/>
  <c r="AH14" i="15" s="1"/>
  <c r="AH13" i="19" s="1"/>
  <c r="AH14" i="19" s="1"/>
  <c r="CN9" i="11"/>
  <c r="CM13" i="11"/>
  <c r="CM12" i="11"/>
  <c r="CG26" i="18"/>
  <c r="CG19" i="16"/>
  <c r="CG11" i="20" s="1"/>
  <c r="CG20" i="16"/>
  <c r="CG23" i="20" s="1"/>
  <c r="AF20" i="17"/>
  <c r="AG7" i="17"/>
  <c r="AF24" i="20"/>
  <c r="AF25" i="20" s="1"/>
  <c r="CK7" i="21"/>
  <c r="CK9" i="14"/>
  <c r="CK21" i="13"/>
  <c r="CK28" i="12"/>
  <c r="CK10" i="13"/>
  <c r="CK21" i="11"/>
  <c r="CK24" i="13"/>
  <c r="CK24" i="15"/>
  <c r="CK25" i="15" s="1"/>
  <c r="CK9" i="21" s="1"/>
  <c r="CK22" i="13"/>
  <c r="CK9" i="13"/>
  <c r="CK8" i="13"/>
  <c r="CK18" i="11"/>
  <c r="CK17" i="11"/>
  <c r="CK22" i="11"/>
  <c r="CK23" i="13"/>
  <c r="CK11" i="13"/>
  <c r="CD15" i="17"/>
  <c r="CE13" i="17" s="1"/>
  <c r="CD17" i="17"/>
  <c r="CD16" i="17"/>
  <c r="CF19" i="21"/>
  <c r="CF33" i="18"/>
  <c r="CH8" i="16"/>
  <c r="CH16" i="18"/>
  <c r="CH16" i="16"/>
  <c r="CH22" i="20" s="1"/>
  <c r="CH7" i="16"/>
  <c r="CH9" i="16"/>
  <c r="CH31" i="13"/>
  <c r="AF39" i="18"/>
  <c r="AF40" i="18" s="1"/>
  <c r="CI9" i="18"/>
  <c r="CI30" i="12"/>
  <c r="CF30" i="18"/>
  <c r="CF20" i="21" s="1"/>
  <c r="CI11" i="14"/>
  <c r="CH9" i="18"/>
  <c r="CH30" i="12"/>
  <c r="CH25" i="12"/>
  <c r="CF10" i="16"/>
  <c r="CD38" i="21"/>
  <c r="CD39" i="21" s="1"/>
  <c r="CD24" i="16"/>
  <c r="CD9" i="19" s="1"/>
  <c r="CE38" i="21"/>
  <c r="CE39" i="21" s="1"/>
  <c r="CE24" i="16"/>
  <c r="CE9" i="19" s="1"/>
  <c r="CJ8" i="21"/>
  <c r="CJ7" i="14"/>
  <c r="CJ20" i="12"/>
  <c r="CJ22" i="12" s="1"/>
  <c r="CJ12" i="13"/>
  <c r="CI24" i="18"/>
  <c r="CI18" i="14"/>
  <c r="CD34" i="18"/>
  <c r="CD21" i="21" s="1"/>
  <c r="CE19" i="21"/>
  <c r="CE33" i="18"/>
  <c r="CJ25" i="11"/>
  <c r="CJ15" i="13" s="1"/>
  <c r="CJ27" i="11"/>
  <c r="CJ26" i="11"/>
  <c r="CJ16" i="13" s="1"/>
  <c r="CJ21" i="12"/>
  <c r="CJ8" i="14"/>
  <c r="CI13" i="18"/>
  <c r="CI18" i="13"/>
  <c r="CI14" i="18" s="1"/>
  <c r="AE35" i="21"/>
  <c r="AE33" i="21"/>
  <c r="CF20" i="18"/>
  <c r="CF18" i="21" s="1"/>
  <c r="CJ25" i="13"/>
  <c r="CJ15" i="18" s="1"/>
  <c r="CI17" i="13"/>
  <c r="CI10" i="14"/>
  <c r="CG8" i="16"/>
  <c r="CG16" i="18"/>
  <c r="CG19" i="18" s="1"/>
  <c r="CG16" i="16"/>
  <c r="CG22" i="20" s="1"/>
  <c r="CG7" i="16"/>
  <c r="CG9" i="16"/>
  <c r="CG31" i="13"/>
  <c r="H7" i="23"/>
  <c r="H18" i="23" s="1"/>
  <c r="CG32" i="13"/>
  <c r="CL11" i="12"/>
  <c r="CL10" i="12"/>
  <c r="CJ28" i="12"/>
  <c r="AF22" i="21" l="1"/>
  <c r="AF7" i="19"/>
  <c r="AF10" i="19" s="1"/>
  <c r="AF19" i="19"/>
  <c r="AF20" i="19" s="1"/>
  <c r="AF41" i="18"/>
  <c r="AF23" i="21" s="1"/>
  <c r="AF35" i="20"/>
  <c r="CK8" i="21"/>
  <c r="AG9" i="17"/>
  <c r="AG10" i="17"/>
  <c r="AG21" i="17" s="1"/>
  <c r="AG8" i="17"/>
  <c r="AG17" i="19" s="1"/>
  <c r="CL15" i="12"/>
  <c r="CL12" i="12"/>
  <c r="CJ24" i="18"/>
  <c r="CJ18" i="14"/>
  <c r="CK25" i="13"/>
  <c r="CK15" i="18" s="1"/>
  <c r="CL7" i="21"/>
  <c r="CL9" i="14"/>
  <c r="CL21" i="13"/>
  <c r="CL25" i="13" s="1"/>
  <c r="CL15" i="18" s="1"/>
  <c r="CL21" i="11"/>
  <c r="CL24" i="13"/>
  <c r="CL24" i="15"/>
  <c r="CL25" i="15" s="1"/>
  <c r="CL9" i="21" s="1"/>
  <c r="CL22" i="13"/>
  <c r="CL9" i="13"/>
  <c r="CL8" i="13"/>
  <c r="CL18" i="11"/>
  <c r="CL22" i="11"/>
  <c r="CL23" i="13"/>
  <c r="CL10" i="13"/>
  <c r="CL11" i="13"/>
  <c r="CL17" i="11"/>
  <c r="CH20" i="16"/>
  <c r="CH23" i="20" s="1"/>
  <c r="CH26" i="18"/>
  <c r="CH19" i="16"/>
  <c r="CH11" i="20" s="1"/>
  <c r="CG10" i="16"/>
  <c r="CJ9" i="18"/>
  <c r="CJ30" i="12"/>
  <c r="CH10" i="18"/>
  <c r="CH13" i="21"/>
  <c r="CH32" i="13"/>
  <c r="CH13" i="16"/>
  <c r="CH9" i="20" s="1"/>
  <c r="CH29" i="12"/>
  <c r="CE34" i="18"/>
  <c r="CE21" i="21" s="1"/>
  <c r="CH10" i="16"/>
  <c r="CK25" i="11"/>
  <c r="CK15" i="13" s="1"/>
  <c r="CK26" i="11"/>
  <c r="CK16" i="13" s="1"/>
  <c r="CK27" i="11"/>
  <c r="CJ10" i="14"/>
  <c r="CJ11" i="14" s="1"/>
  <c r="CJ17" i="13"/>
  <c r="CJ18" i="13"/>
  <c r="CJ14" i="18" s="1"/>
  <c r="CF10" i="20"/>
  <c r="CF23" i="16"/>
  <c r="CG29" i="18"/>
  <c r="H8" i="23"/>
  <c r="H19" i="23" s="1"/>
  <c r="CG20" i="18"/>
  <c r="CG18" i="21" s="1"/>
  <c r="CK8" i="14"/>
  <c r="CK21" i="12"/>
  <c r="CM11" i="12"/>
  <c r="CM10" i="12"/>
  <c r="CJ13" i="18"/>
  <c r="CJ25" i="12"/>
  <c r="CO9" i="11"/>
  <c r="CN12" i="11"/>
  <c r="CN13" i="11"/>
  <c r="CI15" i="21"/>
  <c r="CI14" i="21"/>
  <c r="CK12" i="13"/>
  <c r="CI28" i="13"/>
  <c r="CL16" i="12"/>
  <c r="AF27" i="21"/>
  <c r="AF28" i="20"/>
  <c r="AF29" i="20" s="1"/>
  <c r="AF31" i="20" s="1"/>
  <c r="CI23" i="18"/>
  <c r="CI21" i="14"/>
  <c r="CK7" i="14"/>
  <c r="CK20" i="12"/>
  <c r="CM8" i="12"/>
  <c r="CM9" i="12"/>
  <c r="CM14" i="11"/>
  <c r="AH18" i="15"/>
  <c r="CF34" i="18"/>
  <c r="CF21" i="21" s="1"/>
  <c r="CE15" i="17"/>
  <c r="CF13" i="17" s="1"/>
  <c r="CE17" i="17"/>
  <c r="CE16" i="17"/>
  <c r="CK12" i="21"/>
  <c r="CK7" i="18"/>
  <c r="CK17" i="14"/>
  <c r="CK25" i="18" s="1"/>
  <c r="CK14" i="14"/>
  <c r="CK15" i="14"/>
  <c r="CK16" i="14"/>
  <c r="AE34" i="21"/>
  <c r="AE41" i="20"/>
  <c r="CJ23" i="18" l="1"/>
  <c r="CJ21" i="14"/>
  <c r="CL17" i="12"/>
  <c r="CL8" i="18" s="1"/>
  <c r="CK13" i="18"/>
  <c r="CF38" i="21"/>
  <c r="CF39" i="21" s="1"/>
  <c r="CF24" i="16"/>
  <c r="CF9" i="19" s="1"/>
  <c r="CJ13" i="21"/>
  <c r="CJ10" i="18"/>
  <c r="CJ13" i="16"/>
  <c r="CJ9" i="20" s="1"/>
  <c r="CJ29" i="12"/>
  <c r="CK18" i="13"/>
  <c r="CK14" i="18" s="1"/>
  <c r="CL8" i="14"/>
  <c r="CL21" i="12"/>
  <c r="CI16" i="18"/>
  <c r="CI19" i="18" s="1"/>
  <c r="CI8" i="16"/>
  <c r="CI16" i="16"/>
  <c r="CI22" i="20" s="1"/>
  <c r="CI9" i="16"/>
  <c r="CI7" i="16"/>
  <c r="CI31" i="13"/>
  <c r="CI32" i="13"/>
  <c r="CL12" i="21"/>
  <c r="CL7" i="18"/>
  <c r="CL17" i="14"/>
  <c r="CL25" i="18" s="1"/>
  <c r="CL14" i="14"/>
  <c r="CL15" i="14"/>
  <c r="CL16" i="14"/>
  <c r="CF15" i="17"/>
  <c r="CG13" i="17" s="1"/>
  <c r="CF17" i="17"/>
  <c r="CF16" i="17"/>
  <c r="CH10" i="20"/>
  <c r="CH23" i="16"/>
  <c r="CL12" i="13"/>
  <c r="CL8" i="21"/>
  <c r="CG19" i="21"/>
  <c r="CG33" i="18"/>
  <c r="H9" i="23"/>
  <c r="CG30" i="18"/>
  <c r="CG20" i="21" s="1"/>
  <c r="CK17" i="13"/>
  <c r="CK10" i="14"/>
  <c r="CL28" i="12"/>
  <c r="CM7" i="21"/>
  <c r="CM9" i="14"/>
  <c r="CM21" i="13"/>
  <c r="CM25" i="13" s="1"/>
  <c r="CM15" i="18" s="1"/>
  <c r="CM23" i="13"/>
  <c r="CM24" i="13"/>
  <c r="CM24" i="15"/>
  <c r="CM25" i="15" s="1"/>
  <c r="CM9" i="21" s="1"/>
  <c r="CM8" i="13"/>
  <c r="CM9" i="13"/>
  <c r="CM22" i="11"/>
  <c r="CM22" i="13"/>
  <c r="CM10" i="13"/>
  <c r="CM21" i="11"/>
  <c r="CM17" i="11"/>
  <c r="CM11" i="13"/>
  <c r="CM18" i="11"/>
  <c r="CM28" i="12"/>
  <c r="AF36" i="20"/>
  <c r="AH7" i="17"/>
  <c r="AG20" i="17"/>
  <c r="AG24" i="20"/>
  <c r="AG25" i="20" s="1"/>
  <c r="AH20" i="15"/>
  <c r="AH15" i="20" s="1"/>
  <c r="AH16" i="20" s="1"/>
  <c r="AI7" i="15"/>
  <c r="CK22" i="12"/>
  <c r="AG30" i="21"/>
  <c r="AG36" i="18"/>
  <c r="AG37" i="18" s="1"/>
  <c r="CP9" i="11"/>
  <c r="CO12" i="11"/>
  <c r="CO13" i="11"/>
  <c r="CM16" i="12"/>
  <c r="CM15" i="12"/>
  <c r="CM17" i="12" s="1"/>
  <c r="CM8" i="18" s="1"/>
  <c r="CM12" i="12"/>
  <c r="CH19" i="18"/>
  <c r="CH20" i="18" s="1"/>
  <c r="CH18" i="21" s="1"/>
  <c r="CK24" i="18"/>
  <c r="CK18" i="14"/>
  <c r="CN9" i="12"/>
  <c r="CN16" i="12" s="1"/>
  <c r="CN8" i="12"/>
  <c r="CN14" i="11"/>
  <c r="CJ28" i="13"/>
  <c r="CK11" i="14"/>
  <c r="CI26" i="18"/>
  <c r="CI20" i="16"/>
  <c r="CI23" i="20" s="1"/>
  <c r="CI19" i="16"/>
  <c r="CI11" i="20" s="1"/>
  <c r="AF23" i="19"/>
  <c r="AF25" i="19" s="1"/>
  <c r="CG10" i="20"/>
  <c r="CG23" i="16"/>
  <c r="CL7" i="14"/>
  <c r="CL20" i="12"/>
  <c r="CN10" i="12"/>
  <c r="CN11" i="12"/>
  <c r="CH15" i="21"/>
  <c r="CH14" i="21"/>
  <c r="CL27" i="11"/>
  <c r="CL26" i="11"/>
  <c r="CL16" i="13" s="1"/>
  <c r="CL25" i="11"/>
  <c r="CL15" i="13" s="1"/>
  <c r="CN7" i="21" l="1"/>
  <c r="CN9" i="14"/>
  <c r="CN21" i="13"/>
  <c r="CN23" i="13"/>
  <c r="CN8" i="13"/>
  <c r="CN24" i="13"/>
  <c r="CN24" i="15"/>
  <c r="CN25" i="15" s="1"/>
  <c r="CN9" i="21" s="1"/>
  <c r="CN22" i="13"/>
  <c r="CN9" i="13"/>
  <c r="CN18" i="11"/>
  <c r="CN21" i="11"/>
  <c r="CN10" i="13"/>
  <c r="CN11" i="13"/>
  <c r="CN22" i="11"/>
  <c r="CN17" i="11"/>
  <c r="AH10" i="17"/>
  <c r="AH21" i="17" s="1"/>
  <c r="AH8" i="17"/>
  <c r="AH17" i="19" s="1"/>
  <c r="CM25" i="11"/>
  <c r="CM15" i="13" s="1"/>
  <c r="CM27" i="11"/>
  <c r="CM26" i="11"/>
  <c r="CM16" i="13" s="1"/>
  <c r="CI29" i="18"/>
  <c r="CI20" i="18"/>
  <c r="CI18" i="21" s="1"/>
  <c r="CJ16" i="18"/>
  <c r="CJ19" i="18" s="1"/>
  <c r="CJ16" i="16"/>
  <c r="CJ22" i="20" s="1"/>
  <c r="CJ8" i="16"/>
  <c r="CJ7" i="16"/>
  <c r="CJ9" i="16"/>
  <c r="CJ31" i="13"/>
  <c r="CL13" i="18"/>
  <c r="CM7" i="14"/>
  <c r="CM20" i="12"/>
  <c r="CJ15" i="21"/>
  <c r="CJ14" i="21"/>
  <c r="CH38" i="21"/>
  <c r="CH39" i="21" s="1"/>
  <c r="CH24" i="16"/>
  <c r="CH9" i="19" s="1"/>
  <c r="CL18" i="13"/>
  <c r="CL14" i="18" s="1"/>
  <c r="CK28" i="13"/>
  <c r="CK23" i="18"/>
  <c r="CK21" i="14"/>
  <c r="CH29" i="18"/>
  <c r="CM8" i="21"/>
  <c r="CN15" i="12"/>
  <c r="CN17" i="12" s="1"/>
  <c r="CN8" i="18" s="1"/>
  <c r="CN12" i="12"/>
  <c r="CN28" i="12" s="1"/>
  <c r="AF33" i="21"/>
  <c r="AF35" i="21"/>
  <c r="CL17" i="13"/>
  <c r="CL10" i="14"/>
  <c r="CO10" i="12"/>
  <c r="CO11" i="12"/>
  <c r="CM12" i="13"/>
  <c r="CL24" i="18"/>
  <c r="CL18" i="14"/>
  <c r="CL22" i="12"/>
  <c r="CG38" i="21"/>
  <c r="CG39" i="21" s="1"/>
  <c r="CG24" i="16"/>
  <c r="CG9" i="19" s="1"/>
  <c r="CO9" i="12"/>
  <c r="CO14" i="11"/>
  <c r="CO8" i="12"/>
  <c r="AF38" i="20"/>
  <c r="CK9" i="18"/>
  <c r="CK30" i="12"/>
  <c r="CK25" i="12"/>
  <c r="AI12" i="15"/>
  <c r="AI14" i="15" s="1"/>
  <c r="AI13" i="19" s="1"/>
  <c r="AI14" i="19" s="1"/>
  <c r="AI9" i="15"/>
  <c r="CG17" i="17"/>
  <c r="CG16" i="17"/>
  <c r="CG15" i="17"/>
  <c r="CH13" i="17" s="1"/>
  <c r="CL11" i="14"/>
  <c r="CQ9" i="11"/>
  <c r="CP13" i="11"/>
  <c r="CP12" i="11"/>
  <c r="H10" i="23"/>
  <c r="H20" i="23" s="1"/>
  <c r="CG34" i="18"/>
  <c r="CG21" i="21" s="1"/>
  <c r="AG31" i="20"/>
  <c r="AG27" i="21"/>
  <c r="AG28" i="20"/>
  <c r="AG29" i="20" s="1"/>
  <c r="AG39" i="18"/>
  <c r="AG40" i="18"/>
  <c r="CI10" i="16"/>
  <c r="CJ26" i="18"/>
  <c r="CJ20" i="16"/>
  <c r="CJ23" i="20" s="1"/>
  <c r="CJ19" i="16"/>
  <c r="CJ11" i="20" s="1"/>
  <c r="CM8" i="14"/>
  <c r="CM21" i="12"/>
  <c r="CJ32" i="13"/>
  <c r="CM12" i="21"/>
  <c r="CM7" i="18"/>
  <c r="CM16" i="14"/>
  <c r="CM15" i="14"/>
  <c r="CM14" i="14"/>
  <c r="CM17" i="14"/>
  <c r="CM25" i="18" s="1"/>
  <c r="AF8" i="20"/>
  <c r="AF12" i="20" s="1"/>
  <c r="AF18" i="20" s="1"/>
  <c r="AG24" i="19"/>
  <c r="AF26" i="21"/>
  <c r="AF28" i="21" s="1"/>
  <c r="AF29" i="21" s="1"/>
  <c r="CJ29" i="18" l="1"/>
  <c r="CJ20" i="18"/>
  <c r="CJ18" i="21" s="1"/>
  <c r="CN25" i="11"/>
  <c r="CN15" i="13" s="1"/>
  <c r="CN26" i="11"/>
  <c r="CN16" i="13" s="1"/>
  <c r="CN27" i="11"/>
  <c r="CL28" i="13"/>
  <c r="CP10" i="12"/>
  <c r="CP11" i="12"/>
  <c r="CM13" i="18"/>
  <c r="CR9" i="11"/>
  <c r="CQ13" i="11"/>
  <c r="CQ12" i="11"/>
  <c r="CK13" i="21"/>
  <c r="CK10" i="18"/>
  <c r="CK32" i="13"/>
  <c r="CK13" i="16"/>
  <c r="CK9" i="20" s="1"/>
  <c r="CK29" i="12"/>
  <c r="CI10" i="20"/>
  <c r="CI23" i="16"/>
  <c r="CH16" i="17"/>
  <c r="CH15" i="17"/>
  <c r="CI13" i="17" s="1"/>
  <c r="CH17" i="17"/>
  <c r="CJ10" i="16"/>
  <c r="AH9" i="17"/>
  <c r="AG22" i="21"/>
  <c r="AG7" i="19"/>
  <c r="AG10" i="19" s="1"/>
  <c r="AG19" i="19"/>
  <c r="AG20" i="19" s="1"/>
  <c r="AG41" i="18"/>
  <c r="AG23" i="21" s="1"/>
  <c r="AI18" i="15"/>
  <c r="AH30" i="21"/>
  <c r="AH36" i="18"/>
  <c r="AH37" i="18" s="1"/>
  <c r="CM22" i="12"/>
  <c r="CO16" i="12"/>
  <c r="CK16" i="16"/>
  <c r="CK22" i="20" s="1"/>
  <c r="CK8" i="16"/>
  <c r="CK16" i="18"/>
  <c r="CK7" i="16"/>
  <c r="CK9" i="16"/>
  <c r="CK31" i="13"/>
  <c r="CN12" i="13"/>
  <c r="CN12" i="21"/>
  <c r="CN7" i="18"/>
  <c r="CN16" i="14"/>
  <c r="CN15" i="14"/>
  <c r="CN14" i="14"/>
  <c r="CN17" i="14"/>
  <c r="CN25" i="18" s="1"/>
  <c r="CM24" i="18"/>
  <c r="CM18" i="14"/>
  <c r="CN8" i="14"/>
  <c r="CN21" i="12"/>
  <c r="CH19" i="21"/>
  <c r="CH33" i="18"/>
  <c r="CH30" i="18"/>
  <c r="CH20" i="21" s="1"/>
  <c r="AF34" i="21"/>
  <c r="AF41" i="20"/>
  <c r="CN25" i="13"/>
  <c r="CN15" i="18" s="1"/>
  <c r="CL23" i="18"/>
  <c r="CL21" i="14"/>
  <c r="CN7" i="14"/>
  <c r="CN20" i="12"/>
  <c r="CO15" i="12"/>
  <c r="CO12" i="12"/>
  <c r="CO28" i="12" s="1"/>
  <c r="CL9" i="18"/>
  <c r="CL30" i="12"/>
  <c r="CL25" i="12"/>
  <c r="CM10" i="14"/>
  <c r="CM11" i="14" s="1"/>
  <c r="CM17" i="13"/>
  <c r="CM18" i="13" s="1"/>
  <c r="CK26" i="18"/>
  <c r="CK20" i="16"/>
  <c r="CK23" i="20" s="1"/>
  <c r="CK19" i="16"/>
  <c r="CK11" i="20" s="1"/>
  <c r="CO7" i="21"/>
  <c r="CO9" i="14"/>
  <c r="CO21" i="13"/>
  <c r="CO23" i="13"/>
  <c r="CO8" i="13"/>
  <c r="CO24" i="13"/>
  <c r="CO24" i="15"/>
  <c r="CO25" i="15" s="1"/>
  <c r="CO9" i="21" s="1"/>
  <c r="CO22" i="13"/>
  <c r="CO10" i="13"/>
  <c r="CO18" i="11"/>
  <c r="CO22" i="11"/>
  <c r="CO17" i="11"/>
  <c r="CO21" i="11"/>
  <c r="CO11" i="13"/>
  <c r="CO9" i="13"/>
  <c r="CI19" i="21"/>
  <c r="CI33" i="18"/>
  <c r="CI30" i="18"/>
  <c r="CI20" i="21" s="1"/>
  <c r="CP8" i="12"/>
  <c r="CP9" i="12"/>
  <c r="CP14" i="11"/>
  <c r="CN8" i="21"/>
  <c r="CM23" i="18" l="1"/>
  <c r="CM21" i="14"/>
  <c r="CM14" i="18"/>
  <c r="CM28" i="13"/>
  <c r="CL13" i="21"/>
  <c r="CL10" i="18"/>
  <c r="CL32" i="13"/>
  <c r="CL13" i="16"/>
  <c r="CL9" i="20" s="1"/>
  <c r="CL29" i="12"/>
  <c r="CQ10" i="12"/>
  <c r="CQ11" i="12"/>
  <c r="AI20" i="15"/>
  <c r="AI15" i="20" s="1"/>
  <c r="AI16" i="20" s="1"/>
  <c r="AJ7" i="15"/>
  <c r="CO8" i="14"/>
  <c r="CO21" i="12"/>
  <c r="CO17" i="12"/>
  <c r="CO8" i="18" s="1"/>
  <c r="CN11" i="14"/>
  <c r="CL26" i="18"/>
  <c r="CL20" i="16"/>
  <c r="CL23" i="20" s="1"/>
  <c r="CL19" i="16"/>
  <c r="CL11" i="20" s="1"/>
  <c r="AG35" i="20"/>
  <c r="CO27" i="11"/>
  <c r="CO26" i="11"/>
  <c r="CO16" i="13" s="1"/>
  <c r="CO25" i="11"/>
  <c r="CO15" i="13" s="1"/>
  <c r="CO7" i="14"/>
  <c r="CO20" i="12"/>
  <c r="CK20" i="18"/>
  <c r="CK18" i="21" s="1"/>
  <c r="CK19" i="18"/>
  <c r="CN18" i="14"/>
  <c r="CN24" i="18"/>
  <c r="AG23" i="19"/>
  <c r="AG25" i="19" s="1"/>
  <c r="CL16" i="16"/>
  <c r="CL22" i="20" s="1"/>
  <c r="CL8" i="16"/>
  <c r="CL16" i="18"/>
  <c r="CL7" i="16"/>
  <c r="CL9" i="16"/>
  <c r="CL31" i="13"/>
  <c r="CK10" i="16"/>
  <c r="CM9" i="18"/>
  <c r="CM30" i="12"/>
  <c r="CM25" i="12"/>
  <c r="AH39" i="18"/>
  <c r="AH40" i="18"/>
  <c r="CH34" i="18"/>
  <c r="CH21" i="21" s="1"/>
  <c r="CK15" i="21"/>
  <c r="CK14" i="21"/>
  <c r="CO12" i="21"/>
  <c r="CO7" i="18"/>
  <c r="CO14" i="14"/>
  <c r="CO15" i="14"/>
  <c r="CO17" i="14"/>
  <c r="CO25" i="18" s="1"/>
  <c r="CO16" i="14"/>
  <c r="CO12" i="13"/>
  <c r="AH20" i="17"/>
  <c r="AI7" i="17"/>
  <c r="AH24" i="20"/>
  <c r="AH25" i="20" s="1"/>
  <c r="CN17" i="13"/>
  <c r="CN10" i="14"/>
  <c r="CS9" i="11"/>
  <c r="CR13" i="11"/>
  <c r="CR12" i="11"/>
  <c r="CJ10" i="20"/>
  <c r="CJ23" i="16"/>
  <c r="CN18" i="13"/>
  <c r="CN14" i="18" s="1"/>
  <c r="CP12" i="12"/>
  <c r="CP15" i="12"/>
  <c r="CP17" i="12" s="1"/>
  <c r="CP8" i="18" s="1"/>
  <c r="CO8" i="21"/>
  <c r="CI15" i="17"/>
  <c r="CJ13" i="17" s="1"/>
  <c r="CI16" i="17"/>
  <c r="CI17" i="17"/>
  <c r="CQ8" i="12"/>
  <c r="CQ9" i="12"/>
  <c r="CQ16" i="12" s="1"/>
  <c r="CQ14" i="11"/>
  <c r="CN22" i="12"/>
  <c r="CP7" i="21"/>
  <c r="CP24" i="15"/>
  <c r="CP25" i="15" s="1"/>
  <c r="CP9" i="21" s="1"/>
  <c r="CP21" i="13"/>
  <c r="CP23" i="13"/>
  <c r="CP8" i="13"/>
  <c r="CP24" i="13"/>
  <c r="CP10" i="13"/>
  <c r="CP22" i="13"/>
  <c r="CP28" i="12"/>
  <c r="CP9" i="13"/>
  <c r="CP18" i="11"/>
  <c r="CP22" i="11"/>
  <c r="CP17" i="11"/>
  <c r="CP9" i="14"/>
  <c r="CP11" i="13"/>
  <c r="CP21" i="11"/>
  <c r="CO25" i="13"/>
  <c r="CO15" i="18" s="1"/>
  <c r="CI34" i="18"/>
  <c r="CI21" i="21" s="1"/>
  <c r="CN13" i="18"/>
  <c r="CI38" i="21"/>
  <c r="CI39" i="21" s="1"/>
  <c r="CI24" i="16"/>
  <c r="CI9" i="19" s="1"/>
  <c r="CP16" i="12"/>
  <c r="CJ19" i="21"/>
  <c r="CJ33" i="18"/>
  <c r="CJ30" i="18"/>
  <c r="CJ20" i="21" s="1"/>
  <c r="CP7" i="14" l="1"/>
  <c r="CP20" i="12"/>
  <c r="AG26" i="21"/>
  <c r="AG28" i="21" s="1"/>
  <c r="AG29" i="21" s="1"/>
  <c r="AH24" i="19"/>
  <c r="AG8" i="20"/>
  <c r="AG12" i="20" s="1"/>
  <c r="AG18" i="20" s="1"/>
  <c r="AH27" i="21"/>
  <c r="AH28" i="20"/>
  <c r="AH29" i="20" s="1"/>
  <c r="CJ15" i="17"/>
  <c r="CK13" i="17" s="1"/>
  <c r="CJ17" i="17"/>
  <c r="CJ16" i="17"/>
  <c r="CP12" i="21"/>
  <c r="CP7" i="18"/>
  <c r="CP14" i="14"/>
  <c r="CP16" i="14"/>
  <c r="CP15" i="14"/>
  <c r="CP17" i="14"/>
  <c r="CP25" i="18" s="1"/>
  <c r="CK29" i="18"/>
  <c r="CN23" i="18"/>
  <c r="CN21" i="14"/>
  <c r="AI10" i="17"/>
  <c r="AI21" i="17" s="1"/>
  <c r="AI8" i="17"/>
  <c r="AI17" i="19" s="1"/>
  <c r="CN9" i="18"/>
  <c r="CN30" i="12"/>
  <c r="CN25" i="12"/>
  <c r="CQ7" i="21"/>
  <c r="CQ24" i="15"/>
  <c r="CQ25" i="15" s="1"/>
  <c r="CQ9" i="21" s="1"/>
  <c r="CQ23" i="13"/>
  <c r="CQ8" i="13"/>
  <c r="CQ24" i="13"/>
  <c r="CQ10" i="13"/>
  <c r="CQ9" i="14"/>
  <c r="CQ22" i="13"/>
  <c r="CQ9" i="13"/>
  <c r="CQ21" i="13"/>
  <c r="CQ25" i="13" s="1"/>
  <c r="CQ15" i="18" s="1"/>
  <c r="CQ18" i="11"/>
  <c r="CQ22" i="11"/>
  <c r="CQ17" i="11"/>
  <c r="CQ21" i="11"/>
  <c r="CQ11" i="13"/>
  <c r="CL10" i="16"/>
  <c r="AJ9" i="15"/>
  <c r="AJ12" i="15"/>
  <c r="AJ14" i="15" s="1"/>
  <c r="AJ13" i="19" s="1"/>
  <c r="AJ14" i="19" s="1"/>
  <c r="AJ18" i="15"/>
  <c r="CL30" i="18"/>
  <c r="CL20" i="21" s="1"/>
  <c r="CL20" i="18"/>
  <c r="CL18" i="21" s="1"/>
  <c r="CL19" i="18"/>
  <c r="CL29" i="18" s="1"/>
  <c r="CR8" i="12"/>
  <c r="CR9" i="12"/>
  <c r="CR16" i="12" s="1"/>
  <c r="CR14" i="11"/>
  <c r="CL15" i="21"/>
  <c r="CL14" i="21"/>
  <c r="CN28" i="13"/>
  <c r="CQ12" i="12"/>
  <c r="CQ28" i="12" s="1"/>
  <c r="CQ15" i="12"/>
  <c r="CQ17" i="12" s="1"/>
  <c r="CQ8" i="18" s="1"/>
  <c r="CO18" i="14"/>
  <c r="CO24" i="18"/>
  <c r="CR10" i="12"/>
  <c r="CR11" i="12"/>
  <c r="CO22" i="12"/>
  <c r="CM16" i="16"/>
  <c r="CM22" i="20" s="1"/>
  <c r="CM7" i="16"/>
  <c r="CM16" i="18"/>
  <c r="CM9" i="16"/>
  <c r="CM8" i="16"/>
  <c r="CM31" i="13"/>
  <c r="CO13" i="18"/>
  <c r="CP8" i="14"/>
  <c r="CP21" i="12"/>
  <c r="CJ34" i="18"/>
  <c r="CJ21" i="21" s="1"/>
  <c r="CT9" i="11"/>
  <c r="CS12" i="11"/>
  <c r="CS13" i="11"/>
  <c r="AH22" i="21"/>
  <c r="AH7" i="19"/>
  <c r="AH10" i="19" s="1"/>
  <c r="AH23" i="19" s="1"/>
  <c r="AH19" i="19"/>
  <c r="AH20" i="19" s="1"/>
  <c r="AH41" i="18"/>
  <c r="AH23" i="21" s="1"/>
  <c r="CO11" i="14"/>
  <c r="CO10" i="14"/>
  <c r="CO17" i="13"/>
  <c r="CP8" i="21"/>
  <c r="CK10" i="20"/>
  <c r="CK23" i="16"/>
  <c r="CP27" i="11"/>
  <c r="CP26" i="11"/>
  <c r="CP16" i="13" s="1"/>
  <c r="CP25" i="11"/>
  <c r="CP15" i="13" s="1"/>
  <c r="CO18" i="13"/>
  <c r="CO14" i="18" s="1"/>
  <c r="CM26" i="18"/>
  <c r="CM20" i="16"/>
  <c r="CM23" i="20" s="1"/>
  <c r="CM19" i="16"/>
  <c r="CM11" i="20" s="1"/>
  <c r="AH31" i="20"/>
  <c r="AH35" i="20"/>
  <c r="AG36" i="20"/>
  <c r="CJ38" i="21"/>
  <c r="CJ39" i="21" s="1"/>
  <c r="CJ24" i="16"/>
  <c r="CJ9" i="19" s="1"/>
  <c r="CP12" i="13"/>
  <c r="CP25" i="13"/>
  <c r="CP15" i="18" s="1"/>
  <c r="CM13" i="21"/>
  <c r="CM10" i="18"/>
  <c r="CM32" i="13"/>
  <c r="CM13" i="16"/>
  <c r="CM9" i="20" s="1"/>
  <c r="CM29" i="12"/>
  <c r="AG33" i="21" l="1"/>
  <c r="AG35" i="21"/>
  <c r="AG38" i="20"/>
  <c r="CR7" i="21"/>
  <c r="CR23" i="13"/>
  <c r="CR24" i="15"/>
  <c r="CR25" i="15" s="1"/>
  <c r="CR9" i="21" s="1"/>
  <c r="CR8" i="13"/>
  <c r="CR24" i="13"/>
  <c r="CR10" i="13"/>
  <c r="CR22" i="13"/>
  <c r="CR28" i="12"/>
  <c r="CR21" i="13"/>
  <c r="CR25" i="13" s="1"/>
  <c r="CR15" i="18" s="1"/>
  <c r="CR18" i="11"/>
  <c r="CR22" i="11"/>
  <c r="CR11" i="13"/>
  <c r="CR21" i="11"/>
  <c r="CR17" i="11"/>
  <c r="CR9" i="13"/>
  <c r="CR9" i="14"/>
  <c r="CP18" i="14"/>
  <c r="CP24" i="18"/>
  <c r="CO28" i="13"/>
  <c r="CR15" i="12"/>
  <c r="CR17" i="12" s="1"/>
  <c r="CR8" i="18" s="1"/>
  <c r="CR12" i="12"/>
  <c r="CL19" i="21"/>
  <c r="CL33" i="18"/>
  <c r="CQ8" i="14"/>
  <c r="CQ21" i="12"/>
  <c r="CN16" i="16"/>
  <c r="CN22" i="20" s="1"/>
  <c r="CN9" i="16"/>
  <c r="CN7" i="16"/>
  <c r="CN8" i="16"/>
  <c r="CN16" i="18"/>
  <c r="CN31" i="13"/>
  <c r="CK19" i="21"/>
  <c r="CK33" i="18"/>
  <c r="CK30" i="18"/>
  <c r="CK20" i="21" s="1"/>
  <c r="CK15" i="17"/>
  <c r="CL13" i="17" s="1"/>
  <c r="CK17" i="17"/>
  <c r="CK16" i="17"/>
  <c r="CN20" i="16"/>
  <c r="CN23" i="20" s="1"/>
  <c r="CN26" i="18"/>
  <c r="CN19" i="16"/>
  <c r="CN11" i="20" s="1"/>
  <c r="CS10" i="12"/>
  <c r="CS11" i="12"/>
  <c r="CU9" i="11"/>
  <c r="CT12" i="11"/>
  <c r="CT13" i="11"/>
  <c r="CP18" i="13"/>
  <c r="CP14" i="18" s="1"/>
  <c r="CK38" i="21"/>
  <c r="CK39" i="21" s="1"/>
  <c r="CK24" i="16"/>
  <c r="CK9" i="19" s="1"/>
  <c r="CQ12" i="21"/>
  <c r="CQ7" i="18"/>
  <c r="CQ14" i="14"/>
  <c r="CQ16" i="14"/>
  <c r="CQ15" i="14"/>
  <c r="CQ17" i="14"/>
  <c r="CQ25" i="18" s="1"/>
  <c r="CQ12" i="13"/>
  <c r="CN13" i="21"/>
  <c r="CN10" i="18"/>
  <c r="CN32" i="13"/>
  <c r="CN13" i="16"/>
  <c r="CN9" i="20" s="1"/>
  <c r="CN29" i="12"/>
  <c r="AG34" i="21"/>
  <c r="AG41" i="20"/>
  <c r="CS8" i="12"/>
  <c r="CS9" i="12"/>
  <c r="CS16" i="12" s="1"/>
  <c r="CS14" i="11"/>
  <c r="CP10" i="14"/>
  <c r="CP11" i="14" s="1"/>
  <c r="CP17" i="13"/>
  <c r="CO9" i="18"/>
  <c r="CO30" i="12"/>
  <c r="CO25" i="12"/>
  <c r="AH25" i="19"/>
  <c r="AH36" i="20"/>
  <c r="CL10" i="20"/>
  <c r="CL23" i="16"/>
  <c r="CM10" i="16"/>
  <c r="CQ8" i="21"/>
  <c r="CM19" i="18"/>
  <c r="CM20" i="18" s="1"/>
  <c r="CM18" i="21" s="1"/>
  <c r="CO23" i="18"/>
  <c r="CO21" i="14"/>
  <c r="CP22" i="12"/>
  <c r="AK7" i="15"/>
  <c r="AJ20" i="15"/>
  <c r="AJ15" i="20" s="1"/>
  <c r="AJ16" i="20" s="1"/>
  <c r="CP13" i="18"/>
  <c r="CQ26" i="11"/>
  <c r="CQ16" i="13" s="1"/>
  <c r="CQ25" i="11"/>
  <c r="CQ15" i="13" s="1"/>
  <c r="CQ27" i="11"/>
  <c r="AI30" i="21"/>
  <c r="AI36" i="18"/>
  <c r="AI37" i="18" s="1"/>
  <c r="CM15" i="21"/>
  <c r="CM14" i="21"/>
  <c r="CQ7" i="14"/>
  <c r="CQ20" i="12"/>
  <c r="CQ22" i="12" s="1"/>
  <c r="AI9" i="17"/>
  <c r="CP23" i="18" l="1"/>
  <c r="CP21" i="14"/>
  <c r="CO26" i="18"/>
  <c r="CO20" i="16"/>
  <c r="CO23" i="20" s="1"/>
  <c r="CO19" i="16"/>
  <c r="CO11" i="20" s="1"/>
  <c r="CR7" i="14"/>
  <c r="CR20" i="12"/>
  <c r="CR22" i="12" s="1"/>
  <c r="CS12" i="12"/>
  <c r="CS15" i="12"/>
  <c r="CS17" i="12" s="1"/>
  <c r="CS8" i="18" s="1"/>
  <c r="CN20" i="18"/>
  <c r="CN18" i="21" s="1"/>
  <c r="CN19" i="18"/>
  <c r="CN29" i="18" s="1"/>
  <c r="CN30" i="18" s="1"/>
  <c r="CN20" i="21" s="1"/>
  <c r="AI20" i="17"/>
  <c r="AJ7" i="17"/>
  <c r="AI24" i="20"/>
  <c r="AI25" i="20" s="1"/>
  <c r="CQ9" i="18"/>
  <c r="CQ30" i="12"/>
  <c r="CN10" i="16"/>
  <c r="AI39" i="18"/>
  <c r="AI40" i="18" s="1"/>
  <c r="CT8" i="12"/>
  <c r="CT9" i="12"/>
  <c r="CT14" i="11"/>
  <c r="CN15" i="21"/>
  <c r="CN14" i="21"/>
  <c r="CL34" i="18"/>
  <c r="CL21" i="21" s="1"/>
  <c r="CR12" i="13"/>
  <c r="CL38" i="21"/>
  <c r="CL39" i="21" s="1"/>
  <c r="CL24" i="16"/>
  <c r="CL9" i="19" s="1"/>
  <c r="CQ10" i="14"/>
  <c r="CQ11" i="14" s="1"/>
  <c r="CQ17" i="13"/>
  <c r="AH33" i="21"/>
  <c r="AH35" i="21"/>
  <c r="CT10" i="12"/>
  <c r="CT11" i="12"/>
  <c r="CU12" i="11"/>
  <c r="CV9" i="11"/>
  <c r="CU13" i="11"/>
  <c r="CR8" i="14"/>
  <c r="CR21" i="12"/>
  <c r="CM10" i="20"/>
  <c r="CM23" i="16"/>
  <c r="CQ13" i="18"/>
  <c r="CQ25" i="12"/>
  <c r="AI24" i="19"/>
  <c r="AH26" i="21"/>
  <c r="AH28" i="21" s="1"/>
  <c r="AH29" i="21" s="1"/>
  <c r="AH8" i="20"/>
  <c r="AH12" i="20" s="1"/>
  <c r="AH18" i="20" s="1"/>
  <c r="CR12" i="21"/>
  <c r="CR7" i="18"/>
  <c r="CR14" i="14"/>
  <c r="CR16" i="14"/>
  <c r="CR25" i="12"/>
  <c r="CR15" i="14"/>
  <c r="CR17" i="14"/>
  <c r="CR25" i="18" s="1"/>
  <c r="CL15" i="17"/>
  <c r="CM13" i="17" s="1"/>
  <c r="CL17" i="17"/>
  <c r="CL16" i="17"/>
  <c r="CQ18" i="13"/>
  <c r="CQ14" i="18" s="1"/>
  <c r="CO13" i="21"/>
  <c r="CO10" i="18"/>
  <c r="CO32" i="13"/>
  <c r="CO13" i="16"/>
  <c r="CO9" i="20" s="1"/>
  <c r="CO29" i="12"/>
  <c r="CR8" i="21"/>
  <c r="CS7" i="21"/>
  <c r="CS24" i="15"/>
  <c r="CS25" i="15" s="1"/>
  <c r="CS9" i="21" s="1"/>
  <c r="CS24" i="13"/>
  <c r="CS10" i="13"/>
  <c r="CS22" i="13"/>
  <c r="CS28" i="12"/>
  <c r="CS18" i="11"/>
  <c r="CS9" i="13"/>
  <c r="CS8" i="13"/>
  <c r="CS12" i="13" s="1"/>
  <c r="CS21" i="13"/>
  <c r="CS25" i="13" s="1"/>
  <c r="CS15" i="18" s="1"/>
  <c r="CS22" i="11"/>
  <c r="CS17" i="11"/>
  <c r="CS11" i="13"/>
  <c r="CS23" i="13"/>
  <c r="CS21" i="11"/>
  <c r="CS9" i="14"/>
  <c r="I4" i="23"/>
  <c r="CM29" i="18"/>
  <c r="CP28" i="13"/>
  <c r="CQ18" i="14"/>
  <c r="CQ24" i="18"/>
  <c r="CO9" i="16"/>
  <c r="CO16" i="16"/>
  <c r="CO22" i="20" s="1"/>
  <c r="CO16" i="18"/>
  <c r="CO7" i="16"/>
  <c r="CO8" i="16"/>
  <c r="CO31" i="13"/>
  <c r="AH38" i="20"/>
  <c r="AK9" i="15"/>
  <c r="AK12" i="15"/>
  <c r="AK14" i="15" s="1"/>
  <c r="CK34" i="18"/>
  <c r="CK21" i="21" s="1"/>
  <c r="CR26" i="11"/>
  <c r="CR16" i="13" s="1"/>
  <c r="CR25" i="11"/>
  <c r="CR15" i="13" s="1"/>
  <c r="CR27" i="11"/>
  <c r="CP9" i="18"/>
  <c r="CP30" i="12"/>
  <c r="CP25" i="12"/>
  <c r="AI22" i="21" l="1"/>
  <c r="AI7" i="19"/>
  <c r="AI10" i="19" s="1"/>
  <c r="AI19" i="19"/>
  <c r="AI20" i="19" s="1"/>
  <c r="AI41" i="18"/>
  <c r="AI23" i="21" s="1"/>
  <c r="AI35" i="20"/>
  <c r="CQ23" i="18"/>
  <c r="CQ21" i="14"/>
  <c r="CN23" i="16"/>
  <c r="CN10" i="20"/>
  <c r="CU8" i="12"/>
  <c r="CU9" i="12"/>
  <c r="CU14" i="11"/>
  <c r="CS8" i="14"/>
  <c r="CS21" i="12"/>
  <c r="CU10" i="12"/>
  <c r="CU11" i="12"/>
  <c r="CV12" i="11"/>
  <c r="CW9" i="11"/>
  <c r="CV13" i="11"/>
  <c r="AK13" i="19"/>
  <c r="AK14" i="19" s="1"/>
  <c r="D12" i="23"/>
  <c r="CS13" i="18"/>
  <c r="CM15" i="17"/>
  <c r="CN13" i="17" s="1"/>
  <c r="CM17" i="17"/>
  <c r="CM16" i="17"/>
  <c r="CP16" i="18"/>
  <c r="CP16" i="16"/>
  <c r="CP22" i="20" s="1"/>
  <c r="CP7" i="16"/>
  <c r="CP8" i="16"/>
  <c r="CP9" i="16"/>
  <c r="CP31" i="13"/>
  <c r="CS8" i="21"/>
  <c r="CP13" i="21"/>
  <c r="CP10" i="18"/>
  <c r="CP32" i="13"/>
  <c r="CP13" i="16"/>
  <c r="CP9" i="20" s="1"/>
  <c r="CP29" i="12"/>
  <c r="CQ13" i="21"/>
  <c r="CQ10" i="18"/>
  <c r="CQ13" i="16"/>
  <c r="CQ9" i="20" s="1"/>
  <c r="CQ29" i="12"/>
  <c r="CS12" i="21"/>
  <c r="CS7" i="18"/>
  <c r="CS14" i="14"/>
  <c r="CS16" i="14"/>
  <c r="CS17" i="14"/>
  <c r="CS25" i="18" s="1"/>
  <c r="CS15" i="14"/>
  <c r="I5" i="23"/>
  <c r="CR9" i="18"/>
  <c r="CR30" i="12"/>
  <c r="AK18" i="15"/>
  <c r="AI31" i="20"/>
  <c r="CR13" i="18"/>
  <c r="CR28" i="13"/>
  <c r="CR11" i="14"/>
  <c r="CM38" i="21"/>
  <c r="CM39" i="21" s="1"/>
  <c r="CM24" i="16"/>
  <c r="CM9" i="19" s="1"/>
  <c r="CR13" i="21"/>
  <c r="CR10" i="18"/>
  <c r="CR13" i="16"/>
  <c r="CR9" i="20" s="1"/>
  <c r="CR29" i="12"/>
  <c r="CR10" i="14"/>
  <c r="CR17" i="13"/>
  <c r="CT7" i="21"/>
  <c r="CT24" i="15"/>
  <c r="CT25" i="15" s="1"/>
  <c r="CT9" i="21" s="1"/>
  <c r="CT22" i="13"/>
  <c r="CT10" i="13"/>
  <c r="CT24" i="13"/>
  <c r="CT28" i="12"/>
  <c r="CT22" i="11"/>
  <c r="CT9" i="13"/>
  <c r="CT18" i="11"/>
  <c r="CT17" i="11"/>
  <c r="CT9" i="14"/>
  <c r="CT21" i="11"/>
  <c r="CT23" i="13"/>
  <c r="CT11" i="13"/>
  <c r="CT8" i="13"/>
  <c r="CT21" i="13"/>
  <c r="AJ9" i="17"/>
  <c r="AJ10" i="17"/>
  <c r="AJ21" i="17" s="1"/>
  <c r="AJ8" i="17"/>
  <c r="AJ17" i="19" s="1"/>
  <c r="CO10" i="16"/>
  <c r="CR18" i="14"/>
  <c r="CR24" i="18"/>
  <c r="CM19" i="21"/>
  <c r="CM33" i="18"/>
  <c r="CM30" i="18"/>
  <c r="CM20" i="21" s="1"/>
  <c r="CR18" i="13"/>
  <c r="CR14" i="18" s="1"/>
  <c r="CS26" i="11"/>
  <c r="CS16" i="13" s="1"/>
  <c r="CS25" i="11"/>
  <c r="CS15" i="13" s="1"/>
  <c r="CS27" i="11"/>
  <c r="CT16" i="12"/>
  <c r="AI27" i="21"/>
  <c r="AI28" i="20"/>
  <c r="AI29" i="20" s="1"/>
  <c r="CN19" i="21"/>
  <c r="CN33" i="18"/>
  <c r="CQ28" i="13"/>
  <c r="CO30" i="18"/>
  <c r="CO20" i="21" s="1"/>
  <c r="CO19" i="18"/>
  <c r="CO29" i="18" s="1"/>
  <c r="CT12" i="12"/>
  <c r="CT15" i="12"/>
  <c r="CT17" i="12" s="1"/>
  <c r="CT8" i="18" s="1"/>
  <c r="CP26" i="18"/>
  <c r="CP20" i="16"/>
  <c r="CP23" i="20" s="1"/>
  <c r="CP19" i="16"/>
  <c r="CP11" i="20" s="1"/>
  <c r="AH34" i="21"/>
  <c r="AH41" i="20"/>
  <c r="CS7" i="14"/>
  <c r="CS20" i="12"/>
  <c r="CO15" i="21"/>
  <c r="CO14" i="21"/>
  <c r="CT26" i="11" l="1"/>
  <c r="CT16" i="13" s="1"/>
  <c r="CT27" i="11"/>
  <c r="CT25" i="11"/>
  <c r="CT15" i="13" s="1"/>
  <c r="CR16" i="18"/>
  <c r="CR9" i="16"/>
  <c r="CR8" i="16"/>
  <c r="CR7" i="16"/>
  <c r="CR10" i="16" s="1"/>
  <c r="CR31" i="13"/>
  <c r="CQ9" i="16"/>
  <c r="CQ16" i="18"/>
  <c r="CQ16" i="16"/>
  <c r="CQ22" i="20" s="1"/>
  <c r="CQ8" i="16"/>
  <c r="CQ7" i="16"/>
  <c r="CQ10" i="16" s="1"/>
  <c r="CQ31" i="13"/>
  <c r="CM34" i="18"/>
  <c r="CM21" i="21" s="1"/>
  <c r="CN34" i="18"/>
  <c r="CN21" i="21" s="1"/>
  <c r="CU7" i="21"/>
  <c r="CU24" i="15"/>
  <c r="CU25" i="15" s="1"/>
  <c r="CU9" i="21" s="1"/>
  <c r="CU9" i="14"/>
  <c r="CU9" i="13"/>
  <c r="CU22" i="13"/>
  <c r="CU18" i="11"/>
  <c r="CU22" i="11"/>
  <c r="CU8" i="13"/>
  <c r="CU10" i="13"/>
  <c r="CU17" i="11"/>
  <c r="CU11" i="13"/>
  <c r="CU24" i="13"/>
  <c r="CU21" i="13"/>
  <c r="CU21" i="11"/>
  <c r="CU23" i="13"/>
  <c r="CU16" i="12"/>
  <c r="CR15" i="21"/>
  <c r="CR14" i="21"/>
  <c r="CV10" i="12"/>
  <c r="CV11" i="12"/>
  <c r="CP19" i="18"/>
  <c r="CP29" i="18" s="1"/>
  <c r="CP30" i="18"/>
  <c r="CP20" i="21" s="1"/>
  <c r="CP20" i="18"/>
  <c r="CP18" i="21" s="1"/>
  <c r="CP15" i="21"/>
  <c r="CP14" i="21"/>
  <c r="CO10" i="20"/>
  <c r="CO23" i="16"/>
  <c r="CT8" i="21"/>
  <c r="CP10" i="16"/>
  <c r="CN38" i="21"/>
  <c r="CN39" i="21" s="1"/>
  <c r="CN24" i="16"/>
  <c r="CN9" i="19" s="1"/>
  <c r="CO20" i="18"/>
  <c r="CO18" i="21" s="1"/>
  <c r="CQ26" i="18"/>
  <c r="CQ20" i="16"/>
  <c r="CQ23" i="20" s="1"/>
  <c r="CQ19" i="16"/>
  <c r="CQ11" i="20" s="1"/>
  <c r="CU12" i="12"/>
  <c r="CU15" i="12"/>
  <c r="CU17" i="12" s="1"/>
  <c r="CU8" i="18" s="1"/>
  <c r="CS18" i="14"/>
  <c r="CS24" i="18"/>
  <c r="CS22" i="12"/>
  <c r="CS17" i="13"/>
  <c r="CS18" i="13" s="1"/>
  <c r="CS10" i="14"/>
  <c r="CS11" i="14" s="1"/>
  <c r="AJ30" i="21"/>
  <c r="AJ36" i="18"/>
  <c r="AJ37" i="18" s="1"/>
  <c r="CT12" i="21"/>
  <c r="CT7" i="18"/>
  <c r="CT14" i="14"/>
  <c r="CT16" i="14"/>
  <c r="CT17" i="14"/>
  <c r="CT25" i="18" s="1"/>
  <c r="CT15" i="14"/>
  <c r="CT8" i="14"/>
  <c r="CT21" i="12"/>
  <c r="CV9" i="12"/>
  <c r="CV16" i="12" s="1"/>
  <c r="CV14" i="11"/>
  <c r="CV8" i="12"/>
  <c r="AJ20" i="17"/>
  <c r="AK7" i="17"/>
  <c r="AJ24" i="20"/>
  <c r="AJ25" i="20" s="1"/>
  <c r="AI36" i="20"/>
  <c r="AI38" i="20" s="1"/>
  <c r="CT25" i="13"/>
  <c r="CT15" i="18" s="1"/>
  <c r="CQ15" i="21"/>
  <c r="CQ14" i="21"/>
  <c r="CR23" i="18"/>
  <c r="CR21" i="14"/>
  <c r="CR16" i="16" s="1"/>
  <c r="CR22" i="20" s="1"/>
  <c r="CT12" i="13"/>
  <c r="CN17" i="17"/>
  <c r="CN15" i="17"/>
  <c r="CO13" i="17" s="1"/>
  <c r="CN16" i="17"/>
  <c r="CT20" i="12"/>
  <c r="CT22" i="12" s="1"/>
  <c r="CT7" i="14"/>
  <c r="CO19" i="21"/>
  <c r="CO33" i="18"/>
  <c r="CR32" i="13"/>
  <c r="CQ32" i="13"/>
  <c r="AI23" i="19"/>
  <c r="AI25" i="19" s="1"/>
  <c r="CX9" i="11"/>
  <c r="CW13" i="11"/>
  <c r="CW12" i="11"/>
  <c r="AL7" i="15"/>
  <c r="AK20" i="15"/>
  <c r="AK15" i="20" s="1"/>
  <c r="AK16" i="20" s="1"/>
  <c r="CR19" i="18"/>
  <c r="CR20" i="18" s="1"/>
  <c r="CR18" i="21" s="1"/>
  <c r="CQ19" i="18"/>
  <c r="CQ29" i="18" s="1"/>
  <c r="CS14" i="18" l="1"/>
  <c r="CS28" i="13"/>
  <c r="CS23" i="18"/>
  <c r="CS21" i="14"/>
  <c r="CW10" i="12"/>
  <c r="CW11" i="12"/>
  <c r="AJ24" i="19"/>
  <c r="AI26" i="21"/>
  <c r="AI28" i="21" s="1"/>
  <c r="AI29" i="21" s="1"/>
  <c r="AI8" i="20"/>
  <c r="AI12" i="20" s="1"/>
  <c r="AI18" i="20" s="1"/>
  <c r="AK10" i="17"/>
  <c r="AK21" i="17" s="1"/>
  <c r="AK8" i="17"/>
  <c r="AK17" i="19" s="1"/>
  <c r="CU8" i="14"/>
  <c r="CU21" i="12"/>
  <c r="CU25" i="13"/>
  <c r="CU15" i="18" s="1"/>
  <c r="CU26" i="11"/>
  <c r="CU16" i="13" s="1"/>
  <c r="CU27" i="11"/>
  <c r="CU25" i="11"/>
  <c r="CU15" i="13" s="1"/>
  <c r="AJ31" i="20"/>
  <c r="CU12" i="21"/>
  <c r="CU7" i="18"/>
  <c r="CU16" i="14"/>
  <c r="CU17" i="14"/>
  <c r="CU25" i="18" s="1"/>
  <c r="CU14" i="14"/>
  <c r="CU15" i="14"/>
  <c r="CO38" i="21"/>
  <c r="CO39" i="21" s="1"/>
  <c r="CO24" i="16"/>
  <c r="CO9" i="19" s="1"/>
  <c r="CU12" i="13"/>
  <c r="CQ20" i="18"/>
  <c r="CQ18" i="21" s="1"/>
  <c r="CT11" i="14"/>
  <c r="CP19" i="21"/>
  <c r="CP33" i="18"/>
  <c r="CR10" i="20"/>
  <c r="CQ19" i="21"/>
  <c r="CQ33" i="18"/>
  <c r="CT9" i="18"/>
  <c r="CT30" i="12"/>
  <c r="CX12" i="11"/>
  <c r="CY9" i="11"/>
  <c r="CX13" i="11"/>
  <c r="CU20" i="12"/>
  <c r="CU7" i="14"/>
  <c r="CV7" i="21"/>
  <c r="CV24" i="15"/>
  <c r="CV25" i="15" s="1"/>
  <c r="CV9" i="21" s="1"/>
  <c r="CV24" i="13"/>
  <c r="CV9" i="14"/>
  <c r="CV18" i="11"/>
  <c r="CV9" i="13"/>
  <c r="CV8" i="13"/>
  <c r="CV12" i="13" s="1"/>
  <c r="CV11" i="13"/>
  <c r="CV22" i="11"/>
  <c r="CV17" i="11"/>
  <c r="CV22" i="13"/>
  <c r="CV21" i="11"/>
  <c r="CV21" i="13"/>
  <c r="CV10" i="13"/>
  <c r="CV23" i="13"/>
  <c r="CQ30" i="18"/>
  <c r="CQ20" i="21" s="1"/>
  <c r="AL9" i="15"/>
  <c r="AL12" i="15"/>
  <c r="AL14" i="15" s="1"/>
  <c r="AL18" i="15" s="1"/>
  <c r="CW9" i="12"/>
  <c r="CW16" i="12" s="1"/>
  <c r="CW14" i="11"/>
  <c r="CW8" i="12"/>
  <c r="CS9" i="18"/>
  <c r="CS30" i="12"/>
  <c r="CS25" i="12"/>
  <c r="CV12" i="12"/>
  <c r="CV15" i="12"/>
  <c r="CV17" i="12" s="1"/>
  <c r="CV8" i="18" s="1"/>
  <c r="CO17" i="17"/>
  <c r="CO15" i="17"/>
  <c r="CP13" i="17" s="1"/>
  <c r="CO16" i="17"/>
  <c r="CT25" i="12"/>
  <c r="CU8" i="21"/>
  <c r="AI33" i="21"/>
  <c r="AI35" i="21"/>
  <c r="CT13" i="18"/>
  <c r="CT17" i="13"/>
  <c r="CT18" i="13" s="1"/>
  <c r="CT10" i="14"/>
  <c r="CO34" i="18"/>
  <c r="CO21" i="21" s="1"/>
  <c r="CR26" i="18"/>
  <c r="CR29" i="18" s="1"/>
  <c r="CR20" i="16"/>
  <c r="CR23" i="20" s="1"/>
  <c r="CR19" i="16"/>
  <c r="CR11" i="20" s="1"/>
  <c r="CT24" i="18"/>
  <c r="CT18" i="14"/>
  <c r="CP10" i="20"/>
  <c r="CP23" i="16"/>
  <c r="AJ39" i="18"/>
  <c r="AJ40" i="18" s="1"/>
  <c r="CQ10" i="20"/>
  <c r="CQ23" i="16"/>
  <c r="AJ27" i="21"/>
  <c r="AJ28" i="20"/>
  <c r="AJ29" i="20" s="1"/>
  <c r="CU28" i="12"/>
  <c r="AM7" i="15" l="1"/>
  <c r="AL20" i="15"/>
  <c r="AL15" i="20" s="1"/>
  <c r="AL16" i="20" s="1"/>
  <c r="CT14" i="18"/>
  <c r="CT28" i="13"/>
  <c r="AJ22" i="21"/>
  <c r="AJ7" i="19"/>
  <c r="AJ10" i="19" s="1"/>
  <c r="AJ19" i="19"/>
  <c r="AJ20" i="19" s="1"/>
  <c r="AJ41" i="18"/>
  <c r="AJ23" i="21" s="1"/>
  <c r="AJ35" i="20"/>
  <c r="CR19" i="21"/>
  <c r="CR33" i="18"/>
  <c r="CR30" i="18"/>
  <c r="CR20" i="21" s="1"/>
  <c r="CX10" i="12"/>
  <c r="CX11" i="12"/>
  <c r="CV13" i="18"/>
  <c r="CW7" i="21"/>
  <c r="CW24" i="15"/>
  <c r="CW25" i="15" s="1"/>
  <c r="CW9" i="21" s="1"/>
  <c r="CW22" i="13"/>
  <c r="CW9" i="14"/>
  <c r="CW11" i="13"/>
  <c r="CW22" i="11"/>
  <c r="CW9" i="13"/>
  <c r="CW8" i="13"/>
  <c r="CW10" i="13"/>
  <c r="CW17" i="11"/>
  <c r="CW24" i="13"/>
  <c r="CW23" i="13"/>
  <c r="CW21" i="11"/>
  <c r="CW18" i="11"/>
  <c r="CW21" i="13"/>
  <c r="CP34" i="18"/>
  <c r="CP21" i="21" s="1"/>
  <c r="AI34" i="21"/>
  <c r="AI41" i="20"/>
  <c r="CV12" i="21"/>
  <c r="CV16" i="14"/>
  <c r="CV17" i="14"/>
  <c r="CV25" i="18" s="1"/>
  <c r="CV7" i="18"/>
  <c r="CV14" i="14"/>
  <c r="CV15" i="14"/>
  <c r="CR23" i="16"/>
  <c r="CU10" i="14"/>
  <c r="CU11" i="14" s="1"/>
  <c r="CU17" i="13"/>
  <c r="CU18" i="13" s="1"/>
  <c r="CS26" i="18"/>
  <c r="CS19" i="16"/>
  <c r="CS11" i="20" s="1"/>
  <c r="CS20" i="16"/>
  <c r="CS23" i="20" s="1"/>
  <c r="CW12" i="12"/>
  <c r="CW15" i="12"/>
  <c r="CW17" i="12" s="1"/>
  <c r="CW8" i="18" s="1"/>
  <c r="CU24" i="18"/>
  <c r="CU18" i="14"/>
  <c r="AK30" i="21"/>
  <c r="AK36" i="18"/>
  <c r="AK37" i="18" s="1"/>
  <c r="CV8" i="21"/>
  <c r="CQ38" i="21"/>
  <c r="CQ39" i="21" s="1"/>
  <c r="CQ24" i="16"/>
  <c r="CQ9" i="19" s="1"/>
  <c r="CV8" i="14"/>
  <c r="CV21" i="12"/>
  <c r="AL13" i="19"/>
  <c r="AL14" i="19" s="1"/>
  <c r="CU13" i="18"/>
  <c r="CV28" i="12"/>
  <c r="CV25" i="13"/>
  <c r="CV15" i="18" s="1"/>
  <c r="CV26" i="11"/>
  <c r="CV16" i="13" s="1"/>
  <c r="CV27" i="11"/>
  <c r="CV25" i="11"/>
  <c r="CV15" i="13" s="1"/>
  <c r="CS13" i="21"/>
  <c r="CS10" i="18"/>
  <c r="CS32" i="13"/>
  <c r="CS13" i="16"/>
  <c r="CS9" i="20" s="1"/>
  <c r="I6" i="23"/>
  <c r="CS29" i="12"/>
  <c r="AK9" i="17"/>
  <c r="CX9" i="12"/>
  <c r="CX16" i="12" s="1"/>
  <c r="CX14" i="11"/>
  <c r="CX8" i="12"/>
  <c r="CP38" i="21"/>
  <c r="CP39" i="21" s="1"/>
  <c r="CP24" i="16"/>
  <c r="CP9" i="19" s="1"/>
  <c r="CT23" i="18"/>
  <c r="CT21" i="14"/>
  <c r="CU22" i="12"/>
  <c r="CZ9" i="11"/>
  <c r="CY13" i="11"/>
  <c r="CY12" i="11"/>
  <c r="CT13" i="21"/>
  <c r="CT10" i="18"/>
  <c r="CT32" i="13"/>
  <c r="CT13" i="16"/>
  <c r="CT9" i="20" s="1"/>
  <c r="CT29" i="12"/>
  <c r="CV7" i="14"/>
  <c r="CV20" i="12"/>
  <c r="CP15" i="17"/>
  <c r="CQ13" i="17" s="1"/>
  <c r="CP16" i="17"/>
  <c r="CP17" i="17"/>
  <c r="CQ34" i="18"/>
  <c r="CQ21" i="21" s="1"/>
  <c r="CS16" i="18"/>
  <c r="CS9" i="16"/>
  <c r="CS16" i="16"/>
  <c r="CS22" i="20" s="1"/>
  <c r="CS8" i="16"/>
  <c r="CS7" i="16"/>
  <c r="CS10" i="16" s="1"/>
  <c r="I7" i="23"/>
  <c r="I18" i="23" s="1"/>
  <c r="CS31" i="13"/>
  <c r="CU23" i="18" l="1"/>
  <c r="CU21" i="14"/>
  <c r="CU14" i="18"/>
  <c r="CU28" i="13"/>
  <c r="CY11" i="12"/>
  <c r="CY10" i="12"/>
  <c r="CW12" i="13"/>
  <c r="CW7" i="14"/>
  <c r="CW20" i="12"/>
  <c r="CX12" i="12"/>
  <c r="CX15" i="12"/>
  <c r="CX17" i="12" s="1"/>
  <c r="CX8" i="18" s="1"/>
  <c r="AK20" i="17"/>
  <c r="AL7" i="17"/>
  <c r="AK24" i="20"/>
  <c r="AK25" i="20" s="1"/>
  <c r="AJ36" i="20"/>
  <c r="CW8" i="14"/>
  <c r="CW21" i="12"/>
  <c r="AJ23" i="19"/>
  <c r="AJ25" i="19" s="1"/>
  <c r="CV24" i="18"/>
  <c r="CV18" i="14"/>
  <c r="CQ15" i="17"/>
  <c r="CR13" i="17" s="1"/>
  <c r="CQ16" i="17"/>
  <c r="CQ17" i="17"/>
  <c r="CR34" i="18"/>
  <c r="CR21" i="21" s="1"/>
  <c r="AK39" i="18"/>
  <c r="AK40" i="18" s="1"/>
  <c r="CW8" i="21"/>
  <c r="CS19" i="18"/>
  <c r="CS20" i="18" s="1"/>
  <c r="CS18" i="21" s="1"/>
  <c r="CT16" i="18"/>
  <c r="CT19" i="18" s="1"/>
  <c r="CT9" i="16"/>
  <c r="CT8" i="16"/>
  <c r="CT7" i="16"/>
  <c r="CT16" i="16"/>
  <c r="CT22" i="20" s="1"/>
  <c r="CT31" i="13"/>
  <c r="CS10" i="20"/>
  <c r="CS23" i="16"/>
  <c r="CT26" i="18"/>
  <c r="CT19" i="16"/>
  <c r="CT11" i="20" s="1"/>
  <c r="CT20" i="16"/>
  <c r="CT23" i="20" s="1"/>
  <c r="CX7" i="21"/>
  <c r="CX24" i="15"/>
  <c r="CX25" i="15" s="1"/>
  <c r="CX9" i="21" s="1"/>
  <c r="CX9" i="14"/>
  <c r="CX22" i="13"/>
  <c r="CX21" i="13"/>
  <c r="CX28" i="12"/>
  <c r="CX22" i="11"/>
  <c r="CX9" i="13"/>
  <c r="CX8" i="13"/>
  <c r="CX12" i="13" s="1"/>
  <c r="CX10" i="13"/>
  <c r="CX11" i="13"/>
  <c r="CX23" i="13"/>
  <c r="CX17" i="11"/>
  <c r="CX21" i="11"/>
  <c r="CX18" i="11"/>
  <c r="CX24" i="13"/>
  <c r="CV22" i="12"/>
  <c r="CS15" i="21"/>
  <c r="CS14" i="21"/>
  <c r="CU9" i="18"/>
  <c r="CU30" i="12"/>
  <c r="CU25" i="12"/>
  <c r="CR38" i="21"/>
  <c r="CR39" i="21" s="1"/>
  <c r="CR24" i="16"/>
  <c r="CR9" i="19" s="1"/>
  <c r="CY9" i="12"/>
  <c r="CY16" i="12" s="1"/>
  <c r="CY14" i="11"/>
  <c r="CY8" i="12"/>
  <c r="CW12" i="21"/>
  <c r="CW15" i="14"/>
  <c r="CW17" i="14"/>
  <c r="CW25" i="18" s="1"/>
  <c r="CW7" i="18"/>
  <c r="CW16" i="14"/>
  <c r="CW14" i="14"/>
  <c r="CW26" i="11"/>
  <c r="CW16" i="13" s="1"/>
  <c r="CW27" i="11"/>
  <c r="CW25" i="11"/>
  <c r="CW15" i="13" s="1"/>
  <c r="CZ13" i="11"/>
  <c r="DA9" i="11"/>
  <c r="CZ12" i="11"/>
  <c r="CW28" i="12"/>
  <c r="CT15" i="21"/>
  <c r="CT14" i="21"/>
  <c r="CV10" i="14"/>
  <c r="CV11" i="14" s="1"/>
  <c r="CV17" i="13"/>
  <c r="CV18" i="13" s="1"/>
  <c r="CW25" i="13"/>
  <c r="CW15" i="18" s="1"/>
  <c r="AM9" i="15"/>
  <c r="AM12" i="15"/>
  <c r="AM14" i="15" s="1"/>
  <c r="CV23" i="18" l="1"/>
  <c r="CV21" i="14"/>
  <c r="CT29" i="18"/>
  <c r="CT20" i="18"/>
  <c r="CT18" i="21" s="1"/>
  <c r="CV14" i="18"/>
  <c r="CV28" i="13"/>
  <c r="AK22" i="21"/>
  <c r="AK7" i="19"/>
  <c r="AK10" i="19" s="1"/>
  <c r="AK19" i="19"/>
  <c r="AK20" i="19" s="1"/>
  <c r="AK41" i="18"/>
  <c r="AK23" i="21" s="1"/>
  <c r="D11" i="23"/>
  <c r="AK35" i="20"/>
  <c r="CX7" i="14"/>
  <c r="CX20" i="12"/>
  <c r="CX22" i="12" s="1"/>
  <c r="AL9" i="17"/>
  <c r="AL10" i="17"/>
  <c r="AL21" i="17" s="1"/>
  <c r="AL8" i="17"/>
  <c r="AL17" i="19" s="1"/>
  <c r="D15" i="23"/>
  <c r="AK28" i="20"/>
  <c r="AK29" i="20" s="1"/>
  <c r="AK31" i="20" s="1"/>
  <c r="AK27" i="21"/>
  <c r="CX13" i="18"/>
  <c r="DA13" i="11"/>
  <c r="DB9" i="11"/>
  <c r="DA12" i="11"/>
  <c r="CU13" i="21"/>
  <c r="CU10" i="18"/>
  <c r="CU32" i="13"/>
  <c r="CU13" i="16"/>
  <c r="CU9" i="20" s="1"/>
  <c r="CU29" i="12"/>
  <c r="CX12" i="21"/>
  <c r="CX15" i="14"/>
  <c r="CX17" i="14"/>
  <c r="CX25" i="18" s="1"/>
  <c r="CX7" i="18"/>
  <c r="CX16" i="14"/>
  <c r="CX25" i="12"/>
  <c r="CX14" i="14"/>
  <c r="CW11" i="14"/>
  <c r="CW13" i="18"/>
  <c r="AJ26" i="21"/>
  <c r="AJ28" i="21" s="1"/>
  <c r="AJ29" i="21" s="1"/>
  <c r="AK24" i="19"/>
  <c r="AJ8" i="20"/>
  <c r="AJ12" i="20" s="1"/>
  <c r="AJ18" i="20" s="1"/>
  <c r="CY7" i="21"/>
  <c r="CY24" i="15"/>
  <c r="CY25" i="15" s="1"/>
  <c r="CY9" i="21" s="1"/>
  <c r="CY9" i="14"/>
  <c r="CY22" i="13"/>
  <c r="CY24" i="13"/>
  <c r="CY9" i="13"/>
  <c r="CY8" i="13"/>
  <c r="CY10" i="13"/>
  <c r="CY23" i="13"/>
  <c r="CY11" i="13"/>
  <c r="CY21" i="11"/>
  <c r="CY22" i="11"/>
  <c r="CY21" i="13"/>
  <c r="CY25" i="13" s="1"/>
  <c r="CY15" i="18" s="1"/>
  <c r="CY17" i="11"/>
  <c r="CY18" i="11"/>
  <c r="CT10" i="16"/>
  <c r="CS29" i="18"/>
  <c r="I8" i="23"/>
  <c r="I19" i="23" s="1"/>
  <c r="CZ11" i="12"/>
  <c r="CZ10" i="12"/>
  <c r="CW22" i="12"/>
  <c r="CZ9" i="12"/>
  <c r="CZ16" i="12" s="1"/>
  <c r="CZ14" i="11"/>
  <c r="CZ8" i="12"/>
  <c r="CX26" i="11"/>
  <c r="CX16" i="13" s="1"/>
  <c r="CX27" i="11"/>
  <c r="CX25" i="11"/>
  <c r="CX15" i="13" s="1"/>
  <c r="CW10" i="14"/>
  <c r="CW17" i="13"/>
  <c r="CW18" i="13" s="1"/>
  <c r="CW24" i="18"/>
  <c r="CW18" i="14"/>
  <c r="CX8" i="21"/>
  <c r="CU16" i="18"/>
  <c r="CU9" i="16"/>
  <c r="CU7" i="16"/>
  <c r="CU8" i="16"/>
  <c r="CU16" i="16"/>
  <c r="CU22" i="20" s="1"/>
  <c r="CU31" i="13"/>
  <c r="CX25" i="13"/>
  <c r="CX15" i="18" s="1"/>
  <c r="AM13" i="19"/>
  <c r="AM14" i="19" s="1"/>
  <c r="CV9" i="18"/>
  <c r="CV30" i="12"/>
  <c r="CV25" i="12"/>
  <c r="AM18" i="15"/>
  <c r="CS38" i="21"/>
  <c r="CS39" i="21" s="1"/>
  <c r="CS24" i="16"/>
  <c r="CS9" i="19" s="1"/>
  <c r="CU26" i="18"/>
  <c r="CU19" i="16"/>
  <c r="CU11" i="20" s="1"/>
  <c r="CU20" i="16"/>
  <c r="CU23" i="20" s="1"/>
  <c r="CY12" i="12"/>
  <c r="CY15" i="12"/>
  <c r="CY17" i="12" s="1"/>
  <c r="CY8" i="18" s="1"/>
  <c r="AJ33" i="21"/>
  <c r="AJ35" i="21"/>
  <c r="AJ38" i="20"/>
  <c r="CX8" i="14"/>
  <c r="CX21" i="12"/>
  <c r="CR15" i="17"/>
  <c r="CS13" i="17" s="1"/>
  <c r="CR17" i="17"/>
  <c r="CR16" i="17"/>
  <c r="CW14" i="18" l="1"/>
  <c r="CW28" i="13"/>
  <c r="CY7" i="14"/>
  <c r="CY20" i="12"/>
  <c r="CW23" i="18"/>
  <c r="CW21" i="14"/>
  <c r="AL20" i="17"/>
  <c r="AM7" i="17"/>
  <c r="AL24" i="20"/>
  <c r="AL25" i="20" s="1"/>
  <c r="AN7" i="15"/>
  <c r="AM20" i="15"/>
  <c r="AM15" i="20" s="1"/>
  <c r="AM16" i="20" s="1"/>
  <c r="AK36" i="20"/>
  <c r="CY8" i="14"/>
  <c r="CY21" i="12"/>
  <c r="AK23" i="19"/>
  <c r="AK25" i="19" s="1"/>
  <c r="D13" i="23"/>
  <c r="CX18" i="13"/>
  <c r="CV10" i="18"/>
  <c r="CV13" i="21"/>
  <c r="CV32" i="13"/>
  <c r="CV13" i="16"/>
  <c r="CV9" i="20" s="1"/>
  <c r="CV29" i="12"/>
  <c r="CV16" i="18"/>
  <c r="CV7" i="16"/>
  <c r="CV8" i="16"/>
  <c r="CV9" i="16"/>
  <c r="CV16" i="16"/>
  <c r="CV22" i="20" s="1"/>
  <c r="CV31" i="13"/>
  <c r="CX9" i="18"/>
  <c r="CX30" i="12"/>
  <c r="CW9" i="18"/>
  <c r="CW30" i="12"/>
  <c r="CW25" i="12"/>
  <c r="CU15" i="21"/>
  <c r="CU14" i="21"/>
  <c r="CX24" i="18"/>
  <c r="CX18" i="14"/>
  <c r="AL30" i="21"/>
  <c r="AL36" i="18"/>
  <c r="AL37" i="18" s="1"/>
  <c r="CU19" i="18"/>
  <c r="DA9" i="12"/>
  <c r="DA16" i="12" s="1"/>
  <c r="DA14" i="11"/>
  <c r="DA8" i="12"/>
  <c r="CX13" i="21"/>
  <c r="CX10" i="18"/>
  <c r="CX13" i="16"/>
  <c r="CX9" i="20" s="1"/>
  <c r="CX29" i="12"/>
  <c r="CZ15" i="12"/>
  <c r="CZ17" i="12" s="1"/>
  <c r="CZ8" i="18" s="1"/>
  <c r="CZ12" i="12"/>
  <c r="CS15" i="17"/>
  <c r="CT13" i="17" s="1"/>
  <c r="CS17" i="17"/>
  <c r="CS16" i="17"/>
  <c r="CY8" i="21"/>
  <c r="CT19" i="21"/>
  <c r="CT33" i="18"/>
  <c r="CT30" i="18"/>
  <c r="CT20" i="21" s="1"/>
  <c r="CY12" i="13"/>
  <c r="DB12" i="11"/>
  <c r="DC9" i="11"/>
  <c r="DB13" i="11"/>
  <c r="CS19" i="21"/>
  <c r="CS33" i="18"/>
  <c r="I9" i="23"/>
  <c r="CS30" i="18"/>
  <c r="CS20" i="21" s="1"/>
  <c r="DA11" i="12"/>
  <c r="DA10" i="12"/>
  <c r="CX17" i="13"/>
  <c r="CX10" i="14"/>
  <c r="CX11" i="14" s="1"/>
  <c r="CZ7" i="21"/>
  <c r="CZ9" i="14"/>
  <c r="CZ24" i="15"/>
  <c r="CZ25" i="15" s="1"/>
  <c r="CZ9" i="21" s="1"/>
  <c r="CZ22" i="13"/>
  <c r="CZ24" i="13"/>
  <c r="CZ9" i="13"/>
  <c r="CZ8" i="13"/>
  <c r="CZ10" i="13"/>
  <c r="CZ11" i="13"/>
  <c r="CZ21" i="13"/>
  <c r="CZ25" i="13" s="1"/>
  <c r="CZ15" i="18" s="1"/>
  <c r="CZ23" i="13"/>
  <c r="CZ17" i="11"/>
  <c r="CZ21" i="11"/>
  <c r="CZ18" i="11"/>
  <c r="CZ22" i="11"/>
  <c r="CU10" i="16"/>
  <c r="CT10" i="20"/>
  <c r="CT23" i="16"/>
  <c r="AJ34" i="21"/>
  <c r="AJ41" i="20"/>
  <c r="CV26" i="18"/>
  <c r="CV19" i="16"/>
  <c r="CV11" i="20" s="1"/>
  <c r="CV20" i="16"/>
  <c r="CV23" i="20" s="1"/>
  <c r="CY12" i="21"/>
  <c r="CY17" i="14"/>
  <c r="CY25" i="18" s="1"/>
  <c r="CY7" i="18"/>
  <c r="CY14" i="14"/>
  <c r="CY16" i="14"/>
  <c r="CY15" i="14"/>
  <c r="CY28" i="12"/>
  <c r="CY26" i="11"/>
  <c r="CY16" i="13" s="1"/>
  <c r="CY27" i="11"/>
  <c r="CY25" i="11"/>
  <c r="CY15" i="13" s="1"/>
  <c r="AK26" i="21" l="1"/>
  <c r="AK28" i="21" s="1"/>
  <c r="AK29" i="21" s="1"/>
  <c r="D14" i="23"/>
  <c r="AK8" i="20"/>
  <c r="AK12" i="20" s="1"/>
  <c r="AK18" i="20" s="1"/>
  <c r="AL24" i="19"/>
  <c r="CX23" i="18"/>
  <c r="CX21" i="14"/>
  <c r="CT16" i="17"/>
  <c r="CT15" i="17"/>
  <c r="CU13" i="17" s="1"/>
  <c r="CT17" i="17"/>
  <c r="CY24" i="18"/>
  <c r="CY18" i="14"/>
  <c r="CZ12" i="21"/>
  <c r="CZ7" i="18"/>
  <c r="CZ17" i="14"/>
  <c r="CZ25" i="18" s="1"/>
  <c r="CZ14" i="14"/>
  <c r="CZ15" i="14"/>
  <c r="CZ16" i="14"/>
  <c r="DB11" i="12"/>
  <c r="DB10" i="12"/>
  <c r="AN9" i="15"/>
  <c r="AN12" i="15"/>
  <c r="AN14" i="15" s="1"/>
  <c r="I10" i="23"/>
  <c r="I20" i="23" s="1"/>
  <c r="CS34" i="18"/>
  <c r="CS21" i="21" s="1"/>
  <c r="DD9" i="11"/>
  <c r="DC13" i="11"/>
  <c r="DC12" i="11"/>
  <c r="CX15" i="21"/>
  <c r="CX14" i="21"/>
  <c r="CV20" i="18"/>
  <c r="CV18" i="21" s="1"/>
  <c r="CV19" i="18"/>
  <c r="CV29" i="18" s="1"/>
  <c r="CV30" i="18"/>
  <c r="CV20" i="21" s="1"/>
  <c r="CX14" i="18"/>
  <c r="CX28" i="13"/>
  <c r="D16" i="23"/>
  <c r="AK35" i="21"/>
  <c r="AK33" i="21"/>
  <c r="DA7" i="21"/>
  <c r="DA9" i="14"/>
  <c r="DA24" i="15"/>
  <c r="DA25" i="15" s="1"/>
  <c r="DA9" i="21" s="1"/>
  <c r="DA22" i="13"/>
  <c r="DA24" i="13"/>
  <c r="DA9" i="13"/>
  <c r="DA11" i="13"/>
  <c r="DA8" i="13"/>
  <c r="DA10" i="13"/>
  <c r="DA23" i="13"/>
  <c r="DA21" i="11"/>
  <c r="DA22" i="11"/>
  <c r="DA17" i="11"/>
  <c r="DA18" i="11"/>
  <c r="DA21" i="13"/>
  <c r="DA25" i="13" s="1"/>
  <c r="DA15" i="18" s="1"/>
  <c r="AM10" i="17"/>
  <c r="AM21" i="17" s="1"/>
  <c r="AM8" i="17"/>
  <c r="AM17" i="19" s="1"/>
  <c r="AL27" i="21"/>
  <c r="AL28" i="20"/>
  <c r="AL29" i="20" s="1"/>
  <c r="AL31" i="20"/>
  <c r="CY13" i="18"/>
  <c r="CW26" i="18"/>
  <c r="CW19" i="16"/>
  <c r="CW11" i="20" s="1"/>
  <c r="CW20" i="16"/>
  <c r="CW23" i="20" s="1"/>
  <c r="DA15" i="12"/>
  <c r="DA17" i="12" s="1"/>
  <c r="DA8" i="18" s="1"/>
  <c r="DA12" i="12"/>
  <c r="CZ8" i="21"/>
  <c r="CU29" i="18"/>
  <c r="CT34" i="18"/>
  <c r="CT21" i="21" s="1"/>
  <c r="CV10" i="16"/>
  <c r="CY22" i="12"/>
  <c r="CW13" i="21"/>
  <c r="CW10" i="18"/>
  <c r="CW32" i="13"/>
  <c r="CW13" i="16"/>
  <c r="CW9" i="20" s="1"/>
  <c r="CW29" i="12"/>
  <c r="DB9" i="12"/>
  <c r="DB8" i="12"/>
  <c r="DB14" i="11"/>
  <c r="CY11" i="14"/>
  <c r="CZ12" i="13"/>
  <c r="CU20" i="18"/>
  <c r="CU18" i="21" s="1"/>
  <c r="CW16" i="18"/>
  <c r="CW9" i="16"/>
  <c r="CW7" i="16"/>
  <c r="CW8" i="16"/>
  <c r="CW16" i="16"/>
  <c r="CW22" i="20" s="1"/>
  <c r="CW31" i="13"/>
  <c r="CT38" i="21"/>
  <c r="CT39" i="21" s="1"/>
  <c r="CT24" i="16"/>
  <c r="CT9" i="19" s="1"/>
  <c r="CZ7" i="14"/>
  <c r="CZ20" i="12"/>
  <c r="AL39" i="18"/>
  <c r="AL40" i="18" s="1"/>
  <c r="CY17" i="13"/>
  <c r="CY18" i="13" s="1"/>
  <c r="CY10" i="14"/>
  <c r="CZ28" i="12"/>
  <c r="CU10" i="20"/>
  <c r="CU23" i="16"/>
  <c r="CZ8" i="14"/>
  <c r="CZ21" i="12"/>
  <c r="CZ26" i="11"/>
  <c r="CZ16" i="13" s="1"/>
  <c r="CZ25" i="11"/>
  <c r="CZ15" i="13" s="1"/>
  <c r="CZ27" i="11"/>
  <c r="CV15" i="21"/>
  <c r="CV14" i="21"/>
  <c r="AK38" i="20"/>
  <c r="CY14" i="18" l="1"/>
  <c r="CY28" i="13"/>
  <c r="AL22" i="21"/>
  <c r="AL7" i="19"/>
  <c r="AL10" i="19" s="1"/>
  <c r="AL19" i="19"/>
  <c r="AL20" i="19" s="1"/>
  <c r="AL41" i="18"/>
  <c r="AL23" i="21" s="1"/>
  <c r="AL35" i="20"/>
  <c r="CZ18" i="13"/>
  <c r="CZ14" i="18" s="1"/>
  <c r="DA12" i="21"/>
  <c r="DA7" i="18"/>
  <c r="DA15" i="14"/>
  <c r="DA14" i="14"/>
  <c r="DA16" i="14"/>
  <c r="DA17" i="14"/>
  <c r="DA25" i="18" s="1"/>
  <c r="CZ24" i="18"/>
  <c r="CZ18" i="14"/>
  <c r="DA12" i="13"/>
  <c r="DC9" i="12"/>
  <c r="DC16" i="12" s="1"/>
  <c r="DC14" i="11"/>
  <c r="DC8" i="12"/>
  <c r="DC11" i="12"/>
  <c r="DC10" i="12"/>
  <c r="CU16" i="17"/>
  <c r="CU17" i="17"/>
  <c r="CU15" i="17"/>
  <c r="CV13" i="17" s="1"/>
  <c r="DB7" i="21"/>
  <c r="DB9" i="14"/>
  <c r="DB24" i="15"/>
  <c r="DB25" i="15" s="1"/>
  <c r="DB9" i="21" s="1"/>
  <c r="DB22" i="13"/>
  <c r="DB24" i="13"/>
  <c r="DB9" i="13"/>
  <c r="DB11" i="13"/>
  <c r="DB21" i="13"/>
  <c r="DB10" i="13"/>
  <c r="DB23" i="13"/>
  <c r="DB21" i="11"/>
  <c r="DB8" i="13"/>
  <c r="DB12" i="13" s="1"/>
  <c r="DB18" i="11"/>
  <c r="DB22" i="11"/>
  <c r="DB17" i="11"/>
  <c r="DB15" i="12"/>
  <c r="DB12" i="12"/>
  <c r="DB16" i="12"/>
  <c r="DA8" i="14"/>
  <c r="DA21" i="12"/>
  <c r="CU19" i="21"/>
  <c r="CU33" i="18"/>
  <c r="CU30" i="18"/>
  <c r="CU20" i="21" s="1"/>
  <c r="DA25" i="11"/>
  <c r="DA15" i="13" s="1"/>
  <c r="DA27" i="11"/>
  <c r="DA26" i="11"/>
  <c r="DA16" i="13" s="1"/>
  <c r="AN13" i="19"/>
  <c r="AN14" i="19" s="1"/>
  <c r="CX26" i="18"/>
  <c r="CX19" i="16"/>
  <c r="CX11" i="20" s="1"/>
  <c r="CX20" i="16"/>
  <c r="CX23" i="20" s="1"/>
  <c r="CY23" i="18"/>
  <c r="CY21" i="14"/>
  <c r="CW10" i="16"/>
  <c r="CZ13" i="18"/>
  <c r="CZ28" i="13"/>
  <c r="CU38" i="21"/>
  <c r="CU39" i="21" s="1"/>
  <c r="CU24" i="16"/>
  <c r="CU9" i="19" s="1"/>
  <c r="DA8" i="21"/>
  <c r="AN18" i="15"/>
  <c r="CW15" i="21"/>
  <c r="CW14" i="21"/>
  <c r="CY9" i="18"/>
  <c r="CY30" i="12"/>
  <c r="CY25" i="12"/>
  <c r="AM30" i="21"/>
  <c r="AM36" i="18"/>
  <c r="AM37" i="18" s="1"/>
  <c r="AK41" i="20"/>
  <c r="AK34" i="21"/>
  <c r="DE9" i="11"/>
  <c r="DD13" i="11"/>
  <c r="DD12" i="11"/>
  <c r="CV10" i="20"/>
  <c r="CV23" i="16"/>
  <c r="AM9" i="17"/>
  <c r="DA20" i="12"/>
  <c r="DA22" i="12" s="1"/>
  <c r="DA25" i="12" s="1"/>
  <c r="DA7" i="14"/>
  <c r="CV19" i="21"/>
  <c r="CV33" i="18"/>
  <c r="CZ10" i="14"/>
  <c r="CZ17" i="13"/>
  <c r="CW19" i="18"/>
  <c r="CW20" i="18"/>
  <c r="CW18" i="21" s="1"/>
  <c r="CZ22" i="12"/>
  <c r="CZ11" i="14"/>
  <c r="DA28" i="12"/>
  <c r="CX16" i="18"/>
  <c r="CX19" i="18" s="1"/>
  <c r="CX9" i="16"/>
  <c r="CX7" i="16"/>
  <c r="CX8" i="16"/>
  <c r="CX16" i="16"/>
  <c r="CX22" i="20" s="1"/>
  <c r="CX31" i="13"/>
  <c r="CX32" i="13"/>
  <c r="DA13" i="21" l="1"/>
  <c r="DA10" i="18"/>
  <c r="DA13" i="16"/>
  <c r="DA9" i="20" s="1"/>
  <c r="DA29" i="12"/>
  <c r="DB27" i="11"/>
  <c r="DB26" i="11"/>
  <c r="DB16" i="13" s="1"/>
  <c r="DB25" i="11"/>
  <c r="DB15" i="13" s="1"/>
  <c r="DB25" i="13"/>
  <c r="DB15" i="18" s="1"/>
  <c r="DD9" i="12"/>
  <c r="DD16" i="12" s="1"/>
  <c r="DD14" i="11"/>
  <c r="DD8" i="12"/>
  <c r="CW10" i="20"/>
  <c r="CW23" i="16"/>
  <c r="DA24" i="18"/>
  <c r="DA18" i="14"/>
  <c r="DC15" i="12"/>
  <c r="DC17" i="12" s="1"/>
  <c r="DC8" i="18" s="1"/>
  <c r="DC12" i="12"/>
  <c r="CZ16" i="18"/>
  <c r="CZ9" i="16"/>
  <c r="CZ7" i="16"/>
  <c r="CZ10" i="16" s="1"/>
  <c r="CZ8" i="16"/>
  <c r="CZ31" i="13"/>
  <c r="DD11" i="12"/>
  <c r="DD10" i="12"/>
  <c r="DC7" i="21"/>
  <c r="DC24" i="15"/>
  <c r="DC25" i="15" s="1"/>
  <c r="DC9" i="21" s="1"/>
  <c r="DC24" i="13"/>
  <c r="DC9" i="14"/>
  <c r="DC9" i="13"/>
  <c r="DC11" i="13"/>
  <c r="DC21" i="13"/>
  <c r="DC23" i="13"/>
  <c r="DC10" i="13"/>
  <c r="DC21" i="11"/>
  <c r="DC8" i="13"/>
  <c r="DC12" i="13" s="1"/>
  <c r="DC18" i="11"/>
  <c r="DC22" i="13"/>
  <c r="DC22" i="11"/>
  <c r="DC17" i="11"/>
  <c r="AM20" i="17"/>
  <c r="AN7" i="17"/>
  <c r="AM24" i="20"/>
  <c r="AM25" i="20" s="1"/>
  <c r="DA11" i="14"/>
  <c r="CX10" i="16"/>
  <c r="CU34" i="18"/>
  <c r="CU21" i="21" s="1"/>
  <c r="AL36" i="20"/>
  <c r="CX29" i="18"/>
  <c r="CX20" i="18"/>
  <c r="CX18" i="21" s="1"/>
  <c r="DB8" i="21"/>
  <c r="CV16" i="17"/>
  <c r="CV17" i="17"/>
  <c r="CV15" i="17"/>
  <c r="CW13" i="17" s="1"/>
  <c r="CV34" i="18"/>
  <c r="CV21" i="21" s="1"/>
  <c r="DB13" i="18"/>
  <c r="AL23" i="19"/>
  <c r="AL25" i="19" s="1"/>
  <c r="DB8" i="14"/>
  <c r="DB21" i="12"/>
  <c r="CV38" i="21"/>
  <c r="CV39" i="21" s="1"/>
  <c r="CV24" i="16"/>
  <c r="CV9" i="19" s="1"/>
  <c r="CY26" i="18"/>
  <c r="CY19" i="16"/>
  <c r="CY11" i="20" s="1"/>
  <c r="CY20" i="16"/>
  <c r="CY23" i="20" s="1"/>
  <c r="CZ9" i="18"/>
  <c r="CZ30" i="12"/>
  <c r="CZ25" i="12"/>
  <c r="CW29" i="18"/>
  <c r="DB17" i="12"/>
  <c r="DB8" i="18" s="1"/>
  <c r="DF9" i="11"/>
  <c r="DE12" i="11"/>
  <c r="DE13" i="11"/>
  <c r="CZ23" i="18"/>
  <c r="CZ21" i="14"/>
  <c r="AM39" i="18"/>
  <c r="AM40" i="18"/>
  <c r="DA10" i="14"/>
  <c r="DA17" i="13"/>
  <c r="DA18" i="13" s="1"/>
  <c r="AN20" i="15"/>
  <c r="AN15" i="20" s="1"/>
  <c r="AN16" i="20" s="1"/>
  <c r="AO7" i="15"/>
  <c r="DA13" i="18"/>
  <c r="DA9" i="18"/>
  <c r="DA30" i="12"/>
  <c r="CY13" i="21"/>
  <c r="CY10" i="18"/>
  <c r="CY32" i="13"/>
  <c r="CY13" i="16"/>
  <c r="CY9" i="20" s="1"/>
  <c r="CY29" i="12"/>
  <c r="DB12" i="21"/>
  <c r="DB15" i="14"/>
  <c r="DB17" i="14"/>
  <c r="DB25" i="18" s="1"/>
  <c r="DB7" i="18"/>
  <c r="DB14" i="14"/>
  <c r="DB16" i="14"/>
  <c r="DB20" i="12"/>
  <c r="DB7" i="14"/>
  <c r="CY16" i="18"/>
  <c r="CY8" i="16"/>
  <c r="CY9" i="16"/>
  <c r="CY7" i="16"/>
  <c r="CY10" i="16" s="1"/>
  <c r="CY16" i="16"/>
  <c r="CY22" i="20" s="1"/>
  <c r="CY31" i="13"/>
  <c r="DB28" i="12"/>
  <c r="DA14" i="18" l="1"/>
  <c r="DA28" i="13"/>
  <c r="AL33" i="21"/>
  <c r="AL35" i="21"/>
  <c r="AL38" i="20"/>
  <c r="DC25" i="13"/>
  <c r="DC15" i="18" s="1"/>
  <c r="DD15" i="12"/>
  <c r="DD17" i="12" s="1"/>
  <c r="DD8" i="18" s="1"/>
  <c r="DD12" i="12"/>
  <c r="CZ10" i="20"/>
  <c r="DC21" i="12"/>
  <c r="DC8" i="14"/>
  <c r="CW19" i="21"/>
  <c r="CW33" i="18"/>
  <c r="CW30" i="18"/>
  <c r="CW20" i="21" s="1"/>
  <c r="DC13" i="18"/>
  <c r="DC25" i="11"/>
  <c r="DC15" i="13" s="1"/>
  <c r="DC27" i="11"/>
  <c r="DC26" i="11"/>
  <c r="DC16" i="13" s="1"/>
  <c r="DC12" i="21"/>
  <c r="DC7" i="18"/>
  <c r="DC15" i="14"/>
  <c r="DC17" i="14"/>
  <c r="DC25" i="18" s="1"/>
  <c r="DC14" i="14"/>
  <c r="DC16" i="14"/>
  <c r="CY19" i="18"/>
  <c r="CY20" i="18"/>
  <c r="CY18" i="21" s="1"/>
  <c r="DB18" i="13"/>
  <c r="CZ13" i="21"/>
  <c r="CZ10" i="18"/>
  <c r="CZ32" i="13"/>
  <c r="CZ13" i="16"/>
  <c r="CZ9" i="20" s="1"/>
  <c r="CZ29" i="12"/>
  <c r="CX19" i="21"/>
  <c r="CX33" i="18"/>
  <c r="CX30" i="18"/>
  <c r="CX20" i="21" s="1"/>
  <c r="DC8" i="21"/>
  <c r="DB10" i="14"/>
  <c r="DB11" i="14" s="1"/>
  <c r="DB17" i="13"/>
  <c r="DE9" i="12"/>
  <c r="DE16" i="12" s="1"/>
  <c r="DE14" i="11"/>
  <c r="DE8" i="12"/>
  <c r="CW38" i="21"/>
  <c r="CW39" i="21" s="1"/>
  <c r="CW24" i="16"/>
  <c r="CW9" i="19" s="1"/>
  <c r="CY15" i="21"/>
  <c r="CY14" i="21"/>
  <c r="AN10" i="17"/>
  <c r="AN21" i="17" s="1"/>
  <c r="AN8" i="17"/>
  <c r="AN17" i="19" s="1"/>
  <c r="DG9" i="11"/>
  <c r="DF12" i="11"/>
  <c r="DF13" i="11"/>
  <c r="DC28" i="12"/>
  <c r="DD7" i="21"/>
  <c r="DD24" i="13"/>
  <c r="DD24" i="15"/>
  <c r="DD25" i="15" s="1"/>
  <c r="DD9" i="21" s="1"/>
  <c r="DD21" i="13"/>
  <c r="DD9" i="14"/>
  <c r="DD9" i="13"/>
  <c r="DD11" i="13"/>
  <c r="DD28" i="12"/>
  <c r="DD23" i="13"/>
  <c r="DD21" i="11"/>
  <c r="DD8" i="13"/>
  <c r="DD12" i="13" s="1"/>
  <c r="DD22" i="13"/>
  <c r="DD17" i="11"/>
  <c r="DD18" i="11"/>
  <c r="DD10" i="13"/>
  <c r="DD22" i="11"/>
  <c r="CX10" i="20"/>
  <c r="CX23" i="16"/>
  <c r="AM27" i="21"/>
  <c r="AM28" i="20"/>
  <c r="AM29" i="20" s="1"/>
  <c r="DE11" i="12"/>
  <c r="DE10" i="12"/>
  <c r="DC20" i="12"/>
  <c r="DC7" i="14"/>
  <c r="DB24" i="18"/>
  <c r="DB18" i="14"/>
  <c r="CW16" i="17"/>
  <c r="CW17" i="17"/>
  <c r="CW15" i="17"/>
  <c r="CX13" i="17" s="1"/>
  <c r="CY10" i="20"/>
  <c r="CY23" i="16"/>
  <c r="AO9" i="15"/>
  <c r="AO12" i="15"/>
  <c r="AO14" i="15" s="1"/>
  <c r="DA23" i="18"/>
  <c r="DA21" i="14"/>
  <c r="AM31" i="20"/>
  <c r="AL26" i="21"/>
  <c r="AL28" i="21" s="1"/>
  <c r="AL29" i="21" s="1"/>
  <c r="AL8" i="20"/>
  <c r="AL12" i="20" s="1"/>
  <c r="AL18" i="20" s="1"/>
  <c r="AM24" i="19"/>
  <c r="AM22" i="21"/>
  <c r="AM19" i="19"/>
  <c r="AM7" i="19"/>
  <c r="AM10" i="19" s="1"/>
  <c r="AM41" i="18"/>
  <c r="AM23" i="21" s="1"/>
  <c r="DB22" i="12"/>
  <c r="CZ26" i="18"/>
  <c r="CZ19" i="16"/>
  <c r="CZ11" i="20" s="1"/>
  <c r="CZ20" i="16"/>
  <c r="CZ23" i="20" s="1"/>
  <c r="CZ16" i="16"/>
  <c r="CZ22" i="20" s="1"/>
  <c r="DA15" i="21"/>
  <c r="DA14" i="21"/>
  <c r="DB23" i="18" l="1"/>
  <c r="DB21" i="14"/>
  <c r="CY29" i="18"/>
  <c r="CZ23" i="16"/>
  <c r="DB14" i="18"/>
  <c r="DB28" i="13"/>
  <c r="DB9" i="18"/>
  <c r="DB30" i="12"/>
  <c r="DE15" i="12"/>
  <c r="DE17" i="12" s="1"/>
  <c r="DE8" i="18" s="1"/>
  <c r="DE12" i="12"/>
  <c r="DA26" i="18"/>
  <c r="DA19" i="16"/>
  <c r="DA11" i="20" s="1"/>
  <c r="DA20" i="16"/>
  <c r="DA23" i="20" s="1"/>
  <c r="DD8" i="21"/>
  <c r="AO13" i="19"/>
  <c r="AO14" i="19" s="1"/>
  <c r="DD12" i="21"/>
  <c r="DD7" i="18"/>
  <c r="DD15" i="14"/>
  <c r="DD17" i="14"/>
  <c r="DD25" i="18" s="1"/>
  <c r="DD14" i="14"/>
  <c r="DD16" i="14"/>
  <c r="DC22" i="12"/>
  <c r="CX38" i="21"/>
  <c r="CX39" i="21" s="1"/>
  <c r="CX24" i="16"/>
  <c r="CX9" i="19" s="1"/>
  <c r="AO18" i="15"/>
  <c r="DF11" i="12"/>
  <c r="DF10" i="12"/>
  <c r="CX34" i="18"/>
  <c r="CX21" i="21" s="1"/>
  <c r="DC10" i="14"/>
  <c r="DC11" i="14" s="1"/>
  <c r="DC17" i="13"/>
  <c r="DE7" i="21"/>
  <c r="DE11" i="13"/>
  <c r="DE28" i="12"/>
  <c r="DE21" i="13"/>
  <c r="DE25" i="13" s="1"/>
  <c r="DE15" i="18" s="1"/>
  <c r="DE8" i="13"/>
  <c r="DE12" i="13" s="1"/>
  <c r="DE24" i="15"/>
  <c r="DE25" i="15" s="1"/>
  <c r="DE9" i="21" s="1"/>
  <c r="DE9" i="13"/>
  <c r="DE23" i="13"/>
  <c r="DE21" i="11"/>
  <c r="DE22" i="13"/>
  <c r="DE24" i="13"/>
  <c r="DE18" i="11"/>
  <c r="DE9" i="14"/>
  <c r="DE22" i="11"/>
  <c r="DE10" i="13"/>
  <c r="DE17" i="11"/>
  <c r="J4" i="23"/>
  <c r="AL34" i="21"/>
  <c r="AL41" i="20"/>
  <c r="DF9" i="12"/>
  <c r="DF16" i="12" s="1"/>
  <c r="DF14" i="11"/>
  <c r="DF8" i="12"/>
  <c r="DC18" i="13"/>
  <c r="AM20" i="19"/>
  <c r="AM23" i="19" s="1"/>
  <c r="AM25" i="19" s="1"/>
  <c r="AM35" i="20"/>
  <c r="DD25" i="13"/>
  <c r="DD15" i="18" s="1"/>
  <c r="DD25" i="11"/>
  <c r="DD15" i="13" s="1"/>
  <c r="DD26" i="11"/>
  <c r="DD16" i="13" s="1"/>
  <c r="DD27" i="11"/>
  <c r="DC24" i="18"/>
  <c r="DC18" i="14"/>
  <c r="CX16" i="17"/>
  <c r="CX17" i="17"/>
  <c r="CX15" i="17"/>
  <c r="CY13" i="17" s="1"/>
  <c r="AN30" i="21"/>
  <c r="AN36" i="18"/>
  <c r="AN37" i="18" s="1"/>
  <c r="DD21" i="12"/>
  <c r="DD8" i="14"/>
  <c r="AN9" i="17"/>
  <c r="DA16" i="18"/>
  <c r="DA19" i="18" s="1"/>
  <c r="DA7" i="16"/>
  <c r="DA8" i="16"/>
  <c r="DA9" i="16"/>
  <c r="DA16" i="16"/>
  <c r="DA22" i="20" s="1"/>
  <c r="DA31" i="13"/>
  <c r="DA32" i="13"/>
  <c r="CZ15" i="21"/>
  <c r="CZ14" i="21"/>
  <c r="DB25" i="12"/>
  <c r="DD13" i="18"/>
  <c r="CW34" i="18"/>
  <c r="CW21" i="21" s="1"/>
  <c r="CY38" i="21"/>
  <c r="CY39" i="21" s="1"/>
  <c r="CY24" i="16"/>
  <c r="CY9" i="19" s="1"/>
  <c r="DH9" i="11"/>
  <c r="DG12" i="11"/>
  <c r="DG13" i="11"/>
  <c r="DD7" i="14"/>
  <c r="DD20" i="12"/>
  <c r="CZ19" i="18"/>
  <c r="CZ29" i="18" s="1"/>
  <c r="CZ30" i="18"/>
  <c r="CZ20" i="21" s="1"/>
  <c r="CZ20" i="18"/>
  <c r="CZ18" i="21" s="1"/>
  <c r="AM26" i="21" l="1"/>
  <c r="AM28" i="21" s="1"/>
  <c r="AM29" i="21" s="1"/>
  <c r="AM8" i="20"/>
  <c r="AM12" i="20" s="1"/>
  <c r="AM18" i="20" s="1"/>
  <c r="AN24" i="19"/>
  <c r="DC23" i="18"/>
  <c r="DC21" i="14"/>
  <c r="DG11" i="12"/>
  <c r="DG10" i="12"/>
  <c r="DA29" i="18"/>
  <c r="DA20" i="18"/>
  <c r="DA18" i="21" s="1"/>
  <c r="DE7" i="14"/>
  <c r="DE20" i="12"/>
  <c r="DE22" i="12" s="1"/>
  <c r="DE12" i="21"/>
  <c r="DE7" i="18"/>
  <c r="DE15" i="14"/>
  <c r="DE17" i="14"/>
  <c r="DE25" i="18" s="1"/>
  <c r="DE16" i="14"/>
  <c r="DE25" i="12"/>
  <c r="DE14" i="14"/>
  <c r="J5" i="23"/>
  <c r="AM36" i="20"/>
  <c r="DA10" i="16"/>
  <c r="CY16" i="17"/>
  <c r="CY15" i="17"/>
  <c r="CZ13" i="17" s="1"/>
  <c r="CY17" i="17"/>
  <c r="DB13" i="21"/>
  <c r="DB10" i="18"/>
  <c r="DB32" i="13"/>
  <c r="DB13" i="16"/>
  <c r="DB9" i="20" s="1"/>
  <c r="DB29" i="12"/>
  <c r="AO20" i="15"/>
  <c r="AO15" i="20" s="1"/>
  <c r="AO16" i="20" s="1"/>
  <c r="AP7" i="15"/>
  <c r="DD11" i="14"/>
  <c r="DF15" i="12"/>
  <c r="DF17" i="12" s="1"/>
  <c r="DF8" i="18" s="1"/>
  <c r="DF12" i="12"/>
  <c r="DE21" i="12"/>
  <c r="DE8" i="14"/>
  <c r="DB16" i="18"/>
  <c r="DB8" i="16"/>
  <c r="DB7" i="16"/>
  <c r="DB9" i="16"/>
  <c r="DB16" i="16"/>
  <c r="DB22" i="20" s="1"/>
  <c r="DB31" i="13"/>
  <c r="DE13" i="18"/>
  <c r="DC14" i="18"/>
  <c r="DC28" i="13"/>
  <c r="DD10" i="14"/>
  <c r="DD17" i="13"/>
  <c r="DE25" i="11"/>
  <c r="DE15" i="13" s="1"/>
  <c r="DE27" i="11"/>
  <c r="DE26" i="11"/>
  <c r="DE16" i="13" s="1"/>
  <c r="CZ38" i="21"/>
  <c r="CZ39" i="21" s="1"/>
  <c r="CZ24" i="16"/>
  <c r="CZ9" i="19" s="1"/>
  <c r="DF7" i="21"/>
  <c r="DF23" i="13"/>
  <c r="DF9" i="14"/>
  <c r="DF11" i="13"/>
  <c r="DF28" i="12"/>
  <c r="DF21" i="13"/>
  <c r="DF22" i="13"/>
  <c r="DF24" i="15"/>
  <c r="DF25" i="15" s="1"/>
  <c r="DF9" i="21" s="1"/>
  <c r="DF8" i="13"/>
  <c r="DF21" i="11"/>
  <c r="DF24" i="13"/>
  <c r="DF9" i="13"/>
  <c r="DF18" i="11"/>
  <c r="DF22" i="11"/>
  <c r="DF10" i="13"/>
  <c r="DF17" i="11"/>
  <c r="DD18" i="13"/>
  <c r="CY19" i="21"/>
  <c r="CY33" i="18"/>
  <c r="CY30" i="18"/>
  <c r="CY20" i="21" s="1"/>
  <c r="DI9" i="11"/>
  <c r="DH12" i="11"/>
  <c r="DH13" i="11"/>
  <c r="CZ33" i="18"/>
  <c r="CZ19" i="21"/>
  <c r="DD24" i="18"/>
  <c r="DD18" i="14"/>
  <c r="DB26" i="18"/>
  <c r="DB19" i="16"/>
  <c r="DB11" i="20" s="1"/>
  <c r="DB20" i="16"/>
  <c r="DB23" i="20" s="1"/>
  <c r="DG9" i="12"/>
  <c r="DG16" i="12" s="1"/>
  <c r="DG14" i="11"/>
  <c r="DG8" i="12"/>
  <c r="AO7" i="17"/>
  <c r="AN20" i="17"/>
  <c r="AN24" i="20"/>
  <c r="AN25" i="20" s="1"/>
  <c r="DE8" i="21"/>
  <c r="AN39" i="18"/>
  <c r="AN40" i="18" s="1"/>
  <c r="DC9" i="18"/>
  <c r="DC30" i="12"/>
  <c r="DC25" i="12"/>
  <c r="DD22" i="12"/>
  <c r="AN22" i="21" l="1"/>
  <c r="AN19" i="19"/>
  <c r="AN20" i="19" s="1"/>
  <c r="AN7" i="19"/>
  <c r="AN10" i="19" s="1"/>
  <c r="AN41" i="18"/>
  <c r="AN23" i="21" s="1"/>
  <c r="AN35" i="20"/>
  <c r="DE9" i="18"/>
  <c r="DE30" i="12"/>
  <c r="DA10" i="20"/>
  <c r="DA23" i="16"/>
  <c r="AO10" i="17"/>
  <c r="AO21" i="17" s="1"/>
  <c r="AO8" i="17"/>
  <c r="AO17" i="19" s="1"/>
  <c r="DG7" i="21"/>
  <c r="DG24" i="15"/>
  <c r="DG25" i="15" s="1"/>
  <c r="DG9" i="21" s="1"/>
  <c r="DG21" i="13"/>
  <c r="DG9" i="14"/>
  <c r="DG28" i="12"/>
  <c r="DG22" i="13"/>
  <c r="DG10" i="13"/>
  <c r="DG21" i="11"/>
  <c r="DG23" i="13"/>
  <c r="DG11" i="13"/>
  <c r="DG8" i="13"/>
  <c r="DG24" i="13"/>
  <c r="DG18" i="11"/>
  <c r="DG9" i="13"/>
  <c r="DG17" i="11"/>
  <c r="DG22" i="11"/>
  <c r="CY34" i="18"/>
  <c r="CY21" i="21" s="1"/>
  <c r="DF8" i="21"/>
  <c r="DD21" i="14"/>
  <c r="DD23" i="18"/>
  <c r="DD14" i="18"/>
  <c r="DD28" i="13"/>
  <c r="DA19" i="21"/>
  <c r="DA33" i="18"/>
  <c r="DA30" i="18"/>
  <c r="DA20" i="21" s="1"/>
  <c r="AM33" i="21"/>
  <c r="AM35" i="21"/>
  <c r="AM38" i="20"/>
  <c r="AN27" i="21"/>
  <c r="AN28" i="20"/>
  <c r="AN29" i="20" s="1"/>
  <c r="DF21" i="12"/>
  <c r="DF8" i="14"/>
  <c r="DG15" i="12"/>
  <c r="DG17" i="12" s="1"/>
  <c r="DG8" i="18" s="1"/>
  <c r="DG12" i="12"/>
  <c r="DE11" i="14"/>
  <c r="DF20" i="12"/>
  <c r="DF22" i="12" s="1"/>
  <c r="DF7" i="14"/>
  <c r="CZ34" i="18"/>
  <c r="CZ21" i="21" s="1"/>
  <c r="DC13" i="21"/>
  <c r="DC10" i="18"/>
  <c r="DC32" i="13"/>
  <c r="DC13" i="16"/>
  <c r="DC9" i="20" s="1"/>
  <c r="DC29" i="12"/>
  <c r="DB20" i="18"/>
  <c r="DB18" i="21" s="1"/>
  <c r="DB19" i="18"/>
  <c r="DB29" i="18" s="1"/>
  <c r="DB30" i="18"/>
  <c r="DB20" i="21" s="1"/>
  <c r="DC26" i="18"/>
  <c r="DC19" i="16"/>
  <c r="DC11" i="20" s="1"/>
  <c r="DC20" i="16"/>
  <c r="DC23" i="20" s="1"/>
  <c r="AN31" i="20"/>
  <c r="DF25" i="13"/>
  <c r="DF15" i="18" s="1"/>
  <c r="DE24" i="18"/>
  <c r="DE18" i="14"/>
  <c r="DE10" i="14"/>
  <c r="DE17" i="13"/>
  <c r="DE18" i="13" s="1"/>
  <c r="DH11" i="12"/>
  <c r="DH10" i="12"/>
  <c r="DB15" i="21"/>
  <c r="DB14" i="21"/>
  <c r="DB10" i="16"/>
  <c r="DF12" i="21"/>
  <c r="DF7" i="18"/>
  <c r="DF15" i="14"/>
  <c r="DF17" i="14"/>
  <c r="DF25" i="18" s="1"/>
  <c r="DF16" i="14"/>
  <c r="DF14" i="14"/>
  <c r="DD9" i="18"/>
  <c r="DD30" i="12"/>
  <c r="DD25" i="12"/>
  <c r="DF25" i="11"/>
  <c r="DF15" i="13" s="1"/>
  <c r="DF27" i="11"/>
  <c r="DF26" i="11"/>
  <c r="DF16" i="13" s="1"/>
  <c r="DC16" i="18"/>
  <c r="DC8" i="16"/>
  <c r="DC16" i="16"/>
  <c r="DC22" i="20" s="1"/>
  <c r="DC7" i="16"/>
  <c r="DC10" i="16" s="1"/>
  <c r="DC9" i="16"/>
  <c r="DC31" i="13"/>
  <c r="DH8" i="12"/>
  <c r="DH14" i="11"/>
  <c r="DH9" i="12"/>
  <c r="DJ9" i="11"/>
  <c r="DI12" i="11"/>
  <c r="DI13" i="11"/>
  <c r="DF12" i="13"/>
  <c r="CZ15" i="17"/>
  <c r="DA13" i="17" s="1"/>
  <c r="CZ17" i="17"/>
  <c r="CZ16" i="17"/>
  <c r="AM34" i="21"/>
  <c r="AM41" i="20"/>
  <c r="DE13" i="21"/>
  <c r="DE10" i="18"/>
  <c r="DE13" i="16"/>
  <c r="DE9" i="20" s="1"/>
  <c r="J6" i="23"/>
  <c r="DE29" i="12"/>
  <c r="AP9" i="15"/>
  <c r="AP12" i="15"/>
  <c r="AP14" i="15" s="1"/>
  <c r="DE14" i="18" l="1"/>
  <c r="DE28" i="13"/>
  <c r="DC10" i="20"/>
  <c r="DC23" i="16"/>
  <c r="DG7" i="14"/>
  <c r="DG20" i="12"/>
  <c r="DG22" i="12" s="1"/>
  <c r="DA38" i="21"/>
  <c r="DA39" i="21" s="1"/>
  <c r="DA24" i="16"/>
  <c r="DA9" i="19" s="1"/>
  <c r="AP13" i="19"/>
  <c r="AP14" i="19" s="1"/>
  <c r="DA34" i="18"/>
  <c r="DA21" i="21" s="1"/>
  <c r="DG12" i="21"/>
  <c r="DG7" i="18"/>
  <c r="DG17" i="14"/>
  <c r="DG25" i="18" s="1"/>
  <c r="DG14" i="14"/>
  <c r="DG16" i="14"/>
  <c r="DG15" i="14"/>
  <c r="DG25" i="12"/>
  <c r="DD13" i="21"/>
  <c r="DD10" i="18"/>
  <c r="DD32" i="13"/>
  <c r="DD13" i="16"/>
  <c r="DD9" i="20" s="1"/>
  <c r="DD29" i="12"/>
  <c r="DG21" i="12"/>
  <c r="DG8" i="14"/>
  <c r="AO30" i="21"/>
  <c r="AO36" i="18"/>
  <c r="AO37" i="18" s="1"/>
  <c r="DI8" i="12"/>
  <c r="DI9" i="12"/>
  <c r="DI14" i="11"/>
  <c r="DK9" i="11"/>
  <c r="DJ12" i="11"/>
  <c r="DJ13" i="11"/>
  <c r="DB19" i="21"/>
  <c r="DB33" i="18"/>
  <c r="DC20" i="18"/>
  <c r="DC18" i="21" s="1"/>
  <c r="DC19" i="18"/>
  <c r="DC29" i="18" s="1"/>
  <c r="DC30" i="18"/>
  <c r="DC20" i="21" s="1"/>
  <c r="DF9" i="18"/>
  <c r="DF30" i="12"/>
  <c r="DF17" i="13"/>
  <c r="DF18" i="13" s="1"/>
  <c r="DF10" i="14"/>
  <c r="DF11" i="14" s="1"/>
  <c r="DG8" i="21"/>
  <c r="DH16" i="12"/>
  <c r="AN36" i="20"/>
  <c r="DE21" i="14"/>
  <c r="DE23" i="18"/>
  <c r="DE15" i="21"/>
  <c r="DE14" i="21"/>
  <c r="DA15" i="17"/>
  <c r="DB13" i="17" s="1"/>
  <c r="DA17" i="17"/>
  <c r="DA16" i="17"/>
  <c r="DH7" i="21"/>
  <c r="DH24" i="15"/>
  <c r="DH25" i="15" s="1"/>
  <c r="DH9" i="21" s="1"/>
  <c r="DH21" i="13"/>
  <c r="DH25" i="13" s="1"/>
  <c r="DH15" i="18" s="1"/>
  <c r="DH22" i="13"/>
  <c r="DH23" i="13"/>
  <c r="DH21" i="11"/>
  <c r="DH11" i="13"/>
  <c r="DH8" i="13"/>
  <c r="DH12" i="13" s="1"/>
  <c r="DH24" i="13"/>
  <c r="DH10" i="13"/>
  <c r="DH18" i="11"/>
  <c r="DH9" i="13"/>
  <c r="DH17" i="11"/>
  <c r="DH22" i="11"/>
  <c r="DH9" i="14"/>
  <c r="DG12" i="13"/>
  <c r="DC15" i="21"/>
  <c r="DC14" i="21"/>
  <c r="DG25" i="13"/>
  <c r="DG15" i="18" s="1"/>
  <c r="DF24" i="18"/>
  <c r="DF18" i="14"/>
  <c r="DF13" i="18"/>
  <c r="DF25" i="12"/>
  <c r="DB10" i="20"/>
  <c r="DB23" i="16"/>
  <c r="AN23" i="19"/>
  <c r="AN25" i="19" s="1"/>
  <c r="DD16" i="18"/>
  <c r="DD8" i="16"/>
  <c r="DD7" i="16"/>
  <c r="DD10" i="16" s="1"/>
  <c r="DD16" i="16"/>
  <c r="DD22" i="20" s="1"/>
  <c r="DD9" i="16"/>
  <c r="DD31" i="13"/>
  <c r="DD26" i="18"/>
  <c r="DD19" i="16"/>
  <c r="DD11" i="20" s="1"/>
  <c r="DD20" i="16"/>
  <c r="DD23" i="20" s="1"/>
  <c r="AN38" i="20"/>
  <c r="AO9" i="17"/>
  <c r="DI11" i="12"/>
  <c r="DI10" i="12"/>
  <c r="DH15" i="12"/>
  <c r="DH17" i="12" s="1"/>
  <c r="DH8" i="18" s="1"/>
  <c r="DH12" i="12"/>
  <c r="AP18" i="15"/>
  <c r="DG25" i="11"/>
  <c r="DG15" i="13" s="1"/>
  <c r="DG27" i="11"/>
  <c r="DG26" i="11"/>
  <c r="DG16" i="13" s="1"/>
  <c r="DF23" i="18" l="1"/>
  <c r="DF21" i="14"/>
  <c r="DF14" i="18"/>
  <c r="DF28" i="13"/>
  <c r="DF13" i="21"/>
  <c r="DF10" i="18"/>
  <c r="DF32" i="13"/>
  <c r="DF13" i="16"/>
  <c r="DF9" i="20" s="1"/>
  <c r="DF29" i="12"/>
  <c r="DG13" i="21"/>
  <c r="DG10" i="18"/>
  <c r="DG13" i="16"/>
  <c r="DG9" i="20" s="1"/>
  <c r="DG29" i="12"/>
  <c r="DH12" i="21"/>
  <c r="DH7" i="18"/>
  <c r="DH17" i="14"/>
  <c r="DH25" i="18" s="1"/>
  <c r="DH14" i="14"/>
  <c r="DH15" i="14"/>
  <c r="DH16" i="14"/>
  <c r="DH25" i="12"/>
  <c r="DI16" i="12"/>
  <c r="DC19" i="21"/>
  <c r="DC33" i="18"/>
  <c r="DI15" i="12"/>
  <c r="DI17" i="12" s="1"/>
  <c r="DI8" i="18" s="1"/>
  <c r="DI12" i="12"/>
  <c r="DB15" i="17"/>
  <c r="DC13" i="17" s="1"/>
  <c r="DB17" i="17"/>
  <c r="DB16" i="17"/>
  <c r="AO39" i="18"/>
  <c r="AO40" i="18"/>
  <c r="DH27" i="11"/>
  <c r="DH25" i="11"/>
  <c r="DH15" i="13" s="1"/>
  <c r="DH26" i="11"/>
  <c r="DH16" i="13" s="1"/>
  <c r="DG13" i="18"/>
  <c r="DG28" i="13"/>
  <c r="DH7" i="14"/>
  <c r="DH20" i="12"/>
  <c r="DH22" i="12" s="1"/>
  <c r="DG11" i="14"/>
  <c r="AQ7" i="15"/>
  <c r="AP20" i="15"/>
  <c r="AP15" i="20" s="1"/>
  <c r="AP16" i="20" s="1"/>
  <c r="DH13" i="18"/>
  <c r="DG24" i="18"/>
  <c r="DG18" i="14"/>
  <c r="DB34" i="18"/>
  <c r="DB21" i="21" s="1"/>
  <c r="DI7" i="21"/>
  <c r="DI24" i="15"/>
  <c r="DI25" i="15" s="1"/>
  <c r="DI9" i="21" s="1"/>
  <c r="DI21" i="13"/>
  <c r="DI23" i="13"/>
  <c r="DI22" i="13"/>
  <c r="DI11" i="13"/>
  <c r="DI24" i="13"/>
  <c r="DI21" i="11"/>
  <c r="DI10" i="13"/>
  <c r="DI28" i="12"/>
  <c r="DI18" i="11"/>
  <c r="DI8" i="13"/>
  <c r="DI9" i="13"/>
  <c r="DI17" i="11"/>
  <c r="DI22" i="11"/>
  <c r="DI9" i="14"/>
  <c r="DD10" i="20"/>
  <c r="DD23" i="16"/>
  <c r="DJ10" i="12"/>
  <c r="DJ11" i="12"/>
  <c r="DE26" i="18"/>
  <c r="DE20" i="16"/>
  <c r="DE23" i="20" s="1"/>
  <c r="DE19" i="16"/>
  <c r="DE11" i="20" s="1"/>
  <c r="DC38" i="21"/>
  <c r="DC39" i="21" s="1"/>
  <c r="DC24" i="16"/>
  <c r="DC9" i="19" s="1"/>
  <c r="AN26" i="21"/>
  <c r="AN28" i="21" s="1"/>
  <c r="AN29" i="21" s="1"/>
  <c r="AN8" i="20"/>
  <c r="AN12" i="20" s="1"/>
  <c r="AN18" i="20" s="1"/>
  <c r="AO24" i="19"/>
  <c r="DH28" i="12"/>
  <c r="AN35" i="21"/>
  <c r="AN33" i="21"/>
  <c r="AP7" i="17"/>
  <c r="AO20" i="17"/>
  <c r="AO24" i="20"/>
  <c r="AO25" i="20" s="1"/>
  <c r="DH8" i="21"/>
  <c r="DJ8" i="12"/>
  <c r="DJ14" i="11"/>
  <c r="DJ9" i="12"/>
  <c r="DJ16" i="12" s="1"/>
  <c r="DL9" i="11"/>
  <c r="DK12" i="11"/>
  <c r="DK13" i="11"/>
  <c r="DH21" i="12"/>
  <c r="DH8" i="14"/>
  <c r="DD19" i="18"/>
  <c r="DD29" i="18" s="1"/>
  <c r="DE16" i="18"/>
  <c r="DE19" i="18" s="1"/>
  <c r="DE16" i="16"/>
  <c r="DE22" i="20" s="1"/>
  <c r="DE9" i="16"/>
  <c r="DE8" i="16"/>
  <c r="DE7" i="16"/>
  <c r="DE31" i="13"/>
  <c r="J7" i="23"/>
  <c r="J18" i="23" s="1"/>
  <c r="DE32" i="13"/>
  <c r="DG9" i="18"/>
  <c r="DG30" i="12"/>
  <c r="DB38" i="21"/>
  <c r="DB39" i="21" s="1"/>
  <c r="DB24" i="16"/>
  <c r="DB9" i="19" s="1"/>
  <c r="DG17" i="13"/>
  <c r="DG10" i="14"/>
  <c r="DG18" i="13"/>
  <c r="DG14" i="18" s="1"/>
  <c r="DD15" i="21"/>
  <c r="DD14" i="21"/>
  <c r="DI12" i="13" l="1"/>
  <c r="DG15" i="21"/>
  <c r="DG14" i="21"/>
  <c r="DK10" i="12"/>
  <c r="DK11" i="12"/>
  <c r="DI25" i="13"/>
  <c r="DI15" i="18" s="1"/>
  <c r="AP10" i="17"/>
  <c r="AP21" i="17" s="1"/>
  <c r="AP8" i="17"/>
  <c r="AP17" i="19" s="1"/>
  <c r="DH13" i="21"/>
  <c r="DH10" i="18"/>
  <c r="DH13" i="16"/>
  <c r="DH9" i="20" s="1"/>
  <c r="DH29" i="12"/>
  <c r="DG23" i="18"/>
  <c r="DG21" i="14"/>
  <c r="DI8" i="14"/>
  <c r="DI21" i="12"/>
  <c r="DH24" i="18"/>
  <c r="DH18" i="14"/>
  <c r="AN34" i="21"/>
  <c r="AN41" i="20"/>
  <c r="DK8" i="12"/>
  <c r="DK14" i="11"/>
  <c r="DK9" i="12"/>
  <c r="DK16" i="12" s="1"/>
  <c r="DC15" i="17"/>
  <c r="DD13" i="17" s="1"/>
  <c r="DC17" i="17"/>
  <c r="DC16" i="17"/>
  <c r="DM9" i="11"/>
  <c r="DL12" i="11"/>
  <c r="DL13" i="11"/>
  <c r="DF19" i="18"/>
  <c r="DF20" i="18"/>
  <c r="DF18" i="21" s="1"/>
  <c r="DH9" i="18"/>
  <c r="DH30" i="12"/>
  <c r="DD19" i="21"/>
  <c r="DD33" i="18"/>
  <c r="DG8" i="16"/>
  <c r="DG16" i="18"/>
  <c r="DG19" i="18" s="1"/>
  <c r="DG9" i="16"/>
  <c r="DG7" i="16"/>
  <c r="DG10" i="16" s="1"/>
  <c r="DG31" i="13"/>
  <c r="DI25" i="11"/>
  <c r="DI15" i="13" s="1"/>
  <c r="DI27" i="11"/>
  <c r="DI26" i="11"/>
  <c r="DI16" i="13" s="1"/>
  <c r="DF15" i="21"/>
  <c r="DF14" i="21"/>
  <c r="DH17" i="13"/>
  <c r="DH10" i="14"/>
  <c r="DH11" i="14" s="1"/>
  <c r="AO22" i="21"/>
  <c r="AO19" i="19"/>
  <c r="AO20" i="19" s="1"/>
  <c r="AO7" i="19"/>
  <c r="AO10" i="19" s="1"/>
  <c r="AO41" i="18"/>
  <c r="AO23" i="21" s="1"/>
  <c r="AO35" i="20"/>
  <c r="DJ7" i="21"/>
  <c r="DJ24" i="15"/>
  <c r="DJ25" i="15" s="1"/>
  <c r="DJ9" i="21" s="1"/>
  <c r="DJ21" i="13"/>
  <c r="DJ23" i="13"/>
  <c r="DJ9" i="14"/>
  <c r="DJ22" i="13"/>
  <c r="DJ8" i="13"/>
  <c r="DJ11" i="13"/>
  <c r="DJ24" i="13"/>
  <c r="DJ21" i="11"/>
  <c r="DJ18" i="11"/>
  <c r="DJ9" i="13"/>
  <c r="DJ22" i="11"/>
  <c r="DJ17" i="11"/>
  <c r="DJ10" i="13"/>
  <c r="DC34" i="18"/>
  <c r="DC21" i="21" s="1"/>
  <c r="DF16" i="16"/>
  <c r="DF22" i="20" s="1"/>
  <c r="DF8" i="16"/>
  <c r="DF9" i="16"/>
  <c r="DF7" i="16"/>
  <c r="DF10" i="16" s="1"/>
  <c r="DF16" i="18"/>
  <c r="DF31" i="13"/>
  <c r="DJ15" i="12"/>
  <c r="DJ17" i="12" s="1"/>
  <c r="DJ8" i="18" s="1"/>
  <c r="DJ12" i="12"/>
  <c r="DE29" i="18"/>
  <c r="J8" i="23"/>
  <c r="J19" i="23" s="1"/>
  <c r="DE20" i="18"/>
  <c r="DE18" i="21" s="1"/>
  <c r="DD30" i="18"/>
  <c r="DD20" i="21" s="1"/>
  <c r="DH18" i="13"/>
  <c r="DI7" i="18"/>
  <c r="DI12" i="21"/>
  <c r="DI16" i="14"/>
  <c r="DI17" i="14"/>
  <c r="DI25" i="18" s="1"/>
  <c r="DI15" i="14"/>
  <c r="DI14" i="14"/>
  <c r="DD38" i="21"/>
  <c r="DD39" i="21" s="1"/>
  <c r="DD24" i="16"/>
  <c r="DD9" i="19" s="1"/>
  <c r="AO31" i="20"/>
  <c r="DI7" i="14"/>
  <c r="DI20" i="12"/>
  <c r="DF26" i="18"/>
  <c r="DF20" i="16"/>
  <c r="DF23" i="20" s="1"/>
  <c r="DF19" i="16"/>
  <c r="DF11" i="20" s="1"/>
  <c r="AQ12" i="15"/>
  <c r="AQ14" i="15" s="1"/>
  <c r="AQ13" i="19" s="1"/>
  <c r="AQ14" i="19" s="1"/>
  <c r="AQ9" i="15"/>
  <c r="DD20" i="18"/>
  <c r="DD18" i="21" s="1"/>
  <c r="DG32" i="13"/>
  <c r="DI8" i="21"/>
  <c r="DE10" i="16"/>
  <c r="AO27" i="21"/>
  <c r="AO28" i="20"/>
  <c r="AO29" i="20" s="1"/>
  <c r="DG20" i="18" l="1"/>
  <c r="DG18" i="21" s="1"/>
  <c r="DH23" i="18"/>
  <c r="DH21" i="14"/>
  <c r="AO38" i="20"/>
  <c r="DG26" i="18"/>
  <c r="DG29" i="18" s="1"/>
  <c r="DG20" i="16"/>
  <c r="DG23" i="20" s="1"/>
  <c r="DG19" i="16"/>
  <c r="DG11" i="20" s="1"/>
  <c r="DF29" i="18"/>
  <c r="DI24" i="18"/>
  <c r="DI18" i="14"/>
  <c r="DL8" i="12"/>
  <c r="DL9" i="12"/>
  <c r="DL16" i="12" s="1"/>
  <c r="DL14" i="11"/>
  <c r="AP9" i="17"/>
  <c r="DD34" i="18"/>
  <c r="DD21" i="21" s="1"/>
  <c r="DJ8" i="21"/>
  <c r="DN9" i="11"/>
  <c r="DM12" i="11"/>
  <c r="DM13" i="11"/>
  <c r="AP30" i="21"/>
  <c r="AP36" i="18"/>
  <c r="AP37" i="18" s="1"/>
  <c r="DI10" i="14"/>
  <c r="DI17" i="13"/>
  <c r="DI18" i="13" s="1"/>
  <c r="AO36" i="20"/>
  <c r="DI11" i="14"/>
  <c r="DG16" i="16"/>
  <c r="DG22" i="20" s="1"/>
  <c r="DJ25" i="11"/>
  <c r="DJ15" i="13" s="1"/>
  <c r="DJ27" i="11"/>
  <c r="DJ26" i="11"/>
  <c r="DJ16" i="13" s="1"/>
  <c r="DI22" i="12"/>
  <c r="DJ12" i="13"/>
  <c r="DH15" i="21"/>
  <c r="DH14" i="21"/>
  <c r="DJ25" i="13"/>
  <c r="DJ15" i="18" s="1"/>
  <c r="DL11" i="12"/>
  <c r="DL10" i="12"/>
  <c r="DD15" i="17"/>
  <c r="DE13" i="17" s="1"/>
  <c r="DD17" i="17"/>
  <c r="DD16" i="17"/>
  <c r="AQ18" i="15"/>
  <c r="DE19" i="21"/>
  <c r="DE33" i="18"/>
  <c r="J9" i="23"/>
  <c r="DE30" i="18"/>
  <c r="DE20" i="21" s="1"/>
  <c r="DJ7" i="18"/>
  <c r="DJ12" i="21"/>
  <c r="DJ16" i="14"/>
  <c r="DJ15" i="14"/>
  <c r="DJ17" i="14"/>
  <c r="DJ25" i="18" s="1"/>
  <c r="DJ25" i="12"/>
  <c r="DJ14" i="14"/>
  <c r="DK7" i="21"/>
  <c r="DK24" i="15"/>
  <c r="DK25" i="15" s="1"/>
  <c r="DK9" i="21" s="1"/>
  <c r="DK21" i="13"/>
  <c r="DK23" i="13"/>
  <c r="DK9" i="14"/>
  <c r="DK22" i="13"/>
  <c r="DK8" i="13"/>
  <c r="DK11" i="13"/>
  <c r="DK10" i="13"/>
  <c r="DK18" i="11"/>
  <c r="DK17" i="11"/>
  <c r="DK24" i="13"/>
  <c r="DK22" i="11"/>
  <c r="DK21" i="11"/>
  <c r="DK9" i="13"/>
  <c r="DJ8" i="14"/>
  <c r="DJ21" i="12"/>
  <c r="DF10" i="20"/>
  <c r="DF23" i="16"/>
  <c r="DG10" i="20"/>
  <c r="AO23" i="19"/>
  <c r="AO25" i="19" s="1"/>
  <c r="DJ28" i="12"/>
  <c r="DK15" i="12"/>
  <c r="DK17" i="12" s="1"/>
  <c r="DK8" i="18" s="1"/>
  <c r="DK12" i="12"/>
  <c r="DK28" i="12" s="1"/>
  <c r="DH14" i="18"/>
  <c r="DH28" i="13"/>
  <c r="DE10" i="20"/>
  <c r="DE23" i="16"/>
  <c r="DJ7" i="14"/>
  <c r="DJ20" i="12"/>
  <c r="DJ22" i="12" s="1"/>
  <c r="DI13" i="18"/>
  <c r="DG19" i="21" l="1"/>
  <c r="DG33" i="18"/>
  <c r="DG30" i="18"/>
  <c r="DG20" i="21" s="1"/>
  <c r="DI14" i="18"/>
  <c r="DI28" i="13"/>
  <c r="AP20" i="17"/>
  <c r="AQ7" i="17"/>
  <c r="AP24" i="20"/>
  <c r="AP25" i="20" s="1"/>
  <c r="AQ20" i="15"/>
  <c r="AQ15" i="20" s="1"/>
  <c r="AQ16" i="20" s="1"/>
  <c r="AR7" i="15"/>
  <c r="AO33" i="21"/>
  <c r="AO35" i="21"/>
  <c r="DK27" i="11"/>
  <c r="DK25" i="11"/>
  <c r="DK15" i="13" s="1"/>
  <c r="DK26" i="11"/>
  <c r="DK16" i="13" s="1"/>
  <c r="DJ11" i="14"/>
  <c r="DJ13" i="21"/>
  <c r="DJ10" i="18"/>
  <c r="DJ13" i="16"/>
  <c r="DJ9" i="20" s="1"/>
  <c r="DJ29" i="12"/>
  <c r="DJ18" i="13"/>
  <c r="DJ14" i="18" s="1"/>
  <c r="DK7" i="14"/>
  <c r="DK20" i="12"/>
  <c r="AO26" i="21"/>
  <c r="AO28" i="21" s="1"/>
  <c r="AO29" i="21" s="1"/>
  <c r="AO8" i="20"/>
  <c r="AO12" i="20" s="1"/>
  <c r="AO18" i="20" s="1"/>
  <c r="AP24" i="19"/>
  <c r="DK12" i="13"/>
  <c r="DE15" i="17"/>
  <c r="DF13" i="17" s="1"/>
  <c r="DE17" i="17"/>
  <c r="DE16" i="17"/>
  <c r="DJ9" i="18"/>
  <c r="DJ30" i="12"/>
  <c r="DI9" i="18"/>
  <c r="DI30" i="12"/>
  <c r="DI25" i="12"/>
  <c r="DK8" i="14"/>
  <c r="DK21" i="12"/>
  <c r="DG23" i="16"/>
  <c r="DH26" i="18"/>
  <c r="DH20" i="16"/>
  <c r="DH23" i="20" s="1"/>
  <c r="DH19" i="16"/>
  <c r="DH11" i="20" s="1"/>
  <c r="DE38" i="21"/>
  <c r="DE39" i="21" s="1"/>
  <c r="DE24" i="16"/>
  <c r="DE9" i="19" s="1"/>
  <c r="DK7" i="18"/>
  <c r="DK12" i="21"/>
  <c r="DK14" i="14"/>
  <c r="DK15" i="14"/>
  <c r="DK16" i="14"/>
  <c r="DK17" i="14"/>
  <c r="DK25" i="18" s="1"/>
  <c r="DE34" i="18"/>
  <c r="DE21" i="21" s="1"/>
  <c r="J10" i="23"/>
  <c r="J20" i="23" s="1"/>
  <c r="DF19" i="21"/>
  <c r="DF33" i="18"/>
  <c r="DF30" i="18"/>
  <c r="DF20" i="21" s="1"/>
  <c r="DF38" i="21"/>
  <c r="DF39" i="21" s="1"/>
  <c r="DF24" i="16"/>
  <c r="DF9" i="19" s="1"/>
  <c r="DM10" i="12"/>
  <c r="DM11" i="12"/>
  <c r="DJ13" i="18"/>
  <c r="DJ17" i="13"/>
  <c r="DJ10" i="14"/>
  <c r="DL12" i="12"/>
  <c r="DL15" i="12"/>
  <c r="DL17" i="12" s="1"/>
  <c r="DL8" i="18" s="1"/>
  <c r="AP39" i="18"/>
  <c r="AP40" i="18"/>
  <c r="DK8" i="21"/>
  <c r="DM8" i="12"/>
  <c r="DM14" i="11"/>
  <c r="DM9" i="12"/>
  <c r="DM16" i="12" s="1"/>
  <c r="DL7" i="21"/>
  <c r="DL24" i="15"/>
  <c r="DL25" i="15" s="1"/>
  <c r="DL9" i="21" s="1"/>
  <c r="DL21" i="13"/>
  <c r="DL25" i="13" s="1"/>
  <c r="DL15" i="18" s="1"/>
  <c r="DL23" i="13"/>
  <c r="DL9" i="14"/>
  <c r="DL8" i="13"/>
  <c r="DL10" i="13"/>
  <c r="DL11" i="13"/>
  <c r="DL22" i="13"/>
  <c r="DL28" i="12"/>
  <c r="DL22" i="11"/>
  <c r="DL17" i="11"/>
  <c r="DL24" i="13"/>
  <c r="DL9" i="13"/>
  <c r="DL21" i="11"/>
  <c r="DL18" i="11"/>
  <c r="DO9" i="11"/>
  <c r="DN12" i="11"/>
  <c r="DN13" i="11"/>
  <c r="DH16" i="16"/>
  <c r="DH22" i="20" s="1"/>
  <c r="DH16" i="18"/>
  <c r="DH19" i="18" s="1"/>
  <c r="DH9" i="16"/>
  <c r="DH8" i="16"/>
  <c r="DH7" i="16"/>
  <c r="DH31" i="13"/>
  <c r="DH32" i="13"/>
  <c r="DI23" i="18"/>
  <c r="DI21" i="14"/>
  <c r="DK25" i="13"/>
  <c r="DK15" i="18" s="1"/>
  <c r="DJ24" i="18"/>
  <c r="DJ18" i="14"/>
  <c r="DN10" i="12" l="1"/>
  <c r="DN11" i="12"/>
  <c r="DK13" i="18"/>
  <c r="AP27" i="21"/>
  <c r="AP28" i="20"/>
  <c r="AP29" i="20" s="1"/>
  <c r="AP22" i="21"/>
  <c r="AP19" i="19"/>
  <c r="AP20" i="19" s="1"/>
  <c r="AP7" i="19"/>
  <c r="AP10" i="19" s="1"/>
  <c r="AP41" i="18"/>
  <c r="AP23" i="21" s="1"/>
  <c r="AP35" i="20"/>
  <c r="DF15" i="17"/>
  <c r="DG13" i="17" s="1"/>
  <c r="DF17" i="17"/>
  <c r="DF16" i="17"/>
  <c r="DL12" i="21"/>
  <c r="DL7" i="18"/>
  <c r="DL14" i="14"/>
  <c r="DL16" i="14"/>
  <c r="DL15" i="14"/>
  <c r="DL17" i="14"/>
  <c r="DL25" i="18" s="1"/>
  <c r="DJ15" i="21"/>
  <c r="DJ14" i="21"/>
  <c r="DJ23" i="18"/>
  <c r="DJ21" i="14"/>
  <c r="AR12" i="15"/>
  <c r="AR14" i="15" s="1"/>
  <c r="AR13" i="19" s="1"/>
  <c r="AR14" i="19" s="1"/>
  <c r="AR9" i="15"/>
  <c r="AP31" i="20"/>
  <c r="DK24" i="18"/>
  <c r="DK18" i="14"/>
  <c r="AO34" i="21"/>
  <c r="AO41" i="20"/>
  <c r="DP9" i="11"/>
  <c r="DO12" i="11"/>
  <c r="DO13" i="11"/>
  <c r="DL8" i="14"/>
  <c r="DL21" i="12"/>
  <c r="DL7" i="14"/>
  <c r="DL20" i="12"/>
  <c r="DL22" i="12" s="1"/>
  <c r="DL25" i="12" s="1"/>
  <c r="AQ10" i="17"/>
  <c r="AQ21" i="17" s="1"/>
  <c r="AQ9" i="17"/>
  <c r="AQ8" i="17"/>
  <c r="AQ17" i="19" s="1"/>
  <c r="DJ28" i="13"/>
  <c r="DM12" i="12"/>
  <c r="DM15" i="12"/>
  <c r="DM17" i="12" s="1"/>
  <c r="DM8" i="18" s="1"/>
  <c r="DK10" i="14"/>
  <c r="DK11" i="14" s="1"/>
  <c r="DK17" i="13"/>
  <c r="DK18" i="13" s="1"/>
  <c r="DK22" i="12"/>
  <c r="DI20" i="16"/>
  <c r="DI23" i="20" s="1"/>
  <c r="DI26" i="18"/>
  <c r="DI19" i="16"/>
  <c r="DI11" i="20" s="1"/>
  <c r="DI8" i="16"/>
  <c r="DI16" i="18"/>
  <c r="DI9" i="16"/>
  <c r="DI7" i="16"/>
  <c r="DI10" i="16" s="1"/>
  <c r="DI16" i="16"/>
  <c r="DI22" i="20" s="1"/>
  <c r="DI31" i="13"/>
  <c r="DH10" i="16"/>
  <c r="DL8" i="21"/>
  <c r="DM7" i="21"/>
  <c r="DM23" i="13"/>
  <c r="DM9" i="14"/>
  <c r="DM21" i="13"/>
  <c r="DM8" i="13"/>
  <c r="DM10" i="13"/>
  <c r="DM24" i="15"/>
  <c r="DM25" i="15" s="1"/>
  <c r="DM9" i="21" s="1"/>
  <c r="DM24" i="13"/>
  <c r="DM28" i="12"/>
  <c r="DM22" i="13"/>
  <c r="DM11" i="13"/>
  <c r="DM18" i="11"/>
  <c r="DM22" i="11"/>
  <c r="DM17" i="11"/>
  <c r="DM21" i="11"/>
  <c r="DM9" i="13"/>
  <c r="DI13" i="21"/>
  <c r="DI10" i="18"/>
  <c r="DI32" i="13"/>
  <c r="DI13" i="16"/>
  <c r="DI9" i="20" s="1"/>
  <c r="DI29" i="12"/>
  <c r="DL27" i="11"/>
  <c r="DL25" i="11"/>
  <c r="DL15" i="13" s="1"/>
  <c r="DL26" i="11"/>
  <c r="DL16" i="13" s="1"/>
  <c r="DG38" i="21"/>
  <c r="DG39" i="21" s="1"/>
  <c r="DG24" i="16"/>
  <c r="DG9" i="19" s="1"/>
  <c r="DN8" i="12"/>
  <c r="DN14" i="11"/>
  <c r="DN9" i="12"/>
  <c r="DN16" i="12" s="1"/>
  <c r="DF34" i="18"/>
  <c r="DF21" i="21" s="1"/>
  <c r="DG34" i="18"/>
  <c r="DG21" i="21" s="1"/>
  <c r="DL12" i="13"/>
  <c r="DH29" i="18"/>
  <c r="DH20" i="18"/>
  <c r="DH18" i="21" s="1"/>
  <c r="DK23" i="18" l="1"/>
  <c r="DK21" i="14"/>
  <c r="DL13" i="21"/>
  <c r="DL10" i="18"/>
  <c r="DL13" i="16"/>
  <c r="DL9" i="20" s="1"/>
  <c r="DL29" i="12"/>
  <c r="DK14" i="18"/>
  <c r="DK28" i="13"/>
  <c r="DI10" i="20"/>
  <c r="DI23" i="16"/>
  <c r="DK9" i="18"/>
  <c r="DK30" i="12"/>
  <c r="DK25" i="12"/>
  <c r="AR18" i="15"/>
  <c r="AQ20" i="17"/>
  <c r="AR7" i="17"/>
  <c r="AQ24" i="20"/>
  <c r="AQ25" i="20" s="1"/>
  <c r="DO8" i="12"/>
  <c r="DO9" i="12"/>
  <c r="DO16" i="12" s="1"/>
  <c r="DO14" i="11"/>
  <c r="DM21" i="12"/>
  <c r="DM8" i="14"/>
  <c r="AP36" i="20"/>
  <c r="AP38" i="20"/>
  <c r="DJ20" i="16"/>
  <c r="DJ23" i="20" s="1"/>
  <c r="DJ26" i="18"/>
  <c r="DJ19" i="16"/>
  <c r="DJ11" i="20" s="1"/>
  <c r="AQ30" i="21"/>
  <c r="AQ36" i="18"/>
  <c r="AQ37" i="18" s="1"/>
  <c r="DM12" i="13"/>
  <c r="DM25" i="13"/>
  <c r="DM15" i="18" s="1"/>
  <c r="DI19" i="18"/>
  <c r="DI20" i="18"/>
  <c r="DI18" i="21" s="1"/>
  <c r="DL9" i="18"/>
  <c r="DL30" i="12"/>
  <c r="DG15" i="17"/>
  <c r="DH13" i="17" s="1"/>
  <c r="DG17" i="17"/>
  <c r="DG16" i="17"/>
  <c r="DN12" i="12"/>
  <c r="DN15" i="12"/>
  <c r="DN17" i="12" s="1"/>
  <c r="DN8" i="18" s="1"/>
  <c r="AP23" i="19"/>
  <c r="AP25" i="19" s="1"/>
  <c r="DJ8" i="16"/>
  <c r="DJ16" i="18"/>
  <c r="DJ19" i="18" s="1"/>
  <c r="DJ16" i="16"/>
  <c r="DJ22" i="20" s="1"/>
  <c r="DJ9" i="16"/>
  <c r="DJ7" i="16"/>
  <c r="DJ10" i="16" s="1"/>
  <c r="DJ31" i="13"/>
  <c r="DJ32" i="13"/>
  <c r="DI15" i="21"/>
  <c r="DI14" i="21"/>
  <c r="DL10" i="14"/>
  <c r="DL11" i="14" s="1"/>
  <c r="DL17" i="13"/>
  <c r="DL18" i="13" s="1"/>
  <c r="DM8" i="21"/>
  <c r="DH19" i="21"/>
  <c r="DH33" i="18"/>
  <c r="DH30" i="18"/>
  <c r="DH20" i="21" s="1"/>
  <c r="DH10" i="20"/>
  <c r="DH23" i="16"/>
  <c r="DP12" i="11"/>
  <c r="DQ9" i="11"/>
  <c r="DP13" i="11"/>
  <c r="DM12" i="21"/>
  <c r="DM7" i="18"/>
  <c r="DM14" i="14"/>
  <c r="DM16" i="14"/>
  <c r="DM17" i="14"/>
  <c r="DM25" i="18" s="1"/>
  <c r="DM15" i="14"/>
  <c r="DM25" i="12"/>
  <c r="DL13" i="18"/>
  <c r="DM27" i="11"/>
  <c r="DM26" i="11"/>
  <c r="DM16" i="13" s="1"/>
  <c r="DM25" i="11"/>
  <c r="DM15" i="13" s="1"/>
  <c r="DL24" i="18"/>
  <c r="DL18" i="14"/>
  <c r="DM7" i="14"/>
  <c r="DM20" i="12"/>
  <c r="DM22" i="12" s="1"/>
  <c r="DN7" i="21"/>
  <c r="DN23" i="13"/>
  <c r="DN9" i="14"/>
  <c r="DN8" i="13"/>
  <c r="DN10" i="13"/>
  <c r="DN24" i="15"/>
  <c r="DN25" i="15" s="1"/>
  <c r="DN9" i="21" s="1"/>
  <c r="DN18" i="11"/>
  <c r="DN28" i="12"/>
  <c r="DN22" i="13"/>
  <c r="DN11" i="13"/>
  <c r="DN17" i="11"/>
  <c r="DN22" i="11"/>
  <c r="DN21" i="11"/>
  <c r="DN9" i="13"/>
  <c r="DN21" i="13"/>
  <c r="DN24" i="13"/>
  <c r="DO10" i="12"/>
  <c r="DO11" i="12"/>
  <c r="DL14" i="18" l="1"/>
  <c r="DL28" i="13"/>
  <c r="DL23" i="18"/>
  <c r="DL21" i="14"/>
  <c r="DM24" i="18"/>
  <c r="DM18" i="14"/>
  <c r="AQ39" i="18"/>
  <c r="AQ40" i="18"/>
  <c r="DH15" i="17"/>
  <c r="DI13" i="17" s="1"/>
  <c r="DH17" i="17"/>
  <c r="DH16" i="17"/>
  <c r="DN21" i="12"/>
  <c r="DN8" i="14"/>
  <c r="DK13" i="21"/>
  <c r="DK32" i="13"/>
  <c r="DK10" i="18"/>
  <c r="DK13" i="16"/>
  <c r="DK9" i="20" s="1"/>
  <c r="DK29" i="12"/>
  <c r="DQ12" i="11"/>
  <c r="DQ13" i="11"/>
  <c r="DP8" i="12"/>
  <c r="DP9" i="12"/>
  <c r="DP14" i="11"/>
  <c r="DH38" i="21"/>
  <c r="DH39" i="21" s="1"/>
  <c r="DH24" i="16"/>
  <c r="DH9" i="19" s="1"/>
  <c r="DK9" i="16"/>
  <c r="DK8" i="16"/>
  <c r="DK16" i="18"/>
  <c r="DK16" i="16"/>
  <c r="DK22" i="20" s="1"/>
  <c r="DK7" i="16"/>
  <c r="DK10" i="16" s="1"/>
  <c r="DK31" i="13"/>
  <c r="DN7" i="14"/>
  <c r="DN20" i="12"/>
  <c r="DN22" i="12" s="1"/>
  <c r="AQ27" i="21"/>
  <c r="AQ28" i="20"/>
  <c r="AQ29" i="20" s="1"/>
  <c r="AQ31" i="20" s="1"/>
  <c r="DP10" i="12"/>
  <c r="DP11" i="12"/>
  <c r="DM13" i="18"/>
  <c r="DM28" i="13"/>
  <c r="DN8" i="21"/>
  <c r="DM11" i="14"/>
  <c r="DJ10" i="20"/>
  <c r="DJ23" i="16"/>
  <c r="AR10" i="17"/>
  <c r="AR21" i="17" s="1"/>
  <c r="AR8" i="17"/>
  <c r="AR17" i="19" s="1"/>
  <c r="AP26" i="21"/>
  <c r="AP28" i="21" s="1"/>
  <c r="AP29" i="21" s="1"/>
  <c r="AP8" i="20"/>
  <c r="AP12" i="20" s="1"/>
  <c r="AP18" i="20" s="1"/>
  <c r="AQ24" i="19"/>
  <c r="AP33" i="21"/>
  <c r="AP35" i="21"/>
  <c r="DM13" i="21"/>
  <c r="DM10" i="18"/>
  <c r="DM13" i="16"/>
  <c r="DM9" i="20" s="1"/>
  <c r="DM29" i="12"/>
  <c r="DN12" i="13"/>
  <c r="DM18" i="13"/>
  <c r="DM14" i="18" s="1"/>
  <c r="AR20" i="15"/>
  <c r="AR15" i="20" s="1"/>
  <c r="AR16" i="20" s="1"/>
  <c r="AS7" i="15"/>
  <c r="DN12" i="21"/>
  <c r="DN7" i="18"/>
  <c r="DN14" i="14"/>
  <c r="DN16" i="14"/>
  <c r="DN17" i="14"/>
  <c r="DN25" i="18" s="1"/>
  <c r="DN15" i="14"/>
  <c r="DL15" i="21"/>
  <c r="DL14" i="21"/>
  <c r="DO12" i="12"/>
  <c r="DO15" i="12"/>
  <c r="DO17" i="12" s="1"/>
  <c r="DO8" i="18" s="1"/>
  <c r="DI29" i="18"/>
  <c r="DI38" i="21"/>
  <c r="DI39" i="21" s="1"/>
  <c r="DI24" i="16"/>
  <c r="DI9" i="19" s="1"/>
  <c r="DM9" i="18"/>
  <c r="DM30" i="12"/>
  <c r="DJ29" i="18"/>
  <c r="DJ20" i="18"/>
  <c r="DJ18" i="21" s="1"/>
  <c r="DM10" i="14"/>
  <c r="DM17" i="13"/>
  <c r="DK26" i="18"/>
  <c r="DK20" i="16"/>
  <c r="DK23" i="20" s="1"/>
  <c r="DK19" i="16"/>
  <c r="DK11" i="20" s="1"/>
  <c r="DN25" i="13"/>
  <c r="DN15" i="18" s="1"/>
  <c r="DN27" i="11"/>
  <c r="DN26" i="11"/>
  <c r="DN16" i="13" s="1"/>
  <c r="DN25" i="11"/>
  <c r="DN15" i="13" s="1"/>
  <c r="DH34" i="18"/>
  <c r="DH21" i="21" s="1"/>
  <c r="DO7" i="21"/>
  <c r="DO9" i="14"/>
  <c r="DO10" i="13"/>
  <c r="DO24" i="15"/>
  <c r="DO25" i="15" s="1"/>
  <c r="DO9" i="21" s="1"/>
  <c r="DO23" i="13"/>
  <c r="DO18" i="11"/>
  <c r="DO24" i="13"/>
  <c r="DO22" i="13"/>
  <c r="DO11" i="13"/>
  <c r="DO22" i="11"/>
  <c r="DO17" i="11"/>
  <c r="DO21" i="11"/>
  <c r="DO8" i="13"/>
  <c r="DO21" i="13"/>
  <c r="DO9" i="13"/>
  <c r="DO12" i="21" l="1"/>
  <c r="DO7" i="18"/>
  <c r="DO14" i="14"/>
  <c r="DO16" i="14"/>
  <c r="DO15" i="14"/>
  <c r="DO17" i="14"/>
  <c r="DO25" i="18" s="1"/>
  <c r="AQ22" i="21"/>
  <c r="AQ19" i="19"/>
  <c r="AQ20" i="19" s="1"/>
  <c r="AQ7" i="19"/>
  <c r="AQ10" i="19" s="1"/>
  <c r="AQ23" i="19" s="1"/>
  <c r="AQ25" i="19" s="1"/>
  <c r="AQ41" i="18"/>
  <c r="AQ23" i="21" s="1"/>
  <c r="AQ35" i="20"/>
  <c r="DJ33" i="18"/>
  <c r="DJ19" i="21"/>
  <c r="DJ30" i="18"/>
  <c r="DJ20" i="21" s="1"/>
  <c r="DO21" i="12"/>
  <c r="DO8" i="14"/>
  <c r="AP41" i="20"/>
  <c r="AP34" i="21"/>
  <c r="DM16" i="18"/>
  <c r="DM8" i="16"/>
  <c r="DM7" i="16"/>
  <c r="DM9" i="16"/>
  <c r="DM31" i="13"/>
  <c r="DI19" i="21"/>
  <c r="DI33" i="18"/>
  <c r="DI30" i="18"/>
  <c r="DI20" i="21" s="1"/>
  <c r="DM32" i="13"/>
  <c r="DO25" i="13"/>
  <c r="DO15" i="18" s="1"/>
  <c r="DN24" i="18"/>
  <c r="DN18" i="14"/>
  <c r="DP12" i="12"/>
  <c r="DP15" i="12"/>
  <c r="DP17" i="12" s="1"/>
  <c r="DP8" i="18" s="1"/>
  <c r="DM15" i="21"/>
  <c r="DM14" i="21"/>
  <c r="DO20" i="12"/>
  <c r="DO7" i="14"/>
  <c r="DM23" i="18"/>
  <c r="DM21" i="14"/>
  <c r="DQ10" i="12"/>
  <c r="DQ11" i="12"/>
  <c r="DQ8" i="12"/>
  <c r="DQ9" i="12"/>
  <c r="DQ14" i="11"/>
  <c r="DO12" i="13"/>
  <c r="DN10" i="14"/>
  <c r="DN11" i="14" s="1"/>
  <c r="DN17" i="13"/>
  <c r="DN18" i="13" s="1"/>
  <c r="DO28" i="12"/>
  <c r="AR9" i="17"/>
  <c r="DL26" i="18"/>
  <c r="DL20" i="16"/>
  <c r="DL23" i="20" s="1"/>
  <c r="DL19" i="16"/>
  <c r="DL11" i="20" s="1"/>
  <c r="DK19" i="18"/>
  <c r="DO8" i="21"/>
  <c r="DN9" i="18"/>
  <c r="DN30" i="12"/>
  <c r="AS12" i="15"/>
  <c r="AS14" i="15" s="1"/>
  <c r="AS13" i="19" s="1"/>
  <c r="AS14" i="19" s="1"/>
  <c r="AS9" i="15"/>
  <c r="AR30" i="21"/>
  <c r="AR36" i="18"/>
  <c r="AR37" i="18" s="1"/>
  <c r="DO27" i="11"/>
  <c r="DO26" i="11"/>
  <c r="DO16" i="13" s="1"/>
  <c r="DO25" i="11"/>
  <c r="DO15" i="13" s="1"/>
  <c r="DJ38" i="21"/>
  <c r="DJ39" i="21" s="1"/>
  <c r="DJ24" i="16"/>
  <c r="DJ9" i="19" s="1"/>
  <c r="DP7" i="21"/>
  <c r="DP24" i="15"/>
  <c r="DP25" i="15" s="1"/>
  <c r="DP9" i="21" s="1"/>
  <c r="DP22" i="13"/>
  <c r="DP10" i="13"/>
  <c r="DP23" i="13"/>
  <c r="DP22" i="11"/>
  <c r="DP24" i="13"/>
  <c r="DP21" i="13"/>
  <c r="DP25" i="13" s="1"/>
  <c r="DP15" i="18" s="1"/>
  <c r="DP11" i="13"/>
  <c r="DP18" i="11"/>
  <c r="DP17" i="11"/>
  <c r="DP21" i="11"/>
  <c r="DP9" i="13"/>
  <c r="DP9" i="14"/>
  <c r="DP8" i="13"/>
  <c r="DP12" i="13" s="1"/>
  <c r="DL7" i="16"/>
  <c r="DL8" i="16"/>
  <c r="DL16" i="18"/>
  <c r="DL19" i="18" s="1"/>
  <c r="DL16" i="16"/>
  <c r="DL22" i="20" s="1"/>
  <c r="DL9" i="16"/>
  <c r="DL31" i="13"/>
  <c r="DL32" i="13"/>
  <c r="DN13" i="18"/>
  <c r="DK15" i="21"/>
  <c r="DK14" i="21"/>
  <c r="DM19" i="18"/>
  <c r="DM20" i="18"/>
  <c r="DM18" i="21" s="1"/>
  <c r="DN25" i="12"/>
  <c r="DK10" i="20"/>
  <c r="DK23" i="16"/>
  <c r="DI15" i="17"/>
  <c r="DJ13" i="17" s="1"/>
  <c r="DI17" i="17"/>
  <c r="DI16" i="17"/>
  <c r="DP16" i="12"/>
  <c r="AQ26" i="21" l="1"/>
  <c r="AQ28" i="21" s="1"/>
  <c r="AQ29" i="21" s="1"/>
  <c r="AQ8" i="20"/>
  <c r="AQ12" i="20" s="1"/>
  <c r="AQ18" i="20" s="1"/>
  <c r="AR24" i="19"/>
  <c r="DN14" i="18"/>
  <c r="DN28" i="13"/>
  <c r="DN23" i="18"/>
  <c r="DN21" i="14"/>
  <c r="DP12" i="21"/>
  <c r="DP7" i="18"/>
  <c r="DP14" i="14"/>
  <c r="DP16" i="14"/>
  <c r="DP15" i="14"/>
  <c r="DP17" i="14"/>
  <c r="DP25" i="18" s="1"/>
  <c r="DL29" i="18"/>
  <c r="DL20" i="18"/>
  <c r="DL18" i="21" s="1"/>
  <c r="DO18" i="13"/>
  <c r="DO14" i="18" s="1"/>
  <c r="AS7" i="17"/>
  <c r="AR20" i="17"/>
  <c r="AR24" i="20"/>
  <c r="AR25" i="20" s="1"/>
  <c r="DJ17" i="17"/>
  <c r="DJ16" i="17"/>
  <c r="DJ15" i="17"/>
  <c r="DK13" i="17" s="1"/>
  <c r="DO10" i="14"/>
  <c r="DO17" i="13"/>
  <c r="AS18" i="15"/>
  <c r="DO13" i="18"/>
  <c r="AQ36" i="20"/>
  <c r="DM26" i="18"/>
  <c r="DM20" i="16"/>
  <c r="DM23" i="20" s="1"/>
  <c r="DM19" i="16"/>
  <c r="DM11" i="20" s="1"/>
  <c r="DI34" i="18"/>
  <c r="DI21" i="21" s="1"/>
  <c r="DP8" i="21"/>
  <c r="DP28" i="12"/>
  <c r="DK38" i="21"/>
  <c r="DK39" i="21" s="1"/>
  <c r="DK24" i="16"/>
  <c r="DK9" i="19" s="1"/>
  <c r="DQ16" i="12"/>
  <c r="AR39" i="18"/>
  <c r="AR40" i="18"/>
  <c r="DQ12" i="12"/>
  <c r="DQ15" i="12"/>
  <c r="DK29" i="18"/>
  <c r="DK20" i="18"/>
  <c r="DK18" i="21" s="1"/>
  <c r="DM10" i="16"/>
  <c r="DO24" i="18"/>
  <c r="DO18" i="14"/>
  <c r="DL10" i="16"/>
  <c r="DO11" i="14"/>
  <c r="DP13" i="18"/>
  <c r="DJ34" i="18"/>
  <c r="DJ21" i="21" s="1"/>
  <c r="DN13" i="21"/>
  <c r="DN32" i="13"/>
  <c r="DN10" i="18"/>
  <c r="DN13" i="16"/>
  <c r="DN9" i="20" s="1"/>
  <c r="DN29" i="12"/>
  <c r="DP7" i="14"/>
  <c r="DP20" i="12"/>
  <c r="DP22" i="12" s="1"/>
  <c r="DQ7" i="21"/>
  <c r="DQ24" i="15"/>
  <c r="DQ25" i="15" s="1"/>
  <c r="DQ9" i="21" s="1"/>
  <c r="DQ23" i="13"/>
  <c r="DQ24" i="13"/>
  <c r="DQ9" i="13"/>
  <c r="DQ18" i="11"/>
  <c r="DQ22" i="11"/>
  <c r="DQ28" i="12"/>
  <c r="DQ21" i="13"/>
  <c r="DQ17" i="11"/>
  <c r="DQ10" i="13"/>
  <c r="DQ11" i="13"/>
  <c r="DQ21" i="11"/>
  <c r="DQ9" i="14"/>
  <c r="DQ8" i="13"/>
  <c r="DQ12" i="13" s="1"/>
  <c r="DQ22" i="13"/>
  <c r="B11" i="22"/>
  <c r="C11" i="22" s="1"/>
  <c r="K4" i="23"/>
  <c r="DM16" i="16"/>
  <c r="DM22" i="20" s="1"/>
  <c r="DP25" i="11"/>
  <c r="DP15" i="13" s="1"/>
  <c r="DP26" i="11"/>
  <c r="DP16" i="13" s="1"/>
  <c r="DP27" i="11"/>
  <c r="DP21" i="12"/>
  <c r="DP8" i="14"/>
  <c r="DM29" i="18"/>
  <c r="DO22" i="12"/>
  <c r="AR22" i="21" l="1"/>
  <c r="AR19" i="19"/>
  <c r="AR20" i="19" s="1"/>
  <c r="AR7" i="19"/>
  <c r="AR10" i="19" s="1"/>
  <c r="AR23" i="19" s="1"/>
  <c r="AR41" i="18"/>
  <c r="AR23" i="21" s="1"/>
  <c r="DL19" i="21"/>
  <c r="DL33" i="18"/>
  <c r="DL30" i="18"/>
  <c r="DL20" i="21" s="1"/>
  <c r="DQ7" i="14"/>
  <c r="DQ20" i="12"/>
  <c r="DQ22" i="12" s="1"/>
  <c r="DQ25" i="13"/>
  <c r="DQ15" i="18" s="1"/>
  <c r="DP24" i="18"/>
  <c r="DP18" i="14"/>
  <c r="DL10" i="20"/>
  <c r="DL23" i="16"/>
  <c r="DP9" i="18"/>
  <c r="DP30" i="12"/>
  <c r="AR31" i="20"/>
  <c r="DN15" i="21"/>
  <c r="DN14" i="21"/>
  <c r="DO23" i="18"/>
  <c r="DO21" i="14"/>
  <c r="DQ8" i="14"/>
  <c r="DQ21" i="12"/>
  <c r="AQ35" i="21"/>
  <c r="AQ33" i="21"/>
  <c r="AQ38" i="20"/>
  <c r="DP25" i="12"/>
  <c r="DO9" i="18"/>
  <c r="DO30" i="12"/>
  <c r="DO25" i="12"/>
  <c r="DM33" i="18"/>
  <c r="DM19" i="21"/>
  <c r="DM30" i="18"/>
  <c r="DM20" i="21" s="1"/>
  <c r="AR35" i="20"/>
  <c r="DN20" i="16"/>
  <c r="DN23" i="20" s="1"/>
  <c r="DN26" i="18"/>
  <c r="DN19" i="16"/>
  <c r="DN11" i="20" s="1"/>
  <c r="DN9" i="16"/>
  <c r="DN16" i="18"/>
  <c r="DN19" i="18" s="1"/>
  <c r="DN16" i="16"/>
  <c r="DN22" i="20" s="1"/>
  <c r="DN8" i="16"/>
  <c r="DN7" i="16"/>
  <c r="DN31" i="13"/>
  <c r="AS10" i="17"/>
  <c r="AS21" i="17" s="1"/>
  <c r="AS8" i="17"/>
  <c r="AS17" i="19" s="1"/>
  <c r="DP10" i="14"/>
  <c r="DP11" i="14" s="1"/>
  <c r="DP17" i="13"/>
  <c r="DP18" i="13" s="1"/>
  <c r="AS20" i="15"/>
  <c r="AS15" i="20" s="1"/>
  <c r="AS16" i="20" s="1"/>
  <c r="AT7" i="15"/>
  <c r="AR27" i="21"/>
  <c r="AR28" i="20"/>
  <c r="AR29" i="20" s="1"/>
  <c r="DK19" i="21"/>
  <c r="DK33" i="18"/>
  <c r="DK30" i="18"/>
  <c r="DK20" i="21" s="1"/>
  <c r="AR25" i="19"/>
  <c r="DQ13" i="18"/>
  <c r="DM10" i="20"/>
  <c r="DM23" i="16"/>
  <c r="DO28" i="13"/>
  <c r="DQ17" i="12"/>
  <c r="DQ8" i="18" s="1"/>
  <c r="AQ34" i="21"/>
  <c r="AQ41" i="20"/>
  <c r="DQ26" i="11"/>
  <c r="DQ16" i="13" s="1"/>
  <c r="DQ25" i="11"/>
  <c r="DQ15" i="13" s="1"/>
  <c r="DQ27" i="11"/>
  <c r="DQ8" i="21"/>
  <c r="DQ12" i="21"/>
  <c r="DQ7" i="18"/>
  <c r="DQ16" i="14"/>
  <c r="DQ15" i="14"/>
  <c r="DQ17" i="14"/>
  <c r="DQ25" i="18" s="1"/>
  <c r="DQ25" i="12"/>
  <c r="DQ14" i="14"/>
  <c r="K5" i="23"/>
  <c r="DK17" i="17"/>
  <c r="DK16" i="17"/>
  <c r="DK15" i="17"/>
  <c r="DL13" i="17" s="1"/>
  <c r="DN29" i="18" l="1"/>
  <c r="DN20" i="18"/>
  <c r="DN18" i="21" s="1"/>
  <c r="DP14" i="18"/>
  <c r="DP28" i="13"/>
  <c r="DP23" i="18"/>
  <c r="DP21" i="14"/>
  <c r="DM34" i="18"/>
  <c r="DM21" i="21" s="1"/>
  <c r="DQ10" i="14"/>
  <c r="DQ17" i="13"/>
  <c r="DQ18" i="13" s="1"/>
  <c r="DO9" i="16"/>
  <c r="DO16" i="18"/>
  <c r="DO16" i="16"/>
  <c r="DO22" i="20" s="1"/>
  <c r="DO8" i="16"/>
  <c r="DO7" i="16"/>
  <c r="DO10" i="16" s="1"/>
  <c r="DO31" i="13"/>
  <c r="DQ9" i="18"/>
  <c r="DQ30" i="12"/>
  <c r="DM38" i="21"/>
  <c r="DM39" i="21" s="1"/>
  <c r="DM24" i="16"/>
  <c r="DM9" i="19" s="1"/>
  <c r="DQ11" i="14"/>
  <c r="AR36" i="20"/>
  <c r="DL15" i="17"/>
  <c r="DM13" i="17" s="1"/>
  <c r="DL17" i="17"/>
  <c r="DL16" i="17"/>
  <c r="DP13" i="21"/>
  <c r="DP32" i="13"/>
  <c r="DP10" i="18"/>
  <c r="DP13" i="16"/>
  <c r="DP9" i="20" s="1"/>
  <c r="DP29" i="12"/>
  <c r="DO13" i="21"/>
  <c r="DO10" i="18"/>
  <c r="DO32" i="13"/>
  <c r="DO13" i="16"/>
  <c r="DO9" i="20" s="1"/>
  <c r="DO29" i="12"/>
  <c r="AR28" i="21"/>
  <c r="AR29" i="21" s="1"/>
  <c r="DL38" i="21"/>
  <c r="DL39" i="21" s="1"/>
  <c r="DL24" i="16"/>
  <c r="DL9" i="19" s="1"/>
  <c r="AS9" i="17"/>
  <c r="DL34" i="18"/>
  <c r="DL21" i="21" s="1"/>
  <c r="AR26" i="21"/>
  <c r="AR8" i="20"/>
  <c r="AR12" i="20" s="1"/>
  <c r="AR18" i="20" s="1"/>
  <c r="AS24" i="19"/>
  <c r="AS30" i="21"/>
  <c r="AS36" i="18"/>
  <c r="AS37" i="18" s="1"/>
  <c r="DK34" i="18"/>
  <c r="DK21" i="21" s="1"/>
  <c r="AT18" i="15"/>
  <c r="AT12" i="15"/>
  <c r="AT14" i="15" s="1"/>
  <c r="AT13" i="19" s="1"/>
  <c r="AT14" i="19" s="1"/>
  <c r="AT9" i="15"/>
  <c r="DQ24" i="18"/>
  <c r="DQ18" i="14"/>
  <c r="DN10" i="16"/>
  <c r="DQ13" i="21"/>
  <c r="DQ10" i="18"/>
  <c r="DQ13" i="16"/>
  <c r="DQ9" i="20" s="1"/>
  <c r="DQ29" i="12"/>
  <c r="K6" i="23"/>
  <c r="DO19" i="16"/>
  <c r="DO11" i="20" s="1"/>
  <c r="DO20" i="16"/>
  <c r="DO23" i="20" s="1"/>
  <c r="DO26" i="18"/>
  <c r="DQ14" i="18" l="1"/>
  <c r="DQ28" i="13"/>
  <c r="AT20" i="15"/>
  <c r="AT15" i="20" s="1"/>
  <c r="AT16" i="20" s="1"/>
  <c r="AU7" i="15"/>
  <c r="DO19" i="18"/>
  <c r="DO29" i="18" s="1"/>
  <c r="DO30" i="18"/>
  <c r="DO20" i="21" s="1"/>
  <c r="DO15" i="21"/>
  <c r="DO14" i="21"/>
  <c r="AT7" i="17"/>
  <c r="AS20" i="17"/>
  <c r="AS24" i="20"/>
  <c r="AS25" i="20" s="1"/>
  <c r="DQ15" i="21"/>
  <c r="DQ14" i="21"/>
  <c r="DP15" i="21"/>
  <c r="DP14" i="21"/>
  <c r="DP20" i="16"/>
  <c r="DP23" i="20" s="1"/>
  <c r="DP26" i="18"/>
  <c r="DP19" i="16"/>
  <c r="DP11" i="20" s="1"/>
  <c r="DO10" i="20"/>
  <c r="DO23" i="16"/>
  <c r="AS40" i="18"/>
  <c r="AS39" i="18"/>
  <c r="DP9" i="16"/>
  <c r="DP16" i="18"/>
  <c r="DP19" i="18" s="1"/>
  <c r="DP16" i="16"/>
  <c r="DP22" i="20" s="1"/>
  <c r="DP8" i="16"/>
  <c r="DP7" i="16"/>
  <c r="DP31" i="13"/>
  <c r="DN10" i="20"/>
  <c r="DN23" i="16"/>
  <c r="AR34" i="21"/>
  <c r="DM15" i="17"/>
  <c r="DN13" i="17" s="1"/>
  <c r="DM17" i="17"/>
  <c r="DM16" i="17"/>
  <c r="AR35" i="21"/>
  <c r="AR33" i="21"/>
  <c r="DQ23" i="18"/>
  <c r="DQ21" i="14"/>
  <c r="AR38" i="20"/>
  <c r="AR41" i="20" s="1"/>
  <c r="DN33" i="18"/>
  <c r="DN19" i="21"/>
  <c r="DN30" i="18"/>
  <c r="DN20" i="21" s="1"/>
  <c r="DP29" i="18" l="1"/>
  <c r="DP20" i="18"/>
  <c r="DP18" i="21" s="1"/>
  <c r="DQ20" i="16"/>
  <c r="DQ23" i="20" s="1"/>
  <c r="DQ26" i="18"/>
  <c r="DQ19" i="16"/>
  <c r="DQ11" i="20" s="1"/>
  <c r="AS22" i="21"/>
  <c r="AS19" i="19"/>
  <c r="AS20" i="19" s="1"/>
  <c r="AS7" i="19"/>
  <c r="AS10" i="19" s="1"/>
  <c r="AS23" i="19" s="1"/>
  <c r="AS25" i="19" s="1"/>
  <c r="AS41" i="18"/>
  <c r="AS23" i="21" s="1"/>
  <c r="AS35" i="20"/>
  <c r="AS27" i="21"/>
  <c r="AS28" i="20"/>
  <c r="AS29" i="20" s="1"/>
  <c r="AS31" i="20" s="1"/>
  <c r="DO20" i="18"/>
  <c r="DO18" i="21" s="1"/>
  <c r="DO38" i="21"/>
  <c r="DO39" i="21" s="1"/>
  <c r="DO24" i="16"/>
  <c r="DO9" i="19" s="1"/>
  <c r="DN38" i="21"/>
  <c r="DN39" i="21" s="1"/>
  <c r="DN24" i="16"/>
  <c r="DN9" i="19" s="1"/>
  <c r="DP10" i="16"/>
  <c r="AU12" i="15"/>
  <c r="AU14" i="15" s="1"/>
  <c r="AU13" i="19" s="1"/>
  <c r="AU14" i="19" s="1"/>
  <c r="AU9" i="15"/>
  <c r="DN34" i="18"/>
  <c r="DN21" i="21" s="1"/>
  <c r="AT10" i="17"/>
  <c r="AT21" i="17" s="1"/>
  <c r="AT8" i="17"/>
  <c r="AT17" i="19" s="1"/>
  <c r="DN17" i="17"/>
  <c r="DN16" i="17"/>
  <c r="DN15" i="17"/>
  <c r="DO13" i="17" s="1"/>
  <c r="DO19" i="21"/>
  <c r="DO33" i="18"/>
  <c r="DQ16" i="18"/>
  <c r="DQ19" i="18" s="1"/>
  <c r="DQ8" i="16"/>
  <c r="DQ7" i="16"/>
  <c r="DQ16" i="16"/>
  <c r="DQ22" i="20" s="1"/>
  <c r="DQ9" i="16"/>
  <c r="K7" i="23"/>
  <c r="K18" i="23" s="1"/>
  <c r="DQ31" i="13"/>
  <c r="DQ32" i="13"/>
  <c r="AS26" i="21" l="1"/>
  <c r="AS8" i="20"/>
  <c r="AS12" i="20" s="1"/>
  <c r="AS18" i="20" s="1"/>
  <c r="AT24" i="19"/>
  <c r="AU18" i="15"/>
  <c r="AS28" i="21"/>
  <c r="AS29" i="21" s="1"/>
  <c r="DQ10" i="16"/>
  <c r="AS36" i="20"/>
  <c r="AT9" i="17"/>
  <c r="DP10" i="20"/>
  <c r="DP23" i="16"/>
  <c r="DQ29" i="18"/>
  <c r="K8" i="23"/>
  <c r="K19" i="23" s="1"/>
  <c r="DQ20" i="18"/>
  <c r="DO17" i="17"/>
  <c r="DO16" i="17"/>
  <c r="DO15" i="17"/>
  <c r="DP13" i="17" s="1"/>
  <c r="AT30" i="21"/>
  <c r="AT36" i="18"/>
  <c r="AT37" i="18" s="1"/>
  <c r="DO34" i="18"/>
  <c r="DO21" i="21" s="1"/>
  <c r="DP19" i="21"/>
  <c r="DP33" i="18"/>
  <c r="DP30" i="18"/>
  <c r="DP20" i="21" s="1"/>
  <c r="AT39" i="18" l="1"/>
  <c r="AT40" i="18" s="1"/>
  <c r="AT20" i="17"/>
  <c r="AU7" i="17"/>
  <c r="AT24" i="20"/>
  <c r="AT25" i="20" s="1"/>
  <c r="DP16" i="17"/>
  <c r="DP17" i="17"/>
  <c r="DP15" i="17"/>
  <c r="DQ13" i="17" s="1"/>
  <c r="DQ19" i="21"/>
  <c r="DQ33" i="18"/>
  <c r="DQ30" i="18"/>
  <c r="DQ20" i="21" s="1"/>
  <c r="K9" i="23"/>
  <c r="DQ10" i="20"/>
  <c r="DQ23" i="16"/>
  <c r="DP34" i="18"/>
  <c r="DP21" i="21" s="1"/>
  <c r="DQ18" i="21"/>
  <c r="B12" i="22"/>
  <c r="C12" i="22" s="1"/>
  <c r="DP38" i="21"/>
  <c r="DP39" i="21" s="1"/>
  <c r="DP24" i="16"/>
  <c r="DP9" i="19" s="1"/>
  <c r="AS33" i="21"/>
  <c r="AS35" i="21"/>
  <c r="AU20" i="15"/>
  <c r="AU15" i="20" s="1"/>
  <c r="AU16" i="20" s="1"/>
  <c r="AV7" i="15"/>
  <c r="AS34" i="21"/>
  <c r="AS38" i="20"/>
  <c r="AS41" i="20" s="1"/>
  <c r="AT22" i="21" l="1"/>
  <c r="AT19" i="19"/>
  <c r="AT20" i="19" s="1"/>
  <c r="AT7" i="19"/>
  <c r="AT10" i="19" s="1"/>
  <c r="AT41" i="18"/>
  <c r="AT23" i="21" s="1"/>
  <c r="AT35" i="20"/>
  <c r="DQ38" i="21"/>
  <c r="DQ39" i="21" s="1"/>
  <c r="DQ24" i="16"/>
  <c r="DQ9" i="19" s="1"/>
  <c r="DQ16" i="17"/>
  <c r="DQ15" i="17"/>
  <c r="DQ17" i="17"/>
  <c r="DQ34" i="18"/>
  <c r="DQ21" i="21" s="1"/>
  <c r="K10" i="23"/>
  <c r="K20" i="23" s="1"/>
  <c r="AU10" i="17"/>
  <c r="AU21" i="17" s="1"/>
  <c r="AU8" i="17"/>
  <c r="AU17" i="19" s="1"/>
  <c r="AV12" i="15"/>
  <c r="AV14" i="15" s="1"/>
  <c r="AV13" i="19" s="1"/>
  <c r="AV14" i="19" s="1"/>
  <c r="AV9" i="15"/>
  <c r="AT27" i="21"/>
  <c r="AT28" i="20"/>
  <c r="AT29" i="20" s="1"/>
  <c r="AT31" i="20"/>
  <c r="AU9" i="17" l="1"/>
  <c r="AU30" i="21"/>
  <c r="AU36" i="18"/>
  <c r="AU37" i="18" s="1"/>
  <c r="AV18" i="15"/>
  <c r="AT36" i="20"/>
  <c r="AT38" i="20" s="1"/>
  <c r="AT23" i="19"/>
  <c r="AT25" i="19" s="1"/>
  <c r="AT35" i="21" l="1"/>
  <c r="AT33" i="21"/>
  <c r="AV20" i="15"/>
  <c r="AV15" i="20" s="1"/>
  <c r="AV16" i="20" s="1"/>
  <c r="AW7" i="15"/>
  <c r="AT26" i="21"/>
  <c r="AT28" i="21" s="1"/>
  <c r="AT29" i="21" s="1"/>
  <c r="AU24" i="19"/>
  <c r="AT8" i="20"/>
  <c r="AT12" i="20" s="1"/>
  <c r="AT18" i="20" s="1"/>
  <c r="AU39" i="18"/>
  <c r="AU40" i="18" s="1"/>
  <c r="AU20" i="17"/>
  <c r="AV7" i="17"/>
  <c r="AU24" i="20"/>
  <c r="AU25" i="20" s="1"/>
  <c r="AU19" i="19" l="1"/>
  <c r="AU20" i="19" s="1"/>
  <c r="AU7" i="19"/>
  <c r="AU10" i="19" s="1"/>
  <c r="AU23" i="19" s="1"/>
  <c r="AU22" i="21"/>
  <c r="AU41" i="18"/>
  <c r="AU23" i="21" s="1"/>
  <c r="AU35" i="20"/>
  <c r="AW12" i="15"/>
  <c r="AW14" i="15" s="1"/>
  <c r="AW9" i="15"/>
  <c r="AV10" i="17"/>
  <c r="AV21" i="17" s="1"/>
  <c r="AV8" i="17"/>
  <c r="AV17" i="19" s="1"/>
  <c r="AU27" i="21"/>
  <c r="AU28" i="20"/>
  <c r="AU29" i="20" s="1"/>
  <c r="AU31" i="20" s="1"/>
  <c r="AT34" i="21"/>
  <c r="AT41" i="20"/>
  <c r="AU25" i="19"/>
  <c r="AW13" i="19" l="1"/>
  <c r="AW14" i="19" s="1"/>
  <c r="E12" i="23"/>
  <c r="AU36" i="20"/>
  <c r="AU26" i="21"/>
  <c r="AU28" i="21" s="1"/>
  <c r="AU29" i="21" s="1"/>
  <c r="AU8" i="20"/>
  <c r="AU12" i="20" s="1"/>
  <c r="AU18" i="20" s="1"/>
  <c r="AV24" i="19"/>
  <c r="AV9" i="17"/>
  <c r="AW18" i="15"/>
  <c r="AV30" i="21"/>
  <c r="AV36" i="18"/>
  <c r="AV37" i="18" s="1"/>
  <c r="AU34" i="21" l="1"/>
  <c r="AV20" i="17"/>
  <c r="AW7" i="17"/>
  <c r="AV24" i="20"/>
  <c r="AV25" i="20" s="1"/>
  <c r="AU35" i="21"/>
  <c r="AU33" i="21"/>
  <c r="AV39" i="18"/>
  <c r="AV40" i="18"/>
  <c r="AW20" i="15"/>
  <c r="AW15" i="20" s="1"/>
  <c r="AW16" i="20" s="1"/>
  <c r="AX7" i="15"/>
  <c r="AU38" i="20"/>
  <c r="AU41" i="20" s="1"/>
  <c r="AX12" i="15" l="1"/>
  <c r="AX14" i="15" s="1"/>
  <c r="AX9" i="15"/>
  <c r="AX18" i="15"/>
  <c r="AV27" i="21"/>
  <c r="AV28" i="20"/>
  <c r="AV29" i="20" s="1"/>
  <c r="AV31" i="20" s="1"/>
  <c r="AV22" i="21"/>
  <c r="AV19" i="19"/>
  <c r="AV20" i="19" s="1"/>
  <c r="AV7" i="19"/>
  <c r="AV10" i="19" s="1"/>
  <c r="AV41" i="18"/>
  <c r="AV23" i="21" s="1"/>
  <c r="AW10" i="17"/>
  <c r="AW21" i="17" s="1"/>
  <c r="AW8" i="17"/>
  <c r="AW17" i="19" s="1"/>
  <c r="AW9" i="17" l="1"/>
  <c r="AV35" i="20"/>
  <c r="AV23" i="19"/>
  <c r="AV25" i="19" s="1"/>
  <c r="AY7" i="15"/>
  <c r="AX20" i="15"/>
  <c r="AX15" i="20" s="1"/>
  <c r="AX16" i="20" s="1"/>
  <c r="AW30" i="21"/>
  <c r="AW36" i="18"/>
  <c r="AW37" i="18" s="1"/>
  <c r="AX13" i="19"/>
  <c r="AX14" i="19" s="1"/>
  <c r="AW39" i="18" l="1"/>
  <c r="AW40" i="18" s="1"/>
  <c r="AY12" i="15"/>
  <c r="AY14" i="15" s="1"/>
  <c r="AY9" i="15"/>
  <c r="AY18" i="15"/>
  <c r="AX7" i="17"/>
  <c r="AW20" i="17"/>
  <c r="AW24" i="20"/>
  <c r="AW25" i="20" s="1"/>
  <c r="AV26" i="21"/>
  <c r="AV28" i="21" s="1"/>
  <c r="AV29" i="21" s="1"/>
  <c r="AV8" i="20"/>
  <c r="AV12" i="20" s="1"/>
  <c r="AV18" i="20" s="1"/>
  <c r="AW24" i="19"/>
  <c r="AV36" i="20"/>
  <c r="AW19" i="19" l="1"/>
  <c r="AW20" i="19" s="1"/>
  <c r="AW7" i="19"/>
  <c r="AW10" i="19" s="1"/>
  <c r="AW22" i="21"/>
  <c r="AW41" i="18"/>
  <c r="AW23" i="21" s="1"/>
  <c r="E11" i="23"/>
  <c r="AW35" i="20"/>
  <c r="E15" i="23"/>
  <c r="AW27" i="21"/>
  <c r="AW28" i="20"/>
  <c r="AW29" i="20" s="1"/>
  <c r="AV33" i="21"/>
  <c r="AV35" i="21"/>
  <c r="AV38" i="20"/>
  <c r="AV34" i="21"/>
  <c r="AV41" i="20"/>
  <c r="AZ7" i="15"/>
  <c r="AY20" i="15"/>
  <c r="AY15" i="20" s="1"/>
  <c r="AY16" i="20" s="1"/>
  <c r="AY13" i="19"/>
  <c r="AY14" i="19" s="1"/>
  <c r="AW31" i="20"/>
  <c r="AX10" i="17"/>
  <c r="AX21" i="17" s="1"/>
  <c r="AX9" i="17"/>
  <c r="AX8" i="17"/>
  <c r="AX17" i="19" s="1"/>
  <c r="AX30" i="21" l="1"/>
  <c r="AX36" i="18"/>
  <c r="AX37" i="18" s="1"/>
  <c r="AW38" i="20"/>
  <c r="AW36" i="20"/>
  <c r="AW23" i="19"/>
  <c r="AW25" i="19" s="1"/>
  <c r="E13" i="23"/>
  <c r="AY7" i="17"/>
  <c r="AX20" i="17"/>
  <c r="AX24" i="20"/>
  <c r="AX25" i="20" s="1"/>
  <c r="AZ12" i="15"/>
  <c r="AZ14" i="15" s="1"/>
  <c r="AZ18" i="15" s="1"/>
  <c r="AZ9" i="15"/>
  <c r="AZ20" i="15" l="1"/>
  <c r="AZ15" i="20" s="1"/>
  <c r="AZ16" i="20" s="1"/>
  <c r="BA7" i="15"/>
  <c r="E14" i="23"/>
  <c r="AW26" i="21"/>
  <c r="AW28" i="21" s="1"/>
  <c r="AW29" i="21" s="1"/>
  <c r="AX24" i="19"/>
  <c r="AW8" i="20"/>
  <c r="AW12" i="20" s="1"/>
  <c r="AW18" i="20" s="1"/>
  <c r="AX27" i="21"/>
  <c r="AX28" i="20"/>
  <c r="AX29" i="20" s="1"/>
  <c r="AX31" i="20" s="1"/>
  <c r="AY10" i="17"/>
  <c r="AY21" i="17" s="1"/>
  <c r="AY8" i="17"/>
  <c r="AY17" i="19" s="1"/>
  <c r="AZ13" i="19"/>
  <c r="AZ14" i="19" s="1"/>
  <c r="AW33" i="21"/>
  <c r="E16" i="23"/>
  <c r="AW35" i="21"/>
  <c r="AX39" i="18"/>
  <c r="AX40" i="18" s="1"/>
  <c r="AX22" i="21" l="1"/>
  <c r="AX19" i="19"/>
  <c r="AX20" i="19" s="1"/>
  <c r="AX7" i="19"/>
  <c r="AX10" i="19" s="1"/>
  <c r="AX41" i="18"/>
  <c r="AX23" i="21" s="1"/>
  <c r="AX35" i="20"/>
  <c r="AY9" i="17"/>
  <c r="AY30" i="21"/>
  <c r="AY36" i="18"/>
  <c r="AY37" i="18" s="1"/>
  <c r="BA12" i="15"/>
  <c r="BA14" i="15" s="1"/>
  <c r="BA9" i="15"/>
  <c r="AW34" i="21"/>
  <c r="AW41" i="20"/>
  <c r="BA13" i="19" l="1"/>
  <c r="BA14" i="19" s="1"/>
  <c r="AX36" i="20"/>
  <c r="BA18" i="15"/>
  <c r="AX23" i="19"/>
  <c r="AX25" i="19" s="1"/>
  <c r="AY39" i="18"/>
  <c r="AY40" i="18" s="1"/>
  <c r="AY20" i="17"/>
  <c r="AZ7" i="17"/>
  <c r="AY24" i="20"/>
  <c r="AY25" i="20" s="1"/>
  <c r="AY19" i="19" l="1"/>
  <c r="AY20" i="19" s="1"/>
  <c r="AY7" i="19"/>
  <c r="AY10" i="19" s="1"/>
  <c r="AY22" i="21"/>
  <c r="AY41" i="18"/>
  <c r="AY23" i="21" s="1"/>
  <c r="AY35" i="20"/>
  <c r="AY27" i="21"/>
  <c r="AY28" i="20"/>
  <c r="AY29" i="20" s="1"/>
  <c r="AY31" i="20" s="1"/>
  <c r="BB7" i="15"/>
  <c r="BA20" i="15"/>
  <c r="BA15" i="20" s="1"/>
  <c r="BA16" i="20" s="1"/>
  <c r="AX33" i="21"/>
  <c r="AX35" i="21"/>
  <c r="AX38" i="20"/>
  <c r="AZ10" i="17"/>
  <c r="AZ21" i="17" s="1"/>
  <c r="AZ8" i="17"/>
  <c r="AZ17" i="19" s="1"/>
  <c r="AX26" i="21"/>
  <c r="AX28" i="21" s="1"/>
  <c r="AX29" i="21" s="1"/>
  <c r="AY24" i="19"/>
  <c r="AX8" i="20"/>
  <c r="AX12" i="20" s="1"/>
  <c r="AX18" i="20" s="1"/>
  <c r="AY36" i="20" l="1"/>
  <c r="AX34" i="21"/>
  <c r="AX41" i="20"/>
  <c r="AZ9" i="17"/>
  <c r="AY23" i="19"/>
  <c r="AY25" i="19" s="1"/>
  <c r="AZ30" i="21"/>
  <c r="AZ36" i="18"/>
  <c r="AZ37" i="18" s="1"/>
  <c r="BB12" i="15"/>
  <c r="BB14" i="15" s="1"/>
  <c r="BB9" i="15"/>
  <c r="AY26" i="21" l="1"/>
  <c r="AY28" i="21" s="1"/>
  <c r="AY29" i="21" s="1"/>
  <c r="AY8" i="20"/>
  <c r="AY12" i="20" s="1"/>
  <c r="AY18" i="20" s="1"/>
  <c r="AZ24" i="19"/>
  <c r="BB13" i="19"/>
  <c r="BB14" i="19" s="1"/>
  <c r="BB18" i="15"/>
  <c r="BA7" i="17"/>
  <c r="AZ20" i="17"/>
  <c r="AZ24" i="20"/>
  <c r="AZ25" i="20" s="1"/>
  <c r="AY33" i="21"/>
  <c r="AY35" i="21"/>
  <c r="AZ39" i="18"/>
  <c r="AZ40" i="18" s="1"/>
  <c r="AY38" i="20"/>
  <c r="AZ7" i="19" l="1"/>
  <c r="AZ10" i="19" s="1"/>
  <c r="AZ19" i="19"/>
  <c r="AZ20" i="19" s="1"/>
  <c r="AZ22" i="21"/>
  <c r="AZ41" i="18"/>
  <c r="AZ23" i="21" s="1"/>
  <c r="AZ35" i="20"/>
  <c r="BA10" i="17"/>
  <c r="BA21" i="17" s="1"/>
  <c r="BA8" i="17"/>
  <c r="BA17" i="19" s="1"/>
  <c r="AZ27" i="21"/>
  <c r="AZ28" i="20"/>
  <c r="AZ29" i="20" s="1"/>
  <c r="AZ31" i="20" s="1"/>
  <c r="AY34" i="21"/>
  <c r="AY41" i="20"/>
  <c r="BC7" i="15"/>
  <c r="BB20" i="15"/>
  <c r="BB15" i="20" s="1"/>
  <c r="BB16" i="20" s="1"/>
  <c r="BC9" i="15" l="1"/>
  <c r="BC12" i="15"/>
  <c r="BC14" i="15" s="1"/>
  <c r="BC13" i="19" s="1"/>
  <c r="BC14" i="19" s="1"/>
  <c r="BA30" i="21"/>
  <c r="BA36" i="18"/>
  <c r="BA37" i="18" s="1"/>
  <c r="BA9" i="17"/>
  <c r="AZ36" i="20"/>
  <c r="AZ23" i="19"/>
  <c r="AZ25" i="19" s="1"/>
  <c r="AZ26" i="21" l="1"/>
  <c r="AZ28" i="21" s="1"/>
  <c r="AZ29" i="21" s="1"/>
  <c r="BA24" i="19"/>
  <c r="AZ8" i="20"/>
  <c r="AZ12" i="20" s="1"/>
  <c r="AZ18" i="20" s="1"/>
  <c r="BA39" i="18"/>
  <c r="BA40" i="18" s="1"/>
  <c r="AZ35" i="21"/>
  <c r="AZ33" i="21"/>
  <c r="BA20" i="17"/>
  <c r="BB7" i="17"/>
  <c r="BA24" i="20"/>
  <c r="BA25" i="20" s="1"/>
  <c r="BC18" i="15"/>
  <c r="AZ38" i="20"/>
  <c r="BA22" i="21" l="1"/>
  <c r="BA19" i="19"/>
  <c r="BA20" i="19" s="1"/>
  <c r="BA7" i="19"/>
  <c r="BA10" i="19" s="1"/>
  <c r="BA41" i="18"/>
  <c r="BA23" i="21" s="1"/>
  <c r="BA35" i="20"/>
  <c r="BB10" i="17"/>
  <c r="BB21" i="17" s="1"/>
  <c r="BB8" i="17"/>
  <c r="BB17" i="19" s="1"/>
  <c r="AZ34" i="21"/>
  <c r="AZ41" i="20"/>
  <c r="BC20" i="15"/>
  <c r="BC15" i="20" s="1"/>
  <c r="BC16" i="20" s="1"/>
  <c r="BD7" i="15"/>
  <c r="BA27" i="21"/>
  <c r="BA28" i="20"/>
  <c r="BA29" i="20" s="1"/>
  <c r="BA31" i="20" s="1"/>
  <c r="BD9" i="15" l="1"/>
  <c r="BD12" i="15"/>
  <c r="BD14" i="15" s="1"/>
  <c r="BD13" i="19" s="1"/>
  <c r="BD14" i="19" s="1"/>
  <c r="BD18" i="15"/>
  <c r="BA36" i="20"/>
  <c r="BA23" i="19"/>
  <c r="BA25" i="19" s="1"/>
  <c r="BB30" i="21"/>
  <c r="BB36" i="18"/>
  <c r="BB37" i="18" s="1"/>
  <c r="BB9" i="17"/>
  <c r="BB39" i="18" l="1"/>
  <c r="BB40" i="18" s="1"/>
  <c r="BD20" i="15"/>
  <c r="BD15" i="20" s="1"/>
  <c r="BD16" i="20" s="1"/>
  <c r="BE7" i="15"/>
  <c r="BB20" i="17"/>
  <c r="BC7" i="17"/>
  <c r="BB24" i="20"/>
  <c r="BB25" i="20" s="1"/>
  <c r="BA26" i="21"/>
  <c r="BA28" i="21" s="1"/>
  <c r="BA29" i="21" s="1"/>
  <c r="BA8" i="20"/>
  <c r="BA12" i="20" s="1"/>
  <c r="BA18" i="20" s="1"/>
  <c r="BB24" i="19"/>
  <c r="BA35" i="21"/>
  <c r="BA33" i="21"/>
  <c r="BA38" i="20"/>
  <c r="BB22" i="21" l="1"/>
  <c r="BB19" i="19"/>
  <c r="BB20" i="19" s="1"/>
  <c r="BB7" i="19"/>
  <c r="BB10" i="19" s="1"/>
  <c r="BB41" i="18"/>
  <c r="BB23" i="21" s="1"/>
  <c r="BB35" i="20"/>
  <c r="BA34" i="21"/>
  <c r="BA41" i="20"/>
  <c r="BC10" i="17"/>
  <c r="BC21" i="17" s="1"/>
  <c r="BC8" i="17"/>
  <c r="BC17" i="19" s="1"/>
  <c r="BB27" i="21"/>
  <c r="BB28" i="20"/>
  <c r="BB29" i="20" s="1"/>
  <c r="BB31" i="20" s="1"/>
  <c r="BE12" i="15"/>
  <c r="BE14" i="15" s="1"/>
  <c r="BE13" i="19" s="1"/>
  <c r="BE14" i="19" s="1"/>
  <c r="BE9" i="15"/>
  <c r="BE18" i="15"/>
  <c r="BC9" i="17" l="1"/>
  <c r="BC30" i="21"/>
  <c r="BC36" i="18"/>
  <c r="BC37" i="18" s="1"/>
  <c r="BB23" i="19"/>
  <c r="BB25" i="19" s="1"/>
  <c r="BE20" i="15"/>
  <c r="BE15" i="20" s="1"/>
  <c r="BE16" i="20" s="1"/>
  <c r="BF7" i="15"/>
  <c r="BB36" i="20"/>
  <c r="BB35" i="21" l="1"/>
  <c r="BB33" i="21"/>
  <c r="BC20" i="17"/>
  <c r="BD7" i="17"/>
  <c r="BC24" i="20"/>
  <c r="BC25" i="20" s="1"/>
  <c r="BC39" i="18"/>
  <c r="BC40" i="18" s="1"/>
  <c r="BB26" i="21"/>
  <c r="BB28" i="21" s="1"/>
  <c r="BB29" i="21" s="1"/>
  <c r="BB8" i="20"/>
  <c r="BB12" i="20" s="1"/>
  <c r="BB18" i="20" s="1"/>
  <c r="BC24" i="19"/>
  <c r="BF9" i="15"/>
  <c r="BF12" i="15"/>
  <c r="BF14" i="15" s="1"/>
  <c r="BF13" i="19" s="1"/>
  <c r="BF14" i="19" s="1"/>
  <c r="BB38" i="20"/>
  <c r="BC22" i="21" l="1"/>
  <c r="BC7" i="19"/>
  <c r="BC10" i="19" s="1"/>
  <c r="BC19" i="19"/>
  <c r="BC20" i="19" s="1"/>
  <c r="BC41" i="18"/>
  <c r="BC23" i="21" s="1"/>
  <c r="BC35" i="20"/>
  <c r="BB34" i="21"/>
  <c r="BB41" i="20"/>
  <c r="BF18" i="15"/>
  <c r="BD10" i="17"/>
  <c r="BD21" i="17" s="1"/>
  <c r="BD8" i="17"/>
  <c r="BD17" i="19" s="1"/>
  <c r="BC27" i="21"/>
  <c r="BC28" i="20"/>
  <c r="BC29" i="20" s="1"/>
  <c r="BC31" i="20" s="1"/>
  <c r="BD30" i="21" l="1"/>
  <c r="BD36" i="18"/>
  <c r="BD37" i="18" s="1"/>
  <c r="BD9" i="17"/>
  <c r="BG7" i="15"/>
  <c r="BF20" i="15"/>
  <c r="BF15" i="20" s="1"/>
  <c r="BF16" i="20" s="1"/>
  <c r="BC36" i="20"/>
  <c r="BC23" i="19"/>
  <c r="BC25" i="19" s="1"/>
  <c r="BC33" i="21" l="1"/>
  <c r="BC35" i="21"/>
  <c r="BC26" i="21"/>
  <c r="BC28" i="21" s="1"/>
  <c r="BC29" i="21" s="1"/>
  <c r="BD24" i="19"/>
  <c r="BC8" i="20"/>
  <c r="BC12" i="20" s="1"/>
  <c r="BC18" i="20" s="1"/>
  <c r="BG9" i="15"/>
  <c r="BG12" i="15"/>
  <c r="BG14" i="15" s="1"/>
  <c r="BG13" i="19" s="1"/>
  <c r="BG14" i="19" s="1"/>
  <c r="BD20" i="17"/>
  <c r="BE7" i="17"/>
  <c r="BD24" i="20"/>
  <c r="BD25" i="20" s="1"/>
  <c r="BD39" i="18"/>
  <c r="BD40" i="18" s="1"/>
  <c r="BC38" i="20"/>
  <c r="BD22" i="21" l="1"/>
  <c r="BD7" i="19"/>
  <c r="BD10" i="19" s="1"/>
  <c r="BD23" i="19" s="1"/>
  <c r="BD19" i="19"/>
  <c r="BD20" i="19" s="1"/>
  <c r="BD41" i="18"/>
  <c r="BD23" i="21" s="1"/>
  <c r="BD35" i="20"/>
  <c r="BD25" i="19"/>
  <c r="BE10" i="17"/>
  <c r="BE21" i="17" s="1"/>
  <c r="BE8" i="17"/>
  <c r="BE17" i="19" s="1"/>
  <c r="BC34" i="21"/>
  <c r="BC41" i="20"/>
  <c r="BD27" i="21"/>
  <c r="BD28" i="20"/>
  <c r="BD29" i="20" s="1"/>
  <c r="BD31" i="20" s="1"/>
  <c r="BG18" i="15"/>
  <c r="BH7" i="15" l="1"/>
  <c r="BG20" i="15"/>
  <c r="BG15" i="20" s="1"/>
  <c r="BG16" i="20" s="1"/>
  <c r="BE9" i="17"/>
  <c r="BD26" i="21"/>
  <c r="BD28" i="21" s="1"/>
  <c r="BD29" i="21" s="1"/>
  <c r="BE24" i="19"/>
  <c r="BD8" i="20"/>
  <c r="BD12" i="20" s="1"/>
  <c r="BD18" i="20" s="1"/>
  <c r="BE30" i="21"/>
  <c r="BE36" i="18"/>
  <c r="BE37" i="18" s="1"/>
  <c r="BD36" i="20"/>
  <c r="BE39" i="18" l="1"/>
  <c r="BE40" i="18" s="1"/>
  <c r="BE20" i="17"/>
  <c r="BF7" i="17"/>
  <c r="BE24" i="20"/>
  <c r="BE25" i="20" s="1"/>
  <c r="BD33" i="21"/>
  <c r="BD35" i="21"/>
  <c r="BD34" i="21"/>
  <c r="BH9" i="15"/>
  <c r="BH12" i="15"/>
  <c r="BH14" i="15" s="1"/>
  <c r="BH13" i="19" s="1"/>
  <c r="BH14" i="19" s="1"/>
  <c r="BD38" i="20"/>
  <c r="BD41" i="20" s="1"/>
  <c r="BE22" i="21" l="1"/>
  <c r="BE7" i="19"/>
  <c r="BE10" i="19" s="1"/>
  <c r="BE19" i="19"/>
  <c r="BE20" i="19" s="1"/>
  <c r="BE41" i="18"/>
  <c r="BE23" i="21" s="1"/>
  <c r="BE35" i="20"/>
  <c r="BH18" i="15"/>
  <c r="BE27" i="21"/>
  <c r="BE28" i="20"/>
  <c r="BE29" i="20" s="1"/>
  <c r="BF10" i="17"/>
  <c r="BF21" i="17" s="1"/>
  <c r="BF8" i="17"/>
  <c r="BF17" i="19" s="1"/>
  <c r="BE31" i="20"/>
  <c r="BF30" i="21" l="1"/>
  <c r="BF36" i="18"/>
  <c r="BF37" i="18" s="1"/>
  <c r="BF9" i="17"/>
  <c r="BI7" i="15"/>
  <c r="BH20" i="15"/>
  <c r="BH15" i="20" s="1"/>
  <c r="BH16" i="20" s="1"/>
  <c r="BE23" i="19"/>
  <c r="BE25" i="19" s="1"/>
  <c r="BE36" i="20"/>
  <c r="BF20" i="17" l="1"/>
  <c r="BG7" i="17"/>
  <c r="BF24" i="20"/>
  <c r="BF25" i="20" s="1"/>
  <c r="BE33" i="21"/>
  <c r="BE35" i="21"/>
  <c r="BF39" i="18"/>
  <c r="BF40" i="18" s="1"/>
  <c r="BE26" i="21"/>
  <c r="BE28" i="21" s="1"/>
  <c r="BE29" i="21" s="1"/>
  <c r="BF24" i="19"/>
  <c r="BE8" i="20"/>
  <c r="BE12" i="20" s="1"/>
  <c r="BE18" i="20" s="1"/>
  <c r="BI9" i="15"/>
  <c r="BI12" i="15"/>
  <c r="BI14" i="15" s="1"/>
  <c r="BE38" i="20"/>
  <c r="BF22" i="21" l="1"/>
  <c r="BF7" i="19"/>
  <c r="BF10" i="19" s="1"/>
  <c r="BF19" i="19"/>
  <c r="BF20" i="19" s="1"/>
  <c r="BF41" i="18"/>
  <c r="BF23" i="21" s="1"/>
  <c r="BF35" i="20"/>
  <c r="BE34" i="21"/>
  <c r="BE41" i="20"/>
  <c r="BI13" i="19"/>
  <c r="BI14" i="19" s="1"/>
  <c r="F12" i="23"/>
  <c r="BG10" i="17"/>
  <c r="BG21" i="17" s="1"/>
  <c r="BG8" i="17"/>
  <c r="BG17" i="19" s="1"/>
  <c r="BI18" i="15"/>
  <c r="BF27" i="21"/>
  <c r="BF28" i="20"/>
  <c r="BF29" i="20" s="1"/>
  <c r="BF31" i="20" s="1"/>
  <c r="BG9" i="17" l="1"/>
  <c r="BG30" i="21"/>
  <c r="BG36" i="18"/>
  <c r="BG37" i="18" s="1"/>
  <c r="BF23" i="19"/>
  <c r="BF25" i="19" s="1"/>
  <c r="BJ7" i="15"/>
  <c r="BI20" i="15"/>
  <c r="BI15" i="20" s="1"/>
  <c r="BI16" i="20" s="1"/>
  <c r="BF36" i="20"/>
  <c r="BJ9" i="15" l="1"/>
  <c r="BJ12" i="15"/>
  <c r="BJ14" i="15" s="1"/>
  <c r="BJ18" i="15" s="1"/>
  <c r="BF35" i="21"/>
  <c r="BF33" i="21"/>
  <c r="BF26" i="21"/>
  <c r="BF28" i="21" s="1"/>
  <c r="BF29" i="21" s="1"/>
  <c r="BG24" i="19"/>
  <c r="BF8" i="20"/>
  <c r="BF12" i="20" s="1"/>
  <c r="BF18" i="20" s="1"/>
  <c r="BG39" i="18"/>
  <c r="BG40" i="18" s="1"/>
  <c r="BG20" i="17"/>
  <c r="BH7" i="17"/>
  <c r="BG24" i="20"/>
  <c r="BG25" i="20" s="1"/>
  <c r="BF38" i="20"/>
  <c r="BG22" i="21" l="1"/>
  <c r="BG7" i="19"/>
  <c r="BG10" i="19" s="1"/>
  <c r="BG19" i="19"/>
  <c r="BG20" i="19" s="1"/>
  <c r="BG41" i="18"/>
  <c r="BG23" i="21" s="1"/>
  <c r="BG35" i="20"/>
  <c r="BJ20" i="15"/>
  <c r="BJ15" i="20" s="1"/>
  <c r="BJ16" i="20" s="1"/>
  <c r="BK7" i="15"/>
  <c r="BH9" i="17"/>
  <c r="BH10" i="17"/>
  <c r="BH21" i="17" s="1"/>
  <c r="BH8" i="17"/>
  <c r="BH17" i="19" s="1"/>
  <c r="BG27" i="21"/>
  <c r="BG28" i="20"/>
  <c r="BG29" i="20" s="1"/>
  <c r="BG31" i="20"/>
  <c r="BF34" i="21"/>
  <c r="BF41" i="20"/>
  <c r="BJ13" i="19"/>
  <c r="BJ14" i="19" s="1"/>
  <c r="BH20" i="17" l="1"/>
  <c r="BI7" i="17"/>
  <c r="BH24" i="20"/>
  <c r="BH25" i="20" s="1"/>
  <c r="BG36" i="20"/>
  <c r="BG38" i="20"/>
  <c r="BG23" i="19"/>
  <c r="BG25" i="19" s="1"/>
  <c r="BH30" i="21"/>
  <c r="BH36" i="18"/>
  <c r="BH37" i="18" s="1"/>
  <c r="BK9" i="15"/>
  <c r="BK12" i="15"/>
  <c r="BK14" i="15" s="1"/>
  <c r="BH39" i="18" l="1"/>
  <c r="BH40" i="18" s="1"/>
  <c r="BG26" i="21"/>
  <c r="BG28" i="21" s="1"/>
  <c r="BG29" i="21" s="1"/>
  <c r="BG8" i="20"/>
  <c r="BG12" i="20" s="1"/>
  <c r="BG18" i="20" s="1"/>
  <c r="BH24" i="19"/>
  <c r="BG35" i="21"/>
  <c r="BG33" i="21"/>
  <c r="BH27" i="21"/>
  <c r="BH28" i="20"/>
  <c r="BH29" i="20" s="1"/>
  <c r="BK13" i="19"/>
  <c r="BK14" i="19" s="1"/>
  <c r="BK18" i="15"/>
  <c r="BH31" i="20"/>
  <c r="BI9" i="17"/>
  <c r="BI10" i="17"/>
  <c r="BI21" i="17" s="1"/>
  <c r="BI8" i="17"/>
  <c r="BI17" i="19" s="1"/>
  <c r="BH22" i="21" l="1"/>
  <c r="BH7" i="19"/>
  <c r="BH10" i="19" s="1"/>
  <c r="BH19" i="19"/>
  <c r="BH20" i="19" s="1"/>
  <c r="BH41" i="18"/>
  <c r="BH23" i="21" s="1"/>
  <c r="BI20" i="17"/>
  <c r="BJ7" i="17"/>
  <c r="BI24" i="20"/>
  <c r="BI25" i="20" s="1"/>
  <c r="BK20" i="15"/>
  <c r="BK15" i="20" s="1"/>
  <c r="BK16" i="20" s="1"/>
  <c r="BL7" i="15"/>
  <c r="BI30" i="21"/>
  <c r="BI36" i="18"/>
  <c r="BI37" i="18" s="1"/>
  <c r="BG34" i="21"/>
  <c r="BG41" i="20"/>
  <c r="BI39" i="18" l="1"/>
  <c r="BI40" i="18" s="1"/>
  <c r="BL9" i="15"/>
  <c r="BL12" i="15"/>
  <c r="BL14" i="15" s="1"/>
  <c r="BH35" i="20"/>
  <c r="BJ10" i="17"/>
  <c r="BJ21" i="17" s="1"/>
  <c r="BJ8" i="17"/>
  <c r="BJ17" i="19" s="1"/>
  <c r="F15" i="23"/>
  <c r="BI27" i="21"/>
  <c r="BI28" i="20"/>
  <c r="BI29" i="20" s="1"/>
  <c r="BI31" i="20" s="1"/>
  <c r="BH23" i="19"/>
  <c r="BH25" i="19" s="1"/>
  <c r="BI22" i="21" l="1"/>
  <c r="BI7" i="19"/>
  <c r="BI10" i="19" s="1"/>
  <c r="BI19" i="19"/>
  <c r="BI20" i="19" s="1"/>
  <c r="BI41" i="18"/>
  <c r="BI23" i="21" s="1"/>
  <c r="F11" i="23"/>
  <c r="BH26" i="21"/>
  <c r="BH28" i="21" s="1"/>
  <c r="BH29" i="21" s="1"/>
  <c r="BH8" i="20"/>
  <c r="BH12" i="20" s="1"/>
  <c r="BH18" i="20" s="1"/>
  <c r="BI24" i="19"/>
  <c r="BH36" i="20"/>
  <c r="BI35" i="20"/>
  <c r="BJ9" i="17"/>
  <c r="BJ30" i="21"/>
  <c r="BJ36" i="18"/>
  <c r="BJ37" i="18" s="1"/>
  <c r="BL13" i="19"/>
  <c r="BL14" i="19" s="1"/>
  <c r="BL18" i="15"/>
  <c r="BL20" i="15" l="1"/>
  <c r="BL15" i="20" s="1"/>
  <c r="BL16" i="20" s="1"/>
  <c r="BM7" i="15"/>
  <c r="BK7" i="17"/>
  <c r="BJ20" i="17"/>
  <c r="BJ24" i="20"/>
  <c r="BJ25" i="20" s="1"/>
  <c r="BH34" i="21"/>
  <c r="BH33" i="21"/>
  <c r="BH35" i="21"/>
  <c r="BH38" i="20"/>
  <c r="BH41" i="20" s="1"/>
  <c r="BI23" i="19"/>
  <c r="F13" i="23"/>
  <c r="BJ39" i="18"/>
  <c r="BJ40" i="18" s="1"/>
  <c r="BI36" i="20"/>
  <c r="BI25" i="19"/>
  <c r="BJ22" i="21" l="1"/>
  <c r="BJ19" i="19"/>
  <c r="BJ20" i="19" s="1"/>
  <c r="BJ7" i="19"/>
  <c r="BJ10" i="19" s="1"/>
  <c r="BJ41" i="18"/>
  <c r="BJ23" i="21" s="1"/>
  <c r="BJ35" i="20"/>
  <c r="F14" i="23"/>
  <c r="BI26" i="21"/>
  <c r="BI28" i="21" s="1"/>
  <c r="BI29" i="21" s="1"/>
  <c r="BI8" i="20"/>
  <c r="BI12" i="20" s="1"/>
  <c r="BI18" i="20" s="1"/>
  <c r="BJ24" i="19"/>
  <c r="BM9" i="15"/>
  <c r="BM12" i="15"/>
  <c r="BM14" i="15" s="1"/>
  <c r="F16" i="23"/>
  <c r="BI33" i="21"/>
  <c r="BI35" i="21"/>
  <c r="BI38" i="20"/>
  <c r="BJ31" i="20"/>
  <c r="BJ27" i="21"/>
  <c r="BJ28" i="20"/>
  <c r="BJ29" i="20" s="1"/>
  <c r="BK9" i="17"/>
  <c r="BK10" i="17"/>
  <c r="BK21" i="17" s="1"/>
  <c r="BK8" i="17"/>
  <c r="BK17" i="19" s="1"/>
  <c r="BL7" i="17" l="1"/>
  <c r="BK20" i="17"/>
  <c r="BK24" i="20"/>
  <c r="BK25" i="20" s="1"/>
  <c r="BM13" i="19"/>
  <c r="BM14" i="19" s="1"/>
  <c r="BI34" i="21"/>
  <c r="BI41" i="20"/>
  <c r="B14" i="22"/>
  <c r="C14" i="22" s="1"/>
  <c r="BJ23" i="19"/>
  <c r="BJ25" i="19" s="1"/>
  <c r="BK30" i="21"/>
  <c r="BK36" i="18"/>
  <c r="BK37" i="18" s="1"/>
  <c r="BM18" i="15"/>
  <c r="BJ36" i="20"/>
  <c r="BJ38" i="20" s="1"/>
  <c r="BJ26" i="21" l="1"/>
  <c r="BJ28" i="21" s="1"/>
  <c r="BJ29" i="21" s="1"/>
  <c r="BJ8" i="20"/>
  <c r="BJ12" i="20" s="1"/>
  <c r="BJ18" i="20" s="1"/>
  <c r="BK24" i="19"/>
  <c r="BM20" i="15"/>
  <c r="BM15" i="20" s="1"/>
  <c r="BM16" i="20" s="1"/>
  <c r="BN7" i="15"/>
  <c r="BK27" i="21"/>
  <c r="BK28" i="20"/>
  <c r="BK29" i="20" s="1"/>
  <c r="BJ33" i="21"/>
  <c r="BJ35" i="21"/>
  <c r="BK39" i="18"/>
  <c r="BK40" i="18"/>
  <c r="BK31" i="20"/>
  <c r="BL10" i="17"/>
  <c r="BL21" i="17" s="1"/>
  <c r="BL9" i="17"/>
  <c r="BL8" i="17"/>
  <c r="BL17" i="19" s="1"/>
  <c r="BM7" i="17" l="1"/>
  <c r="BL20" i="17"/>
  <c r="BL24" i="20"/>
  <c r="BL25" i="20" s="1"/>
  <c r="BK22" i="21"/>
  <c r="BK7" i="19"/>
  <c r="BK10" i="19" s="1"/>
  <c r="BK19" i="19"/>
  <c r="BK20" i="19" s="1"/>
  <c r="BK41" i="18"/>
  <c r="BK23" i="21" s="1"/>
  <c r="BK35" i="20"/>
  <c r="BN18" i="15"/>
  <c r="BN9" i="15"/>
  <c r="BN12" i="15"/>
  <c r="BN14" i="15" s="1"/>
  <c r="BJ34" i="21"/>
  <c r="BJ41" i="20"/>
  <c r="BL30" i="21"/>
  <c r="BL36" i="18"/>
  <c r="BL37" i="18" s="1"/>
  <c r="BN20" i="15" l="1"/>
  <c r="BN15" i="20" s="1"/>
  <c r="BN16" i="20" s="1"/>
  <c r="BO7" i="15"/>
  <c r="BK36" i="20"/>
  <c r="BN13" i="19"/>
  <c r="BN14" i="19" s="1"/>
  <c r="BK23" i="19"/>
  <c r="BK25" i="19" s="1"/>
  <c r="BM10" i="17"/>
  <c r="BM21" i="17" s="1"/>
  <c r="BM9" i="17"/>
  <c r="BM8" i="17"/>
  <c r="BM17" i="19" s="1"/>
  <c r="BL39" i="18"/>
  <c r="BL40" i="18" s="1"/>
  <c r="BL27" i="21"/>
  <c r="BL28" i="20"/>
  <c r="BL29" i="20" s="1"/>
  <c r="BL31" i="20" s="1"/>
  <c r="BL22" i="21" l="1"/>
  <c r="BL7" i="19"/>
  <c r="BL10" i="19" s="1"/>
  <c r="BL19" i="19"/>
  <c r="BL20" i="19" s="1"/>
  <c r="BL41" i="18"/>
  <c r="BL23" i="21" s="1"/>
  <c r="BL35" i="20"/>
  <c r="BN7" i="17"/>
  <c r="BM20" i="17"/>
  <c r="BM24" i="20"/>
  <c r="BM25" i="20" s="1"/>
  <c r="BO18" i="15"/>
  <c r="BO12" i="15"/>
  <c r="BO14" i="15" s="1"/>
  <c r="BO13" i="19" s="1"/>
  <c r="BO14" i="19" s="1"/>
  <c r="BO9" i="15"/>
  <c r="BM30" i="21"/>
  <c r="BM36" i="18"/>
  <c r="BM37" i="18" s="1"/>
  <c r="BK26" i="21"/>
  <c r="BK28" i="21" s="1"/>
  <c r="BK29" i="21" s="1"/>
  <c r="BK8" i="20"/>
  <c r="BK12" i="20" s="1"/>
  <c r="BK18" i="20" s="1"/>
  <c r="BL24" i="19"/>
  <c r="BK33" i="21"/>
  <c r="BK35" i="21"/>
  <c r="BK38" i="20"/>
  <c r="BM39" i="18" l="1"/>
  <c r="BM40" i="18" s="1"/>
  <c r="BO20" i="15"/>
  <c r="BO15" i="20" s="1"/>
  <c r="BO16" i="20" s="1"/>
  <c r="BP7" i="15"/>
  <c r="BN10" i="17"/>
  <c r="BN21" i="17" s="1"/>
  <c r="BN8" i="17"/>
  <c r="BN17" i="19" s="1"/>
  <c r="BL23" i="19"/>
  <c r="BL25" i="19" s="1"/>
  <c r="BK34" i="21"/>
  <c r="BK41" i="20"/>
  <c r="BL36" i="20"/>
  <c r="BM28" i="20"/>
  <c r="BM29" i="20" s="1"/>
  <c r="BM31" i="20" s="1"/>
  <c r="BM27" i="21"/>
  <c r="BL26" i="21" l="1"/>
  <c r="BL28" i="21" s="1"/>
  <c r="BL29" i="21" s="1"/>
  <c r="BL8" i="20"/>
  <c r="BL12" i="20" s="1"/>
  <c r="BL18" i="20" s="1"/>
  <c r="BM24" i="19"/>
  <c r="BM22" i="21"/>
  <c r="BM7" i="19"/>
  <c r="BM10" i="19" s="1"/>
  <c r="BM19" i="19"/>
  <c r="BM20" i="19" s="1"/>
  <c r="BM41" i="18"/>
  <c r="BM23" i="21" s="1"/>
  <c r="BM35" i="20"/>
  <c r="BL33" i="21"/>
  <c r="BL35" i="21"/>
  <c r="BL38" i="20"/>
  <c r="BN9" i="17"/>
  <c r="BP12" i="15"/>
  <c r="BP14" i="15" s="1"/>
  <c r="BP13" i="19" s="1"/>
  <c r="BP14" i="19" s="1"/>
  <c r="BP9" i="15"/>
  <c r="BN30" i="21"/>
  <c r="BN36" i="18"/>
  <c r="BN37" i="18" s="1"/>
  <c r="BO7" i="17" l="1"/>
  <c r="BN20" i="17"/>
  <c r="BN24" i="20"/>
  <c r="BN25" i="20" s="1"/>
  <c r="BM36" i="20"/>
  <c r="BM23" i="19"/>
  <c r="BM25" i="19" s="1"/>
  <c r="BN40" i="18"/>
  <c r="BN39" i="18"/>
  <c r="BL34" i="21"/>
  <c r="BL41" i="20"/>
  <c r="BP18" i="15"/>
  <c r="BM26" i="21" l="1"/>
  <c r="BM28" i="21" s="1"/>
  <c r="BM29" i="21" s="1"/>
  <c r="BM8" i="20"/>
  <c r="BM12" i="20" s="1"/>
  <c r="BM18" i="20" s="1"/>
  <c r="BN24" i="19"/>
  <c r="BN22" i="21"/>
  <c r="BN19" i="19"/>
  <c r="BN20" i="19" s="1"/>
  <c r="BN7" i="19"/>
  <c r="BN10" i="19" s="1"/>
  <c r="BN41" i="18"/>
  <c r="BN23" i="21" s="1"/>
  <c r="BM35" i="21"/>
  <c r="BM33" i="21"/>
  <c r="BM38" i="20"/>
  <c r="BN35" i="20"/>
  <c r="BN28" i="20"/>
  <c r="BN29" i="20" s="1"/>
  <c r="BN27" i="21"/>
  <c r="BQ7" i="15"/>
  <c r="BP20" i="15"/>
  <c r="BP15" i="20" s="1"/>
  <c r="BP16" i="20" s="1"/>
  <c r="BN31" i="20"/>
  <c r="BO10" i="17"/>
  <c r="BO21" i="17" s="1"/>
  <c r="BO8" i="17"/>
  <c r="BO17" i="19" s="1"/>
  <c r="BO30" i="21" l="1"/>
  <c r="BO36" i="18"/>
  <c r="BO37" i="18" s="1"/>
  <c r="BN36" i="20"/>
  <c r="BO9" i="17"/>
  <c r="BN25" i="19"/>
  <c r="BN38" i="20"/>
  <c r="BN23" i="19"/>
  <c r="BM34" i="21"/>
  <c r="BM41" i="20"/>
  <c r="BQ9" i="15"/>
  <c r="BQ12" i="15"/>
  <c r="BQ14" i="15" s="1"/>
  <c r="BQ13" i="19" s="1"/>
  <c r="BQ14" i="19" s="1"/>
  <c r="BN26" i="21" l="1"/>
  <c r="BN28" i="21" s="1"/>
  <c r="BN29" i="21" s="1"/>
  <c r="BN8" i="20"/>
  <c r="BN12" i="20" s="1"/>
  <c r="BN18" i="20" s="1"/>
  <c r="BO24" i="19"/>
  <c r="BP7" i="17"/>
  <c r="BO20" i="17"/>
  <c r="BO24" i="20"/>
  <c r="BO25" i="20" s="1"/>
  <c r="BO39" i="18"/>
  <c r="BO40" i="18" s="1"/>
  <c r="BQ18" i="15"/>
  <c r="BN35" i="21"/>
  <c r="BN33" i="21"/>
  <c r="BO22" i="21" l="1"/>
  <c r="BO19" i="19"/>
  <c r="BO20" i="19" s="1"/>
  <c r="BO7" i="19"/>
  <c r="BO10" i="19" s="1"/>
  <c r="BO23" i="19" s="1"/>
  <c r="BO41" i="18"/>
  <c r="BO23" i="21" s="1"/>
  <c r="BO35" i="20"/>
  <c r="BQ20" i="15"/>
  <c r="BQ15" i="20" s="1"/>
  <c r="BQ16" i="20" s="1"/>
  <c r="BR7" i="15"/>
  <c r="BP9" i="17"/>
  <c r="BP10" i="17"/>
  <c r="BP21" i="17" s="1"/>
  <c r="BP8" i="17"/>
  <c r="BP17" i="19" s="1"/>
  <c r="BO25" i="19"/>
  <c r="BN34" i="21"/>
  <c r="BN41" i="20"/>
  <c r="BO27" i="21"/>
  <c r="BO28" i="20"/>
  <c r="BO29" i="20" s="1"/>
  <c r="BO31" i="20" s="1"/>
  <c r="BP30" i="21" l="1"/>
  <c r="BP36" i="18"/>
  <c r="BP37" i="18" s="1"/>
  <c r="BQ7" i="17"/>
  <c r="BP20" i="17"/>
  <c r="BP24" i="20"/>
  <c r="BP25" i="20" s="1"/>
  <c r="BO26" i="21"/>
  <c r="BO28" i="21" s="1"/>
  <c r="BO29" i="21" s="1"/>
  <c r="BO8" i="20"/>
  <c r="BO12" i="20" s="1"/>
  <c r="BO18" i="20" s="1"/>
  <c r="BP24" i="19"/>
  <c r="BR12" i="15"/>
  <c r="BR14" i="15" s="1"/>
  <c r="BR13" i="19" s="1"/>
  <c r="BR14" i="19" s="1"/>
  <c r="BR9" i="15"/>
  <c r="BO36" i="20"/>
  <c r="BR18" i="15" l="1"/>
  <c r="BO33" i="21"/>
  <c r="BO35" i="21"/>
  <c r="BO34" i="21"/>
  <c r="BP39" i="18"/>
  <c r="BP40" i="18" s="1"/>
  <c r="BP27" i="21"/>
  <c r="BP28" i="20"/>
  <c r="BP29" i="20" s="1"/>
  <c r="BP31" i="20" s="1"/>
  <c r="BQ10" i="17"/>
  <c r="BQ21" i="17" s="1"/>
  <c r="BQ8" i="17"/>
  <c r="BQ17" i="19" s="1"/>
  <c r="BO38" i="20"/>
  <c r="BO41" i="20" s="1"/>
  <c r="BP22" i="21" l="1"/>
  <c r="BP7" i="19"/>
  <c r="BP10" i="19" s="1"/>
  <c r="BP19" i="19"/>
  <c r="BP20" i="19" s="1"/>
  <c r="BP41" i="18"/>
  <c r="BP23" i="21" s="1"/>
  <c r="BP35" i="20"/>
  <c r="BQ30" i="21"/>
  <c r="BQ36" i="18"/>
  <c r="BQ37" i="18" s="1"/>
  <c r="BQ9" i="17"/>
  <c r="BR20" i="15"/>
  <c r="BR15" i="20" s="1"/>
  <c r="BR16" i="20" s="1"/>
  <c r="BS7" i="15"/>
  <c r="BQ39" i="18" l="1"/>
  <c r="BQ40" i="18" s="1"/>
  <c r="BS12" i="15"/>
  <c r="BS14" i="15" s="1"/>
  <c r="BS13" i="19" s="1"/>
  <c r="BS14" i="19" s="1"/>
  <c r="BS9" i="15"/>
  <c r="BP23" i="19"/>
  <c r="BP25" i="19" s="1"/>
  <c r="BR7" i="17"/>
  <c r="BQ20" i="17"/>
  <c r="BQ24" i="20"/>
  <c r="BQ25" i="20" s="1"/>
  <c r="BP36" i="20"/>
  <c r="BQ22" i="21" l="1"/>
  <c r="BQ7" i="19"/>
  <c r="BQ10" i="19" s="1"/>
  <c r="BQ19" i="19"/>
  <c r="BQ20" i="19" s="1"/>
  <c r="BQ41" i="18"/>
  <c r="BQ23" i="21" s="1"/>
  <c r="BR10" i="17"/>
  <c r="BR21" i="17" s="1"/>
  <c r="BR8" i="17"/>
  <c r="BR17" i="19" s="1"/>
  <c r="BP33" i="21"/>
  <c r="BP35" i="21"/>
  <c r="BP38" i="20"/>
  <c r="BP26" i="21"/>
  <c r="BP28" i="21" s="1"/>
  <c r="BP29" i="21" s="1"/>
  <c r="BP8" i="20"/>
  <c r="BP12" i="20" s="1"/>
  <c r="BP18" i="20" s="1"/>
  <c r="BQ24" i="19"/>
  <c r="BS18" i="15"/>
  <c r="BQ27" i="21"/>
  <c r="BQ28" i="20"/>
  <c r="BQ29" i="20" s="1"/>
  <c r="BQ31" i="20" s="1"/>
  <c r="BP41" i="20" l="1"/>
  <c r="BP34" i="21"/>
  <c r="BR9" i="17"/>
  <c r="BS20" i="15"/>
  <c r="BS15" i="20" s="1"/>
  <c r="BS16" i="20" s="1"/>
  <c r="BT7" i="15"/>
  <c r="BR30" i="21"/>
  <c r="BR36" i="18"/>
  <c r="BR37" i="18" s="1"/>
  <c r="BQ23" i="19"/>
  <c r="BQ25" i="19" s="1"/>
  <c r="BQ35" i="20"/>
  <c r="BQ8" i="20" l="1"/>
  <c r="BQ12" i="20" s="1"/>
  <c r="BQ18" i="20" s="1"/>
  <c r="BQ26" i="21"/>
  <c r="BQ28" i="21" s="1"/>
  <c r="BQ29" i="21" s="1"/>
  <c r="BR24" i="19"/>
  <c r="BQ36" i="20"/>
  <c r="BR39" i="18"/>
  <c r="BR40" i="18" s="1"/>
  <c r="BT12" i="15"/>
  <c r="BT14" i="15" s="1"/>
  <c r="BT13" i="19" s="1"/>
  <c r="BT14" i="19" s="1"/>
  <c r="BT9" i="15"/>
  <c r="BS7" i="17"/>
  <c r="BR20" i="17"/>
  <c r="BR24" i="20"/>
  <c r="BR25" i="20" s="1"/>
  <c r="BR22" i="21" l="1"/>
  <c r="BR7" i="19"/>
  <c r="BR10" i="19" s="1"/>
  <c r="BR23" i="19" s="1"/>
  <c r="BR19" i="19"/>
  <c r="BR20" i="19" s="1"/>
  <c r="BR41" i="18"/>
  <c r="BR23" i="21" s="1"/>
  <c r="BR35" i="20"/>
  <c r="BR27" i="21"/>
  <c r="BR28" i="20"/>
  <c r="BR29" i="20" s="1"/>
  <c r="BR31" i="20" s="1"/>
  <c r="BS10" i="17"/>
  <c r="BS21" i="17" s="1"/>
  <c r="BS8" i="17"/>
  <c r="BS17" i="19" s="1"/>
  <c r="BT18" i="15"/>
  <c r="BQ35" i="21"/>
  <c r="BQ33" i="21"/>
  <c r="BQ38" i="20"/>
  <c r="BR25" i="19"/>
  <c r="BQ34" i="21"/>
  <c r="BQ41" i="20"/>
  <c r="BR8" i="20" l="1"/>
  <c r="BR12" i="20" s="1"/>
  <c r="BR18" i="20" s="1"/>
  <c r="BR26" i="21"/>
  <c r="BS24" i="19"/>
  <c r="BT20" i="15"/>
  <c r="BT15" i="20" s="1"/>
  <c r="BT16" i="20" s="1"/>
  <c r="BU7" i="15"/>
  <c r="BS9" i="17"/>
  <c r="BS30" i="21"/>
  <c r="BS36" i="18"/>
  <c r="BS37" i="18" s="1"/>
  <c r="BR28" i="21"/>
  <c r="BR29" i="21" s="1"/>
  <c r="BR36" i="20"/>
  <c r="BS39" i="18" l="1"/>
  <c r="BS40" i="18" s="1"/>
  <c r="BT7" i="17"/>
  <c r="BS20" i="17"/>
  <c r="BS24" i="20"/>
  <c r="BS25" i="20" s="1"/>
  <c r="BR33" i="21"/>
  <c r="BR35" i="21"/>
  <c r="BU12" i="15"/>
  <c r="BU14" i="15" s="1"/>
  <c r="BU18" i="15"/>
  <c r="BU9" i="15"/>
  <c r="BR34" i="21"/>
  <c r="BR41" i="20"/>
  <c r="BR38" i="20"/>
  <c r="BS22" i="21" l="1"/>
  <c r="BS7" i="19"/>
  <c r="BS10" i="19" s="1"/>
  <c r="BS19" i="19"/>
  <c r="BS20" i="19" s="1"/>
  <c r="BS41" i="18"/>
  <c r="BS23" i="21" s="1"/>
  <c r="BS35" i="20"/>
  <c r="BU20" i="15"/>
  <c r="BU15" i="20" s="1"/>
  <c r="BU16" i="20" s="1"/>
  <c r="BV7" i="15"/>
  <c r="BU13" i="19"/>
  <c r="BU14" i="19" s="1"/>
  <c r="G12" i="23"/>
  <c r="BS27" i="21"/>
  <c r="BS28" i="20"/>
  <c r="BS29" i="20" s="1"/>
  <c r="BT10" i="17"/>
  <c r="BT21" i="17" s="1"/>
  <c r="BT8" i="17"/>
  <c r="BT17" i="19" s="1"/>
  <c r="BS31" i="20"/>
  <c r="BT9" i="17" l="1"/>
  <c r="BT30" i="21"/>
  <c r="BT36" i="18"/>
  <c r="BT37" i="18" s="1"/>
  <c r="BV12" i="15"/>
  <c r="BV14" i="15" s="1"/>
  <c r="BV18" i="15"/>
  <c r="BV9" i="15"/>
  <c r="BS23" i="19"/>
  <c r="BS25" i="19" s="1"/>
  <c r="BS36" i="20"/>
  <c r="BS26" i="21" l="1"/>
  <c r="BS28" i="21" s="1"/>
  <c r="BS29" i="21" s="1"/>
  <c r="BS8" i="20"/>
  <c r="BS12" i="20" s="1"/>
  <c r="BS18" i="20" s="1"/>
  <c r="BT24" i="19"/>
  <c r="BV20" i="15"/>
  <c r="BV15" i="20" s="1"/>
  <c r="BV16" i="20" s="1"/>
  <c r="BW7" i="15"/>
  <c r="BS33" i="21"/>
  <c r="BS35" i="21"/>
  <c r="BV13" i="19"/>
  <c r="BV14" i="19" s="1"/>
  <c r="BS38" i="20"/>
  <c r="BT39" i="18"/>
  <c r="BT40" i="18"/>
  <c r="BU7" i="17"/>
  <c r="BT20" i="17"/>
  <c r="BT24" i="20"/>
  <c r="BT25" i="20" s="1"/>
  <c r="BT27" i="21" l="1"/>
  <c r="BT28" i="20"/>
  <c r="BT29" i="20" s="1"/>
  <c r="BW12" i="15"/>
  <c r="BW14" i="15" s="1"/>
  <c r="BW18" i="15"/>
  <c r="BW9" i="15"/>
  <c r="BT22" i="21"/>
  <c r="BT7" i="19"/>
  <c r="BT10" i="19" s="1"/>
  <c r="BT19" i="19"/>
  <c r="BT20" i="19" s="1"/>
  <c r="BT41" i="18"/>
  <c r="BT23" i="21" s="1"/>
  <c r="BU10" i="17"/>
  <c r="BU21" i="17" s="1"/>
  <c r="BU8" i="17"/>
  <c r="BU17" i="19" s="1"/>
  <c r="BS41" i="20"/>
  <c r="BS34" i="21"/>
  <c r="BT31" i="20"/>
  <c r="BU30" i="21" l="1"/>
  <c r="BU36" i="18"/>
  <c r="BU37" i="18" s="1"/>
  <c r="BW20" i="15"/>
  <c r="BW15" i="20" s="1"/>
  <c r="BW16" i="20" s="1"/>
  <c r="BX7" i="15"/>
  <c r="BU9" i="17"/>
  <c r="BT35" i="20"/>
  <c r="BT23" i="19"/>
  <c r="BT25" i="19" s="1"/>
  <c r="BW13" i="19"/>
  <c r="BW14" i="19" s="1"/>
  <c r="BT26" i="21" l="1"/>
  <c r="BT28" i="21" s="1"/>
  <c r="BT29" i="21" s="1"/>
  <c r="BU24" i="19"/>
  <c r="BT8" i="20"/>
  <c r="BT12" i="20" s="1"/>
  <c r="BT18" i="20" s="1"/>
  <c r="BT36" i="20"/>
  <c r="BU39" i="18"/>
  <c r="BU40" i="18" s="1"/>
  <c r="BV7" i="17"/>
  <c r="BU20" i="17"/>
  <c r="BU24" i="20"/>
  <c r="BU25" i="20" s="1"/>
  <c r="BX12" i="15"/>
  <c r="BX14" i="15" s="1"/>
  <c r="BX9" i="15"/>
  <c r="BU22" i="21" l="1"/>
  <c r="BU7" i="19"/>
  <c r="BU10" i="19" s="1"/>
  <c r="BU19" i="19"/>
  <c r="BU20" i="19" s="1"/>
  <c r="BU41" i="18"/>
  <c r="BU23" i="21" s="1"/>
  <c r="G11" i="23"/>
  <c r="BU35" i="20"/>
  <c r="BX13" i="19"/>
  <c r="BX14" i="19" s="1"/>
  <c r="G15" i="23"/>
  <c r="BU27" i="21"/>
  <c r="BU28" i="20"/>
  <c r="BU29" i="20" s="1"/>
  <c r="BU31" i="20" s="1"/>
  <c r="BT34" i="21"/>
  <c r="BV10" i="17"/>
  <c r="BV21" i="17" s="1"/>
  <c r="BV8" i="17"/>
  <c r="BV17" i="19" s="1"/>
  <c r="BX18" i="15"/>
  <c r="BT33" i="21"/>
  <c r="BT35" i="21"/>
  <c r="BT38" i="20"/>
  <c r="BT41" i="20" s="1"/>
  <c r="BV9" i="17" l="1"/>
  <c r="BX20" i="15"/>
  <c r="BX15" i="20" s="1"/>
  <c r="BX16" i="20" s="1"/>
  <c r="BY7" i="15"/>
  <c r="BU23" i="19"/>
  <c r="BU25" i="19" s="1"/>
  <c r="G13" i="23"/>
  <c r="BV30" i="21"/>
  <c r="BV36" i="18"/>
  <c r="BV37" i="18" s="1"/>
  <c r="BU36" i="20"/>
  <c r="G14" i="23" l="1"/>
  <c r="BU8" i="20"/>
  <c r="BU12" i="20" s="1"/>
  <c r="BU18" i="20" s="1"/>
  <c r="BV24" i="19"/>
  <c r="BU26" i="21"/>
  <c r="BU28" i="21" s="1"/>
  <c r="BU29" i="21" s="1"/>
  <c r="BU33" i="21"/>
  <c r="BU35" i="21"/>
  <c r="G16" i="23"/>
  <c r="BY9" i="15"/>
  <c r="BY12" i="15"/>
  <c r="BY14" i="15" s="1"/>
  <c r="BY18" i="15" s="1"/>
  <c r="BW7" i="17"/>
  <c r="BV20" i="17"/>
  <c r="BV24" i="20"/>
  <c r="BV25" i="20" s="1"/>
  <c r="BV39" i="18"/>
  <c r="BV40" i="18" s="1"/>
  <c r="BU38" i="20"/>
  <c r="BV22" i="21" l="1"/>
  <c r="BV7" i="19"/>
  <c r="BV10" i="19" s="1"/>
  <c r="BV19" i="19"/>
  <c r="BV20" i="19" s="1"/>
  <c r="BV41" i="18"/>
  <c r="BV23" i="21" s="1"/>
  <c r="BY20" i="15"/>
  <c r="BY15" i="20" s="1"/>
  <c r="BY16" i="20" s="1"/>
  <c r="BZ7" i="15"/>
  <c r="BV27" i="21"/>
  <c r="BV28" i="20"/>
  <c r="BV29" i="20" s="1"/>
  <c r="BV31" i="20" s="1"/>
  <c r="BW10" i="17"/>
  <c r="BW21" i="17" s="1"/>
  <c r="BW8" i="17"/>
  <c r="BW17" i="19" s="1"/>
  <c r="BY13" i="19"/>
  <c r="BY14" i="19" s="1"/>
  <c r="BU41" i="20"/>
  <c r="BU34" i="21"/>
  <c r="BZ9" i="15" l="1"/>
  <c r="BZ12" i="15"/>
  <c r="BZ14" i="15" s="1"/>
  <c r="BZ18" i="15"/>
  <c r="BV35" i="20"/>
  <c r="BW30" i="21"/>
  <c r="BW36" i="18"/>
  <c r="BW37" i="18" s="1"/>
  <c r="BW9" i="17"/>
  <c r="BV23" i="19"/>
  <c r="BV25" i="19" s="1"/>
  <c r="BW39" i="18" l="1"/>
  <c r="BW40" i="18"/>
  <c r="BV26" i="21"/>
  <c r="BV28" i="21" s="1"/>
  <c r="BV29" i="21" s="1"/>
  <c r="BV8" i="20"/>
  <c r="BV12" i="20" s="1"/>
  <c r="BV18" i="20" s="1"/>
  <c r="BW24" i="19"/>
  <c r="BW20" i="17"/>
  <c r="BX7" i="17"/>
  <c r="BW24" i="20"/>
  <c r="BW25" i="20" s="1"/>
  <c r="BZ20" i="15"/>
  <c r="BZ15" i="20" s="1"/>
  <c r="BZ16" i="20" s="1"/>
  <c r="CA7" i="15"/>
  <c r="BV36" i="20"/>
  <c r="BZ13" i="19"/>
  <c r="BZ14" i="19" s="1"/>
  <c r="BX10" i="17" l="1"/>
  <c r="BX21" i="17" s="1"/>
  <c r="BX8" i="17"/>
  <c r="BX17" i="19" s="1"/>
  <c r="BV34" i="21"/>
  <c r="CA12" i="15"/>
  <c r="CA14" i="15" s="1"/>
  <c r="CA13" i="19" s="1"/>
  <c r="CA14" i="19" s="1"/>
  <c r="CA9" i="15"/>
  <c r="CA18" i="15"/>
  <c r="BW27" i="21"/>
  <c r="BW28" i="20"/>
  <c r="BW29" i="20" s="1"/>
  <c r="BW22" i="21"/>
  <c r="BW7" i="19"/>
  <c r="BW10" i="19" s="1"/>
  <c r="BW19" i="19"/>
  <c r="BW41" i="18"/>
  <c r="BW23" i="21" s="1"/>
  <c r="BV35" i="21"/>
  <c r="BV33" i="21"/>
  <c r="BV38" i="20"/>
  <c r="BV41" i="20" s="1"/>
  <c r="BW31" i="20"/>
  <c r="BW23" i="19" l="1"/>
  <c r="BW25" i="19" s="1"/>
  <c r="CA20" i="15"/>
  <c r="CA15" i="20" s="1"/>
  <c r="CA16" i="20" s="1"/>
  <c r="CB7" i="15"/>
  <c r="BX30" i="21"/>
  <c r="BX36" i="18"/>
  <c r="BX37" i="18" s="1"/>
  <c r="BW20" i="19"/>
  <c r="BW35" i="20"/>
  <c r="BX9" i="17"/>
  <c r="BX20" i="17" l="1"/>
  <c r="BY7" i="17"/>
  <c r="BX24" i="20"/>
  <c r="BX25" i="20" s="1"/>
  <c r="BX39" i="18"/>
  <c r="BX40" i="18"/>
  <c r="CB9" i="15"/>
  <c r="CB12" i="15"/>
  <c r="CB14" i="15" s="1"/>
  <c r="CB13" i="19" s="1"/>
  <c r="CB14" i="19" s="1"/>
  <c r="CB18" i="15"/>
  <c r="BW8" i="20"/>
  <c r="BW12" i="20" s="1"/>
  <c r="BW18" i="20" s="1"/>
  <c r="BX24" i="19"/>
  <c r="BW26" i="21"/>
  <c r="BW28" i="21" s="1"/>
  <c r="BW29" i="21" s="1"/>
  <c r="BW36" i="20"/>
  <c r="BW34" i="21" l="1"/>
  <c r="BX22" i="21"/>
  <c r="BX19" i="19"/>
  <c r="BX7" i="19"/>
  <c r="BX10" i="19" s="1"/>
  <c r="BX41" i="18"/>
  <c r="BX23" i="21" s="1"/>
  <c r="CC7" i="15"/>
  <c r="CB20" i="15"/>
  <c r="CB15" i="20" s="1"/>
  <c r="CB16" i="20" s="1"/>
  <c r="BW35" i="21"/>
  <c r="BW33" i="21"/>
  <c r="BW38" i="20"/>
  <c r="BW41" i="20" s="1"/>
  <c r="BY10" i="17"/>
  <c r="BY21" i="17" s="1"/>
  <c r="BY8" i="17"/>
  <c r="BY17" i="19" s="1"/>
  <c r="BX27" i="21"/>
  <c r="BX28" i="20"/>
  <c r="BX29" i="20" s="1"/>
  <c r="BX31" i="20" s="1"/>
  <c r="BY30" i="21" l="1"/>
  <c r="BY36" i="18"/>
  <c r="BY37" i="18" s="1"/>
  <c r="BY9" i="17"/>
  <c r="BX20" i="19"/>
  <c r="BX35" i="20"/>
  <c r="CC9" i="15"/>
  <c r="CC12" i="15"/>
  <c r="CC14" i="15" s="1"/>
  <c r="CC13" i="19" s="1"/>
  <c r="CC14" i="19" s="1"/>
  <c r="BX23" i="19"/>
  <c r="BX25" i="19" s="1"/>
  <c r="BX8" i="20" l="1"/>
  <c r="BX12" i="20" s="1"/>
  <c r="BX18" i="20" s="1"/>
  <c r="BX26" i="21"/>
  <c r="BX28" i="21" s="1"/>
  <c r="BX29" i="21" s="1"/>
  <c r="BY24" i="19"/>
  <c r="CC18" i="15"/>
  <c r="BY39" i="18"/>
  <c r="BY40" i="18" s="1"/>
  <c r="BX36" i="20"/>
  <c r="BY20" i="17"/>
  <c r="BZ7" i="17"/>
  <c r="BY24" i="20"/>
  <c r="BY25" i="20" s="1"/>
  <c r="BY22" i="21" l="1"/>
  <c r="BY7" i="19"/>
  <c r="BY10" i="19" s="1"/>
  <c r="BY19" i="19"/>
  <c r="BY20" i="19" s="1"/>
  <c r="BY41" i="18"/>
  <c r="BY23" i="21" s="1"/>
  <c r="BY27" i="21"/>
  <c r="BY28" i="20"/>
  <c r="BY29" i="20" s="1"/>
  <c r="BX35" i="21"/>
  <c r="BX33" i="21"/>
  <c r="BX38" i="20"/>
  <c r="CD7" i="15"/>
  <c r="CC20" i="15"/>
  <c r="CC15" i="20" s="1"/>
  <c r="CC16" i="20" s="1"/>
  <c r="BZ10" i="17"/>
  <c r="BZ21" i="17" s="1"/>
  <c r="BZ8" i="17"/>
  <c r="BZ17" i="19" s="1"/>
  <c r="BY31" i="20"/>
  <c r="BX34" i="21"/>
  <c r="BX41" i="20"/>
  <c r="BZ30" i="21" l="1"/>
  <c r="BZ36" i="18"/>
  <c r="BZ37" i="18" s="1"/>
  <c r="BZ9" i="17"/>
  <c r="CD9" i="15"/>
  <c r="CD12" i="15"/>
  <c r="CD14" i="15" s="1"/>
  <c r="CD13" i="19" s="1"/>
  <c r="CD14" i="19" s="1"/>
  <c r="CD18" i="15"/>
  <c r="BY35" i="20"/>
  <c r="BY23" i="19"/>
  <c r="BY25" i="19" s="1"/>
  <c r="CE7" i="15" l="1"/>
  <c r="CD20" i="15"/>
  <c r="CD15" i="20" s="1"/>
  <c r="CD16" i="20" s="1"/>
  <c r="BY26" i="21"/>
  <c r="BY28" i="21" s="1"/>
  <c r="BY29" i="21" s="1"/>
  <c r="BZ24" i="19"/>
  <c r="BY8" i="20"/>
  <c r="BY12" i="20" s="1"/>
  <c r="BY18" i="20" s="1"/>
  <c r="BY36" i="20"/>
  <c r="BZ20" i="17"/>
  <c r="CA7" i="17"/>
  <c r="BZ24" i="20"/>
  <c r="BZ25" i="20" s="1"/>
  <c r="BZ39" i="18"/>
  <c r="BZ40" i="18" s="1"/>
  <c r="BZ22" i="21" l="1"/>
  <c r="BZ7" i="19"/>
  <c r="BZ10" i="19" s="1"/>
  <c r="BZ19" i="19"/>
  <c r="BZ20" i="19" s="1"/>
  <c r="BZ41" i="18"/>
  <c r="BZ23" i="21" s="1"/>
  <c r="BZ35" i="20"/>
  <c r="BY33" i="21"/>
  <c r="BY35" i="21"/>
  <c r="BY38" i="20"/>
  <c r="BY34" i="21"/>
  <c r="BY41" i="20"/>
  <c r="CA10" i="17"/>
  <c r="CA21" i="17" s="1"/>
  <c r="CA9" i="17"/>
  <c r="CA8" i="17"/>
  <c r="CA17" i="19" s="1"/>
  <c r="BZ27" i="21"/>
  <c r="BZ28" i="20"/>
  <c r="BZ29" i="20" s="1"/>
  <c r="BZ31" i="20" s="1"/>
  <c r="CE9" i="15"/>
  <c r="CE12" i="15"/>
  <c r="CE14" i="15" s="1"/>
  <c r="CE13" i="19" s="1"/>
  <c r="CE14" i="19" s="1"/>
  <c r="CE18" i="15" l="1"/>
  <c r="CA20" i="17"/>
  <c r="CB7" i="17"/>
  <c r="CA24" i="20"/>
  <c r="CA25" i="20" s="1"/>
  <c r="CA30" i="21"/>
  <c r="CA36" i="18"/>
  <c r="CA37" i="18" s="1"/>
  <c r="BZ23" i="19"/>
  <c r="BZ25" i="19" s="1"/>
  <c r="BZ36" i="20"/>
  <c r="BZ26" i="21" l="1"/>
  <c r="BZ28" i="21" s="1"/>
  <c r="BZ29" i="21" s="1"/>
  <c r="CA24" i="19"/>
  <c r="BZ8" i="20"/>
  <c r="BZ12" i="20" s="1"/>
  <c r="BZ18" i="20" s="1"/>
  <c r="CA39" i="18"/>
  <c r="CA40" i="18" s="1"/>
  <c r="CB10" i="17"/>
  <c r="CB21" i="17" s="1"/>
  <c r="CB8" i="17"/>
  <c r="CB17" i="19" s="1"/>
  <c r="CA27" i="21"/>
  <c r="CA28" i="20"/>
  <c r="CA29" i="20" s="1"/>
  <c r="CF7" i="15"/>
  <c r="CE20" i="15"/>
  <c r="CE15" i="20" s="1"/>
  <c r="CE16" i="20" s="1"/>
  <c r="BZ35" i="21"/>
  <c r="BZ33" i="21"/>
  <c r="CA31" i="20"/>
  <c r="BZ38" i="20"/>
  <c r="CA22" i="21" l="1"/>
  <c r="CA19" i="19"/>
  <c r="CA20" i="19" s="1"/>
  <c r="CA7" i="19"/>
  <c r="CA10" i="19" s="1"/>
  <c r="CA41" i="18"/>
  <c r="CA23" i="21" s="1"/>
  <c r="CA35" i="20"/>
  <c r="CB30" i="21"/>
  <c r="CB36" i="18"/>
  <c r="CB37" i="18" s="1"/>
  <c r="BZ34" i="21"/>
  <c r="BZ41" i="20"/>
  <c r="CB9" i="17"/>
  <c r="CF9" i="15"/>
  <c r="CF12" i="15"/>
  <c r="CF14" i="15" s="1"/>
  <c r="CF13" i="19" s="1"/>
  <c r="CF14" i="19" s="1"/>
  <c r="CF18" i="15" l="1"/>
  <c r="CB39" i="18"/>
  <c r="CB40" i="18" s="1"/>
  <c r="CA36" i="20"/>
  <c r="CB20" i="17"/>
  <c r="CC7" i="17"/>
  <c r="CB24" i="20"/>
  <c r="CB25" i="20" s="1"/>
  <c r="CA23" i="19"/>
  <c r="CA25" i="19" s="1"/>
  <c r="CB22" i="21" l="1"/>
  <c r="CB7" i="19"/>
  <c r="CB10" i="19" s="1"/>
  <c r="CB19" i="19"/>
  <c r="CB20" i="19" s="1"/>
  <c r="CB41" i="18"/>
  <c r="CB23" i="21" s="1"/>
  <c r="CB35" i="20"/>
  <c r="CA26" i="21"/>
  <c r="CA28" i="21" s="1"/>
  <c r="CA29" i="21" s="1"/>
  <c r="CB24" i="19"/>
  <c r="CA8" i="20"/>
  <c r="CA12" i="20" s="1"/>
  <c r="CA18" i="20" s="1"/>
  <c r="CA33" i="21"/>
  <c r="CA35" i="21"/>
  <c r="CA38" i="20"/>
  <c r="CC10" i="17"/>
  <c r="CC21" i="17" s="1"/>
  <c r="CC8" i="17"/>
  <c r="CC17" i="19" s="1"/>
  <c r="CB27" i="21"/>
  <c r="CB28" i="20"/>
  <c r="CB29" i="20" s="1"/>
  <c r="CB31" i="20" s="1"/>
  <c r="CF20" i="15"/>
  <c r="CF15" i="20" s="1"/>
  <c r="CF16" i="20" s="1"/>
  <c r="CG7" i="15"/>
  <c r="CC9" i="17" l="1"/>
  <c r="CC30" i="21"/>
  <c r="CC36" i="18"/>
  <c r="CC37" i="18" s="1"/>
  <c r="CA34" i="21"/>
  <c r="CA41" i="20"/>
  <c r="CB36" i="20"/>
  <c r="CB23" i="19"/>
  <c r="CG9" i="15"/>
  <c r="CG12" i="15"/>
  <c r="CG14" i="15" s="1"/>
  <c r="CB25" i="19"/>
  <c r="CB26" i="21" l="1"/>
  <c r="CB28" i="21" s="1"/>
  <c r="CB29" i="21" s="1"/>
  <c r="CC24" i="19"/>
  <c r="CB8" i="20"/>
  <c r="CB12" i="20" s="1"/>
  <c r="CB18" i="20" s="1"/>
  <c r="CB35" i="21"/>
  <c r="CB33" i="21"/>
  <c r="CG13" i="19"/>
  <c r="CG14" i="19" s="1"/>
  <c r="H12" i="23"/>
  <c r="CC20" i="17"/>
  <c r="CD7" i="17"/>
  <c r="CC24" i="20"/>
  <c r="CC25" i="20" s="1"/>
  <c r="CG18" i="15"/>
  <c r="CC39" i="18"/>
  <c r="CC40" i="18" s="1"/>
  <c r="CB38" i="20"/>
  <c r="CC22" i="21" l="1"/>
  <c r="CC19" i="19"/>
  <c r="CC20" i="19" s="1"/>
  <c r="CC7" i="19"/>
  <c r="CC10" i="19" s="1"/>
  <c r="CC23" i="19" s="1"/>
  <c r="CC41" i="18"/>
  <c r="CC23" i="21" s="1"/>
  <c r="CC35" i="20"/>
  <c r="CD10" i="17"/>
  <c r="CD21" i="17" s="1"/>
  <c r="CD8" i="17"/>
  <c r="CD17" i="19" s="1"/>
  <c r="CG20" i="15"/>
  <c r="CG15" i="20" s="1"/>
  <c r="CG16" i="20" s="1"/>
  <c r="CH7" i="15"/>
  <c r="CB41" i="20"/>
  <c r="CB34" i="21"/>
  <c r="CC27" i="21"/>
  <c r="CC28" i="20"/>
  <c r="CC29" i="20" s="1"/>
  <c r="CC31" i="20" s="1"/>
  <c r="CC25" i="19"/>
  <c r="CC26" i="21" l="1"/>
  <c r="CC8" i="20"/>
  <c r="CC12" i="20" s="1"/>
  <c r="CC18" i="20" s="1"/>
  <c r="CD24" i="19"/>
  <c r="CC28" i="21"/>
  <c r="CC29" i="21" s="1"/>
  <c r="CD9" i="17"/>
  <c r="CH9" i="15"/>
  <c r="CH12" i="15"/>
  <c r="CH14" i="15" s="1"/>
  <c r="CD30" i="21"/>
  <c r="CD36" i="18"/>
  <c r="CD37" i="18" s="1"/>
  <c r="CC36" i="20"/>
  <c r="CC35" i="21" l="1"/>
  <c r="CC33" i="21"/>
  <c r="CD39" i="18"/>
  <c r="CD40" i="18" s="1"/>
  <c r="CC34" i="21"/>
  <c r="CH13" i="19"/>
  <c r="CH14" i="19" s="1"/>
  <c r="CH18" i="15"/>
  <c r="CD20" i="17"/>
  <c r="CE7" i="17"/>
  <c r="CD24" i="20"/>
  <c r="CD25" i="20" s="1"/>
  <c r="CC38" i="20"/>
  <c r="CC41" i="20" s="1"/>
  <c r="CD22" i="21" l="1"/>
  <c r="CD19" i="19"/>
  <c r="CD20" i="19" s="1"/>
  <c r="CD7" i="19"/>
  <c r="CD10" i="19" s="1"/>
  <c r="CD41" i="18"/>
  <c r="CD23" i="21" s="1"/>
  <c r="CE10" i="17"/>
  <c r="CE21" i="17" s="1"/>
  <c r="CE8" i="17"/>
  <c r="CE17" i="19" s="1"/>
  <c r="CD27" i="21"/>
  <c r="CD28" i="20"/>
  <c r="CD29" i="20" s="1"/>
  <c r="CD31" i="20" s="1"/>
  <c r="CH20" i="15"/>
  <c r="CH15" i="20" s="1"/>
  <c r="CH16" i="20" s="1"/>
  <c r="CI7" i="15"/>
  <c r="CI12" i="15" l="1"/>
  <c r="CI14" i="15" s="1"/>
  <c r="CI9" i="15"/>
  <c r="CE30" i="21"/>
  <c r="CE36" i="18"/>
  <c r="CE37" i="18" s="1"/>
  <c r="CE9" i="17"/>
  <c r="CD23" i="19"/>
  <c r="CD25" i="19" s="1"/>
  <c r="CD35" i="20"/>
  <c r="CD36" i="20" l="1"/>
  <c r="CD26" i="21"/>
  <c r="CD28" i="21" s="1"/>
  <c r="CD29" i="21" s="1"/>
  <c r="CD8" i="20"/>
  <c r="CD12" i="20" s="1"/>
  <c r="CD18" i="20" s="1"/>
  <c r="CE24" i="19"/>
  <c r="CE39" i="18"/>
  <c r="CE40" i="18" s="1"/>
  <c r="CI13" i="19"/>
  <c r="CI14" i="19" s="1"/>
  <c r="CE20" i="17"/>
  <c r="CF7" i="17"/>
  <c r="CE24" i="20"/>
  <c r="CE25" i="20" s="1"/>
  <c r="CI18" i="15"/>
  <c r="CE22" i="21" l="1"/>
  <c r="CE7" i="19"/>
  <c r="CE10" i="19" s="1"/>
  <c r="CE19" i="19"/>
  <c r="CE20" i="19" s="1"/>
  <c r="CE41" i="18"/>
  <c r="CE23" i="21" s="1"/>
  <c r="CE35" i="20"/>
  <c r="CF10" i="17"/>
  <c r="CF21" i="17" s="1"/>
  <c r="CF8" i="17"/>
  <c r="CF17" i="19" s="1"/>
  <c r="CI20" i="15"/>
  <c r="CI15" i="20" s="1"/>
  <c r="CI16" i="20" s="1"/>
  <c r="CJ7" i="15"/>
  <c r="CD34" i="21"/>
  <c r="CD35" i="21"/>
  <c r="CD33" i="21"/>
  <c r="CD38" i="20"/>
  <c r="CD41" i="20" s="1"/>
  <c r="CE27" i="21"/>
  <c r="CE28" i="20"/>
  <c r="CE29" i="20" s="1"/>
  <c r="CE31" i="20" s="1"/>
  <c r="CE36" i="20" l="1"/>
  <c r="CF30" i="21"/>
  <c r="CF36" i="18"/>
  <c r="CF37" i="18" s="1"/>
  <c r="CE23" i="19"/>
  <c r="CE25" i="19" s="1"/>
  <c r="CJ12" i="15"/>
  <c r="CJ14" i="15" s="1"/>
  <c r="CJ18" i="15"/>
  <c r="CJ9" i="15"/>
  <c r="CF9" i="17"/>
  <c r="CJ20" i="15" l="1"/>
  <c r="CJ15" i="20" s="1"/>
  <c r="CJ16" i="20" s="1"/>
  <c r="CK7" i="15"/>
  <c r="CF39" i="18"/>
  <c r="CF40" i="18" s="1"/>
  <c r="CF20" i="17"/>
  <c r="CG7" i="17"/>
  <c r="CF24" i="20"/>
  <c r="CF25" i="20" s="1"/>
  <c r="CJ13" i="19"/>
  <c r="CJ14" i="19" s="1"/>
  <c r="CE35" i="21"/>
  <c r="CE33" i="21"/>
  <c r="CE26" i="21"/>
  <c r="CE28" i="21" s="1"/>
  <c r="CE29" i="21" s="1"/>
  <c r="CE8" i="20"/>
  <c r="CE12" i="20" s="1"/>
  <c r="CE18" i="20" s="1"/>
  <c r="CF24" i="19"/>
  <c r="CE38" i="20"/>
  <c r="CF22" i="21" l="1"/>
  <c r="CF19" i="19"/>
  <c r="CF20" i="19" s="1"/>
  <c r="CF7" i="19"/>
  <c r="CF10" i="19" s="1"/>
  <c r="CF23" i="19" s="1"/>
  <c r="CF25" i="19" s="1"/>
  <c r="CF41" i="18"/>
  <c r="CF23" i="21" s="1"/>
  <c r="CF35" i="20"/>
  <c r="CE34" i="21"/>
  <c r="CE41" i="20"/>
  <c r="CF27" i="21"/>
  <c r="CF28" i="20"/>
  <c r="CF29" i="20" s="1"/>
  <c r="CF31" i="20" s="1"/>
  <c r="CK12" i="15"/>
  <c r="CK14" i="15" s="1"/>
  <c r="CK18" i="15" s="1"/>
  <c r="CK9" i="15"/>
  <c r="CG10" i="17"/>
  <c r="CG21" i="17" s="1"/>
  <c r="CG8" i="17"/>
  <c r="CG17" i="19" s="1"/>
  <c r="CF26" i="21" l="1"/>
  <c r="CF8" i="20"/>
  <c r="CF12" i="20" s="1"/>
  <c r="CF18" i="20" s="1"/>
  <c r="CG24" i="19"/>
  <c r="CK20" i="15"/>
  <c r="CK15" i="20" s="1"/>
  <c r="CK16" i="20" s="1"/>
  <c r="CL7" i="15"/>
  <c r="CG9" i="17"/>
  <c r="CG36" i="18"/>
  <c r="CG37" i="18" s="1"/>
  <c r="CG30" i="21"/>
  <c r="CK13" i="19"/>
  <c r="CK14" i="19" s="1"/>
  <c r="CF28" i="21"/>
  <c r="CF29" i="21" s="1"/>
  <c r="CF36" i="20"/>
  <c r="CG20" i="17" l="1"/>
  <c r="CH7" i="17"/>
  <c r="CG24" i="20"/>
  <c r="CG25" i="20" s="1"/>
  <c r="CG39" i="18"/>
  <c r="CG40" i="18" s="1"/>
  <c r="CF35" i="21"/>
  <c r="CF33" i="21"/>
  <c r="CF38" i="20"/>
  <c r="CL12" i="15"/>
  <c r="CL14" i="15" s="1"/>
  <c r="CL9" i="15"/>
  <c r="CF34" i="21"/>
  <c r="CF41" i="20"/>
  <c r="CG22" i="21" l="1"/>
  <c r="CG19" i="19"/>
  <c r="CG20" i="19" s="1"/>
  <c r="CG7" i="19"/>
  <c r="CG10" i="19" s="1"/>
  <c r="CG41" i="18"/>
  <c r="CG23" i="21" s="1"/>
  <c r="H11" i="23"/>
  <c r="CG35" i="20"/>
  <c r="CL13" i="19"/>
  <c r="CL14" i="19" s="1"/>
  <c r="CL18" i="15"/>
  <c r="CH10" i="17"/>
  <c r="CH21" i="17" s="1"/>
  <c r="CH9" i="17"/>
  <c r="CH8" i="17"/>
  <c r="CH17" i="19" s="1"/>
  <c r="CG27" i="21"/>
  <c r="H15" i="23"/>
  <c r="CG28" i="20"/>
  <c r="CG29" i="20" s="1"/>
  <c r="CG31" i="20" s="1"/>
  <c r="CH20" i="17" l="1"/>
  <c r="CI7" i="17"/>
  <c r="CH24" i="20"/>
  <c r="CH25" i="20" s="1"/>
  <c r="CM7" i="15"/>
  <c r="CL20" i="15"/>
  <c r="CL15" i="20" s="1"/>
  <c r="CL16" i="20" s="1"/>
  <c r="CG23" i="19"/>
  <c r="CG25" i="19" s="1"/>
  <c r="H13" i="23"/>
  <c r="CG36" i="20"/>
  <c r="CH30" i="21"/>
  <c r="CH36" i="18"/>
  <c r="CH37" i="18" s="1"/>
  <c r="CH39" i="18" l="1"/>
  <c r="CH40" i="18" s="1"/>
  <c r="CG33" i="21"/>
  <c r="H16" i="23"/>
  <c r="CG35" i="21"/>
  <c r="H14" i="23"/>
  <c r="CG26" i="21"/>
  <c r="CG28" i="21" s="1"/>
  <c r="CG29" i="21" s="1"/>
  <c r="CG8" i="20"/>
  <c r="CG12" i="20" s="1"/>
  <c r="CG18" i="20" s="1"/>
  <c r="CH24" i="19"/>
  <c r="CM12" i="15"/>
  <c r="CM14" i="15" s="1"/>
  <c r="CM13" i="19" s="1"/>
  <c r="CM14" i="19" s="1"/>
  <c r="CM9" i="15"/>
  <c r="CI10" i="17"/>
  <c r="CI21" i="17" s="1"/>
  <c r="CI9" i="17"/>
  <c r="CI8" i="17"/>
  <c r="CI17" i="19" s="1"/>
  <c r="CH27" i="21"/>
  <c r="CH28" i="20"/>
  <c r="CH29" i="20" s="1"/>
  <c r="CH31" i="20" s="1"/>
  <c r="CG38" i="20"/>
  <c r="CH22" i="21" l="1"/>
  <c r="CH19" i="19"/>
  <c r="CH20" i="19" s="1"/>
  <c r="CH7" i="19"/>
  <c r="CH10" i="19" s="1"/>
  <c r="CH41" i="18"/>
  <c r="CH23" i="21" s="1"/>
  <c r="CH35" i="20"/>
  <c r="CI20" i="17"/>
  <c r="CJ7" i="17"/>
  <c r="CI24" i="20"/>
  <c r="CI25" i="20" s="1"/>
  <c r="CI30" i="21"/>
  <c r="CI36" i="18"/>
  <c r="CI37" i="18" s="1"/>
  <c r="CM18" i="15"/>
  <c r="CG34" i="21"/>
  <c r="CG41" i="20"/>
  <c r="CI27" i="21" l="1"/>
  <c r="CI28" i="20"/>
  <c r="CI29" i="20" s="1"/>
  <c r="CI31" i="20" s="1"/>
  <c r="CI39" i="18"/>
  <c r="CI40" i="18" s="1"/>
  <c r="CH36" i="20"/>
  <c r="CN7" i="15"/>
  <c r="CM20" i="15"/>
  <c r="CM15" i="20" s="1"/>
  <c r="CM16" i="20" s="1"/>
  <c r="CH23" i="19"/>
  <c r="CH25" i="19" s="1"/>
  <c r="CJ10" i="17"/>
  <c r="CJ21" i="17" s="1"/>
  <c r="CJ8" i="17"/>
  <c r="CJ17" i="19" s="1"/>
  <c r="CI22" i="21" l="1"/>
  <c r="CI19" i="19"/>
  <c r="CI20" i="19" s="1"/>
  <c r="CI7" i="19"/>
  <c r="CI10" i="19" s="1"/>
  <c r="CI41" i="18"/>
  <c r="CI23" i="21" s="1"/>
  <c r="CI35" i="20"/>
  <c r="CJ30" i="21"/>
  <c r="CJ36" i="18"/>
  <c r="CJ37" i="18" s="1"/>
  <c r="CH33" i="21"/>
  <c r="CH35" i="21"/>
  <c r="CH38" i="20"/>
  <c r="CN18" i="15"/>
  <c r="CN12" i="15"/>
  <c r="CN14" i="15" s="1"/>
  <c r="CN13" i="19" s="1"/>
  <c r="CN14" i="19" s="1"/>
  <c r="CN9" i="15"/>
  <c r="CJ9" i="17"/>
  <c r="CH26" i="21"/>
  <c r="CH28" i="21" s="1"/>
  <c r="CH29" i="21" s="1"/>
  <c r="CH8" i="20"/>
  <c r="CH12" i="20" s="1"/>
  <c r="CH18" i="20" s="1"/>
  <c r="CI24" i="19"/>
  <c r="CJ20" i="17" l="1"/>
  <c r="CK7" i="17"/>
  <c r="CJ24" i="20"/>
  <c r="CJ25" i="20" s="1"/>
  <c r="CN20" i="15"/>
  <c r="CN15" i="20" s="1"/>
  <c r="CN16" i="20" s="1"/>
  <c r="CO7" i="15"/>
  <c r="CI23" i="19"/>
  <c r="CI25" i="19" s="1"/>
  <c r="CI36" i="20"/>
  <c r="CH34" i="21"/>
  <c r="CH41" i="20"/>
  <c r="CJ39" i="18"/>
  <c r="CJ40" i="18" s="1"/>
  <c r="CJ22" i="21" l="1"/>
  <c r="CJ19" i="19"/>
  <c r="CJ20" i="19" s="1"/>
  <c r="CJ7" i="19"/>
  <c r="CJ10" i="19" s="1"/>
  <c r="CJ41" i="18"/>
  <c r="CJ23" i="21" s="1"/>
  <c r="CJ35" i="20"/>
  <c r="CI26" i="21"/>
  <c r="CI28" i="21" s="1"/>
  <c r="CI29" i="21" s="1"/>
  <c r="CI8" i="20"/>
  <c r="CI12" i="20" s="1"/>
  <c r="CI18" i="20" s="1"/>
  <c r="CJ24" i="19"/>
  <c r="CI35" i="21"/>
  <c r="CI33" i="21"/>
  <c r="CI38" i="20"/>
  <c r="CO12" i="15"/>
  <c r="CO14" i="15" s="1"/>
  <c r="CO13" i="19" s="1"/>
  <c r="CO14" i="19" s="1"/>
  <c r="CO9" i="15"/>
  <c r="CK10" i="17"/>
  <c r="CK21" i="17" s="1"/>
  <c r="CK8" i="17"/>
  <c r="CK17" i="19" s="1"/>
  <c r="CJ27" i="21"/>
  <c r="CJ28" i="20"/>
  <c r="CJ29" i="20" s="1"/>
  <c r="CJ31" i="20" s="1"/>
  <c r="CK30" i="21" l="1"/>
  <c r="CK36" i="18"/>
  <c r="CK37" i="18" s="1"/>
  <c r="CI34" i="21"/>
  <c r="CI41" i="20"/>
  <c r="CO18" i="15"/>
  <c r="CK9" i="17"/>
  <c r="CJ36" i="20"/>
  <c r="CJ23" i="19"/>
  <c r="CJ25" i="19" s="1"/>
  <c r="CJ26" i="21" l="1"/>
  <c r="CJ28" i="21" s="1"/>
  <c r="CJ29" i="21" s="1"/>
  <c r="CK24" i="19"/>
  <c r="CJ8" i="20"/>
  <c r="CJ12" i="20" s="1"/>
  <c r="CJ18" i="20" s="1"/>
  <c r="CJ35" i="21"/>
  <c r="CJ33" i="21"/>
  <c r="CK20" i="17"/>
  <c r="CL7" i="17"/>
  <c r="CK24" i="20"/>
  <c r="CK25" i="20" s="1"/>
  <c r="CK39" i="18"/>
  <c r="CK40" i="18" s="1"/>
  <c r="CO20" i="15"/>
  <c r="CO15" i="20" s="1"/>
  <c r="CO16" i="20" s="1"/>
  <c r="CP7" i="15"/>
  <c r="CJ38" i="20"/>
  <c r="CK22" i="21" l="1"/>
  <c r="CK19" i="19"/>
  <c r="CK20" i="19" s="1"/>
  <c r="CK7" i="19"/>
  <c r="CK10" i="19" s="1"/>
  <c r="CK41" i="18"/>
  <c r="CK23" i="21" s="1"/>
  <c r="CK35" i="20"/>
  <c r="CP12" i="15"/>
  <c r="CP14" i="15" s="1"/>
  <c r="CP13" i="19" s="1"/>
  <c r="CP14" i="19" s="1"/>
  <c r="CP9" i="15"/>
  <c r="CK27" i="21"/>
  <c r="CK28" i="20"/>
  <c r="CK29" i="20" s="1"/>
  <c r="CK31" i="20" s="1"/>
  <c r="CJ34" i="21"/>
  <c r="CJ41" i="20"/>
  <c r="CL10" i="17"/>
  <c r="CL21" i="17" s="1"/>
  <c r="CL8" i="17"/>
  <c r="CL17" i="19" s="1"/>
  <c r="CL30" i="21" l="1"/>
  <c r="CL36" i="18"/>
  <c r="CL37" i="18" s="1"/>
  <c r="CK36" i="20"/>
  <c r="CK23" i="19"/>
  <c r="CK25" i="19" s="1"/>
  <c r="CL9" i="17"/>
  <c r="CP18" i="15"/>
  <c r="CQ7" i="15" l="1"/>
  <c r="CP20" i="15"/>
  <c r="CP15" i="20" s="1"/>
  <c r="CP16" i="20" s="1"/>
  <c r="CK26" i="21"/>
  <c r="CK28" i="21" s="1"/>
  <c r="CK29" i="21" s="1"/>
  <c r="CK8" i="20"/>
  <c r="CK12" i="20" s="1"/>
  <c r="CK18" i="20" s="1"/>
  <c r="CL24" i="19"/>
  <c r="CL39" i="18"/>
  <c r="CL40" i="18" s="1"/>
  <c r="CM7" i="17"/>
  <c r="CL20" i="17"/>
  <c r="CL24" i="20"/>
  <c r="CL25" i="20" s="1"/>
  <c r="CK33" i="21"/>
  <c r="CK35" i="21"/>
  <c r="CK38" i="20"/>
  <c r="CL22" i="21" l="1"/>
  <c r="CL19" i="19"/>
  <c r="CL20" i="19" s="1"/>
  <c r="CL7" i="19"/>
  <c r="CL10" i="19" s="1"/>
  <c r="CL41" i="18"/>
  <c r="CL23" i="21" s="1"/>
  <c r="CM10" i="17"/>
  <c r="CM21" i="17" s="1"/>
  <c r="CM8" i="17"/>
  <c r="CM17" i="19" s="1"/>
  <c r="CL27" i="21"/>
  <c r="CL28" i="20"/>
  <c r="CL29" i="20" s="1"/>
  <c r="CL31" i="20" s="1"/>
  <c r="CK34" i="21"/>
  <c r="CK41" i="20"/>
  <c r="CQ12" i="15"/>
  <c r="CQ14" i="15" s="1"/>
  <c r="CQ13" i="19" s="1"/>
  <c r="CQ14" i="19" s="1"/>
  <c r="CQ9" i="15"/>
  <c r="CM9" i="17" l="1"/>
  <c r="CM30" i="21"/>
  <c r="CM36" i="18"/>
  <c r="CM37" i="18" s="1"/>
  <c r="CL35" i="20"/>
  <c r="CL23" i="19"/>
  <c r="CL25" i="19" s="1"/>
  <c r="CQ18" i="15"/>
  <c r="CM39" i="18" l="1"/>
  <c r="CM40" i="18" s="1"/>
  <c r="CL26" i="21"/>
  <c r="CL28" i="21" s="1"/>
  <c r="CL29" i="21" s="1"/>
  <c r="CL8" i="20"/>
  <c r="CL12" i="20" s="1"/>
  <c r="CL18" i="20" s="1"/>
  <c r="CM24" i="19"/>
  <c r="CQ20" i="15"/>
  <c r="CQ15" i="20" s="1"/>
  <c r="CQ16" i="20" s="1"/>
  <c r="CR7" i="15"/>
  <c r="CL36" i="20"/>
  <c r="CN7" i="17"/>
  <c r="CM20" i="17"/>
  <c r="CM24" i="20"/>
  <c r="CM25" i="20" s="1"/>
  <c r="CM22" i="21" l="1"/>
  <c r="CM19" i="19"/>
  <c r="CM20" i="19" s="1"/>
  <c r="CM7" i="19"/>
  <c r="CM10" i="19" s="1"/>
  <c r="CM23" i="19" s="1"/>
  <c r="CM41" i="18"/>
  <c r="CM23" i="21" s="1"/>
  <c r="CM35" i="20"/>
  <c r="CN10" i="17"/>
  <c r="CN21" i="17" s="1"/>
  <c r="CN8" i="17"/>
  <c r="CN17" i="19" s="1"/>
  <c r="CL34" i="21"/>
  <c r="CL35" i="21"/>
  <c r="CL33" i="21"/>
  <c r="CL38" i="20"/>
  <c r="CL41" i="20" s="1"/>
  <c r="CM27" i="21"/>
  <c r="CM28" i="20"/>
  <c r="CM29" i="20" s="1"/>
  <c r="CM31" i="20" s="1"/>
  <c r="CR12" i="15"/>
  <c r="CR14" i="15" s="1"/>
  <c r="CR13" i="19" s="1"/>
  <c r="CR14" i="19" s="1"/>
  <c r="CR9" i="15"/>
  <c r="CR18" i="15"/>
  <c r="CM25" i="19"/>
  <c r="CR20" i="15" l="1"/>
  <c r="CR15" i="20" s="1"/>
  <c r="CR16" i="20" s="1"/>
  <c r="CS7" i="15"/>
  <c r="CN9" i="17"/>
  <c r="CM26" i="21"/>
  <c r="CM8" i="20"/>
  <c r="CM12" i="20" s="1"/>
  <c r="CM18" i="20" s="1"/>
  <c r="CN24" i="19"/>
  <c r="CM28" i="21"/>
  <c r="CM29" i="21" s="1"/>
  <c r="CN30" i="21"/>
  <c r="CN36" i="18"/>
  <c r="CN37" i="18" s="1"/>
  <c r="CM36" i="20"/>
  <c r="CM35" i="21" l="1"/>
  <c r="CM33" i="21"/>
  <c r="CN20" i="17"/>
  <c r="CO7" i="17"/>
  <c r="CN24" i="20"/>
  <c r="CN25" i="20" s="1"/>
  <c r="CM34" i="21"/>
  <c r="CN39" i="18"/>
  <c r="CN40" i="18" s="1"/>
  <c r="CS12" i="15"/>
  <c r="CS14" i="15" s="1"/>
  <c r="CS9" i="15"/>
  <c r="CM38" i="20"/>
  <c r="CM41" i="20" s="1"/>
  <c r="CN22" i="21" l="1"/>
  <c r="CN7" i="19"/>
  <c r="CN10" i="19" s="1"/>
  <c r="CN19" i="19"/>
  <c r="CN20" i="19" s="1"/>
  <c r="CN41" i="18"/>
  <c r="CN23" i="21" s="1"/>
  <c r="CN35" i="20"/>
  <c r="CS13" i="19"/>
  <c r="CS14" i="19" s="1"/>
  <c r="I12" i="23"/>
  <c r="CO10" i="17"/>
  <c r="CO21" i="17" s="1"/>
  <c r="CO8" i="17"/>
  <c r="CO17" i="19" s="1"/>
  <c r="CN27" i="21"/>
  <c r="CN28" i="20"/>
  <c r="CN29" i="20" s="1"/>
  <c r="CN31" i="20" s="1"/>
  <c r="CS18" i="15"/>
  <c r="CS20" i="15" l="1"/>
  <c r="CS15" i="20" s="1"/>
  <c r="CS16" i="20" s="1"/>
  <c r="CT7" i="15"/>
  <c r="CO30" i="21"/>
  <c r="CO36" i="18"/>
  <c r="CO37" i="18" s="1"/>
  <c r="CN36" i="20"/>
  <c r="CN23" i="19"/>
  <c r="CN25" i="19" s="1"/>
  <c r="CO9" i="17"/>
  <c r="CN26" i="21" l="1"/>
  <c r="CN28" i="21" s="1"/>
  <c r="CN29" i="21" s="1"/>
  <c r="CN8" i="20"/>
  <c r="CN12" i="20" s="1"/>
  <c r="CN18" i="20" s="1"/>
  <c r="CO24" i="19"/>
  <c r="CN33" i="21"/>
  <c r="CN35" i="21"/>
  <c r="CP7" i="17"/>
  <c r="CO20" i="17"/>
  <c r="CO24" i="20"/>
  <c r="CO25" i="20" s="1"/>
  <c r="CO39" i="18"/>
  <c r="CO40" i="18" s="1"/>
  <c r="CT12" i="15"/>
  <c r="CT14" i="15" s="1"/>
  <c r="CT9" i="15"/>
  <c r="CN38" i="20"/>
  <c r="CO7" i="19" l="1"/>
  <c r="CO10" i="19" s="1"/>
  <c r="CO19" i="19"/>
  <c r="CO20" i="19" s="1"/>
  <c r="CO22" i="21"/>
  <c r="CO41" i="18"/>
  <c r="CO23" i="21" s="1"/>
  <c r="CO35" i="20"/>
  <c r="CT13" i="19"/>
  <c r="CT14" i="19" s="1"/>
  <c r="CP9" i="17"/>
  <c r="CP10" i="17"/>
  <c r="CP21" i="17" s="1"/>
  <c r="CP8" i="17"/>
  <c r="CP17" i="19" s="1"/>
  <c r="CN34" i="21"/>
  <c r="CN41" i="20"/>
  <c r="CT18" i="15"/>
  <c r="CO27" i="21"/>
  <c r="CO28" i="20"/>
  <c r="CO29" i="20" s="1"/>
  <c r="CO31" i="20" s="1"/>
  <c r="CT20" i="15" l="1"/>
  <c r="CT15" i="20" s="1"/>
  <c r="CT16" i="20" s="1"/>
  <c r="CU7" i="15"/>
  <c r="CQ7" i="17"/>
  <c r="CP20" i="17"/>
  <c r="CP24" i="20"/>
  <c r="CP25" i="20" s="1"/>
  <c r="CP30" i="21"/>
  <c r="CP36" i="18"/>
  <c r="CP37" i="18" s="1"/>
  <c r="CO36" i="20"/>
  <c r="CO23" i="19"/>
  <c r="CO25" i="19" s="1"/>
  <c r="CP39" i="18" l="1"/>
  <c r="CP40" i="18"/>
  <c r="CU9" i="15"/>
  <c r="CU12" i="15"/>
  <c r="CU14" i="15" s="1"/>
  <c r="CO26" i="21"/>
  <c r="CO28" i="21" s="1"/>
  <c r="CO29" i="21" s="1"/>
  <c r="CO8" i="20"/>
  <c r="CO12" i="20" s="1"/>
  <c r="CO18" i="20" s="1"/>
  <c r="CP24" i="19"/>
  <c r="CO33" i="21"/>
  <c r="CO35" i="21"/>
  <c r="CP27" i="21"/>
  <c r="CP28" i="20"/>
  <c r="CP29" i="20" s="1"/>
  <c r="CP31" i="20" s="1"/>
  <c r="CQ10" i="17"/>
  <c r="CQ21" i="17" s="1"/>
  <c r="CQ8" i="17"/>
  <c r="CQ17" i="19" s="1"/>
  <c r="CO38" i="20"/>
  <c r="CQ30" i="21" l="1"/>
  <c r="CQ36" i="18"/>
  <c r="CQ37" i="18" s="1"/>
  <c r="CQ9" i="17"/>
  <c r="CO34" i="21"/>
  <c r="CO41" i="20"/>
  <c r="CU13" i="19"/>
  <c r="CU14" i="19" s="1"/>
  <c r="CU18" i="15"/>
  <c r="CP22" i="21"/>
  <c r="CP7" i="19"/>
  <c r="CP10" i="19" s="1"/>
  <c r="CP19" i="19"/>
  <c r="CP20" i="19" s="1"/>
  <c r="CP41" i="18"/>
  <c r="CP23" i="21" s="1"/>
  <c r="CP35" i="20"/>
  <c r="CP23" i="19" l="1"/>
  <c r="CP25" i="19" s="1"/>
  <c r="CP36" i="20"/>
  <c r="CU20" i="15"/>
  <c r="CU15" i="20" s="1"/>
  <c r="CU16" i="20" s="1"/>
  <c r="CV7" i="15"/>
  <c r="CR7" i="17"/>
  <c r="CQ20" i="17"/>
  <c r="CQ24" i="20"/>
  <c r="CQ25" i="20" s="1"/>
  <c r="CQ39" i="18"/>
  <c r="CQ40" i="18" s="1"/>
  <c r="CQ7" i="19" l="1"/>
  <c r="CQ10" i="19" s="1"/>
  <c r="CQ22" i="21"/>
  <c r="CQ19" i="19"/>
  <c r="CQ20" i="19" s="1"/>
  <c r="CQ41" i="18"/>
  <c r="CQ23" i="21" s="1"/>
  <c r="CQ35" i="20"/>
  <c r="CQ27" i="21"/>
  <c r="CQ28" i="20"/>
  <c r="CQ29" i="20" s="1"/>
  <c r="CP33" i="21"/>
  <c r="CP35" i="21"/>
  <c r="CP38" i="20"/>
  <c r="CR10" i="17"/>
  <c r="CR21" i="17" s="1"/>
  <c r="CR8" i="17"/>
  <c r="CR17" i="19" s="1"/>
  <c r="CQ31" i="20"/>
  <c r="CV9" i="15"/>
  <c r="CV12" i="15"/>
  <c r="CV14" i="15" s="1"/>
  <c r="CP26" i="21"/>
  <c r="CP28" i="21" s="1"/>
  <c r="CP29" i="21" s="1"/>
  <c r="CP8" i="20"/>
  <c r="CP12" i="20" s="1"/>
  <c r="CP18" i="20" s="1"/>
  <c r="CQ24" i="19"/>
  <c r="CV13" i="19" l="1"/>
  <c r="CV14" i="19" s="1"/>
  <c r="CR30" i="21"/>
  <c r="CR36" i="18"/>
  <c r="CR37" i="18" s="1"/>
  <c r="CV18" i="15"/>
  <c r="CQ36" i="20"/>
  <c r="CP34" i="21"/>
  <c r="CP41" i="20"/>
  <c r="CR9" i="17"/>
  <c r="CQ23" i="19"/>
  <c r="CQ25" i="19" s="1"/>
  <c r="CQ26" i="21" l="1"/>
  <c r="CQ28" i="21" s="1"/>
  <c r="CQ29" i="21" s="1"/>
  <c r="CQ8" i="20"/>
  <c r="CQ12" i="20" s="1"/>
  <c r="CQ18" i="20" s="1"/>
  <c r="CR24" i="19"/>
  <c r="CQ33" i="21"/>
  <c r="CQ35" i="21"/>
  <c r="CQ38" i="20"/>
  <c r="CV20" i="15"/>
  <c r="CV15" i="20" s="1"/>
  <c r="CV16" i="20" s="1"/>
  <c r="CW7" i="15"/>
  <c r="CS7" i="17"/>
  <c r="CR20" i="17"/>
  <c r="CR24" i="20"/>
  <c r="CR25" i="20" s="1"/>
  <c r="CR39" i="18"/>
  <c r="CR40" i="18" s="1"/>
  <c r="CR7" i="19" l="1"/>
  <c r="CR10" i="19" s="1"/>
  <c r="CR19" i="19"/>
  <c r="CR20" i="19" s="1"/>
  <c r="CR22" i="21"/>
  <c r="CR41" i="18"/>
  <c r="CR23" i="21" s="1"/>
  <c r="CR35" i="20"/>
  <c r="CW9" i="15"/>
  <c r="CW12" i="15"/>
  <c r="CW14" i="15" s="1"/>
  <c r="CS10" i="17"/>
  <c r="CS21" i="17" s="1"/>
  <c r="CS8" i="17"/>
  <c r="CS17" i="19" s="1"/>
  <c r="CR27" i="21"/>
  <c r="CR28" i="20"/>
  <c r="CR29" i="20" s="1"/>
  <c r="CR31" i="20" s="1"/>
  <c r="CQ34" i="21"/>
  <c r="CQ41" i="20"/>
  <c r="CS30" i="21" l="1"/>
  <c r="CS36" i="18"/>
  <c r="CS37" i="18" s="1"/>
  <c r="CS9" i="17"/>
  <c r="CR36" i="20"/>
  <c r="CW13" i="19"/>
  <c r="CW14" i="19" s="1"/>
  <c r="CW18" i="15"/>
  <c r="CR23" i="19"/>
  <c r="CR25" i="19" s="1"/>
  <c r="CW20" i="15" l="1"/>
  <c r="CW15" i="20" s="1"/>
  <c r="CW16" i="20" s="1"/>
  <c r="CX7" i="15"/>
  <c r="CR35" i="21"/>
  <c r="CR33" i="21"/>
  <c r="CT7" i="17"/>
  <c r="CS20" i="17"/>
  <c r="CS24" i="20"/>
  <c r="CS25" i="20" s="1"/>
  <c r="CR26" i="21"/>
  <c r="CR28" i="21" s="1"/>
  <c r="CR29" i="21" s="1"/>
  <c r="CR8" i="20"/>
  <c r="CR12" i="20" s="1"/>
  <c r="CR18" i="20" s="1"/>
  <c r="CS24" i="19"/>
  <c r="CS40" i="18"/>
  <c r="CS39" i="18"/>
  <c r="CR38" i="20"/>
  <c r="CS7" i="19" l="1"/>
  <c r="CS10" i="19" s="1"/>
  <c r="CS19" i="19"/>
  <c r="CS20" i="19" s="1"/>
  <c r="CS22" i="21"/>
  <c r="CS41" i="18"/>
  <c r="CS23" i="21" s="1"/>
  <c r="I11" i="23"/>
  <c r="CS35" i="20"/>
  <c r="CR34" i="21"/>
  <c r="CR41" i="20"/>
  <c r="I15" i="23"/>
  <c r="CS27" i="21"/>
  <c r="CS28" i="20"/>
  <c r="CS29" i="20" s="1"/>
  <c r="CX9" i="15"/>
  <c r="CX12" i="15"/>
  <c r="CX14" i="15" s="1"/>
  <c r="CX18" i="15" s="1"/>
  <c r="CS31" i="20"/>
  <c r="CT10" i="17"/>
  <c r="CT21" i="17" s="1"/>
  <c r="CT8" i="17"/>
  <c r="CT17" i="19" s="1"/>
  <c r="CX20" i="15" l="1"/>
  <c r="CX15" i="20" s="1"/>
  <c r="CX16" i="20" s="1"/>
  <c r="CY7" i="15"/>
  <c r="CT30" i="21"/>
  <c r="CT36" i="18"/>
  <c r="CT37" i="18" s="1"/>
  <c r="CT9" i="17"/>
  <c r="CS36" i="20"/>
  <c r="CS38" i="20" s="1"/>
  <c r="CX13" i="19"/>
  <c r="CX14" i="19" s="1"/>
  <c r="CS23" i="19"/>
  <c r="CS25" i="19" s="1"/>
  <c r="I13" i="23"/>
  <c r="I14" i="23" l="1"/>
  <c r="CS26" i="21"/>
  <c r="CS28" i="21" s="1"/>
  <c r="CS29" i="21" s="1"/>
  <c r="CS8" i="20"/>
  <c r="CS12" i="20" s="1"/>
  <c r="CS18" i="20" s="1"/>
  <c r="CT24" i="19"/>
  <c r="CS35" i="21"/>
  <c r="I16" i="23"/>
  <c r="CS33" i="21"/>
  <c r="CT39" i="18"/>
  <c r="CT40" i="18" s="1"/>
  <c r="CY9" i="15"/>
  <c r="CY18" i="15"/>
  <c r="CY12" i="15"/>
  <c r="CY14" i="15" s="1"/>
  <c r="CY13" i="19" s="1"/>
  <c r="CY14" i="19" s="1"/>
  <c r="CU7" i="17"/>
  <c r="CT20" i="17"/>
  <c r="CT24" i="20"/>
  <c r="CT25" i="20" s="1"/>
  <c r="CT19" i="19" l="1"/>
  <c r="CT20" i="19" s="1"/>
  <c r="CT7" i="19"/>
  <c r="CT10" i="19" s="1"/>
  <c r="CT22" i="21"/>
  <c r="CT41" i="18"/>
  <c r="CT23" i="21" s="1"/>
  <c r="CT35" i="20"/>
  <c r="CY20" i="15"/>
  <c r="CY15" i="20" s="1"/>
  <c r="CY16" i="20" s="1"/>
  <c r="CZ7" i="15"/>
  <c r="CU10" i="17"/>
  <c r="CU21" i="17" s="1"/>
  <c r="CU8" i="17"/>
  <c r="CU17" i="19" s="1"/>
  <c r="CT27" i="21"/>
  <c r="CT28" i="20"/>
  <c r="CT29" i="20" s="1"/>
  <c r="CT31" i="20" s="1"/>
  <c r="CS34" i="21"/>
  <c r="CS41" i="20"/>
  <c r="CU30" i="21" l="1"/>
  <c r="CU36" i="18"/>
  <c r="CU37" i="18" s="1"/>
  <c r="CZ9" i="15"/>
  <c r="CZ18" i="15"/>
  <c r="CZ12" i="15"/>
  <c r="CZ14" i="15" s="1"/>
  <c r="CZ13" i="19" s="1"/>
  <c r="CZ14" i="19" s="1"/>
  <c r="CT23" i="19"/>
  <c r="CT25" i="19" s="1"/>
  <c r="CU9" i="17"/>
  <c r="CT36" i="20"/>
  <c r="CT33" i="21" l="1"/>
  <c r="CT35" i="21"/>
  <c r="CV7" i="17"/>
  <c r="CU20" i="17"/>
  <c r="CU24" i="20"/>
  <c r="CU25" i="20" s="1"/>
  <c r="CZ20" i="15"/>
  <c r="CZ15" i="20" s="1"/>
  <c r="CZ16" i="20" s="1"/>
  <c r="DA7" i="15"/>
  <c r="CT26" i="21"/>
  <c r="CT28" i="21" s="1"/>
  <c r="CT29" i="21" s="1"/>
  <c r="CT8" i="20"/>
  <c r="CT12" i="20" s="1"/>
  <c r="CT18" i="20" s="1"/>
  <c r="CU24" i="19"/>
  <c r="CU39" i="18"/>
  <c r="CU40" i="18" s="1"/>
  <c r="CT38" i="20"/>
  <c r="CU7" i="19" l="1"/>
  <c r="CU10" i="19" s="1"/>
  <c r="CU19" i="19"/>
  <c r="CU20" i="19" s="1"/>
  <c r="CU22" i="21"/>
  <c r="CU41" i="18"/>
  <c r="CU23" i="21" s="1"/>
  <c r="CU35" i="20"/>
  <c r="CT34" i="21"/>
  <c r="CT41" i="20"/>
  <c r="DA9" i="15"/>
  <c r="DA12" i="15"/>
  <c r="DA14" i="15" s="1"/>
  <c r="DA13" i="19" s="1"/>
  <c r="DA14" i="19" s="1"/>
  <c r="CU27" i="21"/>
  <c r="CU28" i="20"/>
  <c r="CU29" i="20" s="1"/>
  <c r="CU31" i="20" s="1"/>
  <c r="CV10" i="17"/>
  <c r="CV21" i="17" s="1"/>
  <c r="CV8" i="17"/>
  <c r="CV17" i="19" s="1"/>
  <c r="CV30" i="21" l="1"/>
  <c r="CV36" i="18"/>
  <c r="CV37" i="18" s="1"/>
  <c r="DA18" i="15"/>
  <c r="CU36" i="20"/>
  <c r="CV9" i="17"/>
  <c r="CU23" i="19"/>
  <c r="CU25" i="19" s="1"/>
  <c r="CU33" i="21" l="1"/>
  <c r="CU35" i="21"/>
  <c r="CU26" i="21"/>
  <c r="CU28" i="21" s="1"/>
  <c r="CU29" i="21" s="1"/>
  <c r="CV24" i="19"/>
  <c r="CU8" i="20"/>
  <c r="CU12" i="20" s="1"/>
  <c r="CU18" i="20" s="1"/>
  <c r="CV20" i="17"/>
  <c r="CW7" i="17"/>
  <c r="CV24" i="20"/>
  <c r="CV25" i="20" s="1"/>
  <c r="DA20" i="15"/>
  <c r="DA15" i="20" s="1"/>
  <c r="DA16" i="20" s="1"/>
  <c r="DB7" i="15"/>
  <c r="CV39" i="18"/>
  <c r="CV40" i="18"/>
  <c r="CU38" i="20"/>
  <c r="CV22" i="21" l="1"/>
  <c r="CV7" i="19"/>
  <c r="CV10" i="19" s="1"/>
  <c r="CV19" i="19"/>
  <c r="CV20" i="19" s="1"/>
  <c r="CV41" i="18"/>
  <c r="CV23" i="21" s="1"/>
  <c r="CV35" i="20"/>
  <c r="CW10" i="17"/>
  <c r="CW21" i="17" s="1"/>
  <c r="CW8" i="17"/>
  <c r="CW17" i="19" s="1"/>
  <c r="CV27" i="21"/>
  <c r="CV28" i="20"/>
  <c r="CV29" i="20" s="1"/>
  <c r="DB9" i="15"/>
  <c r="DB12" i="15"/>
  <c r="DB14" i="15" s="1"/>
  <c r="DB13" i="19" s="1"/>
  <c r="DB14" i="19" s="1"/>
  <c r="CV31" i="20"/>
  <c r="CU34" i="21"/>
  <c r="CU41" i="20"/>
  <c r="DB18" i="15" l="1"/>
  <c r="CW9" i="17"/>
  <c r="CV36" i="20"/>
  <c r="CW36" i="18"/>
  <c r="CW37" i="18" s="1"/>
  <c r="CW30" i="21"/>
  <c r="CV23" i="19"/>
  <c r="CV25" i="19" s="1"/>
  <c r="CW39" i="18" l="1"/>
  <c r="CW40" i="18" s="1"/>
  <c r="DC7" i="15"/>
  <c r="DB20" i="15"/>
  <c r="DB15" i="20" s="1"/>
  <c r="DB16" i="20" s="1"/>
  <c r="CV33" i="21"/>
  <c r="CV35" i="21"/>
  <c r="CV38" i="20"/>
  <c r="CV26" i="21"/>
  <c r="CV28" i="21" s="1"/>
  <c r="CV29" i="21" s="1"/>
  <c r="CW24" i="19"/>
  <c r="CV8" i="20"/>
  <c r="CV12" i="20" s="1"/>
  <c r="CV18" i="20" s="1"/>
  <c r="CW20" i="17"/>
  <c r="CX7" i="17"/>
  <c r="CW24" i="20"/>
  <c r="CW25" i="20" s="1"/>
  <c r="CW22" i="21" l="1"/>
  <c r="CW19" i="19"/>
  <c r="CW20" i="19" s="1"/>
  <c r="CW7" i="19"/>
  <c r="CW10" i="19" s="1"/>
  <c r="CW41" i="18"/>
  <c r="CW23" i="21" s="1"/>
  <c r="CW35" i="20"/>
  <c r="CW27" i="21"/>
  <c r="CW28" i="20"/>
  <c r="CW29" i="20" s="1"/>
  <c r="CX10" i="17"/>
  <c r="CX21" i="17" s="1"/>
  <c r="CX8" i="17"/>
  <c r="CX17" i="19" s="1"/>
  <c r="DC9" i="15"/>
  <c r="DC18" i="15"/>
  <c r="DC12" i="15"/>
  <c r="DC14" i="15" s="1"/>
  <c r="DC13" i="19" s="1"/>
  <c r="DC14" i="19" s="1"/>
  <c r="CW31" i="20"/>
  <c r="CV34" i="21"/>
  <c r="CV41" i="20"/>
  <c r="CX9" i="17" l="1"/>
  <c r="DD7" i="15"/>
  <c r="DC20" i="15"/>
  <c r="DC15" i="20" s="1"/>
  <c r="DC16" i="20" s="1"/>
  <c r="CX30" i="21"/>
  <c r="CX36" i="18"/>
  <c r="CX37" i="18" s="1"/>
  <c r="CW36" i="20"/>
  <c r="CW23" i="19"/>
  <c r="CW25" i="19" s="1"/>
  <c r="CX39" i="18" l="1"/>
  <c r="CX40" i="18" s="1"/>
  <c r="CW33" i="21"/>
  <c r="CW35" i="21"/>
  <c r="CX20" i="17"/>
  <c r="CY7" i="17"/>
  <c r="CX24" i="20"/>
  <c r="CX25" i="20" s="1"/>
  <c r="CW26" i="21"/>
  <c r="CW28" i="21" s="1"/>
  <c r="CW29" i="21" s="1"/>
  <c r="CX24" i="19"/>
  <c r="CW8" i="20"/>
  <c r="CW12" i="20" s="1"/>
  <c r="CW18" i="20" s="1"/>
  <c r="DD9" i="15"/>
  <c r="DD12" i="15"/>
  <c r="DD14" i="15" s="1"/>
  <c r="DD13" i="19" s="1"/>
  <c r="DD14" i="19" s="1"/>
  <c r="CW38" i="20"/>
  <c r="CX22" i="21" l="1"/>
  <c r="CX7" i="19"/>
  <c r="CX10" i="19" s="1"/>
  <c r="CX19" i="19"/>
  <c r="CX20" i="19" s="1"/>
  <c r="CX41" i="18"/>
  <c r="CX23" i="21" s="1"/>
  <c r="CX35" i="20"/>
  <c r="CX27" i="21"/>
  <c r="CX28" i="20"/>
  <c r="CX29" i="20" s="1"/>
  <c r="DD18" i="15"/>
  <c r="CW34" i="21"/>
  <c r="CW41" i="20"/>
  <c r="CY10" i="17"/>
  <c r="CY21" i="17" s="1"/>
  <c r="CY9" i="17"/>
  <c r="CY8" i="17"/>
  <c r="CY17" i="19" s="1"/>
  <c r="CX31" i="20"/>
  <c r="CY20" i="17" l="1"/>
  <c r="CZ7" i="17"/>
  <c r="CY24" i="20"/>
  <c r="CY25" i="20" s="1"/>
  <c r="DE7" i="15"/>
  <c r="DD20" i="15"/>
  <c r="DD15" i="20" s="1"/>
  <c r="DD16" i="20" s="1"/>
  <c r="CX36" i="20"/>
  <c r="CY30" i="21"/>
  <c r="CY36" i="18"/>
  <c r="CY37" i="18" s="1"/>
  <c r="CX23" i="19"/>
  <c r="CX25" i="19" s="1"/>
  <c r="CX38" i="20"/>
  <c r="CX26" i="21" l="1"/>
  <c r="CX28" i="21" s="1"/>
  <c r="CX29" i="21" s="1"/>
  <c r="CY24" i="19"/>
  <c r="CX8" i="20"/>
  <c r="CX12" i="20" s="1"/>
  <c r="CX18" i="20" s="1"/>
  <c r="DE12" i="15"/>
  <c r="DE14" i="15" s="1"/>
  <c r="DE9" i="15"/>
  <c r="CZ10" i="17"/>
  <c r="CZ21" i="17" s="1"/>
  <c r="CZ8" i="17"/>
  <c r="CZ17" i="19" s="1"/>
  <c r="CY39" i="18"/>
  <c r="CY40" i="18"/>
  <c r="CX33" i="21"/>
  <c r="CX35" i="21"/>
  <c r="CY27" i="21"/>
  <c r="CY28" i="20"/>
  <c r="CY29" i="20" s="1"/>
  <c r="CY31" i="20" s="1"/>
  <c r="CZ9" i="17" l="1"/>
  <c r="CX41" i="20"/>
  <c r="CX34" i="21"/>
  <c r="CZ30" i="21"/>
  <c r="CZ36" i="18"/>
  <c r="CZ37" i="18" s="1"/>
  <c r="CY19" i="19"/>
  <c r="CY20" i="19" s="1"/>
  <c r="CY7" i="19"/>
  <c r="CY10" i="19" s="1"/>
  <c r="CY22" i="21"/>
  <c r="CY41" i="18"/>
  <c r="CY23" i="21" s="1"/>
  <c r="CY35" i="20"/>
  <c r="DE13" i="19"/>
  <c r="DE14" i="19" s="1"/>
  <c r="J12" i="23"/>
  <c r="DE18" i="15"/>
  <c r="DF7" i="15" l="1"/>
  <c r="DE20" i="15"/>
  <c r="DE15" i="20" s="1"/>
  <c r="DE16" i="20" s="1"/>
  <c r="CY23" i="19"/>
  <c r="CY25" i="19" s="1"/>
  <c r="CZ39" i="18"/>
  <c r="CZ40" i="18" s="1"/>
  <c r="CY36" i="20"/>
  <c r="CZ20" i="17"/>
  <c r="DA7" i="17"/>
  <c r="CZ24" i="20"/>
  <c r="CZ25" i="20" s="1"/>
  <c r="CZ22" i="21" l="1"/>
  <c r="CZ19" i="19"/>
  <c r="CZ20" i="19" s="1"/>
  <c r="CZ7" i="19"/>
  <c r="CZ10" i="19" s="1"/>
  <c r="CZ41" i="18"/>
  <c r="CZ23" i="21" s="1"/>
  <c r="CZ35" i="20"/>
  <c r="DA10" i="17"/>
  <c r="DA21" i="17" s="1"/>
  <c r="DA8" i="17"/>
  <c r="DA17" i="19" s="1"/>
  <c r="CZ27" i="21"/>
  <c r="CZ28" i="20"/>
  <c r="CZ29" i="20" s="1"/>
  <c r="CZ31" i="20" s="1"/>
  <c r="CY35" i="21"/>
  <c r="CY33" i="21"/>
  <c r="CY38" i="20"/>
  <c r="CY26" i="21"/>
  <c r="CY28" i="21" s="1"/>
  <c r="CY29" i="21" s="1"/>
  <c r="CZ24" i="19"/>
  <c r="CY8" i="20"/>
  <c r="CY12" i="20" s="1"/>
  <c r="CY18" i="20" s="1"/>
  <c r="DF12" i="15"/>
  <c r="DF14" i="15" s="1"/>
  <c r="DF9" i="15"/>
  <c r="DF13" i="19" l="1"/>
  <c r="DF14" i="19" s="1"/>
  <c r="DA30" i="21"/>
  <c r="DA36" i="18"/>
  <c r="DA37" i="18" s="1"/>
  <c r="DF18" i="15"/>
  <c r="CY41" i="20"/>
  <c r="CY34" i="21"/>
  <c r="DA9" i="17"/>
  <c r="CZ36" i="20"/>
  <c r="CZ23" i="19"/>
  <c r="CZ25" i="19" s="1"/>
  <c r="CZ26" i="21" l="1"/>
  <c r="CZ28" i="21" s="1"/>
  <c r="CZ29" i="21" s="1"/>
  <c r="DA24" i="19"/>
  <c r="CZ8" i="20"/>
  <c r="CZ12" i="20" s="1"/>
  <c r="CZ18" i="20" s="1"/>
  <c r="CZ33" i="21"/>
  <c r="CZ35" i="21"/>
  <c r="DG7" i="15"/>
  <c r="DF20" i="15"/>
  <c r="DF15" i="20" s="1"/>
  <c r="DF16" i="20" s="1"/>
  <c r="DA39" i="18"/>
  <c r="DA40" i="18"/>
  <c r="DA20" i="17"/>
  <c r="DB7" i="17"/>
  <c r="DA24" i="20"/>
  <c r="DA25" i="20" s="1"/>
  <c r="CZ38" i="20"/>
  <c r="DB10" i="17" l="1"/>
  <c r="DB21" i="17" s="1"/>
  <c r="DB8" i="17"/>
  <c r="DB17" i="19" s="1"/>
  <c r="DA28" i="20"/>
  <c r="DA29" i="20" s="1"/>
  <c r="DA31" i="20" s="1"/>
  <c r="DA27" i="21"/>
  <c r="DG12" i="15"/>
  <c r="DG14" i="15" s="1"/>
  <c r="DG18" i="15" s="1"/>
  <c r="DG9" i="15"/>
  <c r="CZ34" i="21"/>
  <c r="CZ41" i="20"/>
  <c r="DA22" i="21"/>
  <c r="DA7" i="19"/>
  <c r="DA10" i="19" s="1"/>
  <c r="DA19" i="19"/>
  <c r="DA20" i="19" s="1"/>
  <c r="DA41" i="18"/>
  <c r="DA23" i="21" s="1"/>
  <c r="DA35" i="20"/>
  <c r="DH7" i="15" l="1"/>
  <c r="DG20" i="15"/>
  <c r="DG15" i="20" s="1"/>
  <c r="DG16" i="20" s="1"/>
  <c r="DA36" i="20"/>
  <c r="DA38" i="20" s="1"/>
  <c r="DA23" i="19"/>
  <c r="DA25" i="19" s="1"/>
  <c r="DG13" i="19"/>
  <c r="DG14" i="19" s="1"/>
  <c r="DB9" i="17"/>
  <c r="DB30" i="21"/>
  <c r="DB36" i="18"/>
  <c r="DB37" i="18" s="1"/>
  <c r="DC7" i="17" l="1"/>
  <c r="DB20" i="17"/>
  <c r="DB24" i="20"/>
  <c r="DB25" i="20" s="1"/>
  <c r="DB39" i="18"/>
  <c r="DB40" i="18" s="1"/>
  <c r="DA26" i="21"/>
  <c r="DA28" i="21" s="1"/>
  <c r="DA29" i="21" s="1"/>
  <c r="DB24" i="19"/>
  <c r="DA8" i="20"/>
  <c r="DA12" i="20" s="1"/>
  <c r="DA18" i="20" s="1"/>
  <c r="DA33" i="21"/>
  <c r="DA35" i="21"/>
  <c r="DH12" i="15"/>
  <c r="DH14" i="15" s="1"/>
  <c r="DH9" i="15"/>
  <c r="DB22" i="21" l="1"/>
  <c r="DB19" i="19"/>
  <c r="DB20" i="19" s="1"/>
  <c r="DB7" i="19"/>
  <c r="DB10" i="19" s="1"/>
  <c r="DB41" i="18"/>
  <c r="DB23" i="21" s="1"/>
  <c r="DB35" i="20"/>
  <c r="DH13" i="19"/>
  <c r="DH14" i="19" s="1"/>
  <c r="DB27" i="21"/>
  <c r="DB28" i="20"/>
  <c r="DB29" i="20" s="1"/>
  <c r="DB31" i="20" s="1"/>
  <c r="DH18" i="15"/>
  <c r="DA34" i="21"/>
  <c r="DA41" i="20"/>
  <c r="DC10" i="17"/>
  <c r="DC21" i="17" s="1"/>
  <c r="DC8" i="17"/>
  <c r="DC17" i="19" s="1"/>
  <c r="DC9" i="17" l="1"/>
  <c r="DC30" i="21"/>
  <c r="DC36" i="18"/>
  <c r="DC37" i="18" s="1"/>
  <c r="DB23" i="19"/>
  <c r="DB25" i="19" s="1"/>
  <c r="DI7" i="15"/>
  <c r="DH20" i="15"/>
  <c r="DH15" i="20" s="1"/>
  <c r="DH16" i="20" s="1"/>
  <c r="DB36" i="20"/>
  <c r="DI9" i="15" l="1"/>
  <c r="DI12" i="15"/>
  <c r="DI14" i="15" s="1"/>
  <c r="DC39" i="18"/>
  <c r="DC40" i="18" s="1"/>
  <c r="DB33" i="21"/>
  <c r="DB35" i="21"/>
  <c r="DD7" i="17"/>
  <c r="DC20" i="17"/>
  <c r="DC24" i="20"/>
  <c r="DC25" i="20" s="1"/>
  <c r="DB26" i="21"/>
  <c r="DB28" i="21" s="1"/>
  <c r="DB29" i="21" s="1"/>
  <c r="DC24" i="19"/>
  <c r="DB8" i="20"/>
  <c r="DB12" i="20" s="1"/>
  <c r="DB18" i="20" s="1"/>
  <c r="DB38" i="20"/>
  <c r="DC22" i="21" l="1"/>
  <c r="DC7" i="19"/>
  <c r="DC10" i="19" s="1"/>
  <c r="DC19" i="19"/>
  <c r="DC20" i="19" s="1"/>
  <c r="DC41" i="18"/>
  <c r="DC23" i="21" s="1"/>
  <c r="DB34" i="21"/>
  <c r="DB41" i="20"/>
  <c r="DC31" i="20"/>
  <c r="DC28" i="20"/>
  <c r="DC29" i="20" s="1"/>
  <c r="DC27" i="21"/>
  <c r="DD10" i="17"/>
  <c r="DD21" i="17" s="1"/>
  <c r="DD8" i="17"/>
  <c r="DD17" i="19" s="1"/>
  <c r="DI13" i="19"/>
  <c r="DI14" i="19" s="1"/>
  <c r="DI18" i="15"/>
  <c r="DJ7" i="15" l="1"/>
  <c r="DI20" i="15"/>
  <c r="DI15" i="20" s="1"/>
  <c r="DI16" i="20" s="1"/>
  <c r="DD9" i="17"/>
  <c r="DC23" i="19"/>
  <c r="DC25" i="19" s="1"/>
  <c r="DD30" i="21"/>
  <c r="DD36" i="18"/>
  <c r="DD37" i="18" s="1"/>
  <c r="DC35" i="20"/>
  <c r="DC36" i="20" l="1"/>
  <c r="DC26" i="21"/>
  <c r="DC28" i="21" s="1"/>
  <c r="DC29" i="21" s="1"/>
  <c r="DD24" i="19"/>
  <c r="DC8" i="20"/>
  <c r="DC12" i="20" s="1"/>
  <c r="DC18" i="20" s="1"/>
  <c r="DD39" i="18"/>
  <c r="DD40" i="18" s="1"/>
  <c r="DE7" i="17"/>
  <c r="DD20" i="17"/>
  <c r="DD24" i="20"/>
  <c r="DD25" i="20" s="1"/>
  <c r="DJ18" i="15"/>
  <c r="DJ12" i="15"/>
  <c r="DJ14" i="15" s="1"/>
  <c r="DJ9" i="15"/>
  <c r="DD22" i="21" l="1"/>
  <c r="DD7" i="19"/>
  <c r="DD10" i="19" s="1"/>
  <c r="DD23" i="19" s="1"/>
  <c r="DD19" i="19"/>
  <c r="DD20" i="19" s="1"/>
  <c r="DD41" i="18"/>
  <c r="DD23" i="21" s="1"/>
  <c r="DD35" i="20"/>
  <c r="DK7" i="15"/>
  <c r="DJ20" i="15"/>
  <c r="DJ15" i="20" s="1"/>
  <c r="DJ16" i="20" s="1"/>
  <c r="DD27" i="21"/>
  <c r="DD28" i="20"/>
  <c r="DD29" i="20" s="1"/>
  <c r="DD31" i="20" s="1"/>
  <c r="DD25" i="19"/>
  <c r="DJ13" i="19"/>
  <c r="DJ14" i="19" s="1"/>
  <c r="DE10" i="17"/>
  <c r="DE21" i="17" s="1"/>
  <c r="DE8" i="17"/>
  <c r="DE17" i="19" s="1"/>
  <c r="DC34" i="21"/>
  <c r="DC33" i="21"/>
  <c r="DC35" i="21"/>
  <c r="DC38" i="20"/>
  <c r="DC41" i="20" s="1"/>
  <c r="DE9" i="17" l="1"/>
  <c r="DD26" i="21"/>
  <c r="DD8" i="20"/>
  <c r="DD12" i="20" s="1"/>
  <c r="DD18" i="20" s="1"/>
  <c r="DE24" i="19"/>
  <c r="DK12" i="15"/>
  <c r="DK14" i="15" s="1"/>
  <c r="DK13" i="19" s="1"/>
  <c r="DK14" i="19" s="1"/>
  <c r="DK9" i="15"/>
  <c r="DE30" i="21"/>
  <c r="DE36" i="18"/>
  <c r="DE37" i="18" s="1"/>
  <c r="DD28" i="21"/>
  <c r="DD29" i="21" s="1"/>
  <c r="DD36" i="20"/>
  <c r="DD33" i="21" l="1"/>
  <c r="DD35" i="21"/>
  <c r="DK18" i="15"/>
  <c r="DE39" i="18"/>
  <c r="DE40" i="18" s="1"/>
  <c r="DD34" i="21"/>
  <c r="DE20" i="17"/>
  <c r="DF7" i="17"/>
  <c r="DE24" i="20"/>
  <c r="DE25" i="20" s="1"/>
  <c r="DD38" i="20"/>
  <c r="DD41" i="20" s="1"/>
  <c r="DE22" i="21" l="1"/>
  <c r="DE19" i="19"/>
  <c r="DE20" i="19" s="1"/>
  <c r="DE7" i="19"/>
  <c r="DE10" i="19" s="1"/>
  <c r="DE41" i="18"/>
  <c r="DE23" i="21" s="1"/>
  <c r="J11" i="23"/>
  <c r="DF10" i="17"/>
  <c r="DF21" i="17" s="1"/>
  <c r="DF9" i="17"/>
  <c r="DF8" i="17"/>
  <c r="DF17" i="19" s="1"/>
  <c r="DL7" i="15"/>
  <c r="DK20" i="15"/>
  <c r="DK15" i="20" s="1"/>
  <c r="DK16" i="20" s="1"/>
  <c r="J15" i="23"/>
  <c r="DE28" i="20"/>
  <c r="DE29" i="20" s="1"/>
  <c r="DE31" i="20" s="1"/>
  <c r="DE27" i="21"/>
  <c r="DF20" i="17" l="1"/>
  <c r="DG7" i="17"/>
  <c r="DF24" i="20"/>
  <c r="DF25" i="20" s="1"/>
  <c r="DE23" i="19"/>
  <c r="DE25" i="19" s="1"/>
  <c r="J13" i="23"/>
  <c r="DL12" i="15"/>
  <c r="DL14" i="15" s="1"/>
  <c r="DL13" i="19" s="1"/>
  <c r="DL14" i="19" s="1"/>
  <c r="DL9" i="15"/>
  <c r="DF30" i="21"/>
  <c r="DF36" i="18"/>
  <c r="DF37" i="18" s="1"/>
  <c r="DE35" i="20"/>
  <c r="DF39" i="18" l="1"/>
  <c r="DF40" i="18" s="1"/>
  <c r="DE36" i="20"/>
  <c r="DE26" i="21"/>
  <c r="DE28" i="21" s="1"/>
  <c r="DE29" i="21" s="1"/>
  <c r="J14" i="23"/>
  <c r="DE8" i="20"/>
  <c r="DE12" i="20" s="1"/>
  <c r="DE18" i="20" s="1"/>
  <c r="DF24" i="19"/>
  <c r="DF28" i="20"/>
  <c r="DF29" i="20" s="1"/>
  <c r="DF31" i="20" s="1"/>
  <c r="DF27" i="21"/>
  <c r="DL18" i="15"/>
  <c r="DG10" i="17"/>
  <c r="DG21" i="17" s="1"/>
  <c r="DG8" i="17"/>
  <c r="DG17" i="19" s="1"/>
  <c r="DF22" i="21" l="1"/>
  <c r="DF19" i="19"/>
  <c r="DF20" i="19" s="1"/>
  <c r="DF7" i="19"/>
  <c r="DF10" i="19" s="1"/>
  <c r="DF41" i="18"/>
  <c r="DF23" i="21" s="1"/>
  <c r="DF35" i="20"/>
  <c r="DM7" i="15"/>
  <c r="DL20" i="15"/>
  <c r="DL15" i="20" s="1"/>
  <c r="DL16" i="20" s="1"/>
  <c r="DG9" i="17"/>
  <c r="DG30" i="21"/>
  <c r="DG36" i="18"/>
  <c r="DG37" i="18" s="1"/>
  <c r="DE34" i="21"/>
  <c r="J16" i="23"/>
  <c r="DE35" i="21"/>
  <c r="DE33" i="21"/>
  <c r="DE38" i="20"/>
  <c r="DE41" i="20" s="1"/>
  <c r="DG20" i="17" l="1"/>
  <c r="DH7" i="17"/>
  <c r="DG24" i="20"/>
  <c r="DG25" i="20" s="1"/>
  <c r="DF36" i="20"/>
  <c r="DM18" i="15"/>
  <c r="DM12" i="15"/>
  <c r="DM14" i="15" s="1"/>
  <c r="DM13" i="19" s="1"/>
  <c r="DM14" i="19" s="1"/>
  <c r="DM9" i="15"/>
  <c r="DF23" i="19"/>
  <c r="DF25" i="19" s="1"/>
  <c r="DG39" i="18"/>
  <c r="DG40" i="18" s="1"/>
  <c r="DG22" i="21" l="1"/>
  <c r="DG19" i="19"/>
  <c r="DG20" i="19" s="1"/>
  <c r="DG7" i="19"/>
  <c r="DG10" i="19" s="1"/>
  <c r="DG41" i="18"/>
  <c r="DG23" i="21" s="1"/>
  <c r="DG35" i="20"/>
  <c r="DM20" i="15"/>
  <c r="DM15" i="20" s="1"/>
  <c r="DM16" i="20" s="1"/>
  <c r="DN7" i="15"/>
  <c r="DF35" i="21"/>
  <c r="DF33" i="21"/>
  <c r="DF38" i="20"/>
  <c r="DH10" i="17"/>
  <c r="DH21" i="17" s="1"/>
  <c r="DH8" i="17"/>
  <c r="DH17" i="19" s="1"/>
  <c r="DF26" i="21"/>
  <c r="DF28" i="21" s="1"/>
  <c r="DF29" i="21" s="1"/>
  <c r="DF8" i="20"/>
  <c r="DF12" i="20" s="1"/>
  <c r="DF18" i="20" s="1"/>
  <c r="DG24" i="19"/>
  <c r="DG28" i="20"/>
  <c r="DG29" i="20" s="1"/>
  <c r="DG31" i="20" s="1"/>
  <c r="DG27" i="21"/>
  <c r="DH30" i="21" l="1"/>
  <c r="DH36" i="18"/>
  <c r="DH37" i="18" s="1"/>
  <c r="DG36" i="20"/>
  <c r="DF41" i="20"/>
  <c r="DF34" i="21"/>
  <c r="DH9" i="17"/>
  <c r="DN12" i="15"/>
  <c r="DN14" i="15" s="1"/>
  <c r="DN13" i="19" s="1"/>
  <c r="DN14" i="19" s="1"/>
  <c r="DN9" i="15"/>
  <c r="DG23" i="19"/>
  <c r="DG25" i="19" s="1"/>
  <c r="DG26" i="21" l="1"/>
  <c r="DG28" i="21" s="1"/>
  <c r="DG29" i="21" s="1"/>
  <c r="DG8" i="20"/>
  <c r="DG12" i="20" s="1"/>
  <c r="DG18" i="20" s="1"/>
  <c r="DH24" i="19"/>
  <c r="DG33" i="21"/>
  <c r="DG35" i="21"/>
  <c r="DH39" i="18"/>
  <c r="DH40" i="18" s="1"/>
  <c r="DH20" i="17"/>
  <c r="DI7" i="17"/>
  <c r="DH24" i="20"/>
  <c r="DH25" i="20" s="1"/>
  <c r="DN18" i="15"/>
  <c r="DG38" i="20"/>
  <c r="DH22" i="21" l="1"/>
  <c r="DH19" i="19"/>
  <c r="DH20" i="19" s="1"/>
  <c r="DH7" i="19"/>
  <c r="DH10" i="19" s="1"/>
  <c r="DH41" i="18"/>
  <c r="DH23" i="21" s="1"/>
  <c r="DH35" i="20"/>
  <c r="DI10" i="17"/>
  <c r="DI21" i="17" s="1"/>
  <c r="DI8" i="17"/>
  <c r="DI17" i="19" s="1"/>
  <c r="DN20" i="15"/>
  <c r="DN15" i="20" s="1"/>
  <c r="DN16" i="20" s="1"/>
  <c r="DO7" i="15"/>
  <c r="DH28" i="20"/>
  <c r="DH29" i="20" s="1"/>
  <c r="DH31" i="20" s="1"/>
  <c r="DH27" i="21"/>
  <c r="DG34" i="21"/>
  <c r="DG41" i="20"/>
  <c r="DO12" i="15" l="1"/>
  <c r="DO14" i="15" s="1"/>
  <c r="DO13" i="19" s="1"/>
  <c r="DO14" i="19" s="1"/>
  <c r="DO9" i="15"/>
  <c r="DI9" i="17"/>
  <c r="DH36" i="20"/>
  <c r="DH23" i="19"/>
  <c r="DH25" i="19" s="1"/>
  <c r="DI30" i="21"/>
  <c r="DI36" i="18"/>
  <c r="DI37" i="18" s="1"/>
  <c r="DH26" i="21" l="1"/>
  <c r="DH28" i="21" s="1"/>
  <c r="DH29" i="21" s="1"/>
  <c r="DH8" i="20"/>
  <c r="DH12" i="20" s="1"/>
  <c r="DH18" i="20" s="1"/>
  <c r="DI24" i="19"/>
  <c r="DI39" i="18"/>
  <c r="DI40" i="18" s="1"/>
  <c r="DH35" i="21"/>
  <c r="DH33" i="21"/>
  <c r="DI20" i="17"/>
  <c r="DJ7" i="17"/>
  <c r="DI24" i="20"/>
  <c r="DI25" i="20" s="1"/>
  <c r="DO18" i="15"/>
  <c r="DH38" i="20"/>
  <c r="DI22" i="21" l="1"/>
  <c r="DI19" i="19"/>
  <c r="DI20" i="19" s="1"/>
  <c r="DI7" i="19"/>
  <c r="DI10" i="19" s="1"/>
  <c r="DI41" i="18"/>
  <c r="DI23" i="21" s="1"/>
  <c r="DI35" i="20"/>
  <c r="DI28" i="20"/>
  <c r="DI29" i="20" s="1"/>
  <c r="DI27" i="21"/>
  <c r="DI31" i="20"/>
  <c r="DH34" i="21"/>
  <c r="DH41" i="20"/>
  <c r="DP7" i="15"/>
  <c r="DO20" i="15"/>
  <c r="DO15" i="20" s="1"/>
  <c r="DO16" i="20" s="1"/>
  <c r="DJ10" i="17"/>
  <c r="DJ21" i="17" s="1"/>
  <c r="DJ8" i="17"/>
  <c r="DJ17" i="19" s="1"/>
  <c r="DJ9" i="17" l="1"/>
  <c r="DI36" i="20"/>
  <c r="DI38" i="20"/>
  <c r="DJ30" i="21"/>
  <c r="DJ36" i="18"/>
  <c r="DJ37" i="18" s="1"/>
  <c r="DP12" i="15"/>
  <c r="DP14" i="15" s="1"/>
  <c r="DP13" i="19" s="1"/>
  <c r="DP14" i="19" s="1"/>
  <c r="DP9" i="15"/>
  <c r="DI23" i="19"/>
  <c r="DI25" i="19" s="1"/>
  <c r="DI26" i="21" l="1"/>
  <c r="DI28" i="21" s="1"/>
  <c r="DI29" i="21" s="1"/>
  <c r="DI8" i="20"/>
  <c r="DI12" i="20" s="1"/>
  <c r="DI18" i="20" s="1"/>
  <c r="DJ24" i="19"/>
  <c r="DJ39" i="18"/>
  <c r="DJ40" i="18"/>
  <c r="DP18" i="15"/>
  <c r="DI35" i="21"/>
  <c r="DI33" i="21"/>
  <c r="DJ20" i="17"/>
  <c r="DK7" i="17"/>
  <c r="DJ24" i="20"/>
  <c r="DJ25" i="20" s="1"/>
  <c r="DJ22" i="21" l="1"/>
  <c r="DJ19" i="19"/>
  <c r="DJ20" i="19" s="1"/>
  <c r="DJ7" i="19"/>
  <c r="DJ10" i="19" s="1"/>
  <c r="DJ41" i="18"/>
  <c r="DJ23" i="21" s="1"/>
  <c r="DJ35" i="20"/>
  <c r="DP20" i="15"/>
  <c r="DP15" i="20" s="1"/>
  <c r="DP16" i="20" s="1"/>
  <c r="DQ7" i="15"/>
  <c r="DI34" i="21"/>
  <c r="DI41" i="20"/>
  <c r="DK10" i="17"/>
  <c r="DK21" i="17" s="1"/>
  <c r="DK8" i="17"/>
  <c r="DK17" i="19" s="1"/>
  <c r="DJ27" i="21"/>
  <c r="DJ28" i="20"/>
  <c r="DJ29" i="20" s="1"/>
  <c r="DJ31" i="20" s="1"/>
  <c r="DK9" i="17" l="1"/>
  <c r="DJ36" i="20"/>
  <c r="DJ23" i="19"/>
  <c r="DJ25" i="19" s="1"/>
  <c r="DK30" i="21"/>
  <c r="DK36" i="18"/>
  <c r="DK37" i="18" s="1"/>
  <c r="DQ9" i="15"/>
  <c r="DQ12" i="15"/>
  <c r="DQ14" i="15" s="1"/>
  <c r="DQ13" i="19" l="1"/>
  <c r="DQ14" i="19" s="1"/>
  <c r="K12" i="23"/>
  <c r="DQ18" i="15"/>
  <c r="DQ20" i="15" s="1"/>
  <c r="DQ15" i="20" s="1"/>
  <c r="DQ16" i="20" s="1"/>
  <c r="DL7" i="17"/>
  <c r="DK20" i="17"/>
  <c r="DK24" i="20"/>
  <c r="DK25" i="20" s="1"/>
  <c r="DK39" i="18"/>
  <c r="DK40" i="18" s="1"/>
  <c r="DJ26" i="21"/>
  <c r="DJ28" i="21" s="1"/>
  <c r="DJ29" i="21" s="1"/>
  <c r="DJ8" i="20"/>
  <c r="DJ12" i="20" s="1"/>
  <c r="DJ18" i="20" s="1"/>
  <c r="DK24" i="19"/>
  <c r="DJ33" i="21"/>
  <c r="DJ35" i="21"/>
  <c r="DJ38" i="20"/>
  <c r="DK22" i="21" l="1"/>
  <c r="DK7" i="19"/>
  <c r="DK10" i="19" s="1"/>
  <c r="DK19" i="19"/>
  <c r="DK20" i="19" s="1"/>
  <c r="DK41" i="18"/>
  <c r="DK23" i="21" s="1"/>
  <c r="DK35" i="20"/>
  <c r="DJ34" i="21"/>
  <c r="DJ41" i="20"/>
  <c r="DK27" i="21"/>
  <c r="DK28" i="20"/>
  <c r="DK29" i="20" s="1"/>
  <c r="DK31" i="20" s="1"/>
  <c r="DL10" i="17"/>
  <c r="DL21" i="17" s="1"/>
  <c r="DL8" i="17"/>
  <c r="DL17" i="19" s="1"/>
  <c r="DL30" i="21" l="1"/>
  <c r="DL36" i="18"/>
  <c r="DL37" i="18" s="1"/>
  <c r="DL9" i="17"/>
  <c r="DK23" i="19"/>
  <c r="DK25" i="19" s="1"/>
  <c r="DK36" i="20"/>
  <c r="DM7" i="17" l="1"/>
  <c r="DL20" i="17"/>
  <c r="DL24" i="20"/>
  <c r="DL25" i="20" s="1"/>
  <c r="DL39" i="18"/>
  <c r="DL40" i="18" s="1"/>
  <c r="DK33" i="21"/>
  <c r="DK35" i="21"/>
  <c r="DK8" i="20"/>
  <c r="DK12" i="20" s="1"/>
  <c r="DK18" i="20" s="1"/>
  <c r="DK26" i="21"/>
  <c r="DK28" i="21" s="1"/>
  <c r="DK29" i="21" s="1"/>
  <c r="DL24" i="19"/>
  <c r="DK38" i="20"/>
  <c r="DL22" i="21" l="1"/>
  <c r="DL7" i="19"/>
  <c r="DL10" i="19" s="1"/>
  <c r="DL23" i="19" s="1"/>
  <c r="DL19" i="19"/>
  <c r="DL20" i="19" s="1"/>
  <c r="DL41" i="18"/>
  <c r="DL23" i="21" s="1"/>
  <c r="DL35" i="20"/>
  <c r="DL28" i="20"/>
  <c r="DL29" i="20" s="1"/>
  <c r="DL27" i="21"/>
  <c r="DL25" i="19"/>
  <c r="DK34" i="21"/>
  <c r="DK41" i="20"/>
  <c r="DL31" i="20"/>
  <c r="DM10" i="17"/>
  <c r="DM21" i="17" s="1"/>
  <c r="DM8" i="17"/>
  <c r="DM17" i="19" s="1"/>
  <c r="DM9" i="17" l="1"/>
  <c r="DM30" i="21"/>
  <c r="DM36" i="18"/>
  <c r="DM37" i="18" s="1"/>
  <c r="DL26" i="21"/>
  <c r="DL28" i="21" s="1"/>
  <c r="DL29" i="21" s="1"/>
  <c r="DL8" i="20"/>
  <c r="DL12" i="20" s="1"/>
  <c r="DL18" i="20" s="1"/>
  <c r="DM24" i="19"/>
  <c r="DL36" i="20"/>
  <c r="DL33" i="21" l="1"/>
  <c r="DL35" i="21"/>
  <c r="DL38" i="20"/>
  <c r="DM39" i="18"/>
  <c r="DM40" i="18" s="1"/>
  <c r="DN7" i="17"/>
  <c r="DM20" i="17"/>
  <c r="DM24" i="20"/>
  <c r="DM25" i="20" s="1"/>
  <c r="DL41" i="20"/>
  <c r="DL34" i="21"/>
  <c r="DM7" i="19" l="1"/>
  <c r="DM10" i="19" s="1"/>
  <c r="DM22" i="21"/>
  <c r="DM19" i="19"/>
  <c r="DM20" i="19" s="1"/>
  <c r="DM41" i="18"/>
  <c r="DM23" i="21" s="1"/>
  <c r="DM35" i="20"/>
  <c r="DN10" i="17"/>
  <c r="DN21" i="17" s="1"/>
  <c r="DN8" i="17"/>
  <c r="DN17" i="19" s="1"/>
  <c r="DM27" i="21"/>
  <c r="DM28" i="20"/>
  <c r="DM29" i="20" s="1"/>
  <c r="DM31" i="20" s="1"/>
  <c r="DM36" i="20" l="1"/>
  <c r="DN30" i="21"/>
  <c r="DN36" i="18"/>
  <c r="DN37" i="18" s="1"/>
  <c r="DN9" i="17"/>
  <c r="DM23" i="19"/>
  <c r="DM25" i="19" s="1"/>
  <c r="DO7" i="17" l="1"/>
  <c r="DN20" i="17"/>
  <c r="DN24" i="20"/>
  <c r="DN25" i="20" s="1"/>
  <c r="DM8" i="20"/>
  <c r="DM12" i="20" s="1"/>
  <c r="DM18" i="20" s="1"/>
  <c r="DN24" i="19"/>
  <c r="DM26" i="21"/>
  <c r="DM28" i="21" s="1"/>
  <c r="DM29" i="21" s="1"/>
  <c r="DN40" i="18"/>
  <c r="DN39" i="18"/>
  <c r="DM33" i="21"/>
  <c r="DM35" i="21"/>
  <c r="DM38" i="20"/>
  <c r="DN22" i="21" l="1"/>
  <c r="DN7" i="19"/>
  <c r="DN10" i="19" s="1"/>
  <c r="DN19" i="19"/>
  <c r="DN20" i="19" s="1"/>
  <c r="DN41" i="18"/>
  <c r="DN23" i="21" s="1"/>
  <c r="DM41" i="20"/>
  <c r="DM34" i="21"/>
  <c r="DN27" i="21"/>
  <c r="DN28" i="20"/>
  <c r="DN29" i="20" s="1"/>
  <c r="DN31" i="20" s="1"/>
  <c r="DO10" i="17"/>
  <c r="DO21" i="17" s="1"/>
  <c r="DO8" i="17"/>
  <c r="DO17" i="19" s="1"/>
  <c r="DO9" i="17" l="1"/>
  <c r="DO30" i="21"/>
  <c r="DO36" i="18"/>
  <c r="DO37" i="18" s="1"/>
  <c r="DN23" i="19"/>
  <c r="DN25" i="19" s="1"/>
  <c r="DN35" i="20"/>
  <c r="DN36" i="20" l="1"/>
  <c r="DN26" i="21"/>
  <c r="DN28" i="21" s="1"/>
  <c r="DN29" i="21" s="1"/>
  <c r="DN8" i="20"/>
  <c r="DN12" i="20" s="1"/>
  <c r="DN18" i="20" s="1"/>
  <c r="DO24" i="19"/>
  <c r="DO40" i="18"/>
  <c r="DO39" i="18"/>
  <c r="DP7" i="17"/>
  <c r="DO20" i="17"/>
  <c r="DO24" i="20"/>
  <c r="DO25" i="20" s="1"/>
  <c r="DP10" i="17" l="1"/>
  <c r="DP21" i="17" s="1"/>
  <c r="DP8" i="17"/>
  <c r="DP17" i="19" s="1"/>
  <c r="DO7" i="19"/>
  <c r="DO10" i="19" s="1"/>
  <c r="DO23" i="19" s="1"/>
  <c r="DO25" i="19" s="1"/>
  <c r="DO22" i="21"/>
  <c r="DO19" i="19"/>
  <c r="DO20" i="19" s="1"/>
  <c r="DO41" i="18"/>
  <c r="DO23" i="21" s="1"/>
  <c r="DO31" i="20"/>
  <c r="DN34" i="21"/>
  <c r="DO35" i="20"/>
  <c r="DO27" i="21"/>
  <c r="DO28" i="20"/>
  <c r="DO29" i="20" s="1"/>
  <c r="DN35" i="21"/>
  <c r="DN33" i="21"/>
  <c r="DN38" i="20"/>
  <c r="DN41" i="20" s="1"/>
  <c r="DO8" i="20" l="1"/>
  <c r="DO12" i="20" s="1"/>
  <c r="DO18" i="20" s="1"/>
  <c r="DP24" i="19"/>
  <c r="DO26" i="21"/>
  <c r="DO28" i="21" s="1"/>
  <c r="DO29" i="21" s="1"/>
  <c r="DO38" i="20"/>
  <c r="DO36" i="20"/>
  <c r="DP30" i="21"/>
  <c r="DP36" i="18"/>
  <c r="DP37" i="18" s="1"/>
  <c r="DP9" i="17"/>
  <c r="DP39" i="18" l="1"/>
  <c r="DP40" i="18" s="1"/>
  <c r="DO35" i="21"/>
  <c r="DO33" i="21"/>
  <c r="DQ7" i="17"/>
  <c r="DP20" i="17"/>
  <c r="DP24" i="20"/>
  <c r="DP25" i="20" s="1"/>
  <c r="DO34" i="21"/>
  <c r="DO41" i="20"/>
  <c r="DP22" i="21" l="1"/>
  <c r="DP19" i="19"/>
  <c r="DP20" i="19" s="1"/>
  <c r="DP7" i="19"/>
  <c r="DP10" i="19" s="1"/>
  <c r="DP41" i="18"/>
  <c r="DP23" i="21" s="1"/>
  <c r="DP35" i="20"/>
  <c r="DP27" i="21"/>
  <c r="DP28" i="20"/>
  <c r="DP29" i="20" s="1"/>
  <c r="DP31" i="20" s="1"/>
  <c r="DQ10" i="17"/>
  <c r="DQ21" i="17" s="1"/>
  <c r="DQ8" i="17"/>
  <c r="DQ17" i="19" s="1"/>
  <c r="DQ30" i="21" l="1"/>
  <c r="DQ36" i="18"/>
  <c r="DQ37" i="18" s="1"/>
  <c r="DP36" i="20"/>
  <c r="DQ9" i="17"/>
  <c r="DP23" i="19"/>
  <c r="DP25" i="19" s="1"/>
  <c r="DQ20" i="17" l="1"/>
  <c r="DQ24" i="20"/>
  <c r="DQ25" i="20" s="1"/>
  <c r="DP35" i="21"/>
  <c r="DP33" i="21"/>
  <c r="DQ39" i="18"/>
  <c r="DQ40" i="18" s="1"/>
  <c r="DP8" i="20"/>
  <c r="DP12" i="20" s="1"/>
  <c r="DP18" i="20" s="1"/>
  <c r="DP26" i="21"/>
  <c r="DP28" i="21" s="1"/>
  <c r="DP29" i="21" s="1"/>
  <c r="DQ24" i="19"/>
  <c r="DP38" i="20"/>
  <c r="DQ22" i="21" l="1"/>
  <c r="DQ7" i="19"/>
  <c r="DQ10" i="19" s="1"/>
  <c r="DQ19" i="19"/>
  <c r="DQ20" i="19" s="1"/>
  <c r="DQ41" i="18"/>
  <c r="DQ23" i="21" s="1"/>
  <c r="K11" i="23"/>
  <c r="DQ35" i="20"/>
  <c r="DP34" i="21"/>
  <c r="DP41" i="20"/>
  <c r="DQ27" i="21"/>
  <c r="K15" i="23"/>
  <c r="DQ28" i="20"/>
  <c r="DQ29" i="20" s="1"/>
  <c r="DQ31" i="20" s="1"/>
  <c r="B10" i="22"/>
  <c r="C10" i="22" s="1"/>
  <c r="B16" i="22" l="1"/>
  <c r="C16" i="22" s="1"/>
  <c r="DQ36" i="20"/>
  <c r="DQ23" i="19"/>
  <c r="DQ25" i="19" s="1"/>
  <c r="K13" i="23"/>
  <c r="K14" i="23" l="1"/>
  <c r="DQ8" i="20"/>
  <c r="DQ12" i="20" s="1"/>
  <c r="DQ18" i="20" s="1"/>
  <c r="DQ26" i="21"/>
  <c r="DQ28" i="21" s="1"/>
  <c r="DQ29" i="21" s="1"/>
  <c r="B9" i="22"/>
  <c r="C9" i="22" s="1"/>
  <c r="K16" i="23"/>
  <c r="DQ33" i="21"/>
  <c r="DQ35" i="21"/>
  <c r="DQ38" i="20"/>
  <c r="DQ41" i="20" l="1"/>
  <c r="B4" i="22" s="1"/>
  <c r="C4" i="22" s="1"/>
  <c r="B20" i="22" s="1"/>
  <c r="C20" i="22" s="1"/>
  <c r="B15" i="22"/>
  <c r="C15" i="22" s="1"/>
  <c r="DQ34" i="21"/>
</calcChain>
</file>

<file path=xl/sharedStrings.xml><?xml version="1.0" encoding="utf-8"?>
<sst xmlns="http://schemas.openxmlformats.org/spreadsheetml/2006/main" count="1013" uniqueCount="626">
  <si>
    <t>BREWERY FINANCIAL MODEL</t>
  </si>
  <si>
    <t>SkyBrew &amp; AllDark Brewing Company</t>
  </si>
  <si>
    <t>10-Year Monthly Projection Model</t>
  </si>
  <si>
    <t>Model Version:</t>
  </si>
  <si>
    <t>1.0</t>
  </si>
  <si>
    <t>Last Updated:</t>
  </si>
  <si>
    <t>2025-12-16</t>
  </si>
  <si>
    <t>Contents:</t>
  </si>
  <si>
    <t>1. Control - Scenario selection and global settings</t>
  </si>
  <si>
    <t>2. Timeline - 120-month date spine</t>
  </si>
  <si>
    <t>3. SKU_Matrix - Product portfolio (24 SKUs)</t>
  </si>
  <si>
    <t>4. Assumptions - Volume, Pricing, Costs, Capex, WC, Finance</t>
  </si>
  <si>
    <t>5. Calculations - Volume, Revenue, COGS, Capacity, etc.</t>
  </si>
  <si>
    <t>6. Financial Statements - IS, CF, BS</t>
  </si>
  <si>
    <t>7. KPIs - Key performance indicators</t>
  </si>
  <si>
    <t>8. Checks - Model integrity checks</t>
  </si>
  <si>
    <t>SCENARIO &amp; GLOBAL CONTROL</t>
  </si>
  <si>
    <t>SCENARIO SELECTION</t>
  </si>
  <si>
    <t>Active Scenario (1=Base, 2=Upside, 3=Downside)</t>
  </si>
  <si>
    <t>GLOBAL SETTINGS</t>
  </si>
  <si>
    <t>Model Start Date</t>
  </si>
  <si>
    <t>Projection Years</t>
  </si>
  <si>
    <t>Periods per Year</t>
  </si>
  <si>
    <t>Total Periods</t>
  </si>
  <si>
    <t>CURRENCY &amp; TAX</t>
  </si>
  <si>
    <t>Reporting Currency</t>
  </si>
  <si>
    <t>AUD</t>
  </si>
  <si>
    <t>AUD/NZD Exchange Rate</t>
  </si>
  <si>
    <t>Corporate Tax Rate</t>
  </si>
  <si>
    <t>INFLATION ASSUMPTIONS</t>
  </si>
  <si>
    <t>General Inflation (Annual)</t>
  </si>
  <si>
    <t>Wage Inflation (Annual)</t>
  </si>
  <si>
    <t>TIMELINE</t>
  </si>
  <si>
    <t>Period</t>
  </si>
  <si>
    <t>Date</t>
  </si>
  <si>
    <t>Month</t>
  </si>
  <si>
    <t>Year</t>
  </si>
  <si>
    <t>Quarter</t>
  </si>
  <si>
    <t>FY</t>
  </si>
  <si>
    <t>Period Label</t>
  </si>
  <si>
    <t>Q1</t>
  </si>
  <si>
    <t>FY2025</t>
  </si>
  <si>
    <t>Jan-25</t>
  </si>
  <si>
    <t>Feb-25</t>
  </si>
  <si>
    <t>Mar-25</t>
  </si>
  <si>
    <t>Q2</t>
  </si>
  <si>
    <t>Apr-25</t>
  </si>
  <si>
    <t>May-25</t>
  </si>
  <si>
    <t>Jun-25</t>
  </si>
  <si>
    <t>Q3</t>
  </si>
  <si>
    <t>FY2026</t>
  </si>
  <si>
    <t>Jul-25</t>
  </si>
  <si>
    <t>Aug-25</t>
  </si>
  <si>
    <t>Sep-25</t>
  </si>
  <si>
    <t>Q4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</si>
  <si>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</si>
  <si>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</si>
  <si>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</si>
  <si>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</si>
  <si>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</si>
  <si>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</si>
  <si>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</si>
  <si>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</si>
  <si>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</si>
  <si>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FY2027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</si>
  <si>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</si>
  <si>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</si>
  <si>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</si>
  <si>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</si>
  <si>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</si>
  <si>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</si>
  <si>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</si>
  <si>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</si>
  <si>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</si>
  <si>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</si>
  <si>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</si>
  <si>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</si>
  <si>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FY2028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</si>
  <si>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</si>
  <si>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</si>
  <si>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</si>
  <si>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</si>
  <si>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</si>
  <si>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</si>
  <si>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</si>
  <si>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</si>
  <si>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</si>
  <si>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</si>
  <si>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</si>
  <si>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</si>
  <si>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FY2029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</si>
  <si>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</si>
  <si>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</si>
  <si>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</si>
  <si>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</si>
  <si>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</si>
  <si>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</si>
  <si>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</si>
  <si>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</si>
  <si>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</si>
  <si>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</si>
  <si>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</si>
  <si>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</si>
  <si>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FY2030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</si>
  <si>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</si>
  <si>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</si>
  <si>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</si>
  <si>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</si>
  <si>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</si>
  <si>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</si>
  <si>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</si>
  <si>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</si>
  <si>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</si>
  <si>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</si>
  <si>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</si>
  <si>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</si>
  <si>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FY2031</t>
  </si>
  <si>
    <t>Jul-30</t>
  </si>
  <si>
    <t>Aug-30</t>
  </si>
  <si>
    <t>Sep-30</t>
  </si>
  <si>
    <t>Oct-30</t>
  </si>
  <si>
    <t>Nov-30</t>
  </si>
  <si>
    <t>Dec-30</t>
  </si>
  <si>
    <t>Jan-31</t>
  </si>
  <si>
    <t>Feb-31</t>
  </si>
  <si>
    <t>Mar-31</t>
  </si>
  <si>
    <t>Apr-31</t>
  </si>
  <si>
    <t>May-31</t>
  </si>
  <si>
    <t>Jun-31</t>
  </si>
  <si>
    <t>FY2032</t>
  </si>
  <si>
    <t>Jul-31</t>
  </si>
  <si>
    <t>Aug-31</t>
  </si>
  <si>
    <t>Sep-31</t>
  </si>
  <si>
    <t>Oct-31</t>
  </si>
  <si>
    <t>Nov-31</t>
  </si>
  <si>
    <t>Dec-31</t>
  </si>
  <si>
    <t>Jan-32</t>
  </si>
  <si>
    <t>Feb-32</t>
  </si>
  <si>
    <t>Mar-32</t>
  </si>
  <si>
    <t>Apr-32</t>
  </si>
  <si>
    <t>May-32</t>
  </si>
  <si>
    <t>Jun-32</t>
  </si>
  <si>
    <t>FY2033</t>
  </si>
  <si>
    <t>Jul-32</t>
  </si>
  <si>
    <t>Aug-32</t>
  </si>
  <si>
    <t>Sep-32</t>
  </si>
  <si>
    <t>Oct-32</t>
  </si>
  <si>
    <t>Nov-32</t>
  </si>
  <si>
    <t>Dec-32</t>
  </si>
  <si>
    <t>Jan-33</t>
  </si>
  <si>
    <t>Feb-33</t>
  </si>
  <si>
    <t>Mar-33</t>
  </si>
  <si>
    <t>Apr-33</t>
  </si>
  <si>
    <t>May-33</t>
  </si>
  <si>
    <t>Jun-33</t>
  </si>
  <si>
    <t>FY2034</t>
  </si>
  <si>
    <t>Jul-33</t>
  </si>
  <si>
    <t>Aug-33</t>
  </si>
  <si>
    <t>Sep-33</t>
  </si>
  <si>
    <t>Oct-33</t>
  </si>
  <si>
    <t>Nov-33</t>
  </si>
  <si>
    <t>Dec-33</t>
  </si>
  <si>
    <t>Jan-34</t>
  </si>
  <si>
    <t>Feb-34</t>
  </si>
  <si>
    <t>Mar-34</t>
  </si>
  <si>
    <t>Apr-34</t>
  </si>
  <si>
    <t>May-34</t>
  </si>
  <si>
    <t>Jun-34</t>
  </si>
  <si>
    <t>FY2035</t>
  </si>
  <si>
    <t>Jul-34</t>
  </si>
  <si>
    <t>Aug-34</t>
  </si>
  <si>
    <t>Sep-34</t>
  </si>
  <si>
    <t>Oct-34</t>
  </si>
  <si>
    <t>Nov-34</t>
  </si>
  <si>
    <t>Dec-34</t>
  </si>
  <si>
    <t>SKU MATRIX</t>
  </si>
  <si>
    <t>SKU_ID</t>
  </si>
  <si>
    <t>Brand</t>
  </si>
  <si>
    <t>Format</t>
  </si>
  <si>
    <t>Pack_Size</t>
  </si>
  <si>
    <t>Units_Per_Pack</t>
  </si>
  <si>
    <t>ML_Per_Unit</t>
  </si>
  <si>
    <t>HL_Per_Pack</t>
  </si>
  <si>
    <t>ABV</t>
  </si>
  <si>
    <t>On_Trade</t>
  </si>
  <si>
    <t>Off_Trade</t>
  </si>
  <si>
    <t>Active</t>
  </si>
  <si>
    <t>SKU01</t>
  </si>
  <si>
    <t>SkyBrew</t>
  </si>
  <si>
    <t>Bottle</t>
  </si>
  <si>
    <t>330ml Single</t>
  </si>
  <si>
    <t>SKU02</t>
  </si>
  <si>
    <t>330ml 6-pack</t>
  </si>
  <si>
    <t>SKU03</t>
  </si>
  <si>
    <t>330ml 24-pack</t>
  </si>
  <si>
    <t>SKU04</t>
  </si>
  <si>
    <t>500ml Single</t>
  </si>
  <si>
    <t>SKU05</t>
  </si>
  <si>
    <t>750ml Single</t>
  </si>
  <si>
    <t>SKU06</t>
  </si>
  <si>
    <t>Can</t>
  </si>
  <si>
    <t>SKU07</t>
  </si>
  <si>
    <t>330ml 4-pack</t>
  </si>
  <si>
    <t>SKU08</t>
  </si>
  <si>
    <t>SKU09</t>
  </si>
  <si>
    <t>SKU10</t>
  </si>
  <si>
    <t>SKU11</t>
  </si>
  <si>
    <t>Keg</t>
  </si>
  <si>
    <t>20L</t>
  </si>
  <si>
    <t>SKU12</t>
  </si>
  <si>
    <t>50L</t>
  </si>
  <si>
    <t>SKU13</t>
  </si>
  <si>
    <t>AllDark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</si>
  <si>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</si>
  <si>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</si>
  <si>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</si>
  <si>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</si>
  <si>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</si>
  <si>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</si>
  <si>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</si>
  <si>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</si>
  <si>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</si>
  <si>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</si>
  <si>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</si>
  <si>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VOLUME ASSUMPTIONS</t>
  </si>
  <si>
    <t>BASE ANNUAL VOLUMES (HL) - YEAR 1</t>
  </si>
  <si>
    <t>Total Base Volume (HL)</t>
  </si>
  <si>
    <t>BRAND MIX</t>
  </si>
  <si>
    <t>SkyBrew %</t>
  </si>
  <si>
    <t>AllDark %</t>
  </si>
  <si>
    <t>MARKET MIX</t>
  </si>
  <si>
    <t>Australia %</t>
  </si>
  <si>
    <t>New Zealand %</t>
  </si>
  <si>
    <t>CHANNEL MIX</t>
  </si>
  <si>
    <t>On-Trade %</t>
  </si>
  <si>
    <t>Off-Trade %</t>
  </si>
  <si>
    <t>FORMAT MIX (within channel)</t>
  </si>
  <si>
    <t>On-Trade:</t>
  </si>
  <si>
    <t xml:space="preserve">  Kegs %</t>
  </si>
  <si>
    <t xml:space="preserve">  Bottles %</t>
  </si>
  <si>
    <t xml:space="preserve">  Cans %</t>
  </si>
  <si>
    <t>Off-Trade:</t>
  </si>
  <si>
    <t>ANNUAL VOLUME GROWTH RATES</t>
  </si>
  <si>
    <t>Base</t>
  </si>
  <si>
    <t>Upside</t>
  </si>
  <si>
    <t>Downside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</si>
  <si>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</si>
  <si>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</si>
  <si>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</si>
  <si>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</si>
  <si>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</si>
  <si>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</si>
  <si>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</si>
  <si>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</si>
  <si>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</si>
  <si>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</si>
  <si>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MONTHLY SEASONALITY INDEX</t>
  </si>
  <si>
    <t>(Sum = 12.00)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</si>
  <si>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</si>
  <si>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</si>
  <si>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</si>
  <si>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</si>
  <si>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</si>
  <si>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</si>
  <si>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</si>
  <si>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</si>
  <si>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</si>
  <si>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</si>
  <si>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</si>
  <si>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</si>
  <si>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Seasonality Check (should = 12)</t>
  </si>
  <si>
    <t>PRICING ASSUMPTIONS</t>
  </si>
  <si>
    <t>GROSS PRICE PER HL (AUD)</t>
  </si>
  <si>
    <t>On-Trade</t>
  </si>
  <si>
    <t>Off-Trade</t>
  </si>
  <si>
    <t>DISCOUNTS &amp; REBATES</t>
  </si>
  <si>
    <t>On-Trade Discount %</t>
  </si>
  <si>
    <t>Off-Trade Retail Discount %</t>
  </si>
  <si>
    <t>Off-Trade Wholesale Discount %</t>
  </si>
  <si>
    <t>Blended Off-Trade Discount</t>
  </si>
  <si>
    <t>EXCISE DUTY</t>
  </si>
  <si>
    <t>Australia - Rate per Litre of Alcohol (LAL)</t>
  </si>
  <si>
    <t>Australia - Keg Rebate %</t>
  </si>
  <si>
    <t>New Zealand - Rate per LAL (AUD equivalent)</t>
  </si>
  <si>
    <t>CALCULATED EXCISE PER HL:</t>
  </si>
  <si>
    <t>AU SkyBrew (5% ABV) - Standard</t>
  </si>
  <si>
    <t>AU SkyBrew (5% ABV) - Keg</t>
  </si>
  <si>
    <t>AU AllDark (6% ABV) - Standard</t>
  </si>
  <si>
    <t>AU AllDark (6% ABV) - Keg</t>
  </si>
  <si>
    <t>NZ SkyBrew (5% ABV)</t>
  </si>
  <si>
    <t>NZ AllDark (6% ABV)</t>
  </si>
  <si>
    <t>ANNUAL PRICE INCREASE</t>
  </si>
  <si>
    <t>Base Scenario</t>
  </si>
  <si>
    <t>Upside Scenario</t>
  </si>
  <si>
    <t>Downside Scenario</t>
  </si>
  <si>
    <t>COST ASSUMPTIONS</t>
  </si>
  <si>
    <t>COGS PER HL (AUD)</t>
  </si>
  <si>
    <t>RAW MATERIALS (per HL)</t>
  </si>
  <si>
    <t>Malt &amp; Adjuncts</t>
  </si>
  <si>
    <t>Hops</t>
  </si>
  <si>
    <t>Yeast</t>
  </si>
  <si>
    <t>Water &amp; Treatment</t>
  </si>
  <si>
    <t>Total Raw Materials</t>
  </si>
  <si>
    <t>PACKAGING MATERIALS (per HL)</t>
  </si>
  <si>
    <t>Bottles (glass, labels, caps, cartons)</t>
  </si>
  <si>
    <t>Cans (aluminum, labels, cartons)</t>
  </si>
  <si>
    <t>Kegs (depreciation, cleaning, fittings)</t>
  </si>
  <si>
    <t>DIRECT MANUFACTURING (per HL)</t>
  </si>
  <si>
    <t>Direct Labour</t>
  </si>
  <si>
    <t>Utilities (power, gas, water)</t>
  </si>
  <si>
    <t>Manufacturing Overhead</t>
  </si>
  <si>
    <t>Quality Control</t>
  </si>
  <si>
    <t>Total Direct Manufacturing</t>
  </si>
  <si>
    <t>TOTAL COGS SUMMARY (per HL)</t>
  </si>
  <si>
    <t>Bottle Product</t>
  </si>
  <si>
    <t>Can Product</t>
  </si>
  <si>
    <t>Keg Product</t>
  </si>
  <si>
    <t>LOGISTICS &amp; DISTRIBUTION (per HL)</t>
  </si>
  <si>
    <t>Domestic Freight - Australia</t>
  </si>
  <si>
    <t>Domestic Freight - New Zealand</t>
  </si>
  <si>
    <t>Export Freight (AU to NZ)</t>
  </si>
  <si>
    <t>Warehousing</t>
  </si>
  <si>
    <t>Cold Chain Premium (Kegs)</t>
  </si>
  <si>
    <t>SG&amp;A (% of Revenue)</t>
  </si>
  <si>
    <t>Sales Team</t>
  </si>
  <si>
    <t>Marketing</t>
  </si>
  <si>
    <t>Trade Marketing</t>
  </si>
  <si>
    <t>General &amp; Admin</t>
  </si>
  <si>
    <t>Total SG&amp;A %</t>
  </si>
  <si>
    <t>ANNUAL COST INFLATION</t>
  </si>
  <si>
    <t>CAPEX &amp; CAPACITY ASSUMPTIONS</t>
  </si>
  <si>
    <t>OPENING BALANCE SHEET (Year 0)</t>
  </si>
  <si>
    <t>Asset Class</t>
  </si>
  <si>
    <t>Gross Value</t>
  </si>
  <si>
    <t>Accum Depr</t>
  </si>
  <si>
    <t>Net Value</t>
  </si>
  <si>
    <t>Useful Life</t>
  </si>
  <si>
    <t>Annual Depr</t>
  </si>
  <si>
    <t>Land</t>
  </si>
  <si>
    <t>N/A</t>
  </si>
  <si>
    <t>Buildings</t>
  </si>
  <si>
    <t>Brewing Equipment</t>
  </si>
  <si>
    <t>Packaging Lines</t>
  </si>
  <si>
    <t>Kegs &amp; Returnable Packaging</t>
  </si>
  <si>
    <t>Vehicles &amp; Logistics</t>
  </si>
  <si>
    <t>IT &amp; Systems</t>
  </si>
  <si>
    <t>TOTAL</t>
  </si>
  <si>
    <t>PRODUCTION CAPACITY</t>
  </si>
  <si>
    <t>Fermentation Capacity (HL/year)</t>
  </si>
  <si>
    <t>Bottle Line Capacity (HL/year)</t>
  </si>
  <si>
    <t>Can Line Capacity (HL/year)</t>
  </si>
  <si>
    <t>Keg Line Capacity (HL/year)</t>
  </si>
  <si>
    <t>EXPANSION CAPEX (per 20% capacity addition)</t>
  </si>
  <si>
    <t>Fermentation Expansion</t>
  </si>
  <si>
    <t>Bottle Line Expansion</t>
  </si>
  <si>
    <t>Can Line Expansion</t>
  </si>
  <si>
    <t>Keg Line Expansion</t>
  </si>
  <si>
    <t>MAINTENANCE CAPEX</t>
  </si>
  <si>
    <t>Annual Maintenance Capex (% of Gross PP&amp;E)</t>
  </si>
  <si>
    <t>EXPANSION TRIGGER</t>
  </si>
  <si>
    <t>Utilization Trigger for Expansion</t>
  </si>
  <si>
    <t>WORKING CAPITAL ASSUMPTIONS</t>
  </si>
  <si>
    <t>INVENTORY DAYS</t>
  </si>
  <si>
    <t>Raw Materials (days of COGS)</t>
  </si>
  <si>
    <t>Work in Progress (days of COGS)</t>
  </si>
  <si>
    <t>Finished Goods (days of COGS)</t>
  </si>
  <si>
    <t>Total Inventory Days</t>
  </si>
  <si>
    <t>RECEIVABLE DAYS</t>
  </si>
  <si>
    <t>On-Trade (days of revenue)</t>
  </si>
  <si>
    <t>Off-Trade (days of revenue)</t>
  </si>
  <si>
    <t>Blended Average</t>
  </si>
  <si>
    <t>PAYABLE DAYS</t>
  </si>
  <si>
    <t>Trade Payables (days of COGS + Opex)</t>
  </si>
  <si>
    <t>OTHER WORKING CAPITAL</t>
  </si>
  <si>
    <t>Prepayments (days of Opex)</t>
  </si>
  <si>
    <t>Accruals (days of Opex)</t>
  </si>
  <si>
    <t>Returnable Packaging Deposits (AUD)</t>
  </si>
  <si>
    <t>OPENING WORKING CAPITAL</t>
  </si>
  <si>
    <t>Opening Inventory ($000s)</t>
  </si>
  <si>
    <t>Opening Receivables ($000s)</t>
  </si>
  <si>
    <t>Opening Payables ($000s)</t>
  </si>
  <si>
    <t>Opening Prepayments ($000s)</t>
  </si>
  <si>
    <t>Opening Accruals ($000s)</t>
  </si>
  <si>
    <t>Opening Net Working Capital</t>
  </si>
  <si>
    <t>FINANCING ASSUMPTIONS</t>
  </si>
  <si>
    <t>EXISTING DEBT</t>
  </si>
  <si>
    <t>Term Loan - Principal Outstanding</t>
  </si>
  <si>
    <t>Term Loan - Interest Rate</t>
  </si>
  <si>
    <t>Term Loan - Remaining Term (years)</t>
  </si>
  <si>
    <t>Term Loan - Annual Principal Payment</t>
  </si>
  <si>
    <t>REVOLVING FACILITY</t>
  </si>
  <si>
    <t>Facility Limit</t>
  </si>
  <si>
    <t>Current Drawn Amount</t>
  </si>
  <si>
    <t>Interest Rate</t>
  </si>
  <si>
    <t>Commitment Fee (on undrawn)</t>
  </si>
  <si>
    <t>EQUITY</t>
  </si>
  <si>
    <t>Opening Share Capital</t>
  </si>
  <si>
    <t>Opening Retained Earnings</t>
  </si>
  <si>
    <t>DIVIDEND POLICY</t>
  </si>
  <si>
    <t>Target Payout Ratio (% of Net Income)</t>
  </si>
  <si>
    <t>Minimum Cash Balance Before Dividends</t>
  </si>
  <si>
    <t>CASH</t>
  </si>
  <si>
    <t>Opening Cash Balance</t>
  </si>
  <si>
    <t>Minimum Operating Cash</t>
  </si>
  <si>
    <t>VOLUME CALCULATIONS</t>
  </si>
  <si>
    <t>Seasonality Index</t>
  </si>
  <si>
    <t>CUMULATIVE GROWTH INDEX</t>
  </si>
  <si>
    <t>TOTAL VOLUME (HL)</t>
  </si>
  <si>
    <t>Total</t>
  </si>
  <si>
    <t>BY MARKET (HL)</t>
  </si>
  <si>
    <t>Australia</t>
  </si>
  <si>
    <t>New Zealand</t>
  </si>
  <si>
    <t>BY CHANNEL (HL)</t>
  </si>
  <si>
    <t>BY FORMAT (HL)</t>
  </si>
  <si>
    <t>Bottles</t>
  </si>
  <si>
    <t>Cans</t>
  </si>
  <si>
    <t>Kegs</t>
  </si>
  <si>
    <t>REVENUE CALCULATIONS</t>
  </si>
  <si>
    <t>Price Index (cumulative)</t>
  </si>
  <si>
    <t>GROSS REVENUE ($000s)</t>
  </si>
  <si>
    <t>SkyBrew On-Trade</t>
  </si>
  <si>
    <t>SkyBrew Off-Trade</t>
  </si>
  <si>
    <t>AllDark On-Trade</t>
  </si>
  <si>
    <t>AllDark Off-Trade</t>
  </si>
  <si>
    <t>Total Gross Revenue</t>
  </si>
  <si>
    <t>DISCOUNTS ($000s)</t>
  </si>
  <si>
    <t>On-Trade Discounts</t>
  </si>
  <si>
    <t>Off-Trade Discounts</t>
  </si>
  <si>
    <t>Total Discounts</t>
  </si>
  <si>
    <t>EXCISE DUTY ($000s)</t>
  </si>
  <si>
    <t>Australia Excise</t>
  </si>
  <si>
    <t>New Zealand Excise</t>
  </si>
  <si>
    <t>Total Excise</t>
  </si>
  <si>
    <t>NET REVENUE ($000s)</t>
  </si>
  <si>
    <t>Net Revenue</t>
  </si>
  <si>
    <t>KEY METRICS</t>
  </si>
  <si>
    <t>Gross Revenue per HL</t>
  </si>
  <si>
    <t>Net Revenue per HL</t>
  </si>
  <si>
    <t>Excise per HL</t>
  </si>
  <si>
    <t>COST OF GOODS SOLD</t>
  </si>
  <si>
    <t>Cost Index (cumulative)</t>
  </si>
  <si>
    <t>RAW MATERIALS ($000s)</t>
  </si>
  <si>
    <t>PACKAGING ($000s)</t>
  </si>
  <si>
    <t>Total Packaging</t>
  </si>
  <si>
    <t>DIRECT MANUFACTURING ($000s)</t>
  </si>
  <si>
    <t>Utilities</t>
  </si>
  <si>
    <t>TOTAL COGS ($000s)</t>
  </si>
  <si>
    <t>Total COGS</t>
  </si>
  <si>
    <t>COGS per HL</t>
  </si>
  <si>
    <t>Gross Margin %</t>
  </si>
  <si>
    <t>OPERATING EXPENSES</t>
  </si>
  <si>
    <t>LOGISTICS &amp; DISTRIBUTION ($000s)</t>
  </si>
  <si>
    <t>Australia Freight</t>
  </si>
  <si>
    <t>New Zealand Freight</t>
  </si>
  <si>
    <t>Cold Chain (Kegs)</t>
  </si>
  <si>
    <t>Total Logistics</t>
  </si>
  <si>
    <t>SG&amp;A ($000s)</t>
  </si>
  <si>
    <t>Total SG&amp;A</t>
  </si>
  <si>
    <t>TOTAL OPEX ($000s)</t>
  </si>
  <si>
    <t>Total Operating Expenses</t>
  </si>
  <si>
    <t>CAPEX &amp; DEPRECIATION</t>
  </si>
  <si>
    <t>OPENING PP&amp;E ($000s)</t>
  </si>
  <si>
    <t>Gross PP&amp;E - Opening</t>
  </si>
  <si>
    <t>Accumulated Depreciation - Opening</t>
  </si>
  <si>
    <t>Net PP&amp;E - Opening</t>
  </si>
  <si>
    <t>MOVEMENTS ($000s)</t>
  </si>
  <si>
    <t>Maintenance Capex</t>
  </si>
  <si>
    <t>Expansion Capex</t>
  </si>
  <si>
    <t>Total Capex</t>
  </si>
  <si>
    <t>Depreciation</t>
  </si>
  <si>
    <t>CLOSING PP&amp;E ($000s)</t>
  </si>
  <si>
    <t>Gross PP&amp;E - Closing</t>
  </si>
  <si>
    <t>Accumulated Depreciation - Closing</t>
  </si>
  <si>
    <t>Net PP&amp;E - Closing</t>
  </si>
  <si>
    <t>CAPACITY UTILIZATION</t>
  </si>
  <si>
    <t>Fermentation Capacity (HL/month)</t>
  </si>
  <si>
    <t>Volume Produced (HL)</t>
  </si>
  <si>
    <t>Utilization %</t>
  </si>
  <si>
    <t>WORKING CAPITAL</t>
  </si>
  <si>
    <t>INVENTORY ($000s)</t>
  </si>
  <si>
    <t>Raw Materials</t>
  </si>
  <si>
    <t>Work in Progress</t>
  </si>
  <si>
    <t>Finished Goods</t>
  </si>
  <si>
    <t>Total Inventory</t>
  </si>
  <si>
    <t>RECEIVABLES ($000s)</t>
  </si>
  <si>
    <t>Trade Receivables</t>
  </si>
  <si>
    <t>PAYABLES ($000s)</t>
  </si>
  <si>
    <t>Trade Payables</t>
  </si>
  <si>
    <t>OTHER ($000s)</t>
  </si>
  <si>
    <t>Prepayments</t>
  </si>
  <si>
    <t>Accruals</t>
  </si>
  <si>
    <t>NET WORKING CAPITAL ($000s)</t>
  </si>
  <si>
    <t>Net Working Capital</t>
  </si>
  <si>
    <t>Change in NWC</t>
  </si>
  <si>
    <t>DEBT SCHEDULE</t>
  </si>
  <si>
    <t>TERM LOAN ($000s)</t>
  </si>
  <si>
    <t>Opening Balance</t>
  </si>
  <si>
    <t>Principal Payment</t>
  </si>
  <si>
    <t>Closing Balance</t>
  </si>
  <si>
    <t>Interest Expense</t>
  </si>
  <si>
    <t>REVOLVER ($000s)</t>
  </si>
  <si>
    <t>Draw / (Repay)</t>
  </si>
  <si>
    <t>Commitment Fee</t>
  </si>
  <si>
    <t>TOTAL DEBT ($000s)</t>
  </si>
  <si>
    <t>Total Debt</t>
  </si>
  <si>
    <t>Total Interest Expense</t>
  </si>
  <si>
    <t>INCOME STATEMENT</t>
  </si>
  <si>
    <t>REVENUE ($000s)</t>
  </si>
  <si>
    <t>Gross Revenue</t>
  </si>
  <si>
    <t>Less: Discounts</t>
  </si>
  <si>
    <t>Less: Excise Duty</t>
  </si>
  <si>
    <t>COST OF GOODS SOLD ($000s)</t>
  </si>
  <si>
    <t>Packaging</t>
  </si>
  <si>
    <t>Direct Manufacturing</t>
  </si>
  <si>
    <t>GROSS PROFIT</t>
  </si>
  <si>
    <t>Gross Profit</t>
  </si>
  <si>
    <t>OPERATING EXPENSES ($000s)</t>
  </si>
  <si>
    <t>Logistics &amp; Distribution</t>
  </si>
  <si>
    <t>Sales &amp; Marketing</t>
  </si>
  <si>
    <t>Total Opex</t>
  </si>
  <si>
    <t>EBITDA</t>
  </si>
  <si>
    <t>EBITDA Margin %</t>
  </si>
  <si>
    <t>EBIT</t>
  </si>
  <si>
    <t>EBIT Margin %</t>
  </si>
  <si>
    <t>EBT</t>
  </si>
  <si>
    <t>Income Tax</t>
  </si>
  <si>
    <t>NET INCOME</t>
  </si>
  <si>
    <t>Net Margin %</t>
  </si>
  <si>
    <t>CASH FLOW STATEMENT</t>
  </si>
  <si>
    <t>OPERATING ACTIVITIES ($000s)</t>
  </si>
  <si>
    <t>Net Income</t>
  </si>
  <si>
    <t>Add: Depreciation</t>
  </si>
  <si>
    <t>Change in Working Capital</t>
  </si>
  <si>
    <t>Cash from Operations</t>
  </si>
  <si>
    <t>INVESTING ACTIVITIES ($000s)</t>
  </si>
  <si>
    <t>Capital Expenditure</t>
  </si>
  <si>
    <t>Cash from Investing</t>
  </si>
  <si>
    <t>FINANCING ACTIVITIES ($000s)</t>
  </si>
  <si>
    <t>Term Loan Principal Payments</t>
  </si>
  <si>
    <t>Revolver Draw / (Repay)</t>
  </si>
  <si>
    <t>Dividends Paid</t>
  </si>
  <si>
    <t>Cash from Financing</t>
  </si>
  <si>
    <t>CASH MOVEMENT ($000s)</t>
  </si>
  <si>
    <t>Net Cash Flow</t>
  </si>
  <si>
    <t>Opening Cash</t>
  </si>
  <si>
    <t>Closing Cash</t>
  </si>
  <si>
    <t>BALANCE SHEET</t>
  </si>
  <si>
    <t>ASSETS ($000s)</t>
  </si>
  <si>
    <t>Current Assets:</t>
  </si>
  <si>
    <t>Cash</t>
  </si>
  <si>
    <t>Inventory</t>
  </si>
  <si>
    <t>Total Current Assets</t>
  </si>
  <si>
    <t>Non-Current Assets:</t>
  </si>
  <si>
    <t>Property, Plant &amp; Equipment</t>
  </si>
  <si>
    <t>Total Non-Current Assets</t>
  </si>
  <si>
    <t>TOTAL ASSETS</t>
  </si>
  <si>
    <t>LIABILITIES ($000s)</t>
  </si>
  <si>
    <t>Current Liabilities:</t>
  </si>
  <si>
    <t>Current Debt</t>
  </si>
  <si>
    <t>Total Current Liabilities</t>
  </si>
  <si>
    <t>Non-Current Liabilities:</t>
  </si>
  <si>
    <t>Long-term Debt</t>
  </si>
  <si>
    <t>Total Non-Current Liabilities</t>
  </si>
  <si>
    <t>TOTAL LIABILITIES</t>
  </si>
  <si>
    <t>EQUITY ($000s)</t>
  </si>
  <si>
    <t>Share Capital</t>
  </si>
  <si>
    <t>Retained Earnings</t>
  </si>
  <si>
    <t>TOTAL EQUITY</t>
  </si>
  <si>
    <t>TOTAL LIABILITIES &amp; EQUITY</t>
  </si>
  <si>
    <t>BALANCE CHECK</t>
  </si>
  <si>
    <t>Assets - Liabilities - Equity</t>
  </si>
  <si>
    <t>KEY PERFORMANCE INDICATORS</t>
  </si>
  <si>
    <t>VOLUME METRICS</t>
  </si>
  <si>
    <t>Total Volume (HL)</t>
  </si>
  <si>
    <t>Volume Growth (YoY %)</t>
  </si>
  <si>
    <t>Capacity Utilization %</t>
  </si>
  <si>
    <t>REVENUE METRICS</t>
  </si>
  <si>
    <t>Gross Revenue ($000s)</t>
  </si>
  <si>
    <t>Net Revenue ($000s)</t>
  </si>
  <si>
    <t>Revenue per HL ($)</t>
  </si>
  <si>
    <t>Revenue Growth (YoY %)</t>
  </si>
  <si>
    <t>PROFITABILITY METRICS</t>
  </si>
  <si>
    <t>EBITDA ($000s)</t>
  </si>
  <si>
    <t>Net Income ($000s)</t>
  </si>
  <si>
    <t>CASH &amp; LEVERAGE</t>
  </si>
  <si>
    <t>Cash Balance ($000s)</t>
  </si>
  <si>
    <t>Total Debt ($000s)</t>
  </si>
  <si>
    <t>Net Debt ($000s)</t>
  </si>
  <si>
    <t>Net Debt / EBITDA (LTM)</t>
  </si>
  <si>
    <t>Interest Coverage (EBITDA/Interest)</t>
  </si>
  <si>
    <t>RETURNS</t>
  </si>
  <si>
    <t>ROE %</t>
  </si>
  <si>
    <t>ROA %</t>
  </si>
  <si>
    <t>ROCE %</t>
  </si>
  <si>
    <t>Net Working Capital ($000s)</t>
  </si>
  <si>
    <t>NWC as % of Revenue</t>
  </si>
  <si>
    <t>Cash Conversion Cycle (days)</t>
  </si>
  <si>
    <t>MODEL INTEGRITY CHECKS</t>
  </si>
  <si>
    <t>CHECK DESCRIPTION</t>
  </si>
  <si>
    <t>FORMULA</t>
  </si>
  <si>
    <t>RESULT</t>
  </si>
  <si>
    <t>STATUS</t>
  </si>
  <si>
    <t>Balance Sheet Balances (all periods)</t>
  </si>
  <si>
    <t>Seasonality Sums to 12</t>
  </si>
  <si>
    <t>Brand Mix Sums to 100%</t>
  </si>
  <si>
    <t>Market Mix Sums to 100%</t>
  </si>
  <si>
    <t>Channel Mix Sums to 100%</t>
  </si>
  <si>
    <t>Cash Never Negative</t>
  </si>
  <si>
    <t>Debt Never Negative</t>
  </si>
  <si>
    <t>Volume Never Negative</t>
  </si>
  <si>
    <t>Gross Margin Always Positive</t>
  </si>
  <si>
    <t>Total Assets = Total L&amp;E (Period 1)</t>
  </si>
  <si>
    <t>Total Assets = Total L&amp;E (Period 60)</t>
  </si>
  <si>
    <t>Total Assets = Total L&amp;E (Period 120)</t>
  </si>
  <si>
    <t>Net Income Flows to RE</t>
  </si>
  <si>
    <t>OVERALL STATUS</t>
  </si>
  <si>
    <t>ANNUAL SUMMARY</t>
  </si>
  <si>
    <t>METRIC</t>
  </si>
  <si>
    <t>Volume (HL)</t>
  </si>
  <si>
    <t>COGS ($000s)</t>
  </si>
  <si>
    <t>Gross Profit ($000s)</t>
  </si>
  <si>
    <t>EBIT ($000s)</t>
  </si>
  <si>
    <t>Capex ($000s)</t>
  </si>
  <si>
    <t>Cash from Ops ($000s)</t>
  </si>
  <si>
    <t>Closing Cash ($000s)</t>
  </si>
  <si>
    <t>Total Equity ($000s)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</si>
</sst>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%"/>
    <numFmt numFmtId="166" formatCode="mmm\-yyyy"/>
    <numFmt numFmtId="167" formatCode="\$#,##0"/>
    <numFmt numFmtId="168" formatCode="\$#,##0.00"/>
    <numFmt numFmtId="169" formatCode="0.000"/>
    <numFmt numFmtId="170" formatCode="0.0\x"/>
  </numFmts>
  <fonts count="9">
    <font>
      <sz val="11"/>
      <color theme="1"/>
      <name val="Calibri"/>
      <family val="2"/>
      <charset val="1"/>
    </font>
    <font>
      <b/>
      <sz val="24"/>
      <name val="Cambria"/>
      <charset val="1"/>
    </font>
    <font>
      <b/>
      <sz val="16"/>
      <name val="Cambria"/>
      <charset val="1"/>
    </font>
    <font>
      <sz val="11"/>
      <color rgb="FF0000FF"/>
      <name val="Cambria"/>
      <charset val="1"/>
    </font>
    <font>
      <b/>
      <sz val="14"/>
      <name val="Cambria"/>
      <charset val="1"/>
    </font>
    <font>
      <b/>
      <sz val="12"/>
      <name val="Cambria"/>
      <charset val="1"/>
    </font>
    <font>
      <sz val="11"/>
      <color rgb="FF000000"/>
      <name val="Cambria"/>
      <charset val="1"/>
    </font>
    <font>
      <b/>
      <sz val="11"/>
      <name val="Cambria"/>
      <charset val="1"/>
    </font>
    <font>
      <sz val="11"/>
      <color rgb="FF00800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164" fontId="3" fillId="0" borderId="0" xfId="0" applyNumberFormat="1" applyFont="1"/>
    <xf numFmtId="0" fontId="6" fillId="0" borderId="0" xfId="0" applyFont="1"/>
    <xf numFmtId="165" fontId="3" fillId="0" borderId="0" xfId="0" applyNumberFormat="1" applyFont="1"/>
    <xf numFmtId="0" fontId="7" fillId="3" borderId="0" xfId="0" applyFont="1" applyFill="1"/>
    <xf numFmtId="166" fontId="0" fillId="0" borderId="0" xfId="0" applyNumberFormat="1"/>
    <xf numFmtId="3" fontId="3" fillId="2" borderId="0" xfId="0" applyNumberFormat="1" applyFont="1" applyFill="1"/>
    <xf numFmtId="165" fontId="0" fillId="0" borderId="0" xfId="0" applyNumberFormat="1"/>
    <xf numFmtId="0" fontId="7" fillId="0" borderId="0" xfId="0" applyFont="1"/>
    <xf numFmtId="2" fontId="3" fillId="0" borderId="0" xfId="0" applyNumberFormat="1" applyFont="1"/>
    <xf numFmtId="2" fontId="0" fillId="0" borderId="0" xfId="0" applyNumberFormat="1"/>
    <xf numFmtId="167" fontId="3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167" fontId="0" fillId="0" borderId="0" xfId="0" applyNumberFormat="1"/>
    <xf numFmtId="3" fontId="3" fillId="0" borderId="0" xfId="0" applyNumberFormat="1" applyFont="1"/>
    <xf numFmtId="3" fontId="0" fillId="0" borderId="0" xfId="0" applyNumberFormat="1"/>
    <xf numFmtId="10" fontId="3" fillId="0" borderId="0" xfId="0" applyNumberFormat="1" applyFont="1"/>
    <xf numFmtId="0" fontId="0" fillId="3" borderId="0" xfId="0" applyFill="1"/>
    <xf numFmtId="17" fontId="0" fillId="0" borderId="0" xfId="0" applyNumberFormat="1"/>
    <xf numFmtId="0" fontId="8" fillId="0" borderId="0" xfId="0" applyFont="1"/>
    <xf numFmtId="2" fontId="8" fillId="0" borderId="0" xfId="0" applyNumberFormat="1" applyFont="1"/>
    <xf numFmtId="169" fontId="0" fillId="0" borderId="0" xfId="0" applyNumberFormat="1"/>
    <xf numFmtId="3" fontId="7" fillId="0" borderId="0" xfId="0" applyNumberFormat="1" applyFont="1"/>
    <xf numFmtId="3" fontId="7" fillId="0" borderId="1" xfId="0" applyNumberFormat="1" applyFont="1" applyBorder="1"/>
    <xf numFmtId="3" fontId="7" fillId="0" borderId="2" xfId="0" applyNumberFormat="1" applyFont="1" applyBorder="1"/>
    <xf numFmtId="170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20"/>
  <sheetViews>
    <sheetView zoomScaleNormal="100" workbookViewId="0">
      <selection activeCell="B10" sqref="B10"/>
    </sheetView>
  </sheetViews>
  <sheetFormatPr defaultColWidth="8.7109375" defaultRowHeight="15"/>
  <cols>
    <col min="2" max="2" width="60" customWidth="1"/>
    <col min="3" max="3" width="20" customWidth="1"/>
  </cols>
  <sheetData>
    <row r="3" spans="2:3" ht="28.5" customHeight="1">
      <c r="B3" s="1" t="s">
        <v>0</v>
      </c>
    </row>
    <row r="5" spans="2:3" ht="19.5" customHeight="1">
      <c r="B5" s="2" t="s">
        <v>1</v>
      </c>
    </row>
    <row r="7" spans="2:3" ht="15" customHeight="1">
      <c r="B7" t="s">
        <v>2</v>
      </c>
    </row>
    <row r="9" spans="2:3" ht="15" customHeight="1">
      <c r="B9" t="s">
        <v>3</v>
      </c>
      <c r="C9" s="3" t="s">
        <v>4</v>
      </c>
    </row>
    <row r="10" spans="2:3" ht="15" customHeight="1">
      <c r="B10" t="s">
        <v>5</v>
      </c>
      <c r="C10" s="3" t="s">
        <v>6</v>
      </c>
    </row>
    <row r="12" spans="2:3" ht="15" customHeight="1">
      <c r="B12" t="s">
        <v>7</v>
      </c>
    </row>
    <row r="13" spans="2:3" ht="15" customHeight="1">
      <c r="B13" t="s">
        <v>8</v>
      </c>
    </row>
    <row r="14" spans="2:3" ht="15" customHeight="1">
      <c r="B14" t="s">
        <v>9</v>
      </c>
    </row>
    <row r="15" spans="2:3" ht="15" customHeight="1">
      <c r="B15" t="s">
        <v>10</v>
      </c>
    </row>
    <row r="16" spans="2:3" ht="15" customHeight="1">
      <c r="B16" t="s">
        <v>11</v>
      </c>
    </row>
    <row r="17" spans="2:2" ht="15" customHeight="1">
      <c r="B17" t="s">
        <v>12</v>
      </c>
    </row>
    <row r="18" spans="2:2" ht="15" customHeight="1">
      <c r="B18" t="s">
        <v>13</v>
      </c>
    </row>
    <row r="19" spans="2:2" ht="15" customHeight="1">
      <c r="B19" t="s">
        <v>14</v>
      </c>
    </row>
    <row r="20" spans="2:2" ht="15" customHeight="1">
      <c r="B20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0"/>
  <sheetViews>
    <sheetView zoomScaleNormal="100" workbookViewId="0"/>
  </sheetViews>
  <sheetFormatPr defaultColWidth="8.7109375" defaultRowHeight="15"/>
  <cols>
    <col min="2" max="2" width="40" customWidth="1"/>
    <col min="4" max="4" width="15" customWidth="1"/>
  </cols>
  <sheetData>
    <row r="2" spans="2:4" ht="17.25" customHeight="1">
      <c r="B2" s="4" t="s">
        <v>16</v>
      </c>
    </row>
    <row r="4" spans="2:4" ht="15" customHeight="1">
      <c r="B4" s="5" t="s">
        <v>17</v>
      </c>
    </row>
    <row r="5" spans="2:4" ht="15" customHeight="1">
      <c r="B5" t="s">
        <v>18</v>
      </c>
      <c r="D5" s="6">
        <v>1</v>
      </c>
    </row>
    <row r="7" spans="2:4" ht="15" customHeight="1">
      <c r="B7" s="5" t="s">
        <v>19</v>
      </c>
    </row>
    <row r="8" spans="2:4" ht="15" customHeight="1">
      <c r="B8" t="s">
        <v>20</v>
      </c>
      <c r="D8" s="7">
        <v>45658</v>
      </c>
    </row>
    <row r="9" spans="2:4" ht="15" customHeight="1">
      <c r="B9" t="s">
        <v>21</v>
      </c>
      <c r="D9" s="3">
        <v>10</v>
      </c>
    </row>
    <row r="10" spans="2:4" ht="15" customHeight="1">
      <c r="B10" t="s">
        <v>22</v>
      </c>
      <c r="D10" s="3">
        <v>12</v>
      </c>
    </row>
    <row r="11" spans="2:4" ht="15" customHeight="1">
      <c r="B11" t="s">
        <v>23</v>
      </c>
      <c r="D11" s="8">
        <f>D9*D10</f>
        <v>120</v>
      </c>
    </row>
    <row r="13" spans="2:4" ht="15" customHeight="1">
      <c r="B13" s="5" t="s">
        <v>24</v>
      </c>
    </row>
    <row r="14" spans="2:4" ht="15" customHeight="1">
      <c r="B14" t="s">
        <v>25</v>
      </c>
      <c r="D14" s="3" t="s">
        <v>26</v>
      </c>
    </row>
    <row r="15" spans="2:4" ht="15" customHeight="1">
      <c r="B15" t="s">
        <v>27</v>
      </c>
      <c r="D15" s="3">
        <v>1.1000000000000001</v>
      </c>
    </row>
    <row r="16" spans="2:4" ht="15" customHeight="1">
      <c r="B16" t="s">
        <v>28</v>
      </c>
      <c r="D16" s="9">
        <v>0.3</v>
      </c>
    </row>
    <row r="18" spans="2:4" ht="15" customHeight="1">
      <c r="B18" s="5" t="s">
        <v>29</v>
      </c>
    </row>
    <row r="19" spans="2:4" ht="15" customHeight="1">
      <c r="B19" t="s">
        <v>30</v>
      </c>
      <c r="D19" s="9">
        <v>2.5000000000000001E-2</v>
      </c>
    </row>
    <row r="20" spans="2:4" ht="15" customHeight="1">
      <c r="B20" t="s">
        <v>31</v>
      </c>
      <c r="D20" s="9">
        <v>0.03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3"/>
  <sheetViews>
    <sheetView zoomScaleNormal="100" workbookViewId="0"/>
  </sheetViews>
  <sheetFormatPr defaultColWidth="8.7109375" defaultRowHeight="15"/>
  <cols>
    <col min="1" max="7" width="12" customWidth="1"/>
  </cols>
  <sheetData>
    <row r="1" spans="1:7" ht="17.25" customHeight="1">
      <c r="A1" s="4" t="s">
        <v>32</v>
      </c>
    </row>
    <row r="3" spans="1:7" ht="15" customHeight="1">
      <c r="A3" s="10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</row>
    <row r="4" spans="1:7" ht="15" customHeight="1">
      <c r="A4">
        <v>1</v>
      </c>
      <c r="B4" s="11">
        <v>45658</v>
      </c>
      <c r="C4">
        <v>1</v>
      </c>
      <c r="D4">
        <v>2025</v>
      </c>
      <c r="E4" t="s">
        <v>40</v>
      </c>
      <c r="F4" t="s">
        <v>41</v>
      </c>
      <c r="G4" t="s">
        <v>42</v>
      </c>
    </row>
    <row r="5" spans="1:7" ht="15" customHeight="1">
      <c r="A5">
        <v>2</v>
      </c>
      <c r="B5" s="11">
        <v>45689</v>
      </c>
      <c r="C5">
        <v>2</v>
      </c>
      <c r="D5">
        <v>2025</v>
      </c>
      <c r="E5" t="s">
        <v>40</v>
      </c>
      <c r="F5" t="s">
        <v>41</v>
      </c>
      <c r="G5" t="s">
        <v>43</v>
      </c>
    </row>
    <row r="6" spans="1:7" ht="15" customHeight="1">
      <c r="A6">
        <v>3</v>
      </c>
      <c r="B6" s="11">
        <v>45717</v>
      </c>
      <c r="C6">
        <v>3</v>
      </c>
      <c r="D6">
        <v>2025</v>
      </c>
      <c r="E6" t="s">
        <v>40</v>
      </c>
      <c r="F6" t="s">
        <v>41</v>
      </c>
      <c r="G6" t="s">
        <v>44</v>
      </c>
    </row>
    <row r="7" spans="1:7" ht="15" customHeight="1">
      <c r="A7">
        <v>4</v>
      </c>
      <c r="B7" s="11">
        <v>45748</v>
      </c>
      <c r="C7">
        <v>4</v>
      </c>
      <c r="D7">
        <v>2025</v>
      </c>
      <c r="E7" t="s">
        <v>45</v>
      </c>
      <c r="F7" t="s">
        <v>41</v>
      </c>
      <c r="G7" t="s">
        <v>46</v>
      </c>
    </row>
    <row r="8" spans="1:7" ht="15" customHeight="1">
      <c r="A8">
        <v>5</v>
      </c>
      <c r="B8" s="11">
        <v>45778</v>
      </c>
      <c r="C8">
        <v>5</v>
      </c>
      <c r="D8">
        <v>2025</v>
      </c>
      <c r="E8" t="s">
        <v>45</v>
      </c>
      <c r="F8" t="s">
        <v>41</v>
      </c>
      <c r="G8" t="s">
        <v>47</v>
      </c>
    </row>
    <row r="9" spans="1:7" ht="15" customHeight="1">
      <c r="A9">
        <v>6</v>
      </c>
      <c r="B9" s="11">
        <v>45809</v>
      </c>
      <c r="C9">
        <v>6</v>
      </c>
      <c r="D9">
        <v>2025</v>
      </c>
      <c r="E9" t="s">
        <v>45</v>
      </c>
      <c r="F9" t="s">
        <v>41</v>
      </c>
      <c r="G9" t="s">
        <v>48</v>
      </c>
    </row>
    <row r="10" spans="1:7" ht="15" customHeight="1">
      <c r="A10">
        <v>7</v>
      </c>
      <c r="B10" s="11">
        <v>45839</v>
      </c>
      <c r="C10">
        <v>7</v>
      </c>
      <c r="D10">
        <v>2025</v>
      </c>
      <c r="E10" t="s">
        <v>49</v>
      </c>
      <c r="F10" t="s">
        <v>50</v>
      </c>
      <c r="G10" t="s">
        <v>51</v>
      </c>
    </row>
    <row r="11" spans="1:7" ht="15" customHeight="1">
      <c r="A11">
        <v>8</v>
      </c>
      <c r="B11" s="11">
        <v>45870</v>
      </c>
      <c r="C11">
        <v>8</v>
      </c>
      <c r="D11">
        <v>2025</v>
      </c>
      <c r="E11" t="s">
        <v>49</v>
      </c>
      <c r="F11" t="s">
        <v>50</v>
      </c>
      <c r="G11" t="s">
        <v>52</v>
      </c>
    </row>
    <row r="12" spans="1:7" ht="15" customHeight="1">
      <c r="A12">
        <v>9</v>
      </c>
      <c r="B12" s="11">
        <v>45901</v>
      </c>
      <c r="C12">
        <v>9</v>
      </c>
      <c r="D12">
        <v>2025</v>
      </c>
      <c r="E12" t="s">
        <v>49</v>
      </c>
      <c r="F12" t="s">
        <v>50</v>
      </c>
      <c r="G12" t="s">
        <v>53</v>
      </c>
    </row>
    <row r="13" spans="1:7" ht="15" customHeight="1">
      <c r="A13">
        <v>10</v>
      </c>
      <c r="B13" s="11">
        <v>45931</v>
      </c>
      <c r="C13">
        <v>10</v>
      </c>
      <c r="D13">
        <v>2025</v>
      </c>
      <c r="E13" t="s">
        <v>54</v>
      </c>
      <c r="F13" t="s">
        <v>50</v>
      </c>
      <c r="G13" t="s">
        <v>55</v>
      </c>
    </row>
    <row r="14" spans="1:7" ht="15" customHeight="1">
      <c r="A14">
        <v>11</v>
      </c>
      <c r="B14" s="11">
        <v>45962</v>
      </c>
      <c r="C14">
        <v>11</v>
      </c>
      <c r="D14">
        <v>2025</v>
      </c>
      <c r="E14" t="s">
        <v>54</v>
      </c>
      <c r="F14" t="s">
        <v>50</v>
      </c>
      <c r="G14" t="s">
        <v>56</v>
      </c>
    </row>
    <row r="15" spans="1:7" ht="15" customHeight="1">
      <c r="A15">
        <v>12</v>
      </c>
      <c r="B15" s="11">
        <v>45992</v>
      </c>
      <c r="C15">
        <v>12</v>
      </c>
      <c r="D15">
        <v>2025</v>
      </c>
      <c r="E15" t="s">
        <v>54</v>
      </c>
      <c r="F15" t="s">
        <v>50</v>
      </c>
      <c r="G15" t="s">
        <v>57</v>
      </c>
    </row>
    <row r="16" spans="1:7" ht="15" customHeight="1">
      <c r="A16">
        <v>13</v>
      </c>
      <c r="B16" s="11">
        <v>46023</v>
      </c>
      <c r="C16">
        <v>1</v>
      </c>
      <c r="D16">
        <v>2026</v>
      </c>
      <c r="E16" t="s">
        <v>40</v>
      </c>
      <c r="F16" t="s">
        <v>50</v>
      </c>
      <c r="G16" t="s">
        <v>58</v>
      </c>
    </row>
    <row r="17" spans="1:7" ht="15" customHeight="1">
      <c r="A17">
        <v>14</v>
      </c>
      <c r="B17" s="11">
        <v>46054</v>
      </c>
      <c r="C17">
        <v>2</v>
      </c>
      <c r="D17">
        <v>2026</v>
      </c>
      <c r="E17" t="s">
        <v>40</v>
      </c>
      <c r="F17" t="s">
        <v>50</v>
      </c>
      <c r="G17" t="s">
        <v>59</v>
      </c>
    </row>
    <row r="18" spans="1:7" ht="15" customHeight="1">
      <c r="A18">
        <v>15</v>
      </c>
      <c r="B18" s="11">
        <v>46082</v>
      </c>
      <c r="C18">
        <v>3</v>
      </c>
      <c r="D18">
        <v>2026</v>
      </c>
      <c r="E18" t="s">
        <v>40</v>
      </c>
      <c r="F18" t="s">
        <v>50</v>
      </c>
      <c r="G18" t="s">
        <v>60</v>
      </c>
    </row>
    <row r="19" spans="1:7" ht="15" customHeight="1">
      <c r="A19">
        <v>16</v>
      </c>
      <c r="B19" s="11">
        <v>46113</v>
      </c>
      <c r="C19">
        <v>4</v>
      </c>
      <c r="D19">
        <v>2026</v>
      </c>
      <c r="E19" t="s">
        <v>45</v>
      </c>
      <c r="F19" t="s">
        <v>50</v>
      </c>
      <c r="G19" t="s">
        <v>61</v>
      </c>
    </row>
    <row r="20" spans="1:7" ht="15" customHeight="1">
      <c r="A20">
        <v>17</v>
      </c>
      <c r="B20" s="11">
        <v>46143</v>
      </c>
      <c r="C20">
        <v>5</v>
      </c>
      <c r="D20">
        <v>2026</v>
      </c>
      <c r="E20" t="s">
        <v>45</v>
      </c>
      <c r="F20" t="s">
        <v>50</v>
      </c>
      <c r="G20" t="s">
        <v>62</v>
      </c>
    </row>
    <row r="21" spans="1:7" ht="15" customHeight="1">
      <c r="A21">
        <v>18</v>
      </c>
      <c r="B21" s="11">
        <v>46174</v>
      </c>
      <c r="C21">
        <v>6</v>
      </c>
      <c r="D21">
        <v>2026</v>
      </c>
      <c r="E21" t="s">
        <v>45</v>
      </c>
      <c r="F21" t="s">
        <v>50</v>
      </c>
      <c r="G21" t="s">
        <v>63</v>
      </c>
    </row>
    <row r="22" spans="1:7" ht="15" customHeight="1">
      <c r="A22">
        <v>19</v>
      </c>
      <c r="B22" s="11">
        <v>46204</v>
      </c>
      <c r="C22">
        <v>7</v>
      </c>
      <c r="D22">
        <v>2026</v>
      </c>
      <c r="E22" t="s">
        <v>49</v>
      </c>
      <c r="F22" t="s">
        <v>64</v>
      </c>
      <c r="G22" t="s">
        <v>65</v>
      </c>
    </row>
    <row r="23" spans="1:7" ht="15" customHeight="1">
      <c r="A23">
        <v>20</v>
      </c>
      <c r="B23" s="11">
        <v>46235</v>
      </c>
      <c r="C23">
        <v>8</v>
      </c>
      <c r="D23">
        <v>2026</v>
      </c>
      <c r="E23" t="s">
        <v>49</v>
      </c>
      <c r="F23" t="s">
        <v>64</v>
      </c>
      <c r="G23" t="s">
        <v>66</v>
      </c>
    </row>
    <row r="24" spans="1:7" ht="15" customHeight="1">
      <c r="A24">
        <v>21</v>
      </c>
      <c r="B24" s="11">
        <v>46266</v>
      </c>
      <c r="C24">
        <v>9</v>
      </c>
      <c r="D24">
        <v>2026</v>
      </c>
      <c r="E24" t="s">
        <v>49</v>
      </c>
      <c r="F24" t="s">
        <v>64</v>
      </c>
      <c r="G24" t="s">
        <v>67</v>
      </c>
    </row>
    <row r="25" spans="1:7" ht="15" customHeight="1">
      <c r="A25">
        <v>22</v>
      </c>
      <c r="B25" s="11">
        <v>46296</v>
      </c>
      <c r="C25">
        <v>10</v>
      </c>
      <c r="D25">
        <v>2026</v>
      </c>
      <c r="E25" t="s">
        <v>54</v>
      </c>
      <c r="F25" t="s">
        <v>64</v>
      </c>
      <c r="G25" t="s">
        <v>68</v>
      </c>
    </row>
    <row r="26" spans="1:7" ht="15" customHeight="1">
      <c r="A26">
        <v>23</v>
      </c>
      <c r="B26" s="11">
        <v>46327</v>
      </c>
      <c r="C26">
        <v>11</v>
      </c>
      <c r="D26">
        <v>2026</v>
      </c>
      <c r="E26" t="s">
        <v>54</v>
      </c>
      <c r="F26" t="s">
        <v>64</v>
      </c>
      <c r="G26" t="s">
        <v>69</v>
      </c>
    </row>
    <row r="27" spans="1:7" ht="15" customHeight="1">
      <c r="A27">
        <v>24</v>
      </c>
      <c r="B27" s="11">
        <v>46357</v>
      </c>
      <c r="C27">
        <v>12</v>
      </c>
      <c r="D27">
        <v>2026</v>
      </c>
      <c r="E27" t="s">
        <v>54</v>
      </c>
      <c r="F27" t="s">
        <v>64</v>
      </c>
      <c r="G27" t="s">
        <v>70</v>
      </c>
    </row>
    <row r="28" spans="1:7" ht="15" customHeight="1">
      <c r="A28">
        <v>25</v>
      </c>
      <c r="B28" s="11">
        <v>46388</v>
      </c>
      <c r="C28">
        <v>1</v>
      </c>
      <c r="D28">
        <v>2027</v>
      </c>
      <c r="E28" t="s">
        <v>40</v>
      </c>
      <c r="F28" t="s">
        <v>64</v>
      </c>
      <c r="G28" t="s">
        <v>71</v>
      </c>
    </row>
    <row r="29" spans="1:7" ht="15" customHeight="1">
      <c r="A29">
        <v>26</v>
      </c>
      <c r="B29" s="11">
        <v>46419</v>
      </c>
      <c r="C29">
        <v>2</v>
      </c>
      <c r="D29">
        <v>2027</v>
      </c>
      <c r="E29" t="s">
        <v>40</v>
      </c>
      <c r="F29" t="s">
        <v>64</v>
      </c>
      <c r="G29" t="s">
        <v>72</v>
      </c>
    </row>
    <row r="30" spans="1:7" ht="15" customHeight="1">
      <c r="A30">
        <v>27</v>
      </c>
      <c r="B30" s="11">
        <v>46447</v>
      </c>
      <c r="C30">
        <v>3</v>
      </c>
      <c r="D30">
        <v>2027</v>
      </c>
      <c r="E30" t="s">
        <v>40</v>
      </c>
      <c r="F30" t="s">
        <v>64</v>
      </c>
      <c r="G30" t="s">
        <v>73</v>
      </c>
    </row>
    <row r="31" spans="1:7" ht="15" customHeight="1">
      <c r="A31">
        <v>28</v>
      </c>
      <c r="B31" s="11">
        <v>46478</v>
      </c>
      <c r="C31">
        <v>4</v>
      </c>
      <c r="D31">
        <v>2027</v>
      </c>
      <c r="E31" t="s">
        <v>45</v>
      </c>
      <c r="F31" t="s">
        <v>64</v>
      </c>
      <c r="G31" t="s">
        <v>74</v>
      </c>
    </row>
    <row r="32" spans="1:7" ht="15" customHeight="1">
      <c r="A32">
        <v>29</v>
      </c>
      <c r="B32" s="11">
        <v>46508</v>
      </c>
      <c r="C32">
        <v>5</v>
      </c>
      <c r="D32">
        <v>2027</v>
      </c>
      <c r="E32" t="s">
        <v>45</v>
      </c>
      <c r="F32" t="s">
        <v>64</v>
      </c>
      <c r="G32" t="s">
        <v>75</v>
      </c>
    </row>
    <row r="33" spans="1:7" ht="15" customHeight="1">
      <c r="A33">
        <v>30</v>
      </c>
      <c r="B33" s="11">
        <v>46539</v>
      </c>
      <c r="C33">
        <v>6</v>
      </c>
      <c r="D33">
        <v>2027</v>
      </c>
      <c r="E33" t="s">
        <v>45</v>
      </c>
      <c r="F33" t="s">
        <v>64</v>
      </c>
      <c r="G33" t="s">
        <v>76</v>
      </c>
    </row>
    <row r="34" spans="1:7" ht="15" customHeight="1">
      <c r="A34">
        <v>31</v>
      </c>
      <c r="B34" s="11">
        <v>46569</v>
      </c>
      <c r="C34">
        <v>7</v>
      </c>
      <c r="D34">
        <v>2027</v>
      </c>
      <c r="E34" t="s">
        <v>49</v>
      </c>
      <c r="F34" t="s">
        <v>77</v>
      </c>
      <c r="G34" t="s">
        <v>78</v>
      </c>
    </row>
    <row r="35" spans="1:7" ht="15" customHeight="1">
      <c r="A35">
        <v>32</v>
      </c>
      <c r="B35" s="11">
        <v>46600</v>
      </c>
      <c r="C35">
        <v>8</v>
      </c>
      <c r="D35">
        <v>2027</v>
      </c>
      <c r="E35" t="s">
        <v>49</v>
      </c>
      <c r="F35" t="s">
        <v>77</v>
      </c>
      <c r="G35" t="s">
        <v>79</v>
      </c>
    </row>
    <row r="36" spans="1:7" ht="15" customHeight="1">
      <c r="A36">
        <v>33</v>
      </c>
      <c r="B36" s="11">
        <v>46631</v>
      </c>
      <c r="C36">
        <v>9</v>
      </c>
      <c r="D36">
        <v>2027</v>
      </c>
      <c r="E36" t="s">
        <v>49</v>
      </c>
      <c r="F36" t="s">
        <v>77</v>
      </c>
      <c r="G36" t="s">
        <v>80</v>
      </c>
    </row>
    <row r="37" spans="1:7" ht="15" customHeight="1">
      <c r="A37">
        <v>34</v>
      </c>
      <c r="B37" s="11">
        <v>46661</v>
      </c>
      <c r="C37">
        <v>10</v>
      </c>
      <c r="D37">
        <v>2027</v>
      </c>
      <c r="E37" t="s">
        <v>54</v>
      </c>
      <c r="F37" t="s">
        <v>77</v>
      </c>
      <c r="G37" t="s">
        <v>81</v>
      </c>
    </row>
    <row r="38" spans="1:7" ht="15" customHeight="1">
      <c r="A38">
        <v>35</v>
      </c>
      <c r="B38" s="11">
        <v>46692</v>
      </c>
      <c r="C38">
        <v>11</v>
      </c>
      <c r="D38">
        <v>2027</v>
      </c>
      <c r="E38" t="s">
        <v>54</v>
      </c>
      <c r="F38" t="s">
        <v>77</v>
      </c>
      <c r="G38" t="s">
        <v>82</v>
      </c>
    </row>
    <row r="39" spans="1:7" ht="15" customHeight="1">
      <c r="A39">
        <v>36</v>
      </c>
      <c r="B39" s="11">
        <v>46722</v>
      </c>
      <c r="C39">
        <v>12</v>
      </c>
      <c r="D39">
        <v>2027</v>
      </c>
      <c r="E39" t="s">
        <v>54</v>
      </c>
      <c r="F39" t="s">
        <v>77</v>
      </c>
      <c r="G39" t="s">
        <v>83</v>
      </c>
    </row>
    <row r="40" spans="1:7" ht="15" customHeight="1">
      <c r="A40">
        <v>37</v>
      </c>
      <c r="B40" s="11">
        <v>46753</v>
      </c>
      <c r="C40">
        <v>1</v>
      </c>
      <c r="D40">
        <v>2028</v>
      </c>
      <c r="E40" t="s">
        <v>40</v>
      </c>
      <c r="F40" t="s">
        <v>77</v>
      </c>
      <c r="G40" t="s">
        <v>84</v>
      </c>
    </row>
    <row r="41" spans="1:7" ht="15" customHeight="1">
      <c r="A41">
        <v>38</v>
      </c>
      <c r="B41" s="11">
        <v>46784</v>
      </c>
      <c r="C41">
        <v>2</v>
      </c>
      <c r="D41">
        <v>2028</v>
      </c>
      <c r="E41" t="s">
        <v>40</v>
      </c>
      <c r="F41" t="s">
        <v>77</v>
      </c>
      <c r="G41" t="s">
        <v>85</v>
      </c>
    </row>
    <row r="42" spans="1:7" ht="15" customHeight="1">
      <c r="A42">
        <v>39</v>
      </c>
      <c r="B42" s="11">
        <v>46813</v>
      </c>
      <c r="C42">
        <v>3</v>
      </c>
      <c r="D42">
        <v>2028</v>
      </c>
      <c r="E42" t="s">
        <v>40</v>
      </c>
      <c r="F42" t="s">
        <v>77</v>
      </c>
      <c r="G42" t="s">
        <v>86</v>
      </c>
    </row>
    <row r="43" spans="1:7" ht="15" customHeight="1">
      <c r="A43">
        <v>40</v>
      </c>
      <c r="B43" s="11">
        <v>46844</v>
      </c>
      <c r="C43">
        <v>4</v>
      </c>
      <c r="D43">
        <v>2028</v>
      </c>
      <c r="E43" t="s">
        <v>45</v>
      </c>
      <c r="F43" t="s">
        <v>77</v>
      </c>
      <c r="G43" t="s">
        <v>87</v>
      </c>
    </row>
    <row r="44" spans="1:7" ht="15" customHeight="1">
      <c r="A44">
        <v>41</v>
      </c>
      <c r="B44" s="11">
        <v>46874</v>
      </c>
      <c r="C44">
        <v>5</v>
      </c>
      <c r="D44">
        <v>2028</v>
      </c>
      <c r="E44" t="s">
        <v>45</v>
      </c>
      <c r="F44" t="s">
        <v>77</v>
      </c>
      <c r="G44" t="s">
        <v>88</v>
      </c>
    </row>
    <row r="45" spans="1:7" ht="15" customHeight="1">
      <c r="A45">
        <v>42</v>
      </c>
      <c r="B45" s="11">
        <v>46905</v>
      </c>
      <c r="C45">
        <v>6</v>
      </c>
      <c r="D45">
        <v>2028</v>
      </c>
      <c r="E45" t="s">
        <v>45</v>
      </c>
      <c r="F45" t="s">
        <v>77</v>
      </c>
      <c r="G45" t="s">
        <v>89</v>
      </c>
    </row>
    <row r="46" spans="1:7" ht="15" customHeight="1">
      <c r="A46">
        <v>43</v>
      </c>
      <c r="B46" s="11">
        <v>46935</v>
      </c>
      <c r="C46">
        <v>7</v>
      </c>
      <c r="D46">
        <v>2028</v>
      </c>
      <c r="E46" t="s">
        <v>49</v>
      </c>
      <c r="F46" t="s">
        <v>90</v>
      </c>
      <c r="G46" t="s">
        <v>91</v>
      </c>
    </row>
    <row r="47" spans="1:7" ht="15" customHeight="1">
      <c r="A47">
        <v>44</v>
      </c>
      <c r="B47" s="11">
        <v>46966</v>
      </c>
      <c r="C47">
        <v>8</v>
      </c>
      <c r="D47">
        <v>2028</v>
      </c>
      <c r="E47" t="s">
        <v>49</v>
      </c>
      <c r="F47" t="s">
        <v>90</v>
      </c>
      <c r="G47" t="s">
        <v>92</v>
      </c>
    </row>
    <row r="48" spans="1:7" ht="15" customHeight="1">
      <c r="A48">
        <v>45</v>
      </c>
      <c r="B48" s="11">
        <v>46997</v>
      </c>
      <c r="C48">
        <v>9</v>
      </c>
      <c r="D48">
        <v>2028</v>
      </c>
      <c r="E48" t="s">
        <v>49</v>
      </c>
      <c r="F48" t="s">
        <v>90</v>
      </c>
      <c r="G48" t="s">
        <v>93</v>
      </c>
    </row>
    <row r="49" spans="1:7" ht="15" customHeight="1">
      <c r="A49">
        <v>46</v>
      </c>
      <c r="B49" s="11">
        <v>47027</v>
      </c>
      <c r="C49">
        <v>10</v>
      </c>
      <c r="D49">
        <v>2028</v>
      </c>
      <c r="E49" t="s">
        <v>54</v>
      </c>
      <c r="F49" t="s">
        <v>90</v>
      </c>
      <c r="G49" t="s">
        <v>94</v>
      </c>
    </row>
    <row r="50" spans="1:7" ht="15" customHeight="1">
      <c r="A50">
        <v>47</v>
      </c>
      <c r="B50" s="11">
        <v>47058</v>
      </c>
      <c r="C50">
        <v>11</v>
      </c>
      <c r="D50">
        <v>2028</v>
      </c>
      <c r="E50" t="s">
        <v>54</v>
      </c>
      <c r="F50" t="s">
        <v>90</v>
      </c>
      <c r="G50" t="s">
        <v>95</v>
      </c>
    </row>
    <row r="51" spans="1:7" ht="15" customHeight="1">
      <c r="A51">
        <v>48</v>
      </c>
      <c r="B51" s="11">
        <v>47088</v>
      </c>
      <c r="C51">
        <v>12</v>
      </c>
      <c r="D51">
        <v>2028</v>
      </c>
      <c r="E51" t="s">
        <v>54</v>
      </c>
      <c r="F51" t="s">
        <v>90</v>
      </c>
      <c r="G51" t="s">
        <v>96</v>
      </c>
    </row>
    <row r="52" spans="1:7" ht="15" customHeight="1">
      <c r="A52">
        <v>49</v>
      </c>
      <c r="B52" s="11">
        <v>47119</v>
      </c>
      <c r="C52">
        <v>1</v>
      </c>
      <c r="D52">
        <v>2029</v>
      </c>
      <c r="E52" t="s">
        <v>40</v>
      </c>
      <c r="F52" t="s">
        <v>90</v>
      </c>
      <c r="G52" t="s">
        <v>97</v>
      </c>
    </row>
    <row r="53" spans="1:7" ht="15" customHeight="1">
      <c r="A53">
        <v>50</v>
      </c>
      <c r="B53" s="11">
        <v>47150</v>
      </c>
      <c r="C53">
        <v>2</v>
      </c>
      <c r="D53">
        <v>2029</v>
      </c>
      <c r="E53" t="s">
        <v>40</v>
      </c>
      <c r="F53" t="s">
        <v>90</v>
      </c>
      <c r="G53" t="s">
        <v>98</v>
      </c>
    </row>
    <row r="54" spans="1:7" ht="15" customHeight="1">
      <c r="A54">
        <v>51</v>
      </c>
      <c r="B54" s="11">
        <v>47178</v>
      </c>
      <c r="C54">
        <v>3</v>
      </c>
      <c r="D54">
        <v>2029</v>
      </c>
      <c r="E54" t="s">
        <v>40</v>
      </c>
      <c r="F54" t="s">
        <v>90</v>
      </c>
      <c r="G54" t="s">
        <v>99</v>
      </c>
    </row>
    <row r="55" spans="1:7" ht="15" customHeight="1">
      <c r="A55">
        <v>52</v>
      </c>
      <c r="B55" s="11">
        <v>47209</v>
      </c>
      <c r="C55">
        <v>4</v>
      </c>
      <c r="D55">
        <v>2029</v>
      </c>
      <c r="E55" t="s">
        <v>45</v>
      </c>
      <c r="F55" t="s">
        <v>90</v>
      </c>
      <c r="G55" t="s">
        <v>100</v>
      </c>
    </row>
    <row r="56" spans="1:7" ht="15" customHeight="1">
      <c r="A56">
        <v>53</v>
      </c>
      <c r="B56" s="11">
        <v>47239</v>
      </c>
      <c r="C56">
        <v>5</v>
      </c>
      <c r="D56">
        <v>2029</v>
      </c>
      <c r="E56" t="s">
        <v>45</v>
      </c>
      <c r="F56" t="s">
        <v>90</v>
      </c>
      <c r="G56" t="s">
        <v>101</v>
      </c>
    </row>
    <row r="57" spans="1:7" ht="15" customHeight="1">
      <c r="A57">
        <v>54</v>
      </c>
      <c r="B57" s="11">
        <v>47270</v>
      </c>
      <c r="C57">
        <v>6</v>
      </c>
      <c r="D57">
        <v>2029</v>
      </c>
      <c r="E57" t="s">
        <v>45</v>
      </c>
      <c r="F57" t="s">
        <v>90</v>
      </c>
      <c r="G57" t="s">
        <v>102</v>
      </c>
    </row>
    <row r="58" spans="1:7" ht="15" customHeight="1">
      <c r="A58">
        <v>55</v>
      </c>
      <c r="B58" s="11">
        <v>47300</v>
      </c>
      <c r="C58">
        <v>7</v>
      </c>
      <c r="D58">
        <v>2029</v>
      </c>
      <c r="E58" t="s">
        <v>49</v>
      </c>
      <c r="F58" t="s">
        <v>103</v>
      </c>
      <c r="G58" t="s">
        <v>104</v>
      </c>
    </row>
    <row r="59" spans="1:7" ht="15" customHeight="1">
      <c r="A59">
        <v>56</v>
      </c>
      <c r="B59" s="11">
        <v>47331</v>
      </c>
      <c r="C59">
        <v>8</v>
      </c>
      <c r="D59">
        <v>2029</v>
      </c>
      <c r="E59" t="s">
        <v>49</v>
      </c>
      <c r="F59" t="s">
        <v>103</v>
      </c>
      <c r="G59" t="s">
        <v>105</v>
      </c>
    </row>
    <row r="60" spans="1:7" ht="15" customHeight="1">
      <c r="A60">
        <v>57</v>
      </c>
      <c r="B60" s="11">
        <v>47362</v>
      </c>
      <c r="C60">
        <v>9</v>
      </c>
      <c r="D60">
        <v>2029</v>
      </c>
      <c r="E60" t="s">
        <v>49</v>
      </c>
      <c r="F60" t="s">
        <v>103</v>
      </c>
      <c r="G60" t="s">
        <v>106</v>
      </c>
    </row>
    <row r="61" spans="1:7" ht="15" customHeight="1">
      <c r="A61">
        <v>58</v>
      </c>
      <c r="B61" s="11">
        <v>47392</v>
      </c>
      <c r="C61">
        <v>10</v>
      </c>
      <c r="D61">
        <v>2029</v>
      </c>
      <c r="E61" t="s">
        <v>54</v>
      </c>
      <c r="F61" t="s">
        <v>103</v>
      </c>
      <c r="G61" t="s">
        <v>107</v>
      </c>
    </row>
    <row r="62" spans="1:7" ht="15" customHeight="1">
      <c r="A62">
        <v>59</v>
      </c>
      <c r="B62" s="11">
        <v>47423</v>
      </c>
      <c r="C62">
        <v>11</v>
      </c>
      <c r="D62">
        <v>2029</v>
      </c>
      <c r="E62" t="s">
        <v>54</v>
      </c>
      <c r="F62" t="s">
        <v>103</v>
      </c>
      <c r="G62" t="s">
        <v>108</v>
      </c>
    </row>
    <row r="63" spans="1:7" ht="15" customHeight="1">
      <c r="A63">
        <v>60</v>
      </c>
      <c r="B63" s="11">
        <v>47453</v>
      </c>
      <c r="C63">
        <v>12</v>
      </c>
      <c r="D63">
        <v>2029</v>
      </c>
      <c r="E63" t="s">
        <v>54</v>
      </c>
      <c r="F63" t="s">
        <v>103</v>
      </c>
      <c r="G63" t="s">
        <v>109</v>
      </c>
    </row>
    <row r="64" spans="1:7" ht="15" customHeight="1">
      <c r="A64">
        <v>61</v>
      </c>
      <c r="B64" s="11">
        <v>47484</v>
      </c>
      <c r="C64">
        <v>1</v>
      </c>
      <c r="D64">
        <v>2030</v>
      </c>
      <c r="E64" t="s">
        <v>40</v>
      </c>
      <c r="F64" t="s">
        <v>103</v>
      </c>
      <c r="G64" t="s">
        <v>110</v>
      </c>
    </row>
    <row r="65" spans="1:7" ht="15" customHeight="1">
      <c r="A65">
        <v>62</v>
      </c>
      <c r="B65" s="11">
        <v>47515</v>
      </c>
      <c r="C65">
        <v>2</v>
      </c>
      <c r="D65">
        <v>2030</v>
      </c>
      <c r="E65" t="s">
        <v>40</v>
      </c>
      <c r="F65" t="s">
        <v>103</v>
      </c>
      <c r="G65" t="s">
        <v>111</v>
      </c>
    </row>
    <row r="66" spans="1:7" ht="15" customHeight="1">
      <c r="A66">
        <v>63</v>
      </c>
      <c r="B66" s="11">
        <v>47543</v>
      </c>
      <c r="C66">
        <v>3</v>
      </c>
      <c r="D66">
        <v>2030</v>
      </c>
      <c r="E66" t="s">
        <v>40</v>
      </c>
      <c r="F66" t="s">
        <v>103</v>
      </c>
      <c r="G66" t="s">
        <v>112</v>
      </c>
    </row>
    <row r="67" spans="1:7" ht="15" customHeight="1">
      <c r="A67">
        <v>64</v>
      </c>
      <c r="B67" s="11">
        <v>47574</v>
      </c>
      <c r="C67">
        <v>4</v>
      </c>
      <c r="D67">
        <v>2030</v>
      </c>
      <c r="E67" t="s">
        <v>45</v>
      </c>
      <c r="F67" t="s">
        <v>103</v>
      </c>
      <c r="G67" t="s">
        <v>113</v>
      </c>
    </row>
    <row r="68" spans="1:7" ht="15" customHeight="1">
      <c r="A68">
        <v>65</v>
      </c>
      <c r="B68" s="11">
        <v>47604</v>
      </c>
      <c r="C68">
        <v>5</v>
      </c>
      <c r="D68">
        <v>2030</v>
      </c>
      <c r="E68" t="s">
        <v>45</v>
      </c>
      <c r="F68" t="s">
        <v>103</v>
      </c>
      <c r="G68" t="s">
        <v>114</v>
      </c>
    </row>
    <row r="69" spans="1:7" ht="15" customHeight="1">
      <c r="A69">
        <v>66</v>
      </c>
      <c r="B69" s="11">
        <v>47635</v>
      </c>
      <c r="C69">
        <v>6</v>
      </c>
      <c r="D69">
        <v>2030</v>
      </c>
      <c r="E69" t="s">
        <v>45</v>
      </c>
      <c r="F69" t="s">
        <v>103</v>
      </c>
      <c r="G69" t="s">
        <v>115</v>
      </c>
    </row>
    <row r="70" spans="1:7" ht="15" customHeight="1">
      <c r="A70">
        <v>67</v>
      </c>
      <c r="B70" s="11">
        <v>47665</v>
      </c>
      <c r="C70">
        <v>7</v>
      </c>
      <c r="D70">
        <v>2030</v>
      </c>
      <c r="E70" t="s">
        <v>49</v>
      </c>
      <c r="F70" t="s">
        <v>116</v>
      </c>
      <c r="G70" t="s">
        <v>117</v>
      </c>
    </row>
    <row r="71" spans="1:7" ht="15" customHeight="1">
      <c r="A71">
        <v>68</v>
      </c>
      <c r="B71" s="11">
        <v>47696</v>
      </c>
      <c r="C71">
        <v>8</v>
      </c>
      <c r="D71">
        <v>2030</v>
      </c>
      <c r="E71" t="s">
        <v>49</v>
      </c>
      <c r="F71" t="s">
        <v>116</v>
      </c>
      <c r="G71" t="s">
        <v>118</v>
      </c>
    </row>
    <row r="72" spans="1:7" ht="15" customHeight="1">
      <c r="A72">
        <v>69</v>
      </c>
      <c r="B72" s="11">
        <v>47727</v>
      </c>
      <c r="C72">
        <v>9</v>
      </c>
      <c r="D72">
        <v>2030</v>
      </c>
      <c r="E72" t="s">
        <v>49</v>
      </c>
      <c r="F72" t="s">
        <v>116</v>
      </c>
      <c r="G72" t="s">
        <v>119</v>
      </c>
    </row>
    <row r="73" spans="1:7" ht="15" customHeight="1">
      <c r="A73">
        <v>70</v>
      </c>
      <c r="B73" s="11">
        <v>47757</v>
      </c>
      <c r="C73">
        <v>10</v>
      </c>
      <c r="D73">
        <v>2030</v>
      </c>
      <c r="E73" t="s">
        <v>54</v>
      </c>
      <c r="F73" t="s">
        <v>116</v>
      </c>
      <c r="G73" t="s">
        <v>120</v>
      </c>
    </row>
    <row r="74" spans="1:7" ht="15" customHeight="1">
      <c r="A74">
        <v>71</v>
      </c>
      <c r="B74" s="11">
        <v>47788</v>
      </c>
      <c r="C74">
        <v>11</v>
      </c>
      <c r="D74">
        <v>2030</v>
      </c>
      <c r="E74" t="s">
        <v>54</v>
      </c>
      <c r="F74" t="s">
        <v>116</v>
      </c>
      <c r="G74" t="s">
        <v>121</v>
      </c>
    </row>
    <row r="75" spans="1:7" ht="15" customHeight="1">
      <c r="A75">
        <v>72</v>
      </c>
      <c r="B75" s="11">
        <v>47818</v>
      </c>
      <c r="C75">
        <v>12</v>
      </c>
      <c r="D75">
        <v>2030</v>
      </c>
      <c r="E75" t="s">
        <v>54</v>
      </c>
      <c r="F75" t="s">
        <v>116</v>
      </c>
      <c r="G75" t="s">
        <v>122</v>
      </c>
    </row>
    <row r="76" spans="1:7" ht="15" customHeight="1">
      <c r="A76">
        <v>73</v>
      </c>
      <c r="B76" s="11">
        <v>47849</v>
      </c>
      <c r="C76">
        <v>1</v>
      </c>
      <c r="D76">
        <v>2031</v>
      </c>
      <c r="E76" t="s">
        <v>40</v>
      </c>
      <c r="F76" t="s">
        <v>116</v>
      </c>
      <c r="G76" t="s">
        <v>123</v>
      </c>
    </row>
    <row r="77" spans="1:7" ht="15" customHeight="1">
      <c r="A77">
        <v>74</v>
      </c>
      <c r="B77" s="11">
        <v>47880</v>
      </c>
      <c r="C77">
        <v>2</v>
      </c>
      <c r="D77">
        <v>2031</v>
      </c>
      <c r="E77" t="s">
        <v>40</v>
      </c>
      <c r="F77" t="s">
        <v>116</v>
      </c>
      <c r="G77" t="s">
        <v>124</v>
      </c>
    </row>
    <row r="78" spans="1:7" ht="15" customHeight="1">
      <c r="A78">
        <v>75</v>
      </c>
      <c r="B78" s="11">
        <v>47908</v>
      </c>
      <c r="C78">
        <v>3</v>
      </c>
      <c r="D78">
        <v>2031</v>
      </c>
      <c r="E78" t="s">
        <v>40</v>
      </c>
      <c r="F78" t="s">
        <v>116</v>
      </c>
      <c r="G78" t="s">
        <v>125</v>
      </c>
    </row>
    <row r="79" spans="1:7" ht="15" customHeight="1">
      <c r="A79">
        <v>76</v>
      </c>
      <c r="B79" s="11">
        <v>47939</v>
      </c>
      <c r="C79">
        <v>4</v>
      </c>
      <c r="D79">
        <v>2031</v>
      </c>
      <c r="E79" t="s">
        <v>45</v>
      </c>
      <c r="F79" t="s">
        <v>116</v>
      </c>
      <c r="G79" t="s">
        <v>126</v>
      </c>
    </row>
    <row r="80" spans="1:7" ht="15" customHeight="1">
      <c r="A80">
        <v>77</v>
      </c>
      <c r="B80" s="11">
        <v>47969</v>
      </c>
      <c r="C80">
        <v>5</v>
      </c>
      <c r="D80">
        <v>2031</v>
      </c>
      <c r="E80" t="s">
        <v>45</v>
      </c>
      <c r="F80" t="s">
        <v>116</v>
      </c>
      <c r="G80" t="s">
        <v>127</v>
      </c>
    </row>
    <row r="81" spans="1:7" ht="15" customHeight="1">
      <c r="A81">
        <v>78</v>
      </c>
      <c r="B81" s="11">
        <v>48000</v>
      </c>
      <c r="C81">
        <v>6</v>
      </c>
      <c r="D81">
        <v>2031</v>
      </c>
      <c r="E81" t="s">
        <v>45</v>
      </c>
      <c r="F81" t="s">
        <v>116</v>
      </c>
      <c r="G81" t="s">
        <v>128</v>
      </c>
    </row>
    <row r="82" spans="1:7" ht="15" customHeight="1">
      <c r="A82">
        <v>79</v>
      </c>
      <c r="B82" s="11">
        <v>48030</v>
      </c>
      <c r="C82">
        <v>7</v>
      </c>
      <c r="D82">
        <v>2031</v>
      </c>
      <c r="E82" t="s">
        <v>49</v>
      </c>
      <c r="F82" t="s">
        <v>129</v>
      </c>
      <c r="G82" t="s">
        <v>130</v>
      </c>
    </row>
    <row r="83" spans="1:7" ht="15" customHeight="1">
      <c r="A83">
        <v>80</v>
      </c>
      <c r="B83" s="11">
        <v>48061</v>
      </c>
      <c r="C83">
        <v>8</v>
      </c>
      <c r="D83">
        <v>2031</v>
      </c>
      <c r="E83" t="s">
        <v>49</v>
      </c>
      <c r="F83" t="s">
        <v>129</v>
      </c>
      <c r="G83" t="s">
        <v>131</v>
      </c>
    </row>
    <row r="84" spans="1:7" ht="15" customHeight="1">
      <c r="A84">
        <v>81</v>
      </c>
      <c r="B84" s="11">
        <v>48092</v>
      </c>
      <c r="C84">
        <v>9</v>
      </c>
      <c r="D84">
        <v>2031</v>
      </c>
      <c r="E84" t="s">
        <v>49</v>
      </c>
      <c r="F84" t="s">
        <v>129</v>
      </c>
      <c r="G84" t="s">
        <v>132</v>
      </c>
    </row>
    <row r="85" spans="1:7" ht="15" customHeight="1">
      <c r="A85">
        <v>82</v>
      </c>
      <c r="B85" s="11">
        <v>48122</v>
      </c>
      <c r="C85">
        <v>10</v>
      </c>
      <c r="D85">
        <v>2031</v>
      </c>
      <c r="E85" t="s">
        <v>54</v>
      </c>
      <c r="F85" t="s">
        <v>129</v>
      </c>
      <c r="G85" t="s">
        <v>133</v>
      </c>
    </row>
    <row r="86" spans="1:7" ht="15" customHeight="1">
      <c r="A86">
        <v>83</v>
      </c>
      <c r="B86" s="11">
        <v>48153</v>
      </c>
      <c r="C86">
        <v>11</v>
      </c>
      <c r="D86">
        <v>2031</v>
      </c>
      <c r="E86" t="s">
        <v>54</v>
      </c>
      <c r="F86" t="s">
        <v>129</v>
      </c>
      <c r="G86" t="s">
        <v>134</v>
      </c>
    </row>
    <row r="87" spans="1:7" ht="15" customHeight="1">
      <c r="A87">
        <v>84</v>
      </c>
      <c r="B87" s="11">
        <v>48183</v>
      </c>
      <c r="C87">
        <v>12</v>
      </c>
      <c r="D87">
        <v>2031</v>
      </c>
      <c r="E87" t="s">
        <v>54</v>
      </c>
      <c r="F87" t="s">
        <v>129</v>
      </c>
      <c r="G87" t="s">
        <v>135</v>
      </c>
    </row>
    <row r="88" spans="1:7" ht="15" customHeight="1">
      <c r="A88">
        <v>85</v>
      </c>
      <c r="B88" s="11">
        <v>48214</v>
      </c>
      <c r="C88">
        <v>1</v>
      </c>
      <c r="D88">
        <v>2032</v>
      </c>
      <c r="E88" t="s">
        <v>40</v>
      </c>
      <c r="F88" t="s">
        <v>129</v>
      </c>
      <c r="G88" t="s">
        <v>136</v>
      </c>
    </row>
    <row r="89" spans="1:7" ht="15" customHeight="1">
      <c r="A89">
        <v>86</v>
      </c>
      <c r="B89" s="11">
        <v>48245</v>
      </c>
      <c r="C89">
        <v>2</v>
      </c>
      <c r="D89">
        <v>2032</v>
      </c>
      <c r="E89" t="s">
        <v>40</v>
      </c>
      <c r="F89" t="s">
        <v>129</v>
      </c>
      <c r="G89" t="s">
        <v>137</v>
      </c>
    </row>
    <row r="90" spans="1:7" ht="15" customHeight="1">
      <c r="A90">
        <v>87</v>
      </c>
      <c r="B90" s="11">
        <v>48274</v>
      </c>
      <c r="C90">
        <v>3</v>
      </c>
      <c r="D90">
        <v>2032</v>
      </c>
      <c r="E90" t="s">
        <v>40</v>
      </c>
      <c r="F90" t="s">
        <v>129</v>
      </c>
      <c r="G90" t="s">
        <v>138</v>
      </c>
    </row>
    <row r="91" spans="1:7" ht="15" customHeight="1">
      <c r="A91">
        <v>88</v>
      </c>
      <c r="B91" s="11">
        <v>48305</v>
      </c>
      <c r="C91">
        <v>4</v>
      </c>
      <c r="D91">
        <v>2032</v>
      </c>
      <c r="E91" t="s">
        <v>45</v>
      </c>
      <c r="F91" t="s">
        <v>129</v>
      </c>
      <c r="G91" t="s">
        <v>139</v>
      </c>
    </row>
    <row r="92" spans="1:7" ht="15" customHeight="1">
      <c r="A92">
        <v>89</v>
      </c>
      <c r="B92" s="11">
        <v>48335</v>
      </c>
      <c r="C92">
        <v>5</v>
      </c>
      <c r="D92">
        <v>2032</v>
      </c>
      <c r="E92" t="s">
        <v>45</v>
      </c>
      <c r="F92" t="s">
        <v>129</v>
      </c>
      <c r="G92" t="s">
        <v>140</v>
      </c>
    </row>
    <row r="93" spans="1:7" ht="15" customHeight="1">
      <c r="A93">
        <v>90</v>
      </c>
      <c r="B93" s="11">
        <v>48366</v>
      </c>
      <c r="C93">
        <v>6</v>
      </c>
      <c r="D93">
        <v>2032</v>
      </c>
      <c r="E93" t="s">
        <v>45</v>
      </c>
      <c r="F93" t="s">
        <v>129</v>
      </c>
      <c r="G93" t="s">
        <v>141</v>
      </c>
    </row>
    <row r="94" spans="1:7" ht="15" customHeight="1">
      <c r="A94">
        <v>91</v>
      </c>
      <c r="B94" s="11">
        <v>48396</v>
      </c>
      <c r="C94">
        <v>7</v>
      </c>
      <c r="D94">
        <v>2032</v>
      </c>
      <c r="E94" t="s">
        <v>49</v>
      </c>
      <c r="F94" t="s">
        <v>142</v>
      </c>
      <c r="G94" t="s">
        <v>143</v>
      </c>
    </row>
    <row r="95" spans="1:7" ht="15" customHeight="1">
      <c r="A95">
        <v>92</v>
      </c>
      <c r="B95" s="11">
        <v>48427</v>
      </c>
      <c r="C95">
        <v>8</v>
      </c>
      <c r="D95">
        <v>2032</v>
      </c>
      <c r="E95" t="s">
        <v>49</v>
      </c>
      <c r="F95" t="s">
        <v>142</v>
      </c>
      <c r="G95" t="s">
        <v>144</v>
      </c>
    </row>
    <row r="96" spans="1:7" ht="15" customHeight="1">
      <c r="A96">
        <v>93</v>
      </c>
      <c r="B96" s="11">
        <v>48458</v>
      </c>
      <c r="C96">
        <v>9</v>
      </c>
      <c r="D96">
        <v>2032</v>
      </c>
      <c r="E96" t="s">
        <v>49</v>
      </c>
      <c r="F96" t="s">
        <v>142</v>
      </c>
      <c r="G96" t="s">
        <v>145</v>
      </c>
    </row>
    <row r="97" spans="1:7" ht="15" customHeight="1">
      <c r="A97">
        <v>94</v>
      </c>
      <c r="B97" s="11">
        <v>48488</v>
      </c>
      <c r="C97">
        <v>10</v>
      </c>
      <c r="D97">
        <v>2032</v>
      </c>
      <c r="E97" t="s">
        <v>54</v>
      </c>
      <c r="F97" t="s">
        <v>142</v>
      </c>
      <c r="G97" t="s">
        <v>146</v>
      </c>
    </row>
    <row r="98" spans="1:7" ht="15" customHeight="1">
      <c r="A98">
        <v>95</v>
      </c>
      <c r="B98" s="11">
        <v>48519</v>
      </c>
      <c r="C98">
        <v>11</v>
      </c>
      <c r="D98">
        <v>2032</v>
      </c>
      <c r="E98" t="s">
        <v>54</v>
      </c>
      <c r="F98" t="s">
        <v>142</v>
      </c>
      <c r="G98" t="s">
        <v>147</v>
      </c>
    </row>
    <row r="99" spans="1:7" ht="15" customHeight="1">
      <c r="A99">
        <v>96</v>
      </c>
      <c r="B99" s="11">
        <v>48549</v>
      </c>
      <c r="C99">
        <v>12</v>
      </c>
      <c r="D99">
        <v>2032</v>
      </c>
      <c r="E99" t="s">
        <v>54</v>
      </c>
      <c r="F99" t="s">
        <v>142</v>
      </c>
      <c r="G99" t="s">
        <v>148</v>
      </c>
    </row>
    <row r="100" spans="1:7" ht="15" customHeight="1">
      <c r="A100">
        <v>97</v>
      </c>
      <c r="B100" s="11">
        <v>48580</v>
      </c>
      <c r="C100">
        <v>1</v>
      </c>
      <c r="D100">
        <v>2033</v>
      </c>
      <c r="E100" t="s">
        <v>40</v>
      </c>
      <c r="F100" t="s">
        <v>142</v>
      </c>
      <c r="G100" t="s">
        <v>149</v>
      </c>
    </row>
    <row r="101" spans="1:7" ht="15" customHeight="1">
      <c r="A101">
        <v>98</v>
      </c>
      <c r="B101" s="11">
        <v>48611</v>
      </c>
      <c r="C101">
        <v>2</v>
      </c>
      <c r="D101">
        <v>2033</v>
      </c>
      <c r="E101" t="s">
        <v>40</v>
      </c>
      <c r="F101" t="s">
        <v>142</v>
      </c>
      <c r="G101" t="s">
        <v>150</v>
      </c>
    </row>
    <row r="102" spans="1:7" ht="15" customHeight="1">
      <c r="A102">
        <v>99</v>
      </c>
      <c r="B102" s="11">
        <v>48639</v>
      </c>
      <c r="C102">
        <v>3</v>
      </c>
      <c r="D102">
        <v>2033</v>
      </c>
      <c r="E102" t="s">
        <v>40</v>
      </c>
      <c r="F102" t="s">
        <v>142</v>
      </c>
      <c r="G102" t="s">
        <v>151</v>
      </c>
    </row>
    <row r="103" spans="1:7" ht="15" customHeight="1">
      <c r="A103">
        <v>100</v>
      </c>
      <c r="B103" s="11">
        <v>48670</v>
      </c>
      <c r="C103">
        <v>4</v>
      </c>
      <c r="D103">
        <v>2033</v>
      </c>
      <c r="E103" t="s">
        <v>45</v>
      </c>
      <c r="F103" t="s">
        <v>142</v>
      </c>
      <c r="G103" t="s">
        <v>152</v>
      </c>
    </row>
    <row r="104" spans="1:7" ht="15" customHeight="1">
      <c r="A104">
        <v>101</v>
      </c>
      <c r="B104" s="11">
        <v>48700</v>
      </c>
      <c r="C104">
        <v>5</v>
      </c>
      <c r="D104">
        <v>2033</v>
      </c>
      <c r="E104" t="s">
        <v>45</v>
      </c>
      <c r="F104" t="s">
        <v>142</v>
      </c>
      <c r="G104" t="s">
        <v>153</v>
      </c>
    </row>
    <row r="105" spans="1:7" ht="15" customHeight="1">
      <c r="A105">
        <v>102</v>
      </c>
      <c r="B105" s="11">
        <v>48731</v>
      </c>
      <c r="C105">
        <v>6</v>
      </c>
      <c r="D105">
        <v>2033</v>
      </c>
      <c r="E105" t="s">
        <v>45</v>
      </c>
      <c r="F105" t="s">
        <v>142</v>
      </c>
      <c r="G105" t="s">
        <v>154</v>
      </c>
    </row>
    <row r="106" spans="1:7" ht="15" customHeight="1">
      <c r="A106">
        <v>103</v>
      </c>
      <c r="B106" s="11">
        <v>48761</v>
      </c>
      <c r="C106">
        <v>7</v>
      </c>
      <c r="D106">
        <v>2033</v>
      </c>
      <c r="E106" t="s">
        <v>49</v>
      </c>
      <c r="F106" t="s">
        <v>155</v>
      </c>
      <c r="G106" t="s">
        <v>156</v>
      </c>
    </row>
    <row r="107" spans="1:7" ht="15" customHeight="1">
      <c r="A107">
        <v>104</v>
      </c>
      <c r="B107" s="11">
        <v>48792</v>
      </c>
      <c r="C107">
        <v>8</v>
      </c>
      <c r="D107">
        <v>2033</v>
      </c>
      <c r="E107" t="s">
        <v>49</v>
      </c>
      <c r="F107" t="s">
        <v>155</v>
      </c>
      <c r="G107" t="s">
        <v>157</v>
      </c>
    </row>
    <row r="108" spans="1:7" ht="15" customHeight="1">
      <c r="A108">
        <v>105</v>
      </c>
      <c r="B108" s="11">
        <v>48823</v>
      </c>
      <c r="C108">
        <v>9</v>
      </c>
      <c r="D108">
        <v>2033</v>
      </c>
      <c r="E108" t="s">
        <v>49</v>
      </c>
      <c r="F108" t="s">
        <v>155</v>
      </c>
      <c r="G108" t="s">
        <v>158</v>
      </c>
    </row>
    <row r="109" spans="1:7" ht="15" customHeight="1">
      <c r="A109">
        <v>106</v>
      </c>
      <c r="B109" s="11">
        <v>48853</v>
      </c>
      <c r="C109">
        <v>10</v>
      </c>
      <c r="D109">
        <v>2033</v>
      </c>
      <c r="E109" t="s">
        <v>54</v>
      </c>
      <c r="F109" t="s">
        <v>155</v>
      </c>
      <c r="G109" t="s">
        <v>159</v>
      </c>
    </row>
    <row r="110" spans="1:7" ht="15" customHeight="1">
      <c r="A110">
        <v>107</v>
      </c>
      <c r="B110" s="11">
        <v>48884</v>
      </c>
      <c r="C110">
        <v>11</v>
      </c>
      <c r="D110">
        <v>2033</v>
      </c>
      <c r="E110" t="s">
        <v>54</v>
      </c>
      <c r="F110" t="s">
        <v>155</v>
      </c>
      <c r="G110" t="s">
        <v>160</v>
      </c>
    </row>
    <row r="111" spans="1:7" ht="15" customHeight="1">
      <c r="A111">
        <v>108</v>
      </c>
      <c r="B111" s="11">
        <v>48914</v>
      </c>
      <c r="C111">
        <v>12</v>
      </c>
      <c r="D111">
        <v>2033</v>
      </c>
      <c r="E111" t="s">
        <v>54</v>
      </c>
      <c r="F111" t="s">
        <v>155</v>
      </c>
      <c r="G111" t="s">
        <v>161</v>
      </c>
    </row>
    <row r="112" spans="1:7" ht="15" customHeight="1">
      <c r="A112">
        <v>109</v>
      </c>
      <c r="B112" s="11">
        <v>48945</v>
      </c>
      <c r="C112">
        <v>1</v>
      </c>
      <c r="D112">
        <v>2034</v>
      </c>
      <c r="E112" t="s">
        <v>40</v>
      </c>
      <c r="F112" t="s">
        <v>155</v>
      </c>
      <c r="G112" t="s">
        <v>162</v>
      </c>
    </row>
    <row r="113" spans="1:7" ht="15" customHeight="1">
      <c r="A113">
        <v>110</v>
      </c>
      <c r="B113" s="11">
        <v>48976</v>
      </c>
      <c r="C113">
        <v>2</v>
      </c>
      <c r="D113">
        <v>2034</v>
      </c>
      <c r="E113" t="s">
        <v>40</v>
      </c>
      <c r="F113" t="s">
        <v>155</v>
      </c>
      <c r="G113" t="s">
        <v>163</v>
      </c>
    </row>
    <row r="114" spans="1:7" ht="15" customHeight="1">
      <c r="A114">
        <v>111</v>
      </c>
      <c r="B114" s="11">
        <v>49004</v>
      </c>
      <c r="C114">
        <v>3</v>
      </c>
      <c r="D114">
        <v>2034</v>
      </c>
      <c r="E114" t="s">
        <v>40</v>
      </c>
      <c r="F114" t="s">
        <v>155</v>
      </c>
      <c r="G114" t="s">
        <v>164</v>
      </c>
    </row>
    <row r="115" spans="1:7" ht="15" customHeight="1">
      <c r="A115">
        <v>112</v>
      </c>
      <c r="B115" s="11">
        <v>49035</v>
      </c>
      <c r="C115">
        <v>4</v>
      </c>
      <c r="D115">
        <v>2034</v>
      </c>
      <c r="E115" t="s">
        <v>45</v>
      </c>
      <c r="F115" t="s">
        <v>155</v>
      </c>
      <c r="G115" t="s">
        <v>165</v>
      </c>
    </row>
    <row r="116" spans="1:7" ht="15" customHeight="1">
      <c r="A116">
        <v>113</v>
      </c>
      <c r="B116" s="11">
        <v>49065</v>
      </c>
      <c r="C116">
        <v>5</v>
      </c>
      <c r="D116">
        <v>2034</v>
      </c>
      <c r="E116" t="s">
        <v>45</v>
      </c>
      <c r="F116" t="s">
        <v>155</v>
      </c>
      <c r="G116" t="s">
        <v>166</v>
      </c>
    </row>
    <row r="117" spans="1:7" ht="15" customHeight="1">
      <c r="A117">
        <v>114</v>
      </c>
      <c r="B117" s="11">
        <v>49096</v>
      </c>
      <c r="C117">
        <v>6</v>
      </c>
      <c r="D117">
        <v>2034</v>
      </c>
      <c r="E117" t="s">
        <v>45</v>
      </c>
      <c r="F117" t="s">
        <v>155</v>
      </c>
      <c r="G117" t="s">
        <v>167</v>
      </c>
    </row>
    <row r="118" spans="1:7" ht="15" customHeight="1">
      <c r="A118">
        <v>115</v>
      </c>
      <c r="B118" s="11">
        <v>49126</v>
      </c>
      <c r="C118">
        <v>7</v>
      </c>
      <c r="D118">
        <v>2034</v>
      </c>
      <c r="E118" t="s">
        <v>49</v>
      </c>
      <c r="F118" t="s">
        <v>168</v>
      </c>
      <c r="G118" t="s">
        <v>169</v>
      </c>
    </row>
    <row r="119" spans="1:7" ht="15" customHeight="1">
      <c r="A119">
        <v>116</v>
      </c>
      <c r="B119" s="11">
        <v>49157</v>
      </c>
      <c r="C119">
        <v>8</v>
      </c>
      <c r="D119">
        <v>2034</v>
      </c>
      <c r="E119" t="s">
        <v>49</v>
      </c>
      <c r="F119" t="s">
        <v>168</v>
      </c>
      <c r="G119" t="s">
        <v>170</v>
      </c>
    </row>
    <row r="120" spans="1:7" ht="15" customHeight="1">
      <c r="A120">
        <v>117</v>
      </c>
      <c r="B120" s="11">
        <v>49188</v>
      </c>
      <c r="C120">
        <v>9</v>
      </c>
      <c r="D120">
        <v>2034</v>
      </c>
      <c r="E120" t="s">
        <v>49</v>
      </c>
      <c r="F120" t="s">
        <v>168</v>
      </c>
      <c r="G120" t="s">
        <v>171</v>
      </c>
    </row>
    <row r="121" spans="1:7" ht="15" customHeight="1">
      <c r="A121">
        <v>118</v>
      </c>
      <c r="B121" s="11">
        <v>49218</v>
      </c>
      <c r="C121">
        <v>10</v>
      </c>
      <c r="D121">
        <v>2034</v>
      </c>
      <c r="E121" t="s">
        <v>54</v>
      </c>
      <c r="F121" t="s">
        <v>168</v>
      </c>
      <c r="G121" t="s">
        <v>172</v>
      </c>
    </row>
    <row r="122" spans="1:7" ht="15" customHeight="1">
      <c r="A122">
        <v>119</v>
      </c>
      <c r="B122" s="11">
        <v>49249</v>
      </c>
      <c r="C122">
        <v>11</v>
      </c>
      <c r="D122">
        <v>2034</v>
      </c>
      <c r="E122" t="s">
        <v>54</v>
      </c>
      <c r="F122" t="s">
        <v>168</v>
      </c>
      <c r="G122" t="s">
        <v>173</v>
      </c>
    </row>
    <row r="123" spans="1:7" ht="15" customHeight="1">
      <c r="A123">
        <v>120</v>
      </c>
      <c r="B123" s="11">
        <v>49279</v>
      </c>
      <c r="C123">
        <v>12</v>
      </c>
      <c r="D123">
        <v>2034</v>
      </c>
      <c r="E123" t="s">
        <v>54</v>
      </c>
      <c r="F123" t="s">
        <v>168</v>
      </c>
      <c r="G123" t="s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Normal="100" workbookViewId="0"/>
  </sheetViews>
  <sheetFormatPr defaultColWidth="8.7109375" defaultRowHeight="15"/>
  <cols>
    <col min="1" max="11" width="15" customWidth="1"/>
  </cols>
  <sheetData>
    <row r="1" spans="1:11" ht="17.25" customHeight="1">
      <c r="A1" s="4" t="s">
        <v>175</v>
      </c>
    </row>
    <row r="3" spans="1:11" ht="15" customHeight="1">
      <c r="A3" s="10" t="s">
        <v>176</v>
      </c>
      <c r="B3" s="10" t="s">
        <v>177</v>
      </c>
      <c r="C3" s="10" t="s">
        <v>178</v>
      </c>
      <c r="D3" s="10" t="s">
        <v>179</v>
      </c>
      <c r="E3" s="10" t="s">
        <v>180</v>
      </c>
      <c r="F3" s="10" t="s">
        <v>181</v>
      </c>
      <c r="G3" s="10" t="s">
        <v>182</v>
      </c>
      <c r="H3" s="10" t="s">
        <v>183</v>
      </c>
      <c r="I3" s="10" t="s">
        <v>184</v>
      </c>
      <c r="J3" s="10" t="s">
        <v>185</v>
      </c>
      <c r="K3" s="10" t="s">
        <v>186</v>
      </c>
    </row>
    <row r="4" spans="1:11" ht="15" customHeight="1">
      <c r="A4" t="s">
        <v>187</v>
      </c>
      <c r="B4" s="3" t="s">
        <v>188</v>
      </c>
      <c r="C4" s="3" t="s">
        <v>189</v>
      </c>
      <c r="D4" s="3" t="s">
        <v>190</v>
      </c>
      <c r="E4" s="3">
        <v>1</v>
      </c>
      <c r="F4" s="3">
        <v>330</v>
      </c>
      <c r="G4">
        <f t="shared" ref="G4:G27" si="0">E4*F4/100000</f>
        <v>3.3E-3</v>
      </c>
      <c r="H4" s="9">
        <v>0.05</v>
      </c>
      <c r="I4" s="3">
        <v>1</v>
      </c>
      <c r="J4" s="3">
        <v>1</v>
      </c>
      <c r="K4" s="3">
        <v>1</v>
      </c>
    </row>
    <row r="5" spans="1:11" ht="15" customHeight="1">
      <c r="A5" t="s">
        <v>191</v>
      </c>
      <c r="B5" s="3" t="s">
        <v>188</v>
      </c>
      <c r="C5" s="3" t="s">
        <v>189</v>
      </c>
      <c r="D5" s="3" t="s">
        <v>192</v>
      </c>
      <c r="E5" s="3">
        <v>6</v>
      </c>
      <c r="F5" s="3">
        <v>330</v>
      </c>
      <c r="G5">
        <f t="shared" si="0"/>
        <v>1.9800000000000002E-2</v>
      </c>
      <c r="H5" s="9">
        <v>0.05</v>
      </c>
      <c r="I5" s="3">
        <v>1</v>
      </c>
      <c r="J5" s="3">
        <v>1</v>
      </c>
      <c r="K5" s="3">
        <v>1</v>
      </c>
    </row>
    <row r="6" spans="1:11" ht="15" customHeight="1">
      <c r="A6" t="s">
        <v>193</v>
      </c>
      <c r="B6" s="3" t="s">
        <v>188</v>
      </c>
      <c r="C6" s="3" t="s">
        <v>189</v>
      </c>
      <c r="D6" s="3" t="s">
        <v>194</v>
      </c>
      <c r="E6" s="3">
        <v>24</v>
      </c>
      <c r="F6" s="3">
        <v>330</v>
      </c>
      <c r="G6">
        <f t="shared" si="0"/>
        <v>7.9200000000000007E-2</v>
      </c>
      <c r="H6" s="9">
        <v>0.05</v>
      </c>
      <c r="I6" s="3">
        <v>0</v>
      </c>
      <c r="J6" s="3">
        <v>1</v>
      </c>
      <c r="K6" s="3">
        <v>1</v>
      </c>
    </row>
    <row r="7" spans="1:11" ht="15" customHeight="1">
      <c r="A7" t="s">
        <v>195</v>
      </c>
      <c r="B7" s="3" t="s">
        <v>188</v>
      </c>
      <c r="C7" s="3" t="s">
        <v>189</v>
      </c>
      <c r="D7" s="3" t="s">
        <v>196</v>
      </c>
      <c r="E7" s="3">
        <v>1</v>
      </c>
      <c r="F7" s="3">
        <v>500</v>
      </c>
      <c r="G7">
        <f t="shared" si="0"/>
        <v>5.0000000000000001E-3</v>
      </c>
      <c r="H7" s="9">
        <v>0.05</v>
      </c>
      <c r="I7" s="3">
        <v>1</v>
      </c>
      <c r="J7" s="3">
        <v>1</v>
      </c>
      <c r="K7" s="3">
        <v>1</v>
      </c>
    </row>
    <row r="8" spans="1:11" ht="15" customHeight="1">
      <c r="A8" t="s">
        <v>197</v>
      </c>
      <c r="B8" s="3" t="s">
        <v>188</v>
      </c>
      <c r="C8" s="3" t="s">
        <v>189</v>
      </c>
      <c r="D8" s="3" t="s">
        <v>198</v>
      </c>
      <c r="E8" s="3">
        <v>1</v>
      </c>
      <c r="F8" s="3">
        <v>750</v>
      </c>
      <c r="G8">
        <f t="shared" si="0"/>
        <v>7.4999999999999997E-3</v>
      </c>
      <c r="H8" s="9">
        <v>0.05</v>
      </c>
      <c r="I8" s="3">
        <v>1</v>
      </c>
      <c r="J8" s="3">
        <v>1</v>
      </c>
      <c r="K8" s="3">
        <v>1</v>
      </c>
    </row>
    <row r="9" spans="1:11" ht="15" customHeight="1">
      <c r="A9" t="s">
        <v>199</v>
      </c>
      <c r="B9" s="3" t="s">
        <v>188</v>
      </c>
      <c r="C9" s="3" t="s">
        <v>200</v>
      </c>
      <c r="D9" s="3" t="s">
        <v>190</v>
      </c>
      <c r="E9" s="3">
        <v>1</v>
      </c>
      <c r="F9" s="3">
        <v>330</v>
      </c>
      <c r="G9">
        <f t="shared" si="0"/>
        <v>3.3E-3</v>
      </c>
      <c r="H9" s="9">
        <v>0.05</v>
      </c>
      <c r="I9" s="3">
        <v>1</v>
      </c>
      <c r="J9" s="3">
        <v>1</v>
      </c>
      <c r="K9" s="3">
        <v>1</v>
      </c>
    </row>
    <row r="10" spans="1:11" ht="15" customHeight="1">
      <c r="A10" t="s">
        <v>201</v>
      </c>
      <c r="B10" s="3" t="s">
        <v>188</v>
      </c>
      <c r="C10" s="3" t="s">
        <v>200</v>
      </c>
      <c r="D10" s="3" t="s">
        <v>202</v>
      </c>
      <c r="E10" s="3">
        <v>4</v>
      </c>
      <c r="F10" s="3">
        <v>330</v>
      </c>
      <c r="G10">
        <f t="shared" si="0"/>
        <v>1.32E-2</v>
      </c>
      <c r="H10" s="9">
        <v>0.05</v>
      </c>
      <c r="I10" s="3">
        <v>0</v>
      </c>
      <c r="J10" s="3">
        <v>1</v>
      </c>
      <c r="K10" s="3">
        <v>1</v>
      </c>
    </row>
    <row r="11" spans="1:11" ht="15" customHeight="1">
      <c r="A11" t="s">
        <v>203</v>
      </c>
      <c r="B11" s="3" t="s">
        <v>188</v>
      </c>
      <c r="C11" s="3" t="s">
        <v>200</v>
      </c>
      <c r="D11" s="3" t="s">
        <v>192</v>
      </c>
      <c r="E11" s="3">
        <v>6</v>
      </c>
      <c r="F11" s="3">
        <v>330</v>
      </c>
      <c r="G11">
        <f t="shared" si="0"/>
        <v>1.9800000000000002E-2</v>
      </c>
      <c r="H11" s="9">
        <v>0.05</v>
      </c>
      <c r="I11" s="3">
        <v>1</v>
      </c>
      <c r="J11" s="3">
        <v>1</v>
      </c>
      <c r="K11" s="3">
        <v>1</v>
      </c>
    </row>
    <row r="12" spans="1:11" ht="15" customHeight="1">
      <c r="A12" t="s">
        <v>204</v>
      </c>
      <c r="B12" s="3" t="s">
        <v>188</v>
      </c>
      <c r="C12" s="3" t="s">
        <v>200</v>
      </c>
      <c r="D12" s="3" t="s">
        <v>194</v>
      </c>
      <c r="E12" s="3">
        <v>24</v>
      </c>
      <c r="F12" s="3">
        <v>330</v>
      </c>
      <c r="G12">
        <f t="shared" si="0"/>
        <v>7.9200000000000007E-2</v>
      </c>
      <c r="H12" s="9">
        <v>0.05</v>
      </c>
      <c r="I12" s="3">
        <v>0</v>
      </c>
      <c r="J12" s="3">
        <v>1</v>
      </c>
      <c r="K12" s="3">
        <v>1</v>
      </c>
    </row>
    <row r="13" spans="1:11" ht="15" customHeight="1">
      <c r="A13" t="s">
        <v>205</v>
      </c>
      <c r="B13" s="3" t="s">
        <v>188</v>
      </c>
      <c r="C13" s="3" t="s">
        <v>200</v>
      </c>
      <c r="D13" s="3" t="s">
        <v>196</v>
      </c>
      <c r="E13" s="3">
        <v>1</v>
      </c>
      <c r="F13" s="3">
        <v>500</v>
      </c>
      <c r="G13">
        <f t="shared" si="0"/>
        <v>5.0000000000000001E-3</v>
      </c>
      <c r="H13" s="9">
        <v>0.05</v>
      </c>
      <c r="I13" s="3">
        <v>1</v>
      </c>
      <c r="J13" s="3">
        <v>1</v>
      </c>
      <c r="K13" s="3">
        <v>1</v>
      </c>
    </row>
    <row r="14" spans="1:11" ht="15" customHeight="1">
      <c r="A14" t="s">
        <v>206</v>
      </c>
      <c r="B14" s="3" t="s">
        <v>188</v>
      </c>
      <c r="C14" s="3" t="s">
        <v>207</v>
      </c>
      <c r="D14" s="3" t="s">
        <v>208</v>
      </c>
      <c r="E14" s="3">
        <v>1</v>
      </c>
      <c r="F14" s="3">
        <v>20000</v>
      </c>
      <c r="G14">
        <f t="shared" si="0"/>
        <v>0.2</v>
      </c>
      <c r="H14" s="9">
        <v>0.05</v>
      </c>
      <c r="I14" s="3">
        <v>1</v>
      </c>
      <c r="J14" s="3">
        <v>0</v>
      </c>
      <c r="K14" s="3">
        <v>1</v>
      </c>
    </row>
    <row r="15" spans="1:11" ht="15" customHeight="1">
      <c r="A15" t="s">
        <v>209</v>
      </c>
      <c r="B15" s="3" t="s">
        <v>188</v>
      </c>
      <c r="C15" s="3" t="s">
        <v>207</v>
      </c>
      <c r="D15" s="3" t="s">
        <v>210</v>
      </c>
      <c r="E15" s="3">
        <v>1</v>
      </c>
      <c r="F15" s="3">
        <v>50000</v>
      </c>
      <c r="G15">
        <f t="shared" si="0"/>
        <v>0.5</v>
      </c>
      <c r="H15" s="9">
        <v>0.05</v>
      </c>
      <c r="I15" s="3">
        <v>1</v>
      </c>
      <c r="J15" s="3">
        <v>0</v>
      </c>
      <c r="K15" s="3">
        <v>1</v>
      </c>
    </row>
    <row r="16" spans="1:11" ht="15" customHeight="1">
      <c r="A16" t="s">
        <v>211</v>
      </c>
      <c r="B16" s="3" t="s">
        <v>212</v>
      </c>
      <c r="C16" s="3" t="s">
        <v>189</v>
      </c>
      <c r="D16" s="3" t="s">
        <v>190</v>
      </c>
      <c r="E16" s="3">
        <v>1</v>
      </c>
      <c r="F16" s="3">
        <v>330</v>
      </c>
      <c r="G16">
        <f t="shared" si="0"/>
        <v>3.3E-3</v>
      </c>
      <c r="H16" s="9">
        <v>0.06</v>
      </c>
      <c r="I16" s="3">
        <v>1</v>
      </c>
      <c r="J16" s="3">
        <v>1</v>
      </c>
      <c r="K16" s="3">
        <v>1</v>
      </c>
    </row>
    <row r="17" spans="1:11" ht="15" customHeight="1">
      <c r="A17" t="s">
        <v>213</v>
      </c>
      <c r="B17" s="3" t="s">
        <v>212</v>
      </c>
      <c r="C17" s="3" t="s">
        <v>189</v>
      </c>
      <c r="D17" s="3" t="s">
        <v>192</v>
      </c>
      <c r="E17" s="3">
        <v>6</v>
      </c>
      <c r="F17" s="3">
        <v>330</v>
      </c>
      <c r="G17">
        <f t="shared" si="0"/>
        <v>1.9800000000000002E-2</v>
      </c>
      <c r="H17" s="9">
        <v>0.06</v>
      </c>
      <c r="I17" s="3">
        <v>1</v>
      </c>
      <c r="J17" s="3">
        <v>1</v>
      </c>
      <c r="K17" s="3">
        <v>1</v>
      </c>
    </row>
    <row r="18" spans="1:11" ht="15" customHeight="1">
      <c r="A18" t="s">
        <v>214</v>
      </c>
      <c r="B18" s="3" t="s">
        <v>212</v>
      </c>
      <c r="C18" s="3" t="s">
        <v>189</v>
      </c>
      <c r="D18" s="3" t="s">
        <v>194</v>
      </c>
      <c r="E18" s="3">
        <v>24</v>
      </c>
      <c r="F18" s="3">
        <v>330</v>
      </c>
      <c r="G18">
        <f t="shared" si="0"/>
        <v>7.9200000000000007E-2</v>
      </c>
      <c r="H18" s="9">
        <v>0.06</v>
      </c>
      <c r="I18" s="3">
        <v>0</v>
      </c>
      <c r="J18" s="3">
        <v>1</v>
      </c>
      <c r="K18" s="3">
        <v>1</v>
      </c>
    </row>
    <row r="19" spans="1:11" ht="15" customHeight="1">
      <c r="A19" t="s">
        <v>215</v>
      </c>
      <c r="B19" s="3" t="s">
        <v>212</v>
      </c>
      <c r="C19" s="3" t="s">
        <v>189</v>
      </c>
      <c r="D19" s="3" t="s">
        <v>196</v>
      </c>
      <c r="E19" s="3">
        <v>1</v>
      </c>
      <c r="F19" s="3">
        <v>500</v>
      </c>
      <c r="G19">
        <f t="shared" si="0"/>
        <v>5.0000000000000001E-3</v>
      </c>
      <c r="H19" s="9">
        <v>0.06</v>
      </c>
      <c r="I19" s="3">
        <v>1</v>
      </c>
      <c r="J19" s="3">
        <v>1</v>
      </c>
      <c r="K19" s="3">
        <v>1</v>
      </c>
    </row>
    <row r="20" spans="1:11" ht="15" customHeight="1">
      <c r="A20" t="s">
        <v>216</v>
      </c>
      <c r="B20" s="3" t="s">
        <v>212</v>
      </c>
      <c r="C20" s="3" t="s">
        <v>189</v>
      </c>
      <c r="D20" s="3" t="s">
        <v>198</v>
      </c>
      <c r="E20" s="3">
        <v>1</v>
      </c>
      <c r="F20" s="3">
        <v>750</v>
      </c>
      <c r="G20">
        <f t="shared" si="0"/>
        <v>7.4999999999999997E-3</v>
      </c>
      <c r="H20" s="9">
        <v>0.06</v>
      </c>
      <c r="I20" s="3">
        <v>1</v>
      </c>
      <c r="J20" s="3">
        <v>1</v>
      </c>
      <c r="K20" s="3">
        <v>1</v>
      </c>
    </row>
    <row r="21" spans="1:11" ht="15" customHeight="1">
      <c r="A21" t="s">
        <v>217</v>
      </c>
      <c r="B21" s="3" t="s">
        <v>212</v>
      </c>
      <c r="C21" s="3" t="s">
        <v>200</v>
      </c>
      <c r="D21" s="3" t="s">
        <v>190</v>
      </c>
      <c r="E21" s="3">
        <v>1</v>
      </c>
      <c r="F21" s="3">
        <v>330</v>
      </c>
      <c r="G21">
        <f t="shared" si="0"/>
        <v>3.3E-3</v>
      </c>
      <c r="H21" s="9">
        <v>0.06</v>
      </c>
      <c r="I21" s="3">
        <v>1</v>
      </c>
      <c r="J21" s="3">
        <v>1</v>
      </c>
      <c r="K21" s="3">
        <v>1</v>
      </c>
    </row>
    <row r="22" spans="1:11" ht="15" customHeight="1">
      <c r="A22" t="s">
        <v>218</v>
      </c>
      <c r="B22" s="3" t="s">
        <v>212</v>
      </c>
      <c r="C22" s="3" t="s">
        <v>200</v>
      </c>
      <c r="D22" s="3" t="s">
        <v>202</v>
      </c>
      <c r="E22" s="3">
        <v>4</v>
      </c>
      <c r="F22" s="3">
        <v>330</v>
      </c>
      <c r="G22">
        <f t="shared" si="0"/>
        <v>1.32E-2</v>
      </c>
      <c r="H22" s="9">
        <v>0.06</v>
      </c>
      <c r="I22" s="3">
        <v>0</v>
      </c>
      <c r="J22" s="3">
        <v>1</v>
      </c>
      <c r="K22" s="3">
        <v>1</v>
      </c>
    </row>
    <row r="23" spans="1:11" ht="15" customHeight="1">
      <c r="A23" t="s">
        <v>219</v>
      </c>
      <c r="B23" s="3" t="s">
        <v>212</v>
      </c>
      <c r="C23" s="3" t="s">
        <v>200</v>
      </c>
      <c r="D23" s="3" t="s">
        <v>192</v>
      </c>
      <c r="E23" s="3">
        <v>6</v>
      </c>
      <c r="F23" s="3">
        <v>330</v>
      </c>
      <c r="G23">
        <f t="shared" si="0"/>
        <v>1.9800000000000002E-2</v>
      </c>
      <c r="H23" s="9">
        <v>0.06</v>
      </c>
      <c r="I23" s="3">
        <v>1</v>
      </c>
      <c r="J23" s="3">
        <v>1</v>
      </c>
      <c r="K23" s="3">
        <v>1</v>
      </c>
    </row>
    <row r="24" spans="1:11" ht="15" customHeight="1">
      <c r="A24" t="s">
        <v>220</v>
      </c>
      <c r="B24" s="3" t="s">
        <v>212</v>
      </c>
      <c r="C24" s="3" t="s">
        <v>200</v>
      </c>
      <c r="D24" s="3" t="s">
        <v>194</v>
      </c>
      <c r="E24" s="3">
        <v>24</v>
      </c>
      <c r="F24" s="3">
        <v>330</v>
      </c>
      <c r="G24">
        <f t="shared" si="0"/>
        <v>7.9200000000000007E-2</v>
      </c>
      <c r="H24" s="9">
        <v>0.06</v>
      </c>
      <c r="I24" s="3">
        <v>0</v>
      </c>
      <c r="J24" s="3">
        <v>1</v>
      </c>
      <c r="K24" s="3">
        <v>1</v>
      </c>
    </row>
    <row r="25" spans="1:11" ht="15" customHeight="1">
      <c r="A25" t="s">
        <v>221</v>
      </c>
      <c r="B25" s="3" t="s">
        <v>212</v>
      </c>
      <c r="C25" s="3" t="s">
        <v>200</v>
      </c>
      <c r="D25" s="3" t="s">
        <v>196</v>
      </c>
      <c r="E25" s="3">
        <v>1</v>
      </c>
      <c r="F25" s="3">
        <v>500</v>
      </c>
      <c r="G25">
        <f t="shared" si="0"/>
        <v>5.0000000000000001E-3</v>
      </c>
      <c r="H25" s="9">
        <v>0.06</v>
      </c>
      <c r="I25" s="3">
        <v>1</v>
      </c>
      <c r="J25" s="3">
        <v>1</v>
      </c>
      <c r="K25" s="3">
        <v>1</v>
      </c>
    </row>
    <row r="26" spans="1:11" ht="15" customHeight="1">
      <c r="A26" t="s">
        <v>222</v>
      </c>
      <c r="B26" s="3" t="s">
        <v>212</v>
      </c>
      <c r="C26" s="3" t="s">
        <v>207</v>
      </c>
      <c r="D26" s="3" t="s">
        <v>208</v>
      </c>
      <c r="E26" s="3">
        <v>1</v>
      </c>
      <c r="F26" s="3">
        <v>20000</v>
      </c>
      <c r="G26">
        <f t="shared" si="0"/>
        <v>0.2</v>
      </c>
      <c r="H26" s="9">
        <v>0.06</v>
      </c>
      <c r="I26" s="3">
        <v>1</v>
      </c>
      <c r="J26" s="3">
        <v>0</v>
      </c>
      <c r="K26" s="3">
        <v>1</v>
      </c>
    </row>
    <row r="27" spans="1:11" ht="15" customHeight="1">
      <c r="A27" t="s">
        <v>223</v>
      </c>
      <c r="B27" s="3" t="s">
        <v>212</v>
      </c>
      <c r="C27" s="3" t="s">
        <v>207</v>
      </c>
      <c r="D27" s="3" t="s">
        <v>210</v>
      </c>
      <c r="E27" s="3">
        <v>1</v>
      </c>
      <c r="F27" s="3">
        <v>50000</v>
      </c>
      <c r="G27">
        <f t="shared" si="0"/>
        <v>0.5</v>
      </c>
      <c r="H27" s="9">
        <v>0.06</v>
      </c>
      <c r="I27" s="3">
        <v>1</v>
      </c>
      <c r="J27" s="3">
        <v>0</v>
      </c>
      <c r="K27" s="3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zoomScaleNormal="100" workbookViewId="0"/>
  </sheetViews>
  <sheetFormatPr defaultColWidth="8.7109375" defaultRowHeight="15"/>
  <cols>
    <col min="1" max="1" width="35" customWidth="1"/>
    <col min="2" max="4" width="12" customWidth="1"/>
  </cols>
  <sheetData>
    <row r="1" spans="1:3" ht="17.25" customHeight="1">
      <c r="A1" s="4" t="s">
        <v>224</v>
      </c>
    </row>
    <row r="3" spans="1:3" ht="15" customHeight="1">
      <c r="A3" s="5" t="s">
        <v>225</v>
      </c>
    </row>
    <row r="5" spans="1:3" ht="15" customHeight="1">
      <c r="A5" t="s">
        <v>226</v>
      </c>
      <c r="C5" s="12">
        <v>800000</v>
      </c>
    </row>
    <row r="7" spans="1:3" ht="15" customHeight="1">
      <c r="A7" s="5" t="s">
        <v>227</v>
      </c>
    </row>
    <row r="8" spans="1:3" ht="15" customHeight="1">
      <c r="A8" t="s">
        <v>228</v>
      </c>
      <c r="C8" s="9">
        <v>0.7</v>
      </c>
    </row>
    <row r="9" spans="1:3" ht="15" customHeight="1">
      <c r="A9" t="s">
        <v>229</v>
      </c>
      <c r="C9" s="13">
        <f>1-C8</f>
        <v>0.30000000000000004</v>
      </c>
    </row>
    <row r="11" spans="1:3" ht="15" customHeight="1">
      <c r="A11" s="5" t="s">
        <v>230</v>
      </c>
    </row>
    <row r="12" spans="1:3" ht="15" customHeight="1">
      <c r="A12" t="s">
        <v>231</v>
      </c>
      <c r="C12" s="9">
        <v>0.7</v>
      </c>
    </row>
    <row r="13" spans="1:3" ht="15" customHeight="1">
      <c r="A13" t="s">
        <v>232</v>
      </c>
      <c r="C13" s="13">
        <f>1-C12</f>
        <v>0.30000000000000004</v>
      </c>
    </row>
    <row r="15" spans="1:3" ht="15" customHeight="1">
      <c r="A15" s="5" t="s">
        <v>233</v>
      </c>
    </row>
    <row r="16" spans="1:3" ht="15" customHeight="1">
      <c r="A16" t="s">
        <v>234</v>
      </c>
      <c r="C16" s="9">
        <v>0.35</v>
      </c>
    </row>
    <row r="17" spans="1:4" ht="15" customHeight="1">
      <c r="A17" t="s">
        <v>235</v>
      </c>
      <c r="C17" s="13">
        <f>1-C16</f>
        <v>0.65</v>
      </c>
    </row>
    <row r="19" spans="1:4" ht="15" customHeight="1">
      <c r="A19" s="5" t="s">
        <v>236</v>
      </c>
    </row>
    <row r="20" spans="1:4" ht="15" customHeight="1">
      <c r="A20" t="s">
        <v>237</v>
      </c>
    </row>
    <row r="21" spans="1:4" ht="15" customHeight="1">
      <c r="A21" t="s">
        <v>238</v>
      </c>
      <c r="C21" s="9">
        <v>0.7</v>
      </c>
    </row>
    <row r="22" spans="1:4" ht="15" customHeight="1">
      <c r="A22" t="s">
        <v>239</v>
      </c>
      <c r="C22" s="9">
        <v>0.2</v>
      </c>
    </row>
    <row r="23" spans="1:4" ht="15" customHeight="1">
      <c r="A23" t="s">
        <v>240</v>
      </c>
      <c r="C23" s="13">
        <f>1-C21-C22</f>
        <v>0.10000000000000003</v>
      </c>
    </row>
    <row r="25" spans="1:4" ht="15" customHeight="1">
      <c r="A25" t="s">
        <v>241</v>
      </c>
    </row>
    <row r="26" spans="1:4" ht="15" customHeight="1">
      <c r="A26" t="s">
        <v>239</v>
      </c>
      <c r="C26" s="9">
        <v>0.45</v>
      </c>
    </row>
    <row r="27" spans="1:4" ht="15" customHeight="1">
      <c r="A27" t="s">
        <v>240</v>
      </c>
      <c r="C27" s="9">
        <v>0.55000000000000004</v>
      </c>
    </row>
    <row r="30" spans="1:4" ht="15" customHeight="1">
      <c r="A30" s="5" t="s">
        <v>242</v>
      </c>
    </row>
    <row r="31" spans="1:4" ht="15" customHeight="1">
      <c r="B31" s="14" t="s">
        <v>243</v>
      </c>
      <c r="C31" s="14" t="s">
        <v>244</v>
      </c>
      <c r="D31" s="14" t="s">
        <v>245</v>
      </c>
    </row>
    <row r="32" spans="1:4" ht="15" customHeight="1">
      <c r="A32" t="s">
        <v>246</v>
      </c>
      <c r="B32" s="9">
        <v>0</v>
      </c>
      <c r="C32" s="9">
        <v>0</v>
      </c>
      <c r="D32" s="9">
        <v>0</v>
      </c>
    </row>
    <row r="33" spans="1:4" ht="15" customHeight="1">
      <c r="A33" t="s">
        <v>247</v>
      </c>
      <c r="B33" s="9">
        <v>0.08</v>
      </c>
      <c r="C33" s="9">
        <v>0.1</v>
      </c>
      <c r="D33" s="9">
        <v>0.05</v>
      </c>
    </row>
    <row r="34" spans="1:4" ht="15" customHeight="1">
      <c r="A34" t="s">
        <v>248</v>
      </c>
      <c r="B34" s="9">
        <v>0.08</v>
      </c>
      <c r="C34" s="9">
        <v>0.1</v>
      </c>
      <c r="D34" s="9">
        <v>0.05</v>
      </c>
    </row>
    <row r="35" spans="1:4" ht="15" customHeight="1">
      <c r="A35" t="s">
        <v>249</v>
      </c>
      <c r="B35" s="9">
        <v>0.06</v>
      </c>
      <c r="C35" s="9">
        <v>0.08</v>
      </c>
      <c r="D35" s="9">
        <v>0.03</v>
      </c>
    </row>
    <row r="36" spans="1:4" ht="15" customHeight="1">
      <c r="A36" t="s">
        <v>250</v>
      </c>
      <c r="B36" s="9">
        <v>0.06</v>
      </c>
      <c r="C36" s="9">
        <v>0.08</v>
      </c>
      <c r="D36" s="9">
        <v>0.03</v>
      </c>
    </row>
    <row r="37" spans="1:4" ht="15" customHeight="1">
      <c r="A37" t="s">
        <v>251</v>
      </c>
      <c r="B37" s="9">
        <v>0.04</v>
      </c>
      <c r="C37" s="9">
        <v>0.06</v>
      </c>
      <c r="D37" s="9">
        <v>0.02</v>
      </c>
    </row>
    <row r="38" spans="1:4" ht="15" customHeight="1">
      <c r="A38" t="s">
        <v>252</v>
      </c>
      <c r="B38" s="9">
        <v>0.04</v>
      </c>
      <c r="C38" s="9">
        <v>0.06</v>
      </c>
      <c r="D38" s="9">
        <v>0.02</v>
      </c>
    </row>
    <row r="39" spans="1:4" ht="15" customHeight="1">
      <c r="A39" t="s">
        <v>253</v>
      </c>
      <c r="B39" s="9">
        <v>0.04</v>
      </c>
      <c r="C39" s="9">
        <v>0.06</v>
      </c>
      <c r="D39" s="9">
        <v>0.02</v>
      </c>
    </row>
    <row r="40" spans="1:4" ht="15" customHeight="1">
      <c r="A40" t="s">
        <v>254</v>
      </c>
      <c r="B40" s="9">
        <v>0.04</v>
      </c>
      <c r="C40" s="9">
        <v>0.06</v>
      </c>
      <c r="D40" s="9">
        <v>0.02</v>
      </c>
    </row>
    <row r="41" spans="1:4" ht="15" customHeight="1">
      <c r="A41" t="s">
        <v>255</v>
      </c>
      <c r="B41" s="9">
        <v>0.04</v>
      </c>
      <c r="C41" s="9">
        <v>0.06</v>
      </c>
      <c r="D41" s="9">
        <v>0.02</v>
      </c>
    </row>
    <row r="44" spans="1:4" ht="15" customHeight="1">
      <c r="A44" s="5" t="s">
        <v>256</v>
      </c>
    </row>
    <row r="45" spans="1:4" ht="15" customHeight="1">
      <c r="A45" t="s">
        <v>257</v>
      </c>
    </row>
    <row r="46" spans="1:4" ht="15" customHeight="1">
      <c r="A46" t="s">
        <v>258</v>
      </c>
      <c r="B46" s="15">
        <v>1.1499999999999999</v>
      </c>
    </row>
    <row r="47" spans="1:4" ht="15" customHeight="1">
      <c r="A47" t="s">
        <v>259</v>
      </c>
      <c r="B47" s="15">
        <v>1.1000000000000001</v>
      </c>
    </row>
    <row r="48" spans="1:4" ht="15" customHeight="1">
      <c r="A48" t="s">
        <v>260</v>
      </c>
      <c r="B48" s="15">
        <v>1</v>
      </c>
    </row>
    <row r="49" spans="1:2" ht="15" customHeight="1">
      <c r="A49" t="s">
        <v>261</v>
      </c>
      <c r="B49" s="15">
        <v>0.9</v>
      </c>
    </row>
    <row r="50" spans="1:2" ht="15" customHeight="1">
      <c r="A50" t="s">
        <v>262</v>
      </c>
      <c r="B50" s="15">
        <v>0.85</v>
      </c>
    </row>
    <row r="51" spans="1:2" ht="15" customHeight="1">
      <c r="A51" t="s">
        <v>263</v>
      </c>
      <c r="B51" s="15">
        <v>0.8</v>
      </c>
    </row>
    <row r="52" spans="1:2" ht="15" customHeight="1">
      <c r="A52" t="s">
        <v>264</v>
      </c>
      <c r="B52" s="15">
        <v>0.8</v>
      </c>
    </row>
    <row r="53" spans="1:2" ht="15" customHeight="1">
      <c r="A53" t="s">
        <v>265</v>
      </c>
      <c r="B53" s="15">
        <v>0.85</v>
      </c>
    </row>
    <row r="54" spans="1:2" ht="15" customHeight="1">
      <c r="A54" t="s">
        <v>266</v>
      </c>
      <c r="B54" s="15">
        <v>0.95</v>
      </c>
    </row>
    <row r="55" spans="1:2" ht="15" customHeight="1">
      <c r="A55" t="s">
        <v>267</v>
      </c>
      <c r="B55" s="15">
        <v>1.05</v>
      </c>
    </row>
    <row r="56" spans="1:2" ht="15" customHeight="1">
      <c r="A56" t="s">
        <v>268</v>
      </c>
      <c r="B56" s="15">
        <v>1.1499999999999999</v>
      </c>
    </row>
    <row r="57" spans="1:2" ht="15" customHeight="1">
      <c r="A57" t="s">
        <v>269</v>
      </c>
      <c r="B57" s="15">
        <v>1.4</v>
      </c>
    </row>
    <row r="58" spans="1:2" ht="15" customHeight="1">
      <c r="A58" t="s">
        <v>270</v>
      </c>
      <c r="B58" s="16">
        <f>SUM(B46:B57)</f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"/>
  <sheetViews>
    <sheetView zoomScaleNormal="100" workbookViewId="0"/>
  </sheetViews>
  <sheetFormatPr defaultColWidth="8.7109375" defaultRowHeight="15"/>
  <cols>
    <col min="1" max="1" width="40" customWidth="1"/>
    <col min="2" max="2" width="12" customWidth="1"/>
    <col min="3" max="4" width="15" customWidth="1"/>
  </cols>
  <sheetData>
    <row r="1" spans="1:4" ht="17.25" customHeight="1">
      <c r="A1" s="4" t="s">
        <v>271</v>
      </c>
    </row>
    <row r="3" spans="1:4" ht="15" customHeight="1">
      <c r="A3" s="5" t="s">
        <v>272</v>
      </c>
    </row>
    <row r="5" spans="1:4" ht="15" customHeight="1">
      <c r="A5" s="10" t="s">
        <v>177</v>
      </c>
      <c r="B5" s="10" t="s">
        <v>178</v>
      </c>
      <c r="C5" s="10" t="s">
        <v>273</v>
      </c>
      <c r="D5" s="10" t="s">
        <v>274</v>
      </c>
    </row>
    <row r="6" spans="1:4" ht="15" customHeight="1">
      <c r="A6" t="s">
        <v>188</v>
      </c>
      <c r="B6" t="s">
        <v>189</v>
      </c>
      <c r="C6" s="17">
        <v>850</v>
      </c>
      <c r="D6" s="17">
        <v>550</v>
      </c>
    </row>
    <row r="7" spans="1:4" ht="15" customHeight="1">
      <c r="A7" t="s">
        <v>188</v>
      </c>
      <c r="B7" t="s">
        <v>200</v>
      </c>
      <c r="C7" s="17">
        <v>800</v>
      </c>
      <c r="D7" s="17">
        <v>520</v>
      </c>
    </row>
    <row r="8" spans="1:4" ht="15" customHeight="1">
      <c r="A8" t="s">
        <v>188</v>
      </c>
      <c r="B8" t="s">
        <v>207</v>
      </c>
      <c r="C8" s="17">
        <v>650</v>
      </c>
      <c r="D8" s="17">
        <v>0</v>
      </c>
    </row>
    <row r="9" spans="1:4" ht="15" customHeight="1">
      <c r="A9" t="s">
        <v>212</v>
      </c>
      <c r="B9" t="s">
        <v>189</v>
      </c>
      <c r="C9" s="17">
        <v>950</v>
      </c>
      <c r="D9" s="17">
        <v>620</v>
      </c>
    </row>
    <row r="10" spans="1:4" ht="15" customHeight="1">
      <c r="A10" t="s">
        <v>212</v>
      </c>
      <c r="B10" t="s">
        <v>200</v>
      </c>
      <c r="C10" s="17">
        <v>900</v>
      </c>
      <c r="D10" s="17">
        <v>580</v>
      </c>
    </row>
    <row r="11" spans="1:4" ht="15" customHeight="1">
      <c r="A11" t="s">
        <v>212</v>
      </c>
      <c r="B11" t="s">
        <v>207</v>
      </c>
      <c r="C11" s="17">
        <v>720</v>
      </c>
      <c r="D11" s="17">
        <v>0</v>
      </c>
    </row>
    <row r="14" spans="1:4" ht="15" customHeight="1">
      <c r="A14" s="5" t="s">
        <v>275</v>
      </c>
    </row>
    <row r="15" spans="1:4" ht="15" customHeight="1">
      <c r="A15" t="s">
        <v>276</v>
      </c>
      <c r="C15" s="9">
        <v>0.08</v>
      </c>
    </row>
    <row r="16" spans="1:4" ht="15" customHeight="1">
      <c r="A16" t="s">
        <v>277</v>
      </c>
      <c r="C16" s="9">
        <v>0.12</v>
      </c>
    </row>
    <row r="17" spans="1:3" ht="15" customHeight="1">
      <c r="A17" t="s">
        <v>278</v>
      </c>
      <c r="C17" s="9">
        <v>0.18</v>
      </c>
    </row>
    <row r="18" spans="1:3" ht="15" customHeight="1">
      <c r="A18" t="s">
        <v>279</v>
      </c>
      <c r="C18" s="13">
        <f>(C16+C17)/2</f>
        <v>0.15</v>
      </c>
    </row>
    <row r="21" spans="1:3" ht="15" customHeight="1">
      <c r="A21" s="5" t="s">
        <v>280</v>
      </c>
    </row>
    <row r="22" spans="1:3" ht="15" customHeight="1">
      <c r="A22" t="s">
        <v>281</v>
      </c>
      <c r="C22" s="18">
        <v>55</v>
      </c>
    </row>
    <row r="23" spans="1:3" ht="15" customHeight="1">
      <c r="A23" t="s">
        <v>282</v>
      </c>
      <c r="C23" s="9">
        <v>0.3</v>
      </c>
    </row>
    <row r="24" spans="1:3" ht="15" customHeight="1">
      <c r="A24" t="s">
        <v>283</v>
      </c>
      <c r="C24" s="18">
        <v>32</v>
      </c>
    </row>
    <row r="26" spans="1:3" ht="15" customHeight="1">
      <c r="A26" t="s">
        <v>284</v>
      </c>
    </row>
    <row r="27" spans="1:3" ht="15" customHeight="1">
      <c r="A27" t="s">
        <v>285</v>
      </c>
      <c r="C27" s="19">
        <f>$C$22*0.05*100</f>
        <v>275</v>
      </c>
    </row>
    <row r="28" spans="1:3" ht="15" customHeight="1">
      <c r="A28" t="s">
        <v>286</v>
      </c>
      <c r="C28" s="19">
        <f>$C$22*0.05*100*(1-$C$23)</f>
        <v>192.5</v>
      </c>
    </row>
    <row r="29" spans="1:3" ht="15" customHeight="1">
      <c r="A29" t="s">
        <v>287</v>
      </c>
      <c r="C29" s="19">
        <f>$C$22*0.06*100</f>
        <v>330</v>
      </c>
    </row>
    <row r="30" spans="1:3" ht="15" customHeight="1">
      <c r="A30" t="s">
        <v>288</v>
      </c>
      <c r="C30" s="19">
        <f>$C$22*0.06*100*(1-$C$23)</f>
        <v>230.99999999999997</v>
      </c>
    </row>
    <row r="31" spans="1:3" ht="15" customHeight="1">
      <c r="A31" t="s">
        <v>289</v>
      </c>
      <c r="C31" s="19">
        <f>$C$24*0.05*100</f>
        <v>160</v>
      </c>
    </row>
    <row r="32" spans="1:3" ht="15" customHeight="1">
      <c r="A32" t="s">
        <v>290</v>
      </c>
      <c r="C32" s="19">
        <f>$C$24*0.06*100</f>
        <v>192</v>
      </c>
    </row>
    <row r="35" spans="1:3" ht="15" customHeight="1">
      <c r="A35" s="5" t="s">
        <v>291</v>
      </c>
    </row>
    <row r="36" spans="1:3" ht="15" customHeight="1">
      <c r="A36" t="s">
        <v>292</v>
      </c>
      <c r="C36" s="9">
        <v>2.5000000000000001E-2</v>
      </c>
    </row>
    <row r="37" spans="1:3" ht="15" customHeight="1">
      <c r="A37" t="s">
        <v>293</v>
      </c>
      <c r="C37" s="9">
        <v>3.5000000000000003E-2</v>
      </c>
    </row>
    <row r="38" spans="1:3" ht="15" customHeight="1">
      <c r="A38" t="s">
        <v>294</v>
      </c>
      <c r="C38" s="9">
        <v>1.4999999999999999E-2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9"/>
  <sheetViews>
    <sheetView zoomScaleNormal="100" workbookViewId="0"/>
  </sheetViews>
  <sheetFormatPr defaultColWidth="8.7109375" defaultRowHeight="15"/>
  <cols>
    <col min="1" max="1" width="40" customWidth="1"/>
    <col min="3" max="3" width="15" customWidth="1"/>
  </cols>
  <sheetData>
    <row r="1" spans="1:3" ht="17.25" customHeight="1">
      <c r="A1" s="4" t="s">
        <v>295</v>
      </c>
    </row>
    <row r="3" spans="1:3" ht="15" customHeight="1">
      <c r="A3" s="5" t="s">
        <v>296</v>
      </c>
    </row>
    <row r="5" spans="1:3" ht="15" customHeight="1">
      <c r="A5" s="14" t="s">
        <v>297</v>
      </c>
    </row>
    <row r="6" spans="1:3" ht="15" customHeight="1">
      <c r="A6" t="s">
        <v>298</v>
      </c>
      <c r="C6" s="18">
        <v>12</v>
      </c>
    </row>
    <row r="7" spans="1:3" ht="15" customHeight="1">
      <c r="A7" t="s">
        <v>299</v>
      </c>
      <c r="C7" s="18">
        <v>5</v>
      </c>
    </row>
    <row r="8" spans="1:3" ht="15" customHeight="1">
      <c r="A8" t="s">
        <v>300</v>
      </c>
      <c r="C8" s="18">
        <v>1.5</v>
      </c>
    </row>
    <row r="9" spans="1:3" ht="15" customHeight="1">
      <c r="A9" t="s">
        <v>301</v>
      </c>
      <c r="C9" s="18">
        <v>1.5</v>
      </c>
    </row>
    <row r="10" spans="1:3" ht="15" customHeight="1">
      <c r="A10" t="s">
        <v>302</v>
      </c>
      <c r="C10" s="19">
        <f>SUM(C6:C9)</f>
        <v>20</v>
      </c>
    </row>
    <row r="12" spans="1:3" ht="15" customHeight="1">
      <c r="A12" s="14" t="s">
        <v>303</v>
      </c>
    </row>
    <row r="13" spans="1:3" ht="15" customHeight="1">
      <c r="A13" t="s">
        <v>304</v>
      </c>
      <c r="C13" s="18">
        <v>35</v>
      </c>
    </row>
    <row r="14" spans="1:3" ht="15" customHeight="1">
      <c r="A14" t="s">
        <v>305</v>
      </c>
      <c r="C14" s="18">
        <v>30</v>
      </c>
    </row>
    <row r="15" spans="1:3" ht="15" customHeight="1">
      <c r="A15" t="s">
        <v>306</v>
      </c>
      <c r="C15" s="18">
        <v>8</v>
      </c>
    </row>
    <row r="17" spans="1:3" ht="15" customHeight="1">
      <c r="A17" s="14" t="s">
        <v>307</v>
      </c>
    </row>
    <row r="18" spans="1:3" ht="15" customHeight="1">
      <c r="A18" t="s">
        <v>308</v>
      </c>
      <c r="C18" s="18">
        <v>12</v>
      </c>
    </row>
    <row r="19" spans="1:3" ht="15" customHeight="1">
      <c r="A19" t="s">
        <v>309</v>
      </c>
      <c r="C19" s="18">
        <v>6</v>
      </c>
    </row>
    <row r="20" spans="1:3" ht="15" customHeight="1">
      <c r="A20" t="s">
        <v>310</v>
      </c>
      <c r="C20" s="18">
        <v>8</v>
      </c>
    </row>
    <row r="21" spans="1:3" ht="15" customHeight="1">
      <c r="A21" t="s">
        <v>311</v>
      </c>
      <c r="C21" s="18">
        <v>2</v>
      </c>
    </row>
    <row r="22" spans="1:3" ht="15" customHeight="1">
      <c r="A22" t="s">
        <v>312</v>
      </c>
      <c r="C22" s="19">
        <f>SUM(C18:C21)</f>
        <v>28</v>
      </c>
    </row>
    <row r="24" spans="1:3" ht="15" customHeight="1">
      <c r="A24" s="14" t="s">
        <v>313</v>
      </c>
    </row>
    <row r="25" spans="1:3" ht="15" customHeight="1">
      <c r="A25" t="s">
        <v>314</v>
      </c>
      <c r="C25" s="19">
        <f>C10+C13+C22</f>
        <v>83</v>
      </c>
    </row>
    <row r="26" spans="1:3" ht="15" customHeight="1">
      <c r="A26" t="s">
        <v>315</v>
      </c>
      <c r="C26" s="19">
        <f>C10+C14+C22</f>
        <v>78</v>
      </c>
    </row>
    <row r="27" spans="1:3" ht="15" customHeight="1">
      <c r="A27" t="s">
        <v>316</v>
      </c>
      <c r="C27" s="19">
        <f>C10+C15+C22</f>
        <v>56</v>
      </c>
    </row>
    <row r="30" spans="1:3" ht="15" customHeight="1">
      <c r="A30" s="5" t="s">
        <v>317</v>
      </c>
    </row>
    <row r="31" spans="1:3" ht="15" customHeight="1">
      <c r="A31" t="s">
        <v>318</v>
      </c>
      <c r="C31" s="18">
        <v>22</v>
      </c>
    </row>
    <row r="32" spans="1:3" ht="15" customHeight="1">
      <c r="A32" t="s">
        <v>319</v>
      </c>
      <c r="C32" s="18">
        <v>18</v>
      </c>
    </row>
    <row r="33" spans="1:3" ht="15" customHeight="1">
      <c r="A33" t="s">
        <v>320</v>
      </c>
      <c r="C33" s="18">
        <v>35</v>
      </c>
    </row>
    <row r="34" spans="1:3" ht="15" customHeight="1">
      <c r="A34" t="s">
        <v>321</v>
      </c>
      <c r="C34" s="18">
        <v>8</v>
      </c>
    </row>
    <row r="35" spans="1:3" ht="15" customHeight="1">
      <c r="A35" t="s">
        <v>322</v>
      </c>
      <c r="C35" s="18">
        <v>10</v>
      </c>
    </row>
    <row r="38" spans="1:3" ht="15" customHeight="1">
      <c r="A38" s="5" t="s">
        <v>323</v>
      </c>
    </row>
    <row r="39" spans="1:3" ht="15" customHeight="1">
      <c r="A39" t="s">
        <v>324</v>
      </c>
      <c r="C39" s="9">
        <v>0.04</v>
      </c>
    </row>
    <row r="40" spans="1:3" ht="15" customHeight="1">
      <c r="A40" t="s">
        <v>325</v>
      </c>
      <c r="C40" s="9">
        <v>0.06</v>
      </c>
    </row>
    <row r="41" spans="1:3" ht="15" customHeight="1">
      <c r="A41" t="s">
        <v>326</v>
      </c>
      <c r="C41" s="9">
        <v>0.03</v>
      </c>
    </row>
    <row r="42" spans="1:3" ht="15" customHeight="1">
      <c r="A42" t="s">
        <v>327</v>
      </c>
      <c r="C42" s="9">
        <v>0.04</v>
      </c>
    </row>
    <row r="43" spans="1:3" ht="15" customHeight="1">
      <c r="A43" t="s">
        <v>328</v>
      </c>
      <c r="C43" s="13">
        <f>SUM(C39:C42)</f>
        <v>0.17</v>
      </c>
    </row>
    <row r="46" spans="1:3" ht="15" customHeight="1">
      <c r="A46" s="5" t="s">
        <v>329</v>
      </c>
    </row>
    <row r="47" spans="1:3" ht="15" customHeight="1">
      <c r="A47" t="s">
        <v>292</v>
      </c>
      <c r="C47" s="9">
        <v>2.5000000000000001E-2</v>
      </c>
    </row>
    <row r="48" spans="1:3" ht="15" customHeight="1">
      <c r="A48" t="s">
        <v>293</v>
      </c>
      <c r="C48" s="9">
        <v>0.02</v>
      </c>
    </row>
    <row r="49" spans="1:3" ht="15" customHeight="1">
      <c r="A49" t="s">
        <v>294</v>
      </c>
      <c r="C49" s="9">
        <v>3.5000000000000003E-2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workbookViewId="0"/>
  </sheetViews>
  <sheetFormatPr defaultColWidth="8.7109375" defaultRowHeight="15"/>
  <cols>
    <col min="1" max="6" width="18" customWidth="1"/>
  </cols>
  <sheetData>
    <row r="1" spans="1:6" ht="17.25" customHeight="1">
      <c r="A1" s="4" t="s">
        <v>330</v>
      </c>
    </row>
    <row r="3" spans="1:6" ht="15" customHeight="1">
      <c r="A3" s="5" t="s">
        <v>331</v>
      </c>
    </row>
    <row r="5" spans="1:6" ht="15" customHeight="1">
      <c r="A5" s="10" t="s">
        <v>332</v>
      </c>
      <c r="B5" s="10" t="s">
        <v>333</v>
      </c>
      <c r="C5" s="10" t="s">
        <v>334</v>
      </c>
      <c r="D5" s="10" t="s">
        <v>335</v>
      </c>
      <c r="E5" s="10" t="s">
        <v>336</v>
      </c>
      <c r="F5" s="10" t="s">
        <v>337</v>
      </c>
    </row>
    <row r="6" spans="1:6" ht="15" customHeight="1">
      <c r="A6" t="s">
        <v>338</v>
      </c>
      <c r="B6" s="17">
        <v>5000000</v>
      </c>
      <c r="C6" s="17">
        <v>0</v>
      </c>
      <c r="D6" s="20">
        <f t="shared" ref="D6:D12" si="0">B6-C6</f>
        <v>5000000</v>
      </c>
      <c r="E6" t="s">
        <v>339</v>
      </c>
      <c r="F6" s="20">
        <v>0</v>
      </c>
    </row>
    <row r="7" spans="1:6" ht="15" customHeight="1">
      <c r="A7" t="s">
        <v>340</v>
      </c>
      <c r="B7" s="17">
        <v>15000000</v>
      </c>
      <c r="C7" s="17">
        <v>3000000</v>
      </c>
      <c r="D7" s="20">
        <f t="shared" si="0"/>
        <v>12000000</v>
      </c>
      <c r="E7" s="3">
        <v>40</v>
      </c>
      <c r="F7" s="20">
        <f t="shared" ref="F7:F12" si="1">B7/E7</f>
        <v>375000</v>
      </c>
    </row>
    <row r="8" spans="1:6" ht="15" customHeight="1">
      <c r="A8" t="s">
        <v>341</v>
      </c>
      <c r="B8" s="17">
        <v>20000000</v>
      </c>
      <c r="C8" s="17">
        <v>8000000</v>
      </c>
      <c r="D8" s="20">
        <f t="shared" si="0"/>
        <v>12000000</v>
      </c>
      <c r="E8" s="3">
        <v>15</v>
      </c>
      <c r="F8" s="20">
        <f t="shared" si="1"/>
        <v>1333333.3333333333</v>
      </c>
    </row>
    <row r="9" spans="1:6" ht="15" customHeight="1">
      <c r="A9" t="s">
        <v>342</v>
      </c>
      <c r="B9" s="17">
        <v>12000000</v>
      </c>
      <c r="C9" s="17">
        <v>4800000</v>
      </c>
      <c r="D9" s="20">
        <f t="shared" si="0"/>
        <v>7200000</v>
      </c>
      <c r="E9" s="3">
        <v>10</v>
      </c>
      <c r="F9" s="20">
        <f t="shared" si="1"/>
        <v>1200000</v>
      </c>
    </row>
    <row r="10" spans="1:6" ht="15" customHeight="1">
      <c r="A10" t="s">
        <v>343</v>
      </c>
      <c r="B10" s="17">
        <v>5000000</v>
      </c>
      <c r="C10" s="17">
        <v>2500000</v>
      </c>
      <c r="D10" s="20">
        <f t="shared" si="0"/>
        <v>2500000</v>
      </c>
      <c r="E10" s="3">
        <v>10</v>
      </c>
      <c r="F10" s="20">
        <f t="shared" si="1"/>
        <v>500000</v>
      </c>
    </row>
    <row r="11" spans="1:6" ht="15" customHeight="1">
      <c r="A11" t="s">
        <v>344</v>
      </c>
      <c r="B11" s="17">
        <v>3000000</v>
      </c>
      <c r="C11" s="17">
        <v>1500000</v>
      </c>
      <c r="D11" s="20">
        <f t="shared" si="0"/>
        <v>1500000</v>
      </c>
      <c r="E11" s="3">
        <v>5</v>
      </c>
      <c r="F11" s="20">
        <f t="shared" si="1"/>
        <v>600000</v>
      </c>
    </row>
    <row r="12" spans="1:6" ht="15" customHeight="1">
      <c r="A12" t="s">
        <v>345</v>
      </c>
      <c r="B12" s="17">
        <v>2000000</v>
      </c>
      <c r="C12" s="17">
        <v>1200000</v>
      </c>
      <c r="D12" s="20">
        <f t="shared" si="0"/>
        <v>800000</v>
      </c>
      <c r="E12" s="3">
        <v>4</v>
      </c>
      <c r="F12" s="20">
        <f t="shared" si="1"/>
        <v>500000</v>
      </c>
    </row>
    <row r="13" spans="1:6" ht="15" customHeight="1">
      <c r="A13" s="14" t="s">
        <v>346</v>
      </c>
      <c r="B13" s="20">
        <f>SUM(B6:B12)</f>
        <v>62000000</v>
      </c>
      <c r="C13" s="20">
        <f>SUM(C6:C12)</f>
        <v>21000000</v>
      </c>
      <c r="D13" s="20">
        <f>SUM(D6:D12)</f>
        <v>41000000</v>
      </c>
      <c r="F13" s="20">
        <f>SUM(F6:F12)</f>
        <v>4508333.333333333</v>
      </c>
    </row>
    <row r="16" spans="1:6" ht="15" customHeight="1">
      <c r="A16" s="5" t="s">
        <v>347</v>
      </c>
    </row>
    <row r="17" spans="1:3" ht="15" customHeight="1">
      <c r="A17" t="s">
        <v>348</v>
      </c>
      <c r="C17" s="21">
        <v>1000000</v>
      </c>
    </row>
    <row r="18" spans="1:3" ht="15" customHeight="1">
      <c r="A18" t="s">
        <v>349</v>
      </c>
      <c r="C18" s="21">
        <v>500000</v>
      </c>
    </row>
    <row r="19" spans="1:3" ht="15" customHeight="1">
      <c r="A19" t="s">
        <v>350</v>
      </c>
      <c r="C19" s="21">
        <v>400000</v>
      </c>
    </row>
    <row r="20" spans="1:3" ht="15" customHeight="1">
      <c r="A20" t="s">
        <v>351</v>
      </c>
      <c r="C20" s="21">
        <v>200000</v>
      </c>
    </row>
    <row r="23" spans="1:3" ht="15" customHeight="1">
      <c r="A23" s="5" t="s">
        <v>352</v>
      </c>
    </row>
    <row r="24" spans="1:3" ht="15" customHeight="1">
      <c r="A24" t="s">
        <v>353</v>
      </c>
      <c r="C24" s="17">
        <v>15000000</v>
      </c>
    </row>
    <row r="25" spans="1:3" ht="15" customHeight="1">
      <c r="A25" t="s">
        <v>354</v>
      </c>
      <c r="C25" s="17">
        <v>8000000</v>
      </c>
    </row>
    <row r="26" spans="1:3" ht="15" customHeight="1">
      <c r="A26" t="s">
        <v>355</v>
      </c>
      <c r="C26" s="17">
        <v>6000000</v>
      </c>
    </row>
    <row r="27" spans="1:3" ht="15" customHeight="1">
      <c r="A27" t="s">
        <v>356</v>
      </c>
      <c r="C27" s="17">
        <v>3000000</v>
      </c>
    </row>
    <row r="30" spans="1:3" ht="15" customHeight="1">
      <c r="A30" s="5" t="s">
        <v>357</v>
      </c>
    </row>
    <row r="31" spans="1:3" ht="15" customHeight="1">
      <c r="A31" t="s">
        <v>358</v>
      </c>
      <c r="C31" s="9">
        <v>0.02</v>
      </c>
    </row>
    <row r="34" spans="1:3" ht="15" customHeight="1">
      <c r="A34" s="5" t="s">
        <v>359</v>
      </c>
    </row>
    <row r="35" spans="1:3" ht="15" customHeight="1">
      <c r="A35" t="s">
        <v>360</v>
      </c>
      <c r="C35" s="9">
        <v>0.85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"/>
  <sheetViews>
    <sheetView zoomScaleNormal="100" workbookViewId="0"/>
  </sheetViews>
  <sheetFormatPr defaultColWidth="8.7109375" defaultRowHeight="15"/>
  <cols>
    <col min="1" max="1" width="40" customWidth="1"/>
    <col min="3" max="3" width="15" customWidth="1"/>
  </cols>
  <sheetData>
    <row r="1" spans="1:3" ht="17.25" customHeight="1">
      <c r="A1" s="4" t="s">
        <v>361</v>
      </c>
    </row>
    <row r="3" spans="1:3" ht="15" customHeight="1">
      <c r="A3" s="5" t="s">
        <v>362</v>
      </c>
    </row>
    <row r="4" spans="1:3" ht="15" customHeight="1">
      <c r="A4" t="s">
        <v>363</v>
      </c>
      <c r="C4" s="3">
        <v>30</v>
      </c>
    </row>
    <row r="5" spans="1:3" ht="15" customHeight="1">
      <c r="A5" t="s">
        <v>364</v>
      </c>
      <c r="C5" s="3">
        <v>14</v>
      </c>
    </row>
    <row r="6" spans="1:3" ht="15" customHeight="1">
      <c r="A6" t="s">
        <v>365</v>
      </c>
      <c r="C6" s="3">
        <v>21</v>
      </c>
    </row>
    <row r="7" spans="1:3" ht="15" customHeight="1">
      <c r="A7" t="s">
        <v>366</v>
      </c>
      <c r="C7">
        <f>SUM(C4:C6)</f>
        <v>65</v>
      </c>
    </row>
    <row r="10" spans="1:3" ht="15" customHeight="1">
      <c r="A10" s="5" t="s">
        <v>367</v>
      </c>
    </row>
    <row r="11" spans="1:3" ht="15" customHeight="1">
      <c r="A11" t="s">
        <v>368</v>
      </c>
      <c r="C11" s="3">
        <v>55</v>
      </c>
    </row>
    <row r="12" spans="1:3" ht="15" customHeight="1">
      <c r="A12" t="s">
        <v>369</v>
      </c>
      <c r="C12" s="3">
        <v>38</v>
      </c>
    </row>
    <row r="13" spans="1:3" ht="15" customHeight="1">
      <c r="A13" t="s">
        <v>370</v>
      </c>
      <c r="C13">
        <f>C11*Assum_Volume!C16+C12*Assum_Volume!C17</f>
        <v>43.95</v>
      </c>
    </row>
    <row r="16" spans="1:3" ht="15" customHeight="1">
      <c r="A16" s="5" t="s">
        <v>371</v>
      </c>
    </row>
    <row r="17" spans="1:3" ht="15" customHeight="1">
      <c r="A17" t="s">
        <v>372</v>
      </c>
      <c r="C17" s="3">
        <v>35</v>
      </c>
    </row>
    <row r="20" spans="1:3" ht="15" customHeight="1">
      <c r="A20" s="5" t="s">
        <v>373</v>
      </c>
    </row>
    <row r="21" spans="1:3" ht="15" customHeight="1">
      <c r="A21" t="s">
        <v>374</v>
      </c>
      <c r="C21" s="3">
        <v>15</v>
      </c>
    </row>
    <row r="22" spans="1:3" ht="15" customHeight="1">
      <c r="A22" t="s">
        <v>375</v>
      </c>
      <c r="C22" s="3">
        <v>20</v>
      </c>
    </row>
    <row r="23" spans="1:3" ht="15" customHeight="1">
      <c r="A23" t="s">
        <v>376</v>
      </c>
      <c r="C23" s="17">
        <v>2500000</v>
      </c>
    </row>
    <row r="26" spans="1:3" ht="15" customHeight="1">
      <c r="A26" s="5" t="s">
        <v>377</v>
      </c>
    </row>
    <row r="27" spans="1:3" ht="15" customHeight="1">
      <c r="A27" t="s">
        <v>378</v>
      </c>
      <c r="C27" s="21">
        <v>12000</v>
      </c>
    </row>
    <row r="28" spans="1:3" ht="15" customHeight="1">
      <c r="A28" t="s">
        <v>379</v>
      </c>
      <c r="C28" s="21">
        <v>33000</v>
      </c>
    </row>
    <row r="29" spans="1:3" ht="15" customHeight="1">
      <c r="A29" t="s">
        <v>380</v>
      </c>
      <c r="C29" s="21">
        <v>19000</v>
      </c>
    </row>
    <row r="30" spans="1:3" ht="15" customHeight="1">
      <c r="A30" t="s">
        <v>381</v>
      </c>
      <c r="C30" s="21">
        <v>5500</v>
      </c>
    </row>
    <row r="31" spans="1:3" ht="15" customHeight="1">
      <c r="A31" t="s">
        <v>382</v>
      </c>
      <c r="C31" s="21">
        <v>7400</v>
      </c>
    </row>
    <row r="32" spans="1:3" ht="15" customHeight="1">
      <c r="A32" t="s">
        <v>383</v>
      </c>
      <c r="C32" s="22">
        <f>C27+C28+C30-C29-C31</f>
        <v>24100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zoomScaleNormal="100" workbookViewId="0"/>
  </sheetViews>
  <sheetFormatPr defaultColWidth="8.7109375" defaultRowHeight="15"/>
  <cols>
    <col min="1" max="1" width="40" customWidth="1"/>
    <col min="3" max="3" width="15" customWidth="1"/>
  </cols>
  <sheetData>
    <row r="1" spans="1:3" ht="17.25" customHeight="1">
      <c r="A1" s="4" t="s">
        <v>384</v>
      </c>
    </row>
    <row r="3" spans="1:3" ht="15" customHeight="1">
      <c r="A3" s="5" t="s">
        <v>385</v>
      </c>
    </row>
    <row r="4" spans="1:3" ht="15" customHeight="1">
      <c r="A4" t="s">
        <v>386</v>
      </c>
      <c r="C4" s="17">
        <v>25000000</v>
      </c>
    </row>
    <row r="5" spans="1:3" ht="15" customHeight="1">
      <c r="A5" t="s">
        <v>387</v>
      </c>
      <c r="C5" s="23">
        <v>6.5000000000000002E-2</v>
      </c>
    </row>
    <row r="6" spans="1:3" ht="15" customHeight="1">
      <c r="A6" t="s">
        <v>388</v>
      </c>
      <c r="C6" s="3">
        <v>7</v>
      </c>
    </row>
    <row r="7" spans="1:3" ht="15" customHeight="1">
      <c r="A7" t="s">
        <v>389</v>
      </c>
      <c r="C7" s="20">
        <f>C4/C6</f>
        <v>3571428.5714285714</v>
      </c>
    </row>
    <row r="10" spans="1:3" ht="15" customHeight="1">
      <c r="A10" s="5" t="s">
        <v>390</v>
      </c>
    </row>
    <row r="11" spans="1:3" ht="15" customHeight="1">
      <c r="A11" t="s">
        <v>391</v>
      </c>
      <c r="C11" s="17">
        <v>10000000</v>
      </c>
    </row>
    <row r="12" spans="1:3" ht="15" customHeight="1">
      <c r="A12" t="s">
        <v>392</v>
      </c>
      <c r="C12" s="17">
        <v>0</v>
      </c>
    </row>
    <row r="13" spans="1:3" ht="15" customHeight="1">
      <c r="A13" t="s">
        <v>393</v>
      </c>
      <c r="C13" s="23">
        <v>7.4999999999999997E-2</v>
      </c>
    </row>
    <row r="14" spans="1:3" ht="15" customHeight="1">
      <c r="A14" t="s">
        <v>394</v>
      </c>
      <c r="C14" s="23">
        <v>5.0000000000000001E-3</v>
      </c>
    </row>
    <row r="17" spans="1:3" ht="15" customHeight="1">
      <c r="A17" s="5" t="s">
        <v>395</v>
      </c>
    </row>
    <row r="18" spans="1:3" ht="15" customHeight="1">
      <c r="A18" t="s">
        <v>396</v>
      </c>
      <c r="C18" s="17">
        <v>30000000</v>
      </c>
    </row>
    <row r="19" spans="1:3" ht="15" customHeight="1">
      <c r="A19" t="s">
        <v>397</v>
      </c>
      <c r="C19" s="17">
        <v>18100000</v>
      </c>
    </row>
    <row r="22" spans="1:3" ht="15" customHeight="1">
      <c r="A22" s="5" t="s">
        <v>398</v>
      </c>
    </row>
    <row r="23" spans="1:3" ht="15" customHeight="1">
      <c r="A23" t="s">
        <v>399</v>
      </c>
      <c r="C23" s="9">
        <v>0.4</v>
      </c>
    </row>
    <row r="24" spans="1:3" ht="15" customHeight="1">
      <c r="A24" t="s">
        <v>400</v>
      </c>
      <c r="C24" s="17">
        <v>5000000</v>
      </c>
    </row>
    <row r="27" spans="1:3" ht="15" customHeight="1">
      <c r="A27" s="5" t="s">
        <v>401</v>
      </c>
    </row>
    <row r="28" spans="1:3" ht="15" customHeight="1">
      <c r="A28" t="s">
        <v>402</v>
      </c>
      <c r="C28" s="17">
        <v>8000000</v>
      </c>
    </row>
    <row r="29" spans="1:3" ht="15" customHeight="1">
      <c r="A29" t="s">
        <v>403</v>
      </c>
      <c r="C29" s="17">
        <v>3000000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Q27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404</v>
      </c>
    </row>
    <row r="3" spans="1:121" ht="15" customHeight="1">
      <c r="A3" t="s">
        <v>33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  <c r="N3" s="24">
        <v>13</v>
      </c>
      <c r="O3" s="24">
        <v>14</v>
      </c>
      <c r="P3" s="24">
        <v>15</v>
      </c>
      <c r="Q3" s="24">
        <v>16</v>
      </c>
      <c r="R3" s="24">
        <v>17</v>
      </c>
      <c r="S3" s="24">
        <v>18</v>
      </c>
      <c r="T3" s="24">
        <v>19</v>
      </c>
      <c r="U3" s="24">
        <v>20</v>
      </c>
      <c r="V3" s="24">
        <v>21</v>
      </c>
      <c r="W3" s="24">
        <v>22</v>
      </c>
      <c r="X3" s="24">
        <v>23</v>
      </c>
      <c r="Y3" s="24">
        <v>24</v>
      </c>
      <c r="Z3" s="24">
        <v>25</v>
      </c>
      <c r="AA3" s="24">
        <v>26</v>
      </c>
      <c r="AB3" s="24">
        <v>27</v>
      </c>
      <c r="AC3" s="24">
        <v>28</v>
      </c>
      <c r="AD3" s="24">
        <v>29</v>
      </c>
      <c r="AE3" s="24">
        <v>30</v>
      </c>
      <c r="AF3" s="24">
        <v>31</v>
      </c>
      <c r="AG3" s="24">
        <v>32</v>
      </c>
      <c r="AH3" s="24">
        <v>33</v>
      </c>
      <c r="AI3" s="24">
        <v>34</v>
      </c>
      <c r="AJ3" s="24">
        <v>35</v>
      </c>
      <c r="AK3" s="24">
        <v>36</v>
      </c>
      <c r="AL3" s="24">
        <v>37</v>
      </c>
      <c r="AM3" s="24">
        <v>38</v>
      </c>
      <c r="AN3" s="24">
        <v>39</v>
      </c>
      <c r="AO3" s="24">
        <v>40</v>
      </c>
      <c r="AP3" s="24">
        <v>41</v>
      </c>
      <c r="AQ3" s="24">
        <v>42</v>
      </c>
      <c r="AR3" s="24">
        <v>43</v>
      </c>
      <c r="AS3" s="24">
        <v>44</v>
      </c>
      <c r="AT3" s="24">
        <v>45</v>
      </c>
      <c r="AU3" s="24">
        <v>46</v>
      </c>
      <c r="AV3" s="24">
        <v>47</v>
      </c>
      <c r="AW3" s="24">
        <v>48</v>
      </c>
      <c r="AX3" s="24">
        <v>49</v>
      </c>
      <c r="AY3" s="24">
        <v>50</v>
      </c>
      <c r="AZ3" s="24">
        <v>51</v>
      </c>
      <c r="BA3" s="24">
        <v>52</v>
      </c>
      <c r="BB3" s="24">
        <v>53</v>
      </c>
      <c r="BC3" s="24">
        <v>54</v>
      </c>
      <c r="BD3" s="24">
        <v>55</v>
      </c>
      <c r="BE3" s="24">
        <v>56</v>
      </c>
      <c r="BF3" s="24">
        <v>57</v>
      </c>
      <c r="BG3" s="24">
        <v>58</v>
      </c>
      <c r="BH3" s="24">
        <v>59</v>
      </c>
      <c r="BI3" s="24">
        <v>60</v>
      </c>
      <c r="BJ3" s="24">
        <v>61</v>
      </c>
      <c r="BK3" s="24">
        <v>62</v>
      </c>
      <c r="BL3" s="24">
        <v>63</v>
      </c>
      <c r="BM3" s="24">
        <v>64</v>
      </c>
      <c r="BN3" s="24">
        <v>65</v>
      </c>
      <c r="BO3" s="24">
        <v>66</v>
      </c>
      <c r="BP3" s="24">
        <v>67</v>
      </c>
      <c r="BQ3" s="24">
        <v>68</v>
      </c>
      <c r="BR3" s="24">
        <v>69</v>
      </c>
      <c r="BS3" s="24">
        <v>70</v>
      </c>
      <c r="BT3" s="24">
        <v>71</v>
      </c>
      <c r="BU3" s="24">
        <v>72</v>
      </c>
      <c r="BV3" s="24">
        <v>73</v>
      </c>
      <c r="BW3" s="24">
        <v>74</v>
      </c>
      <c r="BX3" s="24">
        <v>75</v>
      </c>
      <c r="BY3" s="24">
        <v>76</v>
      </c>
      <c r="BZ3" s="24">
        <v>77</v>
      </c>
      <c r="CA3" s="24">
        <v>78</v>
      </c>
      <c r="CB3" s="24">
        <v>79</v>
      </c>
      <c r="CC3" s="24">
        <v>80</v>
      </c>
      <c r="CD3" s="24">
        <v>81</v>
      </c>
      <c r="CE3" s="24">
        <v>82</v>
      </c>
      <c r="CF3" s="24">
        <v>83</v>
      </c>
      <c r="CG3" s="24">
        <v>84</v>
      </c>
      <c r="CH3" s="24">
        <v>85</v>
      </c>
      <c r="CI3" s="24">
        <v>86</v>
      </c>
      <c r="CJ3" s="24">
        <v>87</v>
      </c>
      <c r="CK3" s="24">
        <v>88</v>
      </c>
      <c r="CL3" s="24">
        <v>89</v>
      </c>
      <c r="CM3" s="24">
        <v>90</v>
      </c>
      <c r="CN3" s="24">
        <v>91</v>
      </c>
      <c r="CO3" s="24">
        <v>92</v>
      </c>
      <c r="CP3" s="24">
        <v>93</v>
      </c>
      <c r="CQ3" s="24">
        <v>94</v>
      </c>
      <c r="CR3" s="24">
        <v>95</v>
      </c>
      <c r="CS3" s="24">
        <v>96</v>
      </c>
      <c r="CT3" s="24">
        <v>97</v>
      </c>
      <c r="CU3" s="24">
        <v>98</v>
      </c>
      <c r="CV3" s="24">
        <v>99</v>
      </c>
      <c r="CW3" s="24">
        <v>100</v>
      </c>
      <c r="CX3" s="24">
        <v>101</v>
      </c>
      <c r="CY3" s="24">
        <v>102</v>
      </c>
      <c r="CZ3" s="24">
        <v>103</v>
      </c>
      <c r="DA3" s="24">
        <v>104</v>
      </c>
      <c r="DB3" s="24">
        <v>105</v>
      </c>
      <c r="DC3" s="24">
        <v>106</v>
      </c>
      <c r="DD3" s="24">
        <v>107</v>
      </c>
      <c r="DE3" s="24">
        <v>108</v>
      </c>
      <c r="DF3" s="24">
        <v>109</v>
      </c>
      <c r="DG3" s="24">
        <v>110</v>
      </c>
      <c r="DH3" s="24">
        <v>111</v>
      </c>
      <c r="DI3" s="24">
        <v>112</v>
      </c>
      <c r="DJ3" s="24">
        <v>113</v>
      </c>
      <c r="DK3" s="24">
        <v>114</v>
      </c>
      <c r="DL3" s="24">
        <v>115</v>
      </c>
      <c r="DM3" s="24">
        <v>116</v>
      </c>
      <c r="DN3" s="24">
        <v>117</v>
      </c>
      <c r="DO3" s="24">
        <v>118</v>
      </c>
      <c r="DP3" s="24">
        <v>119</v>
      </c>
      <c r="DQ3" s="24">
        <v>120</v>
      </c>
    </row>
    <row r="4" spans="1:121" ht="15" customHeight="1">
      <c r="A4" t="s">
        <v>34</v>
      </c>
      <c r="B4" s="25">
        <v>45658</v>
      </c>
      <c r="C4" s="25">
        <v>45689</v>
      </c>
      <c r="D4" s="25">
        <v>45717</v>
      </c>
      <c r="E4" s="25">
        <v>45748</v>
      </c>
      <c r="F4" s="25">
        <v>45778</v>
      </c>
      <c r="G4" s="25">
        <v>45809</v>
      </c>
      <c r="H4" s="25">
        <v>45839</v>
      </c>
      <c r="I4" s="25">
        <v>45870</v>
      </c>
      <c r="J4" s="25">
        <v>45901</v>
      </c>
      <c r="K4" s="25">
        <v>45931</v>
      </c>
      <c r="L4" s="25">
        <v>45962</v>
      </c>
      <c r="M4" s="25">
        <v>45992</v>
      </c>
      <c r="N4" s="25">
        <v>46023</v>
      </c>
      <c r="O4" s="25">
        <v>46054</v>
      </c>
      <c r="P4" s="25">
        <v>46082</v>
      </c>
      <c r="Q4" s="25">
        <v>46113</v>
      </c>
      <c r="R4" s="25">
        <v>46143</v>
      </c>
      <c r="S4" s="25">
        <v>46174</v>
      </c>
      <c r="T4" s="25">
        <v>46204</v>
      </c>
      <c r="U4" s="25">
        <v>46235</v>
      </c>
      <c r="V4" s="25">
        <v>46266</v>
      </c>
      <c r="W4" s="25">
        <v>46296</v>
      </c>
      <c r="X4" s="25">
        <v>46327</v>
      </c>
      <c r="Y4" s="25">
        <v>46357</v>
      </c>
      <c r="Z4" s="25">
        <v>46388</v>
      </c>
      <c r="AA4" s="25">
        <v>46419</v>
      </c>
      <c r="AB4" s="25">
        <v>46447</v>
      </c>
      <c r="AC4" s="25">
        <v>46478</v>
      </c>
      <c r="AD4" s="25">
        <v>46508</v>
      </c>
      <c r="AE4" s="25">
        <v>46539</v>
      </c>
      <c r="AF4" s="25">
        <v>46569</v>
      </c>
      <c r="AG4" s="25">
        <v>46600</v>
      </c>
      <c r="AH4" s="25">
        <v>46631</v>
      </c>
      <c r="AI4" s="25">
        <v>46661</v>
      </c>
      <c r="AJ4" s="25">
        <v>46692</v>
      </c>
      <c r="AK4" s="25">
        <v>46722</v>
      </c>
      <c r="AL4" s="25">
        <v>46753</v>
      </c>
      <c r="AM4" s="25">
        <v>46784</v>
      </c>
      <c r="AN4" s="25">
        <v>46813</v>
      </c>
      <c r="AO4" s="25">
        <v>46844</v>
      </c>
      <c r="AP4" s="25">
        <v>46874</v>
      </c>
      <c r="AQ4" s="25">
        <v>46905</v>
      </c>
      <c r="AR4" s="25">
        <v>46935</v>
      </c>
      <c r="AS4" s="25">
        <v>46966</v>
      </c>
      <c r="AT4" s="25">
        <v>46997</v>
      </c>
      <c r="AU4" s="25">
        <v>47027</v>
      </c>
      <c r="AV4" s="25">
        <v>47058</v>
      </c>
      <c r="AW4" s="25">
        <v>47088</v>
      </c>
      <c r="AX4" s="25">
        <v>47119</v>
      </c>
      <c r="AY4" s="25">
        <v>47150</v>
      </c>
      <c r="AZ4" s="25">
        <v>47178</v>
      </c>
      <c r="BA4" s="25">
        <v>47209</v>
      </c>
      <c r="BB4" s="25">
        <v>47239</v>
      </c>
      <c r="BC4" s="25">
        <v>47270</v>
      </c>
      <c r="BD4" s="25">
        <v>47300</v>
      </c>
      <c r="BE4" s="25">
        <v>47331</v>
      </c>
      <c r="BF4" s="25">
        <v>47362</v>
      </c>
      <c r="BG4" s="25">
        <v>47392</v>
      </c>
      <c r="BH4" s="25">
        <v>47423</v>
      </c>
      <c r="BI4" s="25">
        <v>47453</v>
      </c>
      <c r="BJ4" s="25">
        <v>47484</v>
      </c>
      <c r="BK4" s="25">
        <v>47515</v>
      </c>
      <c r="BL4" s="25">
        <v>47543</v>
      </c>
      <c r="BM4" s="25">
        <v>47574</v>
      </c>
      <c r="BN4" s="25">
        <v>47604</v>
      </c>
      <c r="BO4" s="25">
        <v>47635</v>
      </c>
      <c r="BP4" s="25">
        <v>47665</v>
      </c>
      <c r="BQ4" s="25">
        <v>47696</v>
      </c>
      <c r="BR4" s="25">
        <v>47727</v>
      </c>
      <c r="BS4" s="25">
        <v>47757</v>
      </c>
      <c r="BT4" s="25">
        <v>47788</v>
      </c>
      <c r="BU4" s="25">
        <v>47818</v>
      </c>
      <c r="BV4" s="25">
        <v>47849</v>
      </c>
      <c r="BW4" s="25">
        <v>47880</v>
      </c>
      <c r="BX4" s="25">
        <v>47908</v>
      </c>
      <c r="BY4" s="25">
        <v>47939</v>
      </c>
      <c r="BZ4" s="25">
        <v>47969</v>
      </c>
      <c r="CA4" s="25">
        <v>48000</v>
      </c>
      <c r="CB4" s="25">
        <v>48030</v>
      </c>
      <c r="CC4" s="25">
        <v>48061</v>
      </c>
      <c r="CD4" s="25">
        <v>48092</v>
      </c>
      <c r="CE4" s="25">
        <v>48122</v>
      </c>
      <c r="CF4" s="25">
        <v>48153</v>
      </c>
      <c r="CG4" s="25">
        <v>48183</v>
      </c>
      <c r="CH4" s="25">
        <v>48214</v>
      </c>
      <c r="CI4" s="25">
        <v>48245</v>
      </c>
      <c r="CJ4" s="25">
        <v>48274</v>
      </c>
      <c r="CK4" s="25">
        <v>48305</v>
      </c>
      <c r="CL4" s="25">
        <v>48335</v>
      </c>
      <c r="CM4" s="25">
        <v>48366</v>
      </c>
      <c r="CN4" s="25">
        <v>48396</v>
      </c>
      <c r="CO4" s="25">
        <v>48427</v>
      </c>
      <c r="CP4" s="25">
        <v>48458</v>
      </c>
      <c r="CQ4" s="25">
        <v>48488</v>
      </c>
      <c r="CR4" s="25">
        <v>48519</v>
      </c>
      <c r="CS4" s="25">
        <v>48549</v>
      </c>
      <c r="CT4" s="25">
        <v>48580</v>
      </c>
      <c r="CU4" s="25">
        <v>48611</v>
      </c>
      <c r="CV4" s="25">
        <v>48639</v>
      </c>
      <c r="CW4" s="25">
        <v>48670</v>
      </c>
      <c r="CX4" s="25">
        <v>48700</v>
      </c>
      <c r="CY4" s="25">
        <v>48731</v>
      </c>
      <c r="CZ4" s="25">
        <v>48761</v>
      </c>
      <c r="DA4" s="25">
        <v>48792</v>
      </c>
      <c r="DB4" s="25">
        <v>48823</v>
      </c>
      <c r="DC4" s="25">
        <v>48853</v>
      </c>
      <c r="DD4" s="25">
        <v>48884</v>
      </c>
      <c r="DE4" s="25">
        <v>48914</v>
      </c>
      <c r="DF4" s="25">
        <v>48945</v>
      </c>
      <c r="DG4" s="25">
        <v>48976</v>
      </c>
      <c r="DH4" s="25">
        <v>49004</v>
      </c>
      <c r="DI4" s="25">
        <v>49035</v>
      </c>
      <c r="DJ4" s="25">
        <v>49065</v>
      </c>
      <c r="DK4" s="25">
        <v>49096</v>
      </c>
      <c r="DL4" s="25">
        <v>49126</v>
      </c>
      <c r="DM4" s="25">
        <v>49157</v>
      </c>
      <c r="DN4" s="25">
        <v>49188</v>
      </c>
      <c r="DO4" s="25">
        <v>49218</v>
      </c>
      <c r="DP4" s="25">
        <v>49249</v>
      </c>
      <c r="DQ4" s="25">
        <v>49279</v>
      </c>
    </row>
    <row r="5" spans="1:121" ht="15" customHeight="1">
      <c r="A5" t="s">
        <v>36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6</v>
      </c>
      <c r="BK5">
        <v>6</v>
      </c>
      <c r="BL5">
        <v>6</v>
      </c>
      <c r="BM5">
        <v>6</v>
      </c>
      <c r="BN5">
        <v>6</v>
      </c>
      <c r="BO5">
        <v>6</v>
      </c>
      <c r="BP5">
        <v>6</v>
      </c>
      <c r="BQ5">
        <v>6</v>
      </c>
      <c r="BR5">
        <v>6</v>
      </c>
      <c r="BS5">
        <v>6</v>
      </c>
      <c r="BT5">
        <v>6</v>
      </c>
      <c r="BU5">
        <v>6</v>
      </c>
      <c r="BV5">
        <v>7</v>
      </c>
      <c r="BW5">
        <v>7</v>
      </c>
      <c r="BX5">
        <v>7</v>
      </c>
      <c r="BY5">
        <v>7</v>
      </c>
      <c r="BZ5">
        <v>7</v>
      </c>
      <c r="CA5">
        <v>7</v>
      </c>
      <c r="CB5">
        <v>7</v>
      </c>
      <c r="CC5">
        <v>7</v>
      </c>
      <c r="CD5">
        <v>7</v>
      </c>
      <c r="CE5">
        <v>7</v>
      </c>
      <c r="CF5">
        <v>7</v>
      </c>
      <c r="CG5">
        <v>7</v>
      </c>
      <c r="CH5">
        <v>8</v>
      </c>
      <c r="CI5">
        <v>8</v>
      </c>
      <c r="CJ5">
        <v>8</v>
      </c>
      <c r="CK5">
        <v>8</v>
      </c>
      <c r="CL5">
        <v>8</v>
      </c>
      <c r="CM5">
        <v>8</v>
      </c>
      <c r="CN5">
        <v>8</v>
      </c>
      <c r="CO5">
        <v>8</v>
      </c>
      <c r="CP5">
        <v>8</v>
      </c>
      <c r="CQ5">
        <v>8</v>
      </c>
      <c r="CR5">
        <v>8</v>
      </c>
      <c r="CS5">
        <v>8</v>
      </c>
      <c r="CT5">
        <v>9</v>
      </c>
      <c r="CU5">
        <v>9</v>
      </c>
      <c r="CV5">
        <v>9</v>
      </c>
      <c r="CW5">
        <v>9</v>
      </c>
      <c r="CX5">
        <v>9</v>
      </c>
      <c r="CY5">
        <v>9</v>
      </c>
      <c r="CZ5">
        <v>9</v>
      </c>
      <c r="DA5">
        <v>9</v>
      </c>
      <c r="DB5">
        <v>9</v>
      </c>
      <c r="DC5">
        <v>9</v>
      </c>
      <c r="DD5">
        <v>9</v>
      </c>
      <c r="DE5">
        <v>9</v>
      </c>
      <c r="DF5">
        <v>10</v>
      </c>
      <c r="DG5">
        <v>10</v>
      </c>
      <c r="DH5">
        <v>10</v>
      </c>
      <c r="DI5">
        <v>10</v>
      </c>
      <c r="DJ5">
        <v>10</v>
      </c>
      <c r="DK5">
        <v>10</v>
      </c>
      <c r="DL5">
        <v>10</v>
      </c>
      <c r="DM5">
        <v>10</v>
      </c>
      <c r="DN5">
        <v>10</v>
      </c>
      <c r="DO5">
        <v>10</v>
      </c>
      <c r="DP5">
        <v>10</v>
      </c>
      <c r="DQ5">
        <v>10</v>
      </c>
    </row>
    <row r="6" spans="1:121" ht="15" customHeight="1">
      <c r="A6" t="s">
        <v>35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</v>
      </c>
      <c r="O6">
        <v>2</v>
      </c>
      <c r="P6">
        <v>3</v>
      </c>
      <c r="Q6">
        <v>4</v>
      </c>
      <c r="R6">
        <v>5</v>
      </c>
      <c r="S6">
        <v>6</v>
      </c>
      <c r="T6">
        <v>7</v>
      </c>
      <c r="U6">
        <v>8</v>
      </c>
      <c r="V6">
        <v>9</v>
      </c>
      <c r="W6">
        <v>10</v>
      </c>
      <c r="X6">
        <v>11</v>
      </c>
      <c r="Y6">
        <v>12</v>
      </c>
      <c r="Z6">
        <v>1</v>
      </c>
      <c r="AA6">
        <v>2</v>
      </c>
      <c r="AB6">
        <v>3</v>
      </c>
      <c r="AC6">
        <v>4</v>
      </c>
      <c r="AD6">
        <v>5</v>
      </c>
      <c r="AE6">
        <v>6</v>
      </c>
      <c r="AF6">
        <v>7</v>
      </c>
      <c r="AG6">
        <v>8</v>
      </c>
      <c r="AH6">
        <v>9</v>
      </c>
      <c r="AI6">
        <v>10</v>
      </c>
      <c r="AJ6">
        <v>11</v>
      </c>
      <c r="AK6">
        <v>12</v>
      </c>
      <c r="AL6">
        <v>1</v>
      </c>
      <c r="AM6">
        <v>2</v>
      </c>
      <c r="AN6">
        <v>3</v>
      </c>
      <c r="AO6">
        <v>4</v>
      </c>
      <c r="AP6">
        <v>5</v>
      </c>
      <c r="AQ6">
        <v>6</v>
      </c>
      <c r="AR6">
        <v>7</v>
      </c>
      <c r="AS6">
        <v>8</v>
      </c>
      <c r="AT6">
        <v>9</v>
      </c>
      <c r="AU6">
        <v>10</v>
      </c>
      <c r="AV6">
        <v>11</v>
      </c>
      <c r="AW6">
        <v>12</v>
      </c>
      <c r="AX6">
        <v>1</v>
      </c>
      <c r="AY6">
        <v>2</v>
      </c>
      <c r="AZ6">
        <v>3</v>
      </c>
      <c r="BA6">
        <v>4</v>
      </c>
      <c r="BB6">
        <v>5</v>
      </c>
      <c r="BC6">
        <v>6</v>
      </c>
      <c r="BD6">
        <v>7</v>
      </c>
      <c r="BE6">
        <v>8</v>
      </c>
      <c r="BF6">
        <v>9</v>
      </c>
      <c r="BG6">
        <v>10</v>
      </c>
      <c r="BH6">
        <v>11</v>
      </c>
      <c r="BI6">
        <v>12</v>
      </c>
      <c r="BJ6">
        <v>1</v>
      </c>
      <c r="BK6">
        <v>2</v>
      </c>
      <c r="BL6">
        <v>3</v>
      </c>
      <c r="BM6">
        <v>4</v>
      </c>
      <c r="BN6">
        <v>5</v>
      </c>
      <c r="BO6">
        <v>6</v>
      </c>
      <c r="BP6">
        <v>7</v>
      </c>
      <c r="BQ6">
        <v>8</v>
      </c>
      <c r="BR6">
        <v>9</v>
      </c>
      <c r="BS6">
        <v>10</v>
      </c>
      <c r="BT6">
        <v>11</v>
      </c>
      <c r="BU6">
        <v>12</v>
      </c>
      <c r="BV6">
        <v>1</v>
      </c>
      <c r="BW6">
        <v>2</v>
      </c>
      <c r="BX6">
        <v>3</v>
      </c>
      <c r="BY6">
        <v>4</v>
      </c>
      <c r="BZ6">
        <v>5</v>
      </c>
      <c r="CA6">
        <v>6</v>
      </c>
      <c r="CB6">
        <v>7</v>
      </c>
      <c r="CC6">
        <v>8</v>
      </c>
      <c r="CD6">
        <v>9</v>
      </c>
      <c r="CE6">
        <v>10</v>
      </c>
      <c r="CF6">
        <v>11</v>
      </c>
      <c r="CG6">
        <v>12</v>
      </c>
      <c r="CH6">
        <v>1</v>
      </c>
      <c r="CI6">
        <v>2</v>
      </c>
      <c r="CJ6">
        <v>3</v>
      </c>
      <c r="CK6">
        <v>4</v>
      </c>
      <c r="CL6">
        <v>5</v>
      </c>
      <c r="CM6">
        <v>6</v>
      </c>
      <c r="CN6">
        <v>7</v>
      </c>
      <c r="CO6">
        <v>8</v>
      </c>
      <c r="CP6">
        <v>9</v>
      </c>
      <c r="CQ6">
        <v>10</v>
      </c>
      <c r="CR6">
        <v>11</v>
      </c>
      <c r="CS6">
        <v>12</v>
      </c>
      <c r="CT6">
        <v>1</v>
      </c>
      <c r="CU6">
        <v>2</v>
      </c>
      <c r="CV6">
        <v>3</v>
      </c>
      <c r="CW6">
        <v>4</v>
      </c>
      <c r="CX6">
        <v>5</v>
      </c>
      <c r="CY6">
        <v>6</v>
      </c>
      <c r="CZ6">
        <v>7</v>
      </c>
      <c r="DA6">
        <v>8</v>
      </c>
      <c r="DB6">
        <v>9</v>
      </c>
      <c r="DC6">
        <v>10</v>
      </c>
      <c r="DD6">
        <v>11</v>
      </c>
      <c r="DE6">
        <v>12</v>
      </c>
      <c r="DF6">
        <v>1</v>
      </c>
      <c r="DG6">
        <v>2</v>
      </c>
      <c r="DH6">
        <v>3</v>
      </c>
      <c r="DI6">
        <v>4</v>
      </c>
      <c r="DJ6">
        <v>5</v>
      </c>
      <c r="DK6">
        <v>6</v>
      </c>
      <c r="DL6">
        <v>7</v>
      </c>
      <c r="DM6">
        <v>8</v>
      </c>
      <c r="DN6">
        <v>9</v>
      </c>
      <c r="DO6">
        <v>10</v>
      </c>
      <c r="DP6">
        <v>11</v>
      </c>
      <c r="DQ6">
        <v>12</v>
      </c>
    </row>
    <row r="7" spans="1:121" ht="15" customHeight="1">
      <c r="A7" s="26" t="s">
        <v>405</v>
      </c>
      <c r="B7" s="27">
        <f>Assum_Volume!$B$46</f>
        <v>1.1499999999999999</v>
      </c>
      <c r="C7" s="27">
        <f>Assum_Volume!$B$47</f>
        <v>1.1000000000000001</v>
      </c>
      <c r="D7" s="27">
        <f>Assum_Volume!$B$48</f>
        <v>1</v>
      </c>
      <c r="E7" s="27">
        <f>Assum_Volume!$B$49</f>
        <v>0.9</v>
      </c>
      <c r="F7" s="27">
        <f>Assum_Volume!$B$50</f>
        <v>0.85</v>
      </c>
      <c r="G7" s="27">
        <f>Assum_Volume!$B$51</f>
        <v>0.8</v>
      </c>
      <c r="H7" s="27">
        <f>Assum_Volume!$B$52</f>
        <v>0.8</v>
      </c>
      <c r="I7" s="27">
        <f>Assum_Volume!$B$53</f>
        <v>0.85</v>
      </c>
      <c r="J7" s="27">
        <f>Assum_Volume!$B$54</f>
        <v>0.95</v>
      </c>
      <c r="K7" s="27">
        <f>Assum_Volume!$B$55</f>
        <v>1.05</v>
      </c>
      <c r="L7" s="27">
        <f>Assum_Volume!$B$56</f>
        <v>1.1499999999999999</v>
      </c>
      <c r="M7" s="27">
        <f>Assum_Volume!$B$57</f>
        <v>1.4</v>
      </c>
      <c r="N7" s="27">
        <f>Assum_Volume!$B$46</f>
        <v>1.1499999999999999</v>
      </c>
      <c r="O7" s="27">
        <f>Assum_Volume!$B$47</f>
        <v>1.1000000000000001</v>
      </c>
      <c r="P7" s="27">
        <f>Assum_Volume!$B$48</f>
        <v>1</v>
      </c>
      <c r="Q7" s="27">
        <f>Assum_Volume!$B$49</f>
        <v>0.9</v>
      </c>
      <c r="R7" s="27">
        <f>Assum_Volume!$B$50</f>
        <v>0.85</v>
      </c>
      <c r="S7" s="27">
        <f>Assum_Volume!$B$51</f>
        <v>0.8</v>
      </c>
      <c r="T7" s="27">
        <f>Assum_Volume!$B$52</f>
        <v>0.8</v>
      </c>
      <c r="U7" s="27">
        <f>Assum_Volume!$B$53</f>
        <v>0.85</v>
      </c>
      <c r="V7" s="27">
        <f>Assum_Volume!$B$54</f>
        <v>0.95</v>
      </c>
      <c r="W7" s="27">
        <f>Assum_Volume!$B$55</f>
        <v>1.05</v>
      </c>
      <c r="X7" s="27">
        <f>Assum_Volume!$B$56</f>
        <v>1.1499999999999999</v>
      </c>
      <c r="Y7" s="27">
        <f>Assum_Volume!$B$57</f>
        <v>1.4</v>
      </c>
      <c r="Z7" s="27">
        <f>Assum_Volume!$B$46</f>
        <v>1.1499999999999999</v>
      </c>
      <c r="AA7" s="27">
        <f>Assum_Volume!$B$47</f>
        <v>1.1000000000000001</v>
      </c>
      <c r="AB7" s="27">
        <f>Assum_Volume!$B$48</f>
        <v>1</v>
      </c>
      <c r="AC7" s="27">
        <f>Assum_Volume!$B$49</f>
        <v>0.9</v>
      </c>
      <c r="AD7" s="27">
        <f>Assum_Volume!$B$50</f>
        <v>0.85</v>
      </c>
      <c r="AE7" s="27">
        <f>Assum_Volume!$B$51</f>
        <v>0.8</v>
      </c>
      <c r="AF7" s="27">
        <f>Assum_Volume!$B$52</f>
        <v>0.8</v>
      </c>
      <c r="AG7" s="27">
        <f>Assum_Volume!$B$53</f>
        <v>0.85</v>
      </c>
      <c r="AH7" s="27">
        <f>Assum_Volume!$B$54</f>
        <v>0.95</v>
      </c>
      <c r="AI7" s="27">
        <f>Assum_Volume!$B$55</f>
        <v>1.05</v>
      </c>
      <c r="AJ7" s="27">
        <f>Assum_Volume!$B$56</f>
        <v>1.1499999999999999</v>
      </c>
      <c r="AK7" s="27">
        <f>Assum_Volume!$B$57</f>
        <v>1.4</v>
      </c>
      <c r="AL7" s="27">
        <f>Assum_Volume!$B$46</f>
        <v>1.1499999999999999</v>
      </c>
      <c r="AM7" s="27">
        <f>Assum_Volume!$B$47</f>
        <v>1.1000000000000001</v>
      </c>
      <c r="AN7" s="27">
        <f>Assum_Volume!$B$48</f>
        <v>1</v>
      </c>
      <c r="AO7" s="27">
        <f>Assum_Volume!$B$49</f>
        <v>0.9</v>
      </c>
      <c r="AP7" s="27">
        <f>Assum_Volume!$B$50</f>
        <v>0.85</v>
      </c>
      <c r="AQ7" s="27">
        <f>Assum_Volume!$B$51</f>
        <v>0.8</v>
      </c>
      <c r="AR7" s="27">
        <f>Assum_Volume!$B$52</f>
        <v>0.8</v>
      </c>
      <c r="AS7" s="27">
        <f>Assum_Volume!$B$53</f>
        <v>0.85</v>
      </c>
      <c r="AT7" s="27">
        <f>Assum_Volume!$B$54</f>
        <v>0.95</v>
      </c>
      <c r="AU7" s="27">
        <f>Assum_Volume!$B$55</f>
        <v>1.05</v>
      </c>
      <c r="AV7" s="27">
        <f>Assum_Volume!$B$56</f>
        <v>1.1499999999999999</v>
      </c>
      <c r="AW7" s="27">
        <f>Assum_Volume!$B$57</f>
        <v>1.4</v>
      </c>
      <c r="AX7" s="27">
        <f>Assum_Volume!$B$46</f>
        <v>1.1499999999999999</v>
      </c>
      <c r="AY7" s="27">
        <f>Assum_Volume!$B$47</f>
        <v>1.1000000000000001</v>
      </c>
      <c r="AZ7" s="27">
        <f>Assum_Volume!$B$48</f>
        <v>1</v>
      </c>
      <c r="BA7" s="27">
        <f>Assum_Volume!$B$49</f>
        <v>0.9</v>
      </c>
      <c r="BB7" s="27">
        <f>Assum_Volume!$B$50</f>
        <v>0.85</v>
      </c>
      <c r="BC7" s="27">
        <f>Assum_Volume!$B$51</f>
        <v>0.8</v>
      </c>
      <c r="BD7" s="27">
        <f>Assum_Volume!$B$52</f>
        <v>0.8</v>
      </c>
      <c r="BE7" s="27">
        <f>Assum_Volume!$B$53</f>
        <v>0.85</v>
      </c>
      <c r="BF7" s="27">
        <f>Assum_Volume!$B$54</f>
        <v>0.95</v>
      </c>
      <c r="BG7" s="27">
        <f>Assum_Volume!$B$55</f>
        <v>1.05</v>
      </c>
      <c r="BH7" s="27">
        <f>Assum_Volume!$B$56</f>
        <v>1.1499999999999999</v>
      </c>
      <c r="BI7" s="27">
        <f>Assum_Volume!$B$57</f>
        <v>1.4</v>
      </c>
      <c r="BJ7" s="27">
        <f>Assum_Volume!$B$46</f>
        <v>1.1499999999999999</v>
      </c>
      <c r="BK7" s="27">
        <f>Assum_Volume!$B$47</f>
        <v>1.1000000000000001</v>
      </c>
      <c r="BL7" s="27">
        <f>Assum_Volume!$B$48</f>
        <v>1</v>
      </c>
      <c r="BM7" s="27">
        <f>Assum_Volume!$B$49</f>
        <v>0.9</v>
      </c>
      <c r="BN7" s="27">
        <f>Assum_Volume!$B$50</f>
        <v>0.85</v>
      </c>
      <c r="BO7" s="27">
        <f>Assum_Volume!$B$51</f>
        <v>0.8</v>
      </c>
      <c r="BP7" s="27">
        <f>Assum_Volume!$B$52</f>
        <v>0.8</v>
      </c>
      <c r="BQ7" s="27">
        <f>Assum_Volume!$B$53</f>
        <v>0.85</v>
      </c>
      <c r="BR7" s="27">
        <f>Assum_Volume!$B$54</f>
        <v>0.95</v>
      </c>
      <c r="BS7" s="27">
        <f>Assum_Volume!$B$55</f>
        <v>1.05</v>
      </c>
      <c r="BT7" s="27">
        <f>Assum_Volume!$B$56</f>
        <v>1.1499999999999999</v>
      </c>
      <c r="BU7" s="27">
        <f>Assum_Volume!$B$57</f>
        <v>1.4</v>
      </c>
      <c r="BV7" s="27">
        <f>Assum_Volume!$B$46</f>
        <v>1.1499999999999999</v>
      </c>
      <c r="BW7" s="27">
        <f>Assum_Volume!$B$47</f>
        <v>1.1000000000000001</v>
      </c>
      <c r="BX7" s="27">
        <f>Assum_Volume!$B$48</f>
        <v>1</v>
      </c>
      <c r="BY7" s="27">
        <f>Assum_Volume!$B$49</f>
        <v>0.9</v>
      </c>
      <c r="BZ7" s="27">
        <f>Assum_Volume!$B$50</f>
        <v>0.85</v>
      </c>
      <c r="CA7" s="27">
        <f>Assum_Volume!$B$51</f>
        <v>0.8</v>
      </c>
      <c r="CB7" s="27">
        <f>Assum_Volume!$B$52</f>
        <v>0.8</v>
      </c>
      <c r="CC7" s="27">
        <f>Assum_Volume!$B$53</f>
        <v>0.85</v>
      </c>
      <c r="CD7" s="27">
        <f>Assum_Volume!$B$54</f>
        <v>0.95</v>
      </c>
      <c r="CE7" s="27">
        <f>Assum_Volume!$B$55</f>
        <v>1.05</v>
      </c>
      <c r="CF7" s="27">
        <f>Assum_Volume!$B$56</f>
        <v>1.1499999999999999</v>
      </c>
      <c r="CG7" s="27">
        <f>Assum_Volume!$B$57</f>
        <v>1.4</v>
      </c>
      <c r="CH7" s="27">
        <f>Assum_Volume!$B$46</f>
        <v>1.1499999999999999</v>
      </c>
      <c r="CI7" s="27">
        <f>Assum_Volume!$B$47</f>
        <v>1.1000000000000001</v>
      </c>
      <c r="CJ7" s="27">
        <f>Assum_Volume!$B$48</f>
        <v>1</v>
      </c>
      <c r="CK7" s="27">
        <f>Assum_Volume!$B$49</f>
        <v>0.9</v>
      </c>
      <c r="CL7" s="27">
        <f>Assum_Volume!$B$50</f>
        <v>0.85</v>
      </c>
      <c r="CM7" s="27">
        <f>Assum_Volume!$B$51</f>
        <v>0.8</v>
      </c>
      <c r="CN7" s="27">
        <f>Assum_Volume!$B$52</f>
        <v>0.8</v>
      </c>
      <c r="CO7" s="27">
        <f>Assum_Volume!$B$53</f>
        <v>0.85</v>
      </c>
      <c r="CP7" s="27">
        <f>Assum_Volume!$B$54</f>
        <v>0.95</v>
      </c>
      <c r="CQ7" s="27">
        <f>Assum_Volume!$B$55</f>
        <v>1.05</v>
      </c>
      <c r="CR7" s="27">
        <f>Assum_Volume!$B$56</f>
        <v>1.1499999999999999</v>
      </c>
      <c r="CS7" s="27">
        <f>Assum_Volume!$B$57</f>
        <v>1.4</v>
      </c>
      <c r="CT7" s="27">
        <f>Assum_Volume!$B$46</f>
        <v>1.1499999999999999</v>
      </c>
      <c r="CU7" s="27">
        <f>Assum_Volume!$B$47</f>
        <v>1.1000000000000001</v>
      </c>
      <c r="CV7" s="27">
        <f>Assum_Volume!$B$48</f>
        <v>1</v>
      </c>
      <c r="CW7" s="27">
        <f>Assum_Volume!$B$49</f>
        <v>0.9</v>
      </c>
      <c r="CX7" s="27">
        <f>Assum_Volume!$B$50</f>
        <v>0.85</v>
      </c>
      <c r="CY7" s="27">
        <f>Assum_Volume!$B$51</f>
        <v>0.8</v>
      </c>
      <c r="CZ7" s="27">
        <f>Assum_Volume!$B$52</f>
        <v>0.8</v>
      </c>
      <c r="DA7" s="27">
        <f>Assum_Volume!$B$53</f>
        <v>0.85</v>
      </c>
      <c r="DB7" s="27">
        <f>Assum_Volume!$B$54</f>
        <v>0.95</v>
      </c>
      <c r="DC7" s="27">
        <f>Assum_Volume!$B$55</f>
        <v>1.05</v>
      </c>
      <c r="DD7" s="27">
        <f>Assum_Volume!$B$56</f>
        <v>1.1499999999999999</v>
      </c>
      <c r="DE7" s="27">
        <f>Assum_Volume!$B$57</f>
        <v>1.4</v>
      </c>
      <c r="DF7" s="27">
        <f>Assum_Volume!$B$46</f>
        <v>1.1499999999999999</v>
      </c>
      <c r="DG7" s="27">
        <f>Assum_Volume!$B$47</f>
        <v>1.1000000000000001</v>
      </c>
      <c r="DH7" s="27">
        <f>Assum_Volume!$B$48</f>
        <v>1</v>
      </c>
      <c r="DI7" s="27">
        <f>Assum_Volume!$B$49</f>
        <v>0.9</v>
      </c>
      <c r="DJ7" s="27">
        <f>Assum_Volume!$B$50</f>
        <v>0.85</v>
      </c>
      <c r="DK7" s="27">
        <f>Assum_Volume!$B$51</f>
        <v>0.8</v>
      </c>
      <c r="DL7" s="27">
        <f>Assum_Volume!$B$52</f>
        <v>0.8</v>
      </c>
      <c r="DM7" s="27">
        <f>Assum_Volume!$B$53</f>
        <v>0.85</v>
      </c>
      <c r="DN7" s="27">
        <f>Assum_Volume!$B$54</f>
        <v>0.95</v>
      </c>
      <c r="DO7" s="27">
        <f>Assum_Volume!$B$55</f>
        <v>1.05</v>
      </c>
      <c r="DP7" s="27">
        <f>Assum_Volume!$B$56</f>
        <v>1.1499999999999999</v>
      </c>
      <c r="DQ7" s="27">
        <f>Assum_Volume!$B$57</f>
        <v>1.4</v>
      </c>
    </row>
    <row r="9" spans="1:121" ht="15" customHeight="1">
      <c r="A9" s="14" t="s">
        <v>406</v>
      </c>
      <c r="B9" s="28">
        <v>1</v>
      </c>
      <c r="C9" s="28">
        <f t="shared" ref="C9:M9" si="0">B9</f>
        <v>1</v>
      </c>
      <c r="D9" s="28">
        <f t="shared" si="0"/>
        <v>1</v>
      </c>
      <c r="E9" s="28">
        <f t="shared" si="0"/>
        <v>1</v>
      </c>
      <c r="F9" s="28">
        <f t="shared" si="0"/>
        <v>1</v>
      </c>
      <c r="G9" s="28">
        <f t="shared" si="0"/>
        <v>1</v>
      </c>
      <c r="H9" s="28">
        <f t="shared" si="0"/>
        <v>1</v>
      </c>
      <c r="I9" s="28">
        <f t="shared" si="0"/>
        <v>1</v>
      </c>
      <c r="J9" s="28">
        <f t="shared" si="0"/>
        <v>1</v>
      </c>
      <c r="K9" s="28">
        <f t="shared" si="0"/>
        <v>1</v>
      </c>
      <c r="L9" s="28">
        <f t="shared" si="0"/>
        <v>1</v>
      </c>
      <c r="M9" s="28">
        <f t="shared" si="0"/>
        <v>1</v>
      </c>
      <c r="N9" s="28">
        <f>M9*(1+INDEX(Assum_Volume!$B$32:$D$41,2,Control!$D$5))</f>
        <v>1.08</v>
      </c>
      <c r="O9" s="28">
        <f t="shared" ref="O9:Y9" si="1">N9</f>
        <v>1.08</v>
      </c>
      <c r="P9" s="28">
        <f t="shared" si="1"/>
        <v>1.08</v>
      </c>
      <c r="Q9" s="28">
        <f t="shared" si="1"/>
        <v>1.08</v>
      </c>
      <c r="R9" s="28">
        <f t="shared" si="1"/>
        <v>1.08</v>
      </c>
      <c r="S9" s="28">
        <f t="shared" si="1"/>
        <v>1.08</v>
      </c>
      <c r="T9" s="28">
        <f t="shared" si="1"/>
        <v>1.08</v>
      </c>
      <c r="U9" s="28">
        <f t="shared" si="1"/>
        <v>1.08</v>
      </c>
      <c r="V9" s="28">
        <f t="shared" si="1"/>
        <v>1.08</v>
      </c>
      <c r="W9" s="28">
        <f t="shared" si="1"/>
        <v>1.08</v>
      </c>
      <c r="X9" s="28">
        <f t="shared" si="1"/>
        <v>1.08</v>
      </c>
      <c r="Y9" s="28">
        <f t="shared" si="1"/>
        <v>1.08</v>
      </c>
      <c r="Z9" s="28">
        <f>Y9*(1+INDEX(Assum_Volume!$B$32:$D$41,3,Control!$D$5))</f>
        <v>1.1664000000000001</v>
      </c>
      <c r="AA9" s="28">
        <f t="shared" ref="AA9:AK9" si="2">Z9</f>
        <v>1.1664000000000001</v>
      </c>
      <c r="AB9" s="28">
        <f t="shared" si="2"/>
        <v>1.1664000000000001</v>
      </c>
      <c r="AC9" s="28">
        <f t="shared" si="2"/>
        <v>1.1664000000000001</v>
      </c>
      <c r="AD9" s="28">
        <f t="shared" si="2"/>
        <v>1.1664000000000001</v>
      </c>
      <c r="AE9" s="28">
        <f t="shared" si="2"/>
        <v>1.1664000000000001</v>
      </c>
      <c r="AF9" s="28">
        <f t="shared" si="2"/>
        <v>1.1664000000000001</v>
      </c>
      <c r="AG9" s="28">
        <f t="shared" si="2"/>
        <v>1.1664000000000001</v>
      </c>
      <c r="AH9" s="28">
        <f t="shared" si="2"/>
        <v>1.1664000000000001</v>
      </c>
      <c r="AI9" s="28">
        <f t="shared" si="2"/>
        <v>1.1664000000000001</v>
      </c>
      <c r="AJ9" s="28">
        <f t="shared" si="2"/>
        <v>1.1664000000000001</v>
      </c>
      <c r="AK9" s="28">
        <f t="shared" si="2"/>
        <v>1.1664000000000001</v>
      </c>
      <c r="AL9" s="28">
        <f>AK9*(1+INDEX(Assum_Volume!$B$32:$D$41,4,Control!$D$5))</f>
        <v>1.2363840000000001</v>
      </c>
      <c r="AM9" s="28">
        <f t="shared" ref="AM9:AW9" si="3">AL9</f>
        <v>1.2363840000000001</v>
      </c>
      <c r="AN9" s="28">
        <f t="shared" si="3"/>
        <v>1.2363840000000001</v>
      </c>
      <c r="AO9" s="28">
        <f t="shared" si="3"/>
        <v>1.2363840000000001</v>
      </c>
      <c r="AP9" s="28">
        <f t="shared" si="3"/>
        <v>1.2363840000000001</v>
      </c>
      <c r="AQ9" s="28">
        <f t="shared" si="3"/>
        <v>1.2363840000000001</v>
      </c>
      <c r="AR9" s="28">
        <f t="shared" si="3"/>
        <v>1.2363840000000001</v>
      </c>
      <c r="AS9" s="28">
        <f t="shared" si="3"/>
        <v>1.2363840000000001</v>
      </c>
      <c r="AT9" s="28">
        <f t="shared" si="3"/>
        <v>1.2363840000000001</v>
      </c>
      <c r="AU9" s="28">
        <f t="shared" si="3"/>
        <v>1.2363840000000001</v>
      </c>
      <c r="AV9" s="28">
        <f t="shared" si="3"/>
        <v>1.2363840000000001</v>
      </c>
      <c r="AW9" s="28">
        <f t="shared" si="3"/>
        <v>1.2363840000000001</v>
      </c>
      <c r="AX9" s="28">
        <f>AW9*(1+INDEX(Assum_Volume!$B$32:$D$41,5,Control!$D$5))</f>
        <v>1.3105670400000002</v>
      </c>
      <c r="AY9" s="28">
        <f t="shared" ref="AY9:BI9" si="4">AX9</f>
        <v>1.3105670400000002</v>
      </c>
      <c r="AZ9" s="28">
        <f t="shared" si="4"/>
        <v>1.3105670400000002</v>
      </c>
      <c r="BA9" s="28">
        <f t="shared" si="4"/>
        <v>1.3105670400000002</v>
      </c>
      <c r="BB9" s="28">
        <f t="shared" si="4"/>
        <v>1.3105670400000002</v>
      </c>
      <c r="BC9" s="28">
        <f t="shared" si="4"/>
        <v>1.3105670400000002</v>
      </c>
      <c r="BD9" s="28">
        <f t="shared" si="4"/>
        <v>1.3105670400000002</v>
      </c>
      <c r="BE9" s="28">
        <f t="shared" si="4"/>
        <v>1.3105670400000002</v>
      </c>
      <c r="BF9" s="28">
        <f t="shared" si="4"/>
        <v>1.3105670400000002</v>
      </c>
      <c r="BG9" s="28">
        <f t="shared" si="4"/>
        <v>1.3105670400000002</v>
      </c>
      <c r="BH9" s="28">
        <f t="shared" si="4"/>
        <v>1.3105670400000002</v>
      </c>
      <c r="BI9" s="28">
        <f t="shared" si="4"/>
        <v>1.3105670400000002</v>
      </c>
      <c r="BJ9" s="28">
        <f>BI9*(1+INDEX(Assum_Volume!$B$32:$D$41,6,Control!$D$5))</f>
        <v>1.3629897216000002</v>
      </c>
      <c r="BK9" s="28">
        <f t="shared" ref="BK9:BU9" si="5">BJ9</f>
        <v>1.3629897216000002</v>
      </c>
      <c r="BL9" s="28">
        <f t="shared" si="5"/>
        <v>1.3629897216000002</v>
      </c>
      <c r="BM9" s="28">
        <f t="shared" si="5"/>
        <v>1.3629897216000002</v>
      </c>
      <c r="BN9" s="28">
        <f t="shared" si="5"/>
        <v>1.3629897216000002</v>
      </c>
      <c r="BO9" s="28">
        <f t="shared" si="5"/>
        <v>1.3629897216000002</v>
      </c>
      <c r="BP9" s="28">
        <f t="shared" si="5"/>
        <v>1.3629897216000002</v>
      </c>
      <c r="BQ9" s="28">
        <f t="shared" si="5"/>
        <v>1.3629897216000002</v>
      </c>
      <c r="BR9" s="28">
        <f t="shared" si="5"/>
        <v>1.3629897216000002</v>
      </c>
      <c r="BS9" s="28">
        <f t="shared" si="5"/>
        <v>1.3629897216000002</v>
      </c>
      <c r="BT9" s="28">
        <f t="shared" si="5"/>
        <v>1.3629897216000002</v>
      </c>
      <c r="BU9" s="28">
        <f t="shared" si="5"/>
        <v>1.3629897216000002</v>
      </c>
      <c r="BV9" s="28">
        <f>BU9*(1+INDEX(Assum_Volume!$B$32:$D$41,7,Control!$D$5))</f>
        <v>1.4175093104640002</v>
      </c>
      <c r="BW9" s="28">
        <f t="shared" ref="BW9:CG9" si="6">BV9</f>
        <v>1.4175093104640002</v>
      </c>
      <c r="BX9" s="28">
        <f t="shared" si="6"/>
        <v>1.4175093104640002</v>
      </c>
      <c r="BY9" s="28">
        <f t="shared" si="6"/>
        <v>1.4175093104640002</v>
      </c>
      <c r="BZ9" s="28">
        <f t="shared" si="6"/>
        <v>1.4175093104640002</v>
      </c>
      <c r="CA9" s="28">
        <f t="shared" si="6"/>
        <v>1.4175093104640002</v>
      </c>
      <c r="CB9" s="28">
        <f t="shared" si="6"/>
        <v>1.4175093104640002</v>
      </c>
      <c r="CC9" s="28">
        <f t="shared" si="6"/>
        <v>1.4175093104640002</v>
      </c>
      <c r="CD9" s="28">
        <f t="shared" si="6"/>
        <v>1.4175093104640002</v>
      </c>
      <c r="CE9" s="28">
        <f t="shared" si="6"/>
        <v>1.4175093104640002</v>
      </c>
      <c r="CF9" s="28">
        <f t="shared" si="6"/>
        <v>1.4175093104640002</v>
      </c>
      <c r="CG9" s="28">
        <f t="shared" si="6"/>
        <v>1.4175093104640002</v>
      </c>
      <c r="CH9" s="28">
        <f>CG9*(1+INDEX(Assum_Volume!$B$32:$D$41,8,Control!$D$5))</f>
        <v>1.4742096828825602</v>
      </c>
      <c r="CI9" s="28">
        <f t="shared" ref="CI9:CS9" si="7">CH9</f>
        <v>1.4742096828825602</v>
      </c>
      <c r="CJ9" s="28">
        <f t="shared" si="7"/>
        <v>1.4742096828825602</v>
      </c>
      <c r="CK9" s="28">
        <f t="shared" si="7"/>
        <v>1.4742096828825602</v>
      </c>
      <c r="CL9" s="28">
        <f t="shared" si="7"/>
        <v>1.4742096828825602</v>
      </c>
      <c r="CM9" s="28">
        <f t="shared" si="7"/>
        <v>1.4742096828825602</v>
      </c>
      <c r="CN9" s="28">
        <f t="shared" si="7"/>
        <v>1.4742096828825602</v>
      </c>
      <c r="CO9" s="28">
        <f t="shared" si="7"/>
        <v>1.4742096828825602</v>
      </c>
      <c r="CP9" s="28">
        <f t="shared" si="7"/>
        <v>1.4742096828825602</v>
      </c>
      <c r="CQ9" s="28">
        <f t="shared" si="7"/>
        <v>1.4742096828825602</v>
      </c>
      <c r="CR9" s="28">
        <f t="shared" si="7"/>
        <v>1.4742096828825602</v>
      </c>
      <c r="CS9" s="28">
        <f t="shared" si="7"/>
        <v>1.4742096828825602</v>
      </c>
      <c r="CT9" s="28">
        <f>CS9*(1+INDEX(Assum_Volume!$B$32:$D$41,9,Control!$D$5))</f>
        <v>1.5331780701978626</v>
      </c>
      <c r="CU9" s="28">
        <f t="shared" ref="CU9:DE9" si="8">CT9</f>
        <v>1.5331780701978626</v>
      </c>
      <c r="CV9" s="28">
        <f t="shared" si="8"/>
        <v>1.5331780701978626</v>
      </c>
      <c r="CW9" s="28">
        <f t="shared" si="8"/>
        <v>1.5331780701978626</v>
      </c>
      <c r="CX9" s="28">
        <f t="shared" si="8"/>
        <v>1.5331780701978626</v>
      </c>
      <c r="CY9" s="28">
        <f t="shared" si="8"/>
        <v>1.5331780701978626</v>
      </c>
      <c r="CZ9" s="28">
        <f t="shared" si="8"/>
        <v>1.5331780701978626</v>
      </c>
      <c r="DA9" s="28">
        <f t="shared" si="8"/>
        <v>1.5331780701978626</v>
      </c>
      <c r="DB9" s="28">
        <f t="shared" si="8"/>
        <v>1.5331780701978626</v>
      </c>
      <c r="DC9" s="28">
        <f t="shared" si="8"/>
        <v>1.5331780701978626</v>
      </c>
      <c r="DD9" s="28">
        <f t="shared" si="8"/>
        <v>1.5331780701978626</v>
      </c>
      <c r="DE9" s="28">
        <f t="shared" si="8"/>
        <v>1.5331780701978626</v>
      </c>
      <c r="DF9" s="28">
        <f>DE9*(1+INDEX(Assum_Volume!$B$32:$D$41,10,Control!$D$5))</f>
        <v>1.5945051930057772</v>
      </c>
      <c r="DG9" s="28">
        <f t="shared" ref="DG9:DQ9" si="9">DF9</f>
        <v>1.5945051930057772</v>
      </c>
      <c r="DH9" s="28">
        <f t="shared" si="9"/>
        <v>1.5945051930057772</v>
      </c>
      <c r="DI9" s="28">
        <f t="shared" si="9"/>
        <v>1.5945051930057772</v>
      </c>
      <c r="DJ9" s="28">
        <f t="shared" si="9"/>
        <v>1.5945051930057772</v>
      </c>
      <c r="DK9" s="28">
        <f t="shared" si="9"/>
        <v>1.5945051930057772</v>
      </c>
      <c r="DL9" s="28">
        <f t="shared" si="9"/>
        <v>1.5945051930057772</v>
      </c>
      <c r="DM9" s="28">
        <f t="shared" si="9"/>
        <v>1.5945051930057772</v>
      </c>
      <c r="DN9" s="28">
        <f t="shared" si="9"/>
        <v>1.5945051930057772</v>
      </c>
      <c r="DO9" s="28">
        <f t="shared" si="9"/>
        <v>1.5945051930057772</v>
      </c>
      <c r="DP9" s="28">
        <f t="shared" si="9"/>
        <v>1.5945051930057772</v>
      </c>
      <c r="DQ9" s="28">
        <f t="shared" si="9"/>
        <v>1.5945051930057772</v>
      </c>
    </row>
    <row r="11" spans="1:121" ht="15" customHeight="1">
      <c r="A11" s="5" t="s">
        <v>407</v>
      </c>
    </row>
    <row r="12" spans="1:121" ht="15" customHeight="1">
      <c r="A12" t="s">
        <v>188</v>
      </c>
      <c r="B12" s="22">
        <f>Assum_Volume!$C$5*Assum_Volume!$C$8/12*B7*B9</f>
        <v>53666.666666666657</v>
      </c>
      <c r="C12" s="22">
        <f>Assum_Volume!$C$5*Assum_Volume!$C$8/12*C7*C9</f>
        <v>51333.333333333336</v>
      </c>
      <c r="D12" s="22">
        <f>Assum_Volume!$C$5*Assum_Volume!$C$8/12*D7*D9</f>
        <v>46666.666666666664</v>
      </c>
      <c r="E12" s="22">
        <f>Assum_Volume!$C$5*Assum_Volume!$C$8/12*E7*E9</f>
        <v>42000</v>
      </c>
      <c r="F12" s="22">
        <f>Assum_Volume!$C$5*Assum_Volume!$C$8/12*F7*F9</f>
        <v>39666.666666666664</v>
      </c>
      <c r="G12" s="22">
        <f>Assum_Volume!$C$5*Assum_Volume!$C$8/12*G7*G9</f>
        <v>37333.333333333336</v>
      </c>
      <c r="H12" s="22">
        <f>Assum_Volume!$C$5*Assum_Volume!$C$8/12*H7*H9</f>
        <v>37333.333333333336</v>
      </c>
      <c r="I12" s="22">
        <f>Assum_Volume!$C$5*Assum_Volume!$C$8/12*I7*I9</f>
        <v>39666.666666666664</v>
      </c>
      <c r="J12" s="22">
        <f>Assum_Volume!$C$5*Assum_Volume!$C$8/12*J7*J9</f>
        <v>44333.333333333328</v>
      </c>
      <c r="K12" s="22">
        <f>Assum_Volume!$C$5*Assum_Volume!$C$8/12*K7*K9</f>
        <v>49000</v>
      </c>
      <c r="L12" s="22">
        <f>Assum_Volume!$C$5*Assum_Volume!$C$8/12*L7*L9</f>
        <v>53666.666666666657</v>
      </c>
      <c r="M12" s="22">
        <f>Assum_Volume!$C$5*Assum_Volume!$C$8/12*M7*M9</f>
        <v>65333.333333333328</v>
      </c>
      <c r="N12" s="22">
        <f>Assum_Volume!$C$5*Assum_Volume!$C$8/12*N7*N9</f>
        <v>57959.999999999993</v>
      </c>
      <c r="O12" s="22">
        <f>Assum_Volume!$C$5*Assum_Volume!$C$8/12*O7*O9</f>
        <v>55440.000000000007</v>
      </c>
      <c r="P12" s="22">
        <f>Assum_Volume!$C$5*Assum_Volume!$C$8/12*P7*P9</f>
        <v>50400</v>
      </c>
      <c r="Q12" s="22">
        <f>Assum_Volume!$C$5*Assum_Volume!$C$8/12*Q7*Q9</f>
        <v>45360</v>
      </c>
      <c r="R12" s="22">
        <f>Assum_Volume!$C$5*Assum_Volume!$C$8/12*R7*R9</f>
        <v>42840</v>
      </c>
      <c r="S12" s="22">
        <f>Assum_Volume!$C$5*Assum_Volume!$C$8/12*S7*S9</f>
        <v>40320.000000000007</v>
      </c>
      <c r="T12" s="22">
        <f>Assum_Volume!$C$5*Assum_Volume!$C$8/12*T7*T9</f>
        <v>40320.000000000007</v>
      </c>
      <c r="U12" s="22">
        <f>Assum_Volume!$C$5*Assum_Volume!$C$8/12*U7*U9</f>
        <v>42840</v>
      </c>
      <c r="V12" s="22">
        <f>Assum_Volume!$C$5*Assum_Volume!$C$8/12*V7*V9</f>
        <v>47880</v>
      </c>
      <c r="W12" s="22">
        <f>Assum_Volume!$C$5*Assum_Volume!$C$8/12*W7*W9</f>
        <v>52920</v>
      </c>
      <c r="X12" s="22">
        <f>Assum_Volume!$C$5*Assum_Volume!$C$8/12*X7*X9</f>
        <v>57959.999999999993</v>
      </c>
      <c r="Y12" s="22">
        <f>Assum_Volume!$C$5*Assum_Volume!$C$8/12*Y7*Y9</f>
        <v>70560</v>
      </c>
      <c r="Z12" s="22">
        <f>Assum_Volume!$C$5*Assum_Volume!$C$8/12*Z7*Z9</f>
        <v>62596.799999999996</v>
      </c>
      <c r="AA12" s="22">
        <f>Assum_Volume!$C$5*Assum_Volume!$C$8/12*AA7*AA9</f>
        <v>59875.200000000012</v>
      </c>
      <c r="AB12" s="22">
        <f>Assum_Volume!$C$5*Assum_Volume!$C$8/12*AB7*AB9</f>
        <v>54432</v>
      </c>
      <c r="AC12" s="22">
        <f>Assum_Volume!$C$5*Assum_Volume!$C$8/12*AC7*AC9</f>
        <v>48988.800000000003</v>
      </c>
      <c r="AD12" s="22">
        <f>Assum_Volume!$C$5*Assum_Volume!$C$8/12*AD7*AD9</f>
        <v>46267.200000000004</v>
      </c>
      <c r="AE12" s="22">
        <f>Assum_Volume!$C$5*Assum_Volume!$C$8/12*AE7*AE9</f>
        <v>43545.600000000006</v>
      </c>
      <c r="AF12" s="22">
        <f>Assum_Volume!$C$5*Assum_Volume!$C$8/12*AF7*AF9</f>
        <v>43545.600000000006</v>
      </c>
      <c r="AG12" s="22">
        <f>Assum_Volume!$C$5*Assum_Volume!$C$8/12*AG7*AG9</f>
        <v>46267.200000000004</v>
      </c>
      <c r="AH12" s="22">
        <f>Assum_Volume!$C$5*Assum_Volume!$C$8/12*AH7*AH9</f>
        <v>51710.400000000001</v>
      </c>
      <c r="AI12" s="22">
        <f>Assum_Volume!$C$5*Assum_Volume!$C$8/12*AI7*AI9</f>
        <v>57153.600000000006</v>
      </c>
      <c r="AJ12" s="22">
        <f>Assum_Volume!$C$5*Assum_Volume!$C$8/12*AJ7*AJ9</f>
        <v>62596.799999999996</v>
      </c>
      <c r="AK12" s="22">
        <f>Assum_Volume!$C$5*Assum_Volume!$C$8/12*AK7*AK9</f>
        <v>76204.800000000003</v>
      </c>
      <c r="AL12" s="22">
        <f>Assum_Volume!$C$5*Assum_Volume!$C$8/12*AL7*AL9</f>
        <v>66352.607999999993</v>
      </c>
      <c r="AM12" s="22">
        <f>Assum_Volume!$C$5*Assum_Volume!$C$8/12*AM7*AM9</f>
        <v>63467.712000000014</v>
      </c>
      <c r="AN12" s="22">
        <f>Assum_Volume!$C$5*Assum_Volume!$C$8/12*AN7*AN9</f>
        <v>57697.920000000006</v>
      </c>
      <c r="AO12" s="22">
        <f>Assum_Volume!$C$5*Assum_Volume!$C$8/12*AO7*AO9</f>
        <v>51928.128000000004</v>
      </c>
      <c r="AP12" s="22">
        <f>Assum_Volume!$C$5*Assum_Volume!$C$8/12*AP7*AP9</f>
        <v>49043.232000000004</v>
      </c>
      <c r="AQ12" s="22">
        <f>Assum_Volume!$C$5*Assum_Volume!$C$8/12*AQ7*AQ9</f>
        <v>46158.33600000001</v>
      </c>
      <c r="AR12" s="22">
        <f>Assum_Volume!$C$5*Assum_Volume!$C$8/12*AR7*AR9</f>
        <v>46158.33600000001</v>
      </c>
      <c r="AS12" s="22">
        <f>Assum_Volume!$C$5*Assum_Volume!$C$8/12*AS7*AS9</f>
        <v>49043.232000000004</v>
      </c>
      <c r="AT12" s="22">
        <f>Assum_Volume!$C$5*Assum_Volume!$C$8/12*AT7*AT9</f>
        <v>54813.023999999998</v>
      </c>
      <c r="AU12" s="22">
        <f>Assum_Volume!$C$5*Assum_Volume!$C$8/12*AU7*AU9</f>
        <v>60582.816000000006</v>
      </c>
      <c r="AV12" s="22">
        <f>Assum_Volume!$C$5*Assum_Volume!$C$8/12*AV7*AV9</f>
        <v>66352.607999999993</v>
      </c>
      <c r="AW12" s="22">
        <f>Assum_Volume!$C$5*Assum_Volume!$C$8/12*AW7*AW9</f>
        <v>80777.088000000003</v>
      </c>
      <c r="AX12" s="22">
        <f>Assum_Volume!$C$5*Assum_Volume!$C$8/12*AX7*AX9</f>
        <v>70333.764479999998</v>
      </c>
      <c r="AY12" s="22">
        <f>Assum_Volume!$C$5*Assum_Volume!$C$8/12*AY7*AY9</f>
        <v>67275.774720000016</v>
      </c>
      <c r="AZ12" s="22">
        <f>Assum_Volume!$C$5*Assum_Volume!$C$8/12*AZ7*AZ9</f>
        <v>61159.795200000008</v>
      </c>
      <c r="BA12" s="22">
        <f>Assum_Volume!$C$5*Assum_Volume!$C$8/12*BA7*BA9</f>
        <v>55043.815680000007</v>
      </c>
      <c r="BB12" s="22">
        <f>Assum_Volume!$C$5*Assum_Volume!$C$8/12*BB7*BB9</f>
        <v>51985.825920000003</v>
      </c>
      <c r="BC12" s="22">
        <f>Assum_Volume!$C$5*Assum_Volume!$C$8/12*BC7*BC9</f>
        <v>48927.836160000013</v>
      </c>
      <c r="BD12" s="22">
        <f>Assum_Volume!$C$5*Assum_Volume!$C$8/12*BD7*BD9</f>
        <v>48927.836160000013</v>
      </c>
      <c r="BE12" s="22">
        <f>Assum_Volume!$C$5*Assum_Volume!$C$8/12*BE7*BE9</f>
        <v>51985.825920000003</v>
      </c>
      <c r="BF12" s="22">
        <f>Assum_Volume!$C$5*Assum_Volume!$C$8/12*BF7*BF9</f>
        <v>58101.805440000004</v>
      </c>
      <c r="BG12" s="22">
        <f>Assum_Volume!$C$5*Assum_Volume!$C$8/12*BG7*BG9</f>
        <v>64217.784960000012</v>
      </c>
      <c r="BH12" s="22">
        <f>Assum_Volume!$C$5*Assum_Volume!$C$8/12*BH7*BH9</f>
        <v>70333.764479999998</v>
      </c>
      <c r="BI12" s="22">
        <f>Assum_Volume!$C$5*Assum_Volume!$C$8/12*BI7*BI9</f>
        <v>85623.713280000011</v>
      </c>
      <c r="BJ12" s="22">
        <f>Assum_Volume!$C$5*Assum_Volume!$C$8/12*BJ7*BJ9</f>
        <v>73147.115059200005</v>
      </c>
      <c r="BK12" s="22">
        <f>Assum_Volume!$C$5*Assum_Volume!$C$8/12*BK7*BK9</f>
        <v>69966.805708800021</v>
      </c>
      <c r="BL12" s="22">
        <f>Assum_Volume!$C$5*Assum_Volume!$C$8/12*BL7*BL9</f>
        <v>63606.187008000008</v>
      </c>
      <c r="BM12" s="22">
        <f>Assum_Volume!$C$5*Assum_Volume!$C$8/12*BM7*BM9</f>
        <v>57245.56830720001</v>
      </c>
      <c r="BN12" s="22">
        <f>Assum_Volume!$C$5*Assum_Volume!$C$8/12*BN7*BN9</f>
        <v>54065.258956800004</v>
      </c>
      <c r="BO12" s="22">
        <f>Assum_Volume!$C$5*Assum_Volume!$C$8/12*BO7*BO9</f>
        <v>50884.949606400012</v>
      </c>
      <c r="BP12" s="22">
        <f>Assum_Volume!$C$5*Assum_Volume!$C$8/12*BP7*BP9</f>
        <v>50884.949606400012</v>
      </c>
      <c r="BQ12" s="22">
        <f>Assum_Volume!$C$5*Assum_Volume!$C$8/12*BQ7*BQ9</f>
        <v>54065.258956800004</v>
      </c>
      <c r="BR12" s="22">
        <f>Assum_Volume!$C$5*Assum_Volume!$C$8/12*BR7*BR9</f>
        <v>60425.877657600002</v>
      </c>
      <c r="BS12" s="22">
        <f>Assum_Volume!$C$5*Assum_Volume!$C$8/12*BS7*BS9</f>
        <v>66786.496358400007</v>
      </c>
      <c r="BT12" s="22">
        <f>Assum_Volume!$C$5*Assum_Volume!$C$8/12*BT7*BT9</f>
        <v>73147.115059200005</v>
      </c>
      <c r="BU12" s="22">
        <f>Assum_Volume!$C$5*Assum_Volume!$C$8/12*BU7*BU9</f>
        <v>89048.6618112</v>
      </c>
      <c r="BV12" s="22">
        <f>Assum_Volume!$C$5*Assum_Volume!$C$8/12*BV7*BV9</f>
        <v>76072.999661567999</v>
      </c>
      <c r="BW12" s="22">
        <f>Assum_Volume!$C$5*Assum_Volume!$C$8/12*BW7*BW9</f>
        <v>72765.477937152013</v>
      </c>
      <c r="BX12" s="22">
        <f>Assum_Volume!$C$5*Assum_Volume!$C$8/12*BX7*BX9</f>
        <v>66150.43448832001</v>
      </c>
      <c r="BY12" s="22">
        <f>Assum_Volume!$C$5*Assum_Volume!$C$8/12*BY7*BY9</f>
        <v>59535.391039488008</v>
      </c>
      <c r="BZ12" s="22">
        <f>Assum_Volume!$C$5*Assum_Volume!$C$8/12*BZ7*BZ9</f>
        <v>56227.869315072006</v>
      </c>
      <c r="CA12" s="22">
        <f>Assum_Volume!$C$5*Assum_Volume!$C$8/12*CA7*CA9</f>
        <v>52920.347590656012</v>
      </c>
      <c r="CB12" s="22">
        <f>Assum_Volume!$C$5*Assum_Volume!$C$8/12*CB7*CB9</f>
        <v>52920.347590656012</v>
      </c>
      <c r="CC12" s="22">
        <f>Assum_Volume!$C$5*Assum_Volume!$C$8/12*CC7*CC9</f>
        <v>56227.869315072006</v>
      </c>
      <c r="CD12" s="22">
        <f>Assum_Volume!$C$5*Assum_Volume!$C$8/12*CD7*CD9</f>
        <v>62842.912763904002</v>
      </c>
      <c r="CE12" s="22">
        <f>Assum_Volume!$C$5*Assum_Volume!$C$8/12*CE7*CE9</f>
        <v>69457.956212736011</v>
      </c>
      <c r="CF12" s="22">
        <f>Assum_Volume!$C$5*Assum_Volume!$C$8/12*CF7*CF9</f>
        <v>76072.999661567999</v>
      </c>
      <c r="CG12" s="22">
        <f>Assum_Volume!$C$5*Assum_Volume!$C$8/12*CG7*CG9</f>
        <v>92610.608283648005</v>
      </c>
      <c r="CH12" s="22">
        <f>Assum_Volume!$C$5*Assum_Volume!$C$8/12*CH7*CH9</f>
        <v>79115.919648030715</v>
      </c>
      <c r="CI12" s="22">
        <f>Assum_Volume!$C$5*Assum_Volume!$C$8/12*CI7*CI9</f>
        <v>75676.097054638085</v>
      </c>
      <c r="CJ12" s="22">
        <f>Assum_Volume!$C$5*Assum_Volume!$C$8/12*CJ7*CJ9</f>
        <v>68796.451867852797</v>
      </c>
      <c r="CK12" s="22">
        <f>Assum_Volume!$C$5*Assum_Volume!$C$8/12*CK7*CK9</f>
        <v>61916.80668106753</v>
      </c>
      <c r="CL12" s="22">
        <f>Assum_Volume!$C$5*Assum_Volume!$C$8/12*CL7*CL9</f>
        <v>58476.984087674886</v>
      </c>
      <c r="CM12" s="22">
        <f>Assum_Volume!$C$5*Assum_Volume!$C$8/12*CM7*CM9</f>
        <v>55037.161494282249</v>
      </c>
      <c r="CN12" s="22">
        <f>Assum_Volume!$C$5*Assum_Volume!$C$8/12*CN7*CN9</f>
        <v>55037.161494282249</v>
      </c>
      <c r="CO12" s="22">
        <f>Assum_Volume!$C$5*Assum_Volume!$C$8/12*CO7*CO9</f>
        <v>58476.984087674886</v>
      </c>
      <c r="CP12" s="22">
        <f>Assum_Volume!$C$5*Assum_Volume!$C$8/12*CP7*CP9</f>
        <v>65356.62927446016</v>
      </c>
      <c r="CQ12" s="22">
        <f>Assum_Volume!$C$5*Assum_Volume!$C$8/12*CQ7*CQ9</f>
        <v>72236.274461245441</v>
      </c>
      <c r="CR12" s="22">
        <f>Assum_Volume!$C$5*Assum_Volume!$C$8/12*CR7*CR9</f>
        <v>79115.919648030715</v>
      </c>
      <c r="CS12" s="22">
        <f>Assum_Volume!$C$5*Assum_Volume!$C$8/12*CS7*CS9</f>
        <v>96315.032614993921</v>
      </c>
      <c r="CT12" s="22">
        <f>Assum_Volume!$C$5*Assum_Volume!$C$8/12*CT7*CT9</f>
        <v>82280.556433951948</v>
      </c>
      <c r="CU12" s="22">
        <f>Assum_Volume!$C$5*Assum_Volume!$C$8/12*CU7*CU9</f>
        <v>78703.14093682362</v>
      </c>
      <c r="CV12" s="22">
        <f>Assum_Volume!$C$5*Assum_Volume!$C$8/12*CV7*CV9</f>
        <v>71548.309942566921</v>
      </c>
      <c r="CW12" s="22">
        <f>Assum_Volume!$C$5*Assum_Volume!$C$8/12*CW7*CW9</f>
        <v>64393.478948310229</v>
      </c>
      <c r="CX12" s="22">
        <f>Assum_Volume!$C$5*Assum_Volume!$C$8/12*CX7*CX9</f>
        <v>60816.063451181879</v>
      </c>
      <c r="CY12" s="22">
        <f>Assum_Volume!$C$5*Assum_Volume!$C$8/12*CY7*CY9</f>
        <v>57238.647954053537</v>
      </c>
      <c r="CZ12" s="22">
        <f>Assum_Volume!$C$5*Assum_Volume!$C$8/12*CZ7*CZ9</f>
        <v>57238.647954053537</v>
      </c>
      <c r="DA12" s="22">
        <f>Assum_Volume!$C$5*Assum_Volume!$C$8/12*DA7*DA9</f>
        <v>60816.063451181879</v>
      </c>
      <c r="DB12" s="22">
        <f>Assum_Volume!$C$5*Assum_Volume!$C$8/12*DB7*DB9</f>
        <v>67970.894445438564</v>
      </c>
      <c r="DC12" s="22">
        <f>Assum_Volume!$C$5*Assum_Volume!$C$8/12*DC7*DC9</f>
        <v>75125.725439695263</v>
      </c>
      <c r="DD12" s="22">
        <f>Assum_Volume!$C$5*Assum_Volume!$C$8/12*DD7*DD9</f>
        <v>82280.556433951948</v>
      </c>
      <c r="DE12" s="22">
        <f>Assum_Volume!$C$5*Assum_Volume!$C$8/12*DE7*DE9</f>
        <v>100167.63391959367</v>
      </c>
      <c r="DF12" s="22">
        <f>Assum_Volume!$C$5*Assum_Volume!$C$8/12*DF7*DF9</f>
        <v>85571.778691310028</v>
      </c>
      <c r="DG12" s="22">
        <f>Assum_Volume!$C$5*Assum_Volume!$C$8/12*DG7*DG9</f>
        <v>81851.266574296562</v>
      </c>
      <c r="DH12" s="22">
        <f>Assum_Volume!$C$5*Assum_Volume!$C$8/12*DH7*DH9</f>
        <v>74410.2423402696</v>
      </c>
      <c r="DI12" s="22">
        <f>Assum_Volume!$C$5*Assum_Volume!$C$8/12*DI7*DI9</f>
        <v>66969.218106242639</v>
      </c>
      <c r="DJ12" s="22">
        <f>Assum_Volume!$C$5*Assum_Volume!$C$8/12*DJ7*DJ9</f>
        <v>63248.705989229158</v>
      </c>
      <c r="DK12" s="22">
        <f>Assum_Volume!$C$5*Assum_Volume!$C$8/12*DK7*DK9</f>
        <v>59528.193872215685</v>
      </c>
      <c r="DL12" s="22">
        <f>Assum_Volume!$C$5*Assum_Volume!$C$8/12*DL7*DL9</f>
        <v>59528.193872215685</v>
      </c>
      <c r="DM12" s="22">
        <f>Assum_Volume!$C$5*Assum_Volume!$C$8/12*DM7*DM9</f>
        <v>63248.705989229158</v>
      </c>
      <c r="DN12" s="22">
        <f>Assum_Volume!$C$5*Assum_Volume!$C$8/12*DN7*DN9</f>
        <v>70689.73022325612</v>
      </c>
      <c r="DO12" s="22">
        <f>Assum_Volume!$C$5*Assum_Volume!$C$8/12*DO7*DO9</f>
        <v>78130.754457283081</v>
      </c>
      <c r="DP12" s="22">
        <f>Assum_Volume!$C$5*Assum_Volume!$C$8/12*DP7*DP9</f>
        <v>85571.778691310028</v>
      </c>
      <c r="DQ12" s="22">
        <f>Assum_Volume!$C$5*Assum_Volume!$C$8/12*DQ7*DQ9</f>
        <v>104174.33927637743</v>
      </c>
    </row>
    <row r="13" spans="1:121" ht="15" customHeight="1">
      <c r="A13" t="s">
        <v>212</v>
      </c>
      <c r="B13" s="22">
        <f>Assum_Volume!$C$5*Assum_Volume!$C$9/12*B7*B9</f>
        <v>23000.000000000004</v>
      </c>
      <c r="C13" s="22">
        <f>Assum_Volume!$C$5*Assum_Volume!$C$9/12*C7*C9</f>
        <v>22000.000000000007</v>
      </c>
      <c r="D13" s="22">
        <f>Assum_Volume!$C$5*Assum_Volume!$C$9/12*D7*D9</f>
        <v>20000.000000000004</v>
      </c>
      <c r="E13" s="22">
        <f>Assum_Volume!$C$5*Assum_Volume!$C$9/12*E7*E9</f>
        <v>18000.000000000004</v>
      </c>
      <c r="F13" s="22">
        <f>Assum_Volume!$C$5*Assum_Volume!$C$9/12*F7*F9</f>
        <v>17000.000000000004</v>
      </c>
      <c r="G13" s="22">
        <f>Assum_Volume!$C$5*Assum_Volume!$C$9/12*G7*G9</f>
        <v>16000.000000000004</v>
      </c>
      <c r="H13" s="22">
        <f>Assum_Volume!$C$5*Assum_Volume!$C$9/12*H7*H9</f>
        <v>16000.000000000004</v>
      </c>
      <c r="I13" s="22">
        <f>Assum_Volume!$C$5*Assum_Volume!$C$9/12*I7*I9</f>
        <v>17000.000000000004</v>
      </c>
      <c r="J13" s="22">
        <f>Assum_Volume!$C$5*Assum_Volume!$C$9/12*J7*J9</f>
        <v>19000.000000000004</v>
      </c>
      <c r="K13" s="22">
        <f>Assum_Volume!$C$5*Assum_Volume!$C$9/12*K7*K9</f>
        <v>21000.000000000004</v>
      </c>
      <c r="L13" s="22">
        <f>Assum_Volume!$C$5*Assum_Volume!$C$9/12*L7*L9</f>
        <v>23000.000000000004</v>
      </c>
      <c r="M13" s="22">
        <f>Assum_Volume!$C$5*Assum_Volume!$C$9/12*M7*M9</f>
        <v>28000.000000000004</v>
      </c>
      <c r="N13" s="22">
        <f>Assum_Volume!$C$5*Assum_Volume!$C$9/12*N7*N9</f>
        <v>24840.000000000007</v>
      </c>
      <c r="O13" s="22">
        <f>Assum_Volume!$C$5*Assum_Volume!$C$9/12*O7*O9</f>
        <v>23760.000000000011</v>
      </c>
      <c r="P13" s="22">
        <f>Assum_Volume!$C$5*Assum_Volume!$C$9/12*P7*P9</f>
        <v>21600.000000000004</v>
      </c>
      <c r="Q13" s="22">
        <f>Assum_Volume!$C$5*Assum_Volume!$C$9/12*Q7*Q9</f>
        <v>19440.000000000004</v>
      </c>
      <c r="R13" s="22">
        <f>Assum_Volume!$C$5*Assum_Volume!$C$9/12*R7*R9</f>
        <v>18360.000000000004</v>
      </c>
      <c r="S13" s="22">
        <f>Assum_Volume!$C$5*Assum_Volume!$C$9/12*S7*S9</f>
        <v>17280.000000000004</v>
      </c>
      <c r="T13" s="22">
        <f>Assum_Volume!$C$5*Assum_Volume!$C$9/12*T7*T9</f>
        <v>17280.000000000004</v>
      </c>
      <c r="U13" s="22">
        <f>Assum_Volume!$C$5*Assum_Volume!$C$9/12*U7*U9</f>
        <v>18360.000000000004</v>
      </c>
      <c r="V13" s="22">
        <f>Assum_Volume!$C$5*Assum_Volume!$C$9/12*V7*V9</f>
        <v>20520.000000000004</v>
      </c>
      <c r="W13" s="22">
        <f>Assum_Volume!$C$5*Assum_Volume!$C$9/12*W7*W9</f>
        <v>22680.000000000004</v>
      </c>
      <c r="X13" s="22">
        <f>Assum_Volume!$C$5*Assum_Volume!$C$9/12*X7*X9</f>
        <v>24840.000000000007</v>
      </c>
      <c r="Y13" s="22">
        <f>Assum_Volume!$C$5*Assum_Volume!$C$9/12*Y7*Y9</f>
        <v>30240.000000000007</v>
      </c>
      <c r="Z13" s="22">
        <f>Assum_Volume!$C$5*Assum_Volume!$C$9/12*Z7*Z9</f>
        <v>26827.200000000008</v>
      </c>
      <c r="AA13" s="22">
        <f>Assum_Volume!$C$5*Assum_Volume!$C$9/12*AA7*AA9</f>
        <v>25660.80000000001</v>
      </c>
      <c r="AB13" s="22">
        <f>Assum_Volume!$C$5*Assum_Volume!$C$9/12*AB7*AB9</f>
        <v>23328.000000000007</v>
      </c>
      <c r="AC13" s="22">
        <f>Assum_Volume!$C$5*Assum_Volume!$C$9/12*AC7*AC9</f>
        <v>20995.200000000004</v>
      </c>
      <c r="AD13" s="22">
        <f>Assum_Volume!$C$5*Assum_Volume!$C$9/12*AD7*AD9</f>
        <v>19828.800000000007</v>
      </c>
      <c r="AE13" s="22">
        <f>Assum_Volume!$C$5*Assum_Volume!$C$9/12*AE7*AE9</f>
        <v>18662.400000000005</v>
      </c>
      <c r="AF13" s="22">
        <f>Assum_Volume!$C$5*Assum_Volume!$C$9/12*AF7*AF9</f>
        <v>18662.400000000005</v>
      </c>
      <c r="AG13" s="22">
        <f>Assum_Volume!$C$5*Assum_Volume!$C$9/12*AG7*AG9</f>
        <v>19828.800000000007</v>
      </c>
      <c r="AH13" s="22">
        <f>Assum_Volume!$C$5*Assum_Volume!$C$9/12*AH7*AH9</f>
        <v>22161.600000000006</v>
      </c>
      <c r="AI13" s="22">
        <f>Assum_Volume!$C$5*Assum_Volume!$C$9/12*AI7*AI9</f>
        <v>24494.400000000005</v>
      </c>
      <c r="AJ13" s="22">
        <f>Assum_Volume!$C$5*Assum_Volume!$C$9/12*AJ7*AJ9</f>
        <v>26827.200000000008</v>
      </c>
      <c r="AK13" s="22">
        <f>Assum_Volume!$C$5*Assum_Volume!$C$9/12*AK7*AK9</f>
        <v>32659.200000000008</v>
      </c>
      <c r="AL13" s="22">
        <f>Assum_Volume!$C$5*Assum_Volume!$C$9/12*AL7*AL9</f>
        <v>28436.832000000009</v>
      </c>
      <c r="AM13" s="22">
        <f>Assum_Volume!$C$5*Assum_Volume!$C$9/12*AM7*AM9</f>
        <v>27200.448000000011</v>
      </c>
      <c r="AN13" s="22">
        <f>Assum_Volume!$C$5*Assum_Volume!$C$9/12*AN7*AN9</f>
        <v>24727.680000000008</v>
      </c>
      <c r="AO13" s="22">
        <f>Assum_Volume!$C$5*Assum_Volume!$C$9/12*AO7*AO9</f>
        <v>22254.912000000008</v>
      </c>
      <c r="AP13" s="22">
        <f>Assum_Volume!$C$5*Assum_Volume!$C$9/12*AP7*AP9</f>
        <v>21018.528000000006</v>
      </c>
      <c r="AQ13" s="22">
        <f>Assum_Volume!$C$5*Assum_Volume!$C$9/12*AQ7*AQ9</f>
        <v>19782.144000000008</v>
      </c>
      <c r="AR13" s="22">
        <f>Assum_Volume!$C$5*Assum_Volume!$C$9/12*AR7*AR9</f>
        <v>19782.144000000008</v>
      </c>
      <c r="AS13" s="22">
        <f>Assum_Volume!$C$5*Assum_Volume!$C$9/12*AS7*AS9</f>
        <v>21018.528000000006</v>
      </c>
      <c r="AT13" s="22">
        <f>Assum_Volume!$C$5*Assum_Volume!$C$9/12*AT7*AT9</f>
        <v>23491.296000000006</v>
      </c>
      <c r="AU13" s="22">
        <f>Assum_Volume!$C$5*Assum_Volume!$C$9/12*AU7*AU9</f>
        <v>25964.064000000009</v>
      </c>
      <c r="AV13" s="22">
        <f>Assum_Volume!$C$5*Assum_Volume!$C$9/12*AV7*AV9</f>
        <v>28436.832000000009</v>
      </c>
      <c r="AW13" s="22">
        <f>Assum_Volume!$C$5*Assum_Volume!$C$9/12*AW7*AW9</f>
        <v>34618.752000000008</v>
      </c>
      <c r="AX13" s="22">
        <f>Assum_Volume!$C$5*Assum_Volume!$C$9/12*AX7*AX9</f>
        <v>30143.041920000011</v>
      </c>
      <c r="AY13" s="22">
        <f>Assum_Volume!$C$5*Assum_Volume!$C$9/12*AY7*AY9</f>
        <v>28832.474880000016</v>
      </c>
      <c r="AZ13" s="22">
        <f>Assum_Volume!$C$5*Assum_Volume!$C$9/12*AZ7*AZ9</f>
        <v>26211.340800000009</v>
      </c>
      <c r="BA13" s="22">
        <f>Assum_Volume!$C$5*Assum_Volume!$C$9/12*BA7*BA9</f>
        <v>23590.206720000009</v>
      </c>
      <c r="BB13" s="22">
        <f>Assum_Volume!$C$5*Assum_Volume!$C$9/12*BB7*BB9</f>
        <v>22279.639680000008</v>
      </c>
      <c r="BC13" s="22">
        <f>Assum_Volume!$C$5*Assum_Volume!$C$9/12*BC7*BC9</f>
        <v>20969.072640000009</v>
      </c>
      <c r="BD13" s="22">
        <f>Assum_Volume!$C$5*Assum_Volume!$C$9/12*BD7*BD9</f>
        <v>20969.072640000009</v>
      </c>
      <c r="BE13" s="22">
        <f>Assum_Volume!$C$5*Assum_Volume!$C$9/12*BE7*BE9</f>
        <v>22279.639680000008</v>
      </c>
      <c r="BF13" s="22">
        <f>Assum_Volume!$C$5*Assum_Volume!$C$9/12*BF7*BF9</f>
        <v>24900.773760000011</v>
      </c>
      <c r="BG13" s="22">
        <f>Assum_Volume!$C$5*Assum_Volume!$C$9/12*BG7*BG9</f>
        <v>27521.907840000011</v>
      </c>
      <c r="BH13" s="22">
        <f>Assum_Volume!$C$5*Assum_Volume!$C$9/12*BH7*BH9</f>
        <v>30143.041920000011</v>
      </c>
      <c r="BI13" s="22">
        <f>Assum_Volume!$C$5*Assum_Volume!$C$9/12*BI7*BI9</f>
        <v>36695.877120000012</v>
      </c>
      <c r="BJ13" s="22">
        <f>Assum_Volume!$C$5*Assum_Volume!$C$9/12*BJ7*BJ9</f>
        <v>31348.76359680001</v>
      </c>
      <c r="BK13" s="22">
        <f>Assum_Volume!$C$5*Assum_Volume!$C$9/12*BK7*BK9</f>
        <v>29985.773875200015</v>
      </c>
      <c r="BL13" s="22">
        <f>Assum_Volume!$C$5*Assum_Volume!$C$9/12*BL7*BL9</f>
        <v>27259.79443200001</v>
      </c>
      <c r="BM13" s="22">
        <f>Assum_Volume!$C$5*Assum_Volume!$C$9/12*BM7*BM9</f>
        <v>24533.814988800008</v>
      </c>
      <c r="BN13" s="22">
        <f>Assum_Volume!$C$5*Assum_Volume!$C$9/12*BN7*BN9</f>
        <v>23170.825267200009</v>
      </c>
      <c r="BO13" s="22">
        <f>Assum_Volume!$C$5*Assum_Volume!$C$9/12*BO7*BO9</f>
        <v>21807.83554560001</v>
      </c>
      <c r="BP13" s="22">
        <f>Assum_Volume!$C$5*Assum_Volume!$C$9/12*BP7*BP9</f>
        <v>21807.83554560001</v>
      </c>
      <c r="BQ13" s="22">
        <f>Assum_Volume!$C$5*Assum_Volume!$C$9/12*BQ7*BQ9</f>
        <v>23170.825267200009</v>
      </c>
      <c r="BR13" s="22">
        <f>Assum_Volume!$C$5*Assum_Volume!$C$9/12*BR7*BR9</f>
        <v>25896.804710400007</v>
      </c>
      <c r="BS13" s="22">
        <f>Assum_Volume!$C$5*Assum_Volume!$C$9/12*BS7*BS9</f>
        <v>28622.784153600009</v>
      </c>
      <c r="BT13" s="22">
        <f>Assum_Volume!$C$5*Assum_Volume!$C$9/12*BT7*BT9</f>
        <v>31348.76359680001</v>
      </c>
      <c r="BU13" s="22">
        <f>Assum_Volume!$C$5*Assum_Volume!$C$9/12*BU7*BU9</f>
        <v>38163.712204800009</v>
      </c>
      <c r="BV13" s="22">
        <f>Assum_Volume!$C$5*Assum_Volume!$C$9/12*BV7*BV9</f>
        <v>32602.714140672011</v>
      </c>
      <c r="BW13" s="22">
        <f>Assum_Volume!$C$5*Assum_Volume!$C$9/12*BW7*BW9</f>
        <v>31185.204830208015</v>
      </c>
      <c r="BX13" s="22">
        <f>Assum_Volume!$C$5*Assum_Volume!$C$9/12*BX7*BX9</f>
        <v>28350.186209280007</v>
      </c>
      <c r="BY13" s="22">
        <f>Assum_Volume!$C$5*Assum_Volume!$C$9/12*BY7*BY9</f>
        <v>25515.167588352007</v>
      </c>
      <c r="BZ13" s="22">
        <f>Assum_Volume!$C$5*Assum_Volume!$C$9/12*BZ7*BZ9</f>
        <v>24097.658277888007</v>
      </c>
      <c r="CA13" s="22">
        <f>Assum_Volume!$C$5*Assum_Volume!$C$9/12*CA7*CA9</f>
        <v>22680.148967424007</v>
      </c>
      <c r="CB13" s="22">
        <f>Assum_Volume!$C$5*Assum_Volume!$C$9/12*CB7*CB9</f>
        <v>22680.148967424007</v>
      </c>
      <c r="CC13" s="22">
        <f>Assum_Volume!$C$5*Assum_Volume!$C$9/12*CC7*CC9</f>
        <v>24097.658277888007</v>
      </c>
      <c r="CD13" s="22">
        <f>Assum_Volume!$C$5*Assum_Volume!$C$9/12*CD7*CD9</f>
        <v>26932.676898816007</v>
      </c>
      <c r="CE13" s="22">
        <f>Assum_Volume!$C$5*Assum_Volume!$C$9/12*CE7*CE9</f>
        <v>29767.695519744007</v>
      </c>
      <c r="CF13" s="22">
        <f>Assum_Volume!$C$5*Assum_Volume!$C$9/12*CF7*CF9</f>
        <v>32602.714140672011</v>
      </c>
      <c r="CG13" s="22">
        <f>Assum_Volume!$C$5*Assum_Volume!$C$9/12*CG7*CG9</f>
        <v>39690.260692992008</v>
      </c>
      <c r="CH13" s="22">
        <f>Assum_Volume!$C$5*Assum_Volume!$C$9/12*CH7*CH9</f>
        <v>33906.822706298888</v>
      </c>
      <c r="CI13" s="22">
        <f>Assum_Volume!$C$5*Assum_Volume!$C$9/12*CI7*CI9</f>
        <v>32432.613023416336</v>
      </c>
      <c r="CJ13" s="22">
        <f>Assum_Volume!$C$5*Assum_Volume!$C$9/12*CJ7*CJ9</f>
        <v>29484.193657651209</v>
      </c>
      <c r="CK13" s="22">
        <f>Assum_Volume!$C$5*Assum_Volume!$C$9/12*CK7*CK9</f>
        <v>26535.774291886089</v>
      </c>
      <c r="CL13" s="22">
        <f>Assum_Volume!$C$5*Assum_Volume!$C$9/12*CL7*CL9</f>
        <v>25061.56460900353</v>
      </c>
      <c r="CM13" s="22">
        <f>Assum_Volume!$C$5*Assum_Volume!$C$9/12*CM7*CM9</f>
        <v>23587.354926120966</v>
      </c>
      <c r="CN13" s="22">
        <f>Assum_Volume!$C$5*Assum_Volume!$C$9/12*CN7*CN9</f>
        <v>23587.354926120966</v>
      </c>
      <c r="CO13" s="22">
        <f>Assum_Volume!$C$5*Assum_Volume!$C$9/12*CO7*CO9</f>
        <v>25061.56460900353</v>
      </c>
      <c r="CP13" s="22">
        <f>Assum_Volume!$C$5*Assum_Volume!$C$9/12*CP7*CP9</f>
        <v>28009.983974768649</v>
      </c>
      <c r="CQ13" s="22">
        <f>Assum_Volume!$C$5*Assum_Volume!$C$9/12*CQ7*CQ9</f>
        <v>30958.403340533769</v>
      </c>
      <c r="CR13" s="22">
        <f>Assum_Volume!$C$5*Assum_Volume!$C$9/12*CR7*CR9</f>
        <v>33906.822706298888</v>
      </c>
      <c r="CS13" s="22">
        <f>Assum_Volume!$C$5*Assum_Volume!$C$9/12*CS7*CS9</f>
        <v>41277.871120711687</v>
      </c>
      <c r="CT13" s="22">
        <f>Assum_Volume!$C$5*Assum_Volume!$C$9/12*CT7*CT9</f>
        <v>35263.095614550846</v>
      </c>
      <c r="CU13" s="22">
        <f>Assum_Volume!$C$5*Assum_Volume!$C$9/12*CU7*CU9</f>
        <v>33729.917544352989</v>
      </c>
      <c r="CV13" s="22">
        <f>Assum_Volume!$C$5*Assum_Volume!$C$9/12*CV7*CV9</f>
        <v>30663.561403957257</v>
      </c>
      <c r="CW13" s="22">
        <f>Assum_Volume!$C$5*Assum_Volume!$C$9/12*CW7*CW9</f>
        <v>27597.205263561533</v>
      </c>
      <c r="CX13" s="22">
        <f>Assum_Volume!$C$5*Assum_Volume!$C$9/12*CX7*CX9</f>
        <v>26064.027193363669</v>
      </c>
      <c r="CY13" s="22">
        <f>Assum_Volume!$C$5*Assum_Volume!$C$9/12*CY7*CY9</f>
        <v>24530.849123165808</v>
      </c>
      <c r="CZ13" s="22">
        <f>Assum_Volume!$C$5*Assum_Volume!$C$9/12*CZ7*CZ9</f>
        <v>24530.849123165808</v>
      </c>
      <c r="DA13" s="22">
        <f>Assum_Volume!$C$5*Assum_Volume!$C$9/12*DA7*DA9</f>
        <v>26064.027193363669</v>
      </c>
      <c r="DB13" s="22">
        <f>Assum_Volume!$C$5*Assum_Volume!$C$9/12*DB7*DB9</f>
        <v>29130.383333759393</v>
      </c>
      <c r="DC13" s="22">
        <f>Assum_Volume!$C$5*Assum_Volume!$C$9/12*DC7*DC9</f>
        <v>32196.739474155118</v>
      </c>
      <c r="DD13" s="22">
        <f>Assum_Volume!$C$5*Assum_Volume!$C$9/12*DD7*DD9</f>
        <v>35263.095614550846</v>
      </c>
      <c r="DE13" s="22">
        <f>Assum_Volume!$C$5*Assum_Volume!$C$9/12*DE7*DE9</f>
        <v>42928.98596554016</v>
      </c>
      <c r="DF13" s="22">
        <f>Assum_Volume!$C$5*Assum_Volume!$C$9/12*DF7*DF9</f>
        <v>36673.619439132883</v>
      </c>
      <c r="DG13" s="22">
        <f>Assum_Volume!$C$5*Assum_Volume!$C$9/12*DG7*DG9</f>
        <v>35079.114246127108</v>
      </c>
      <c r="DH13" s="22">
        <f>Assum_Volume!$C$5*Assum_Volume!$C$9/12*DH7*DH9</f>
        <v>31890.103860115549</v>
      </c>
      <c r="DI13" s="22">
        <f>Assum_Volume!$C$5*Assum_Volume!$C$9/12*DI7*DI9</f>
        <v>28701.093474103996</v>
      </c>
      <c r="DJ13" s="22">
        <f>Assum_Volume!$C$5*Assum_Volume!$C$9/12*DJ7*DJ9</f>
        <v>27106.588281098218</v>
      </c>
      <c r="DK13" s="22">
        <f>Assum_Volume!$C$5*Assum_Volume!$C$9/12*DK7*DK9</f>
        <v>25512.08308809244</v>
      </c>
      <c r="DL13" s="22">
        <f>Assum_Volume!$C$5*Assum_Volume!$C$9/12*DL7*DL9</f>
        <v>25512.08308809244</v>
      </c>
      <c r="DM13" s="22">
        <f>Assum_Volume!$C$5*Assum_Volume!$C$9/12*DM7*DM9</f>
        <v>27106.588281098218</v>
      </c>
      <c r="DN13" s="22">
        <f>Assum_Volume!$C$5*Assum_Volume!$C$9/12*DN7*DN9</f>
        <v>30295.598667109774</v>
      </c>
      <c r="DO13" s="22">
        <f>Assum_Volume!$C$5*Assum_Volume!$C$9/12*DO7*DO9</f>
        <v>33484.609053121327</v>
      </c>
      <c r="DP13" s="22">
        <f>Assum_Volume!$C$5*Assum_Volume!$C$9/12*DP7*DP9</f>
        <v>36673.619439132883</v>
      </c>
      <c r="DQ13" s="22">
        <f>Assum_Volume!$C$5*Assum_Volume!$C$9/12*DQ7*DQ9</f>
        <v>44646.145404161769</v>
      </c>
    </row>
    <row r="14" spans="1:121" ht="15" customHeight="1">
      <c r="A14" s="14" t="s">
        <v>408</v>
      </c>
      <c r="B14" s="29">
        <f t="shared" ref="B14:AG14" si="10">B12+B13</f>
        <v>76666.666666666657</v>
      </c>
      <c r="C14" s="29">
        <f t="shared" si="10"/>
        <v>73333.333333333343</v>
      </c>
      <c r="D14" s="29">
        <f t="shared" si="10"/>
        <v>66666.666666666672</v>
      </c>
      <c r="E14" s="29">
        <f t="shared" si="10"/>
        <v>60000</v>
      </c>
      <c r="F14" s="29">
        <f t="shared" si="10"/>
        <v>56666.666666666672</v>
      </c>
      <c r="G14" s="29">
        <f t="shared" si="10"/>
        <v>53333.333333333343</v>
      </c>
      <c r="H14" s="29">
        <f t="shared" si="10"/>
        <v>53333.333333333343</v>
      </c>
      <c r="I14" s="29">
        <f t="shared" si="10"/>
        <v>56666.666666666672</v>
      </c>
      <c r="J14" s="29">
        <f t="shared" si="10"/>
        <v>63333.333333333328</v>
      </c>
      <c r="K14" s="29">
        <f t="shared" si="10"/>
        <v>70000</v>
      </c>
      <c r="L14" s="29">
        <f t="shared" si="10"/>
        <v>76666.666666666657</v>
      </c>
      <c r="M14" s="29">
        <f t="shared" si="10"/>
        <v>93333.333333333328</v>
      </c>
      <c r="N14" s="29">
        <f t="shared" si="10"/>
        <v>82800</v>
      </c>
      <c r="O14" s="29">
        <f t="shared" si="10"/>
        <v>79200.000000000015</v>
      </c>
      <c r="P14" s="29">
        <f t="shared" si="10"/>
        <v>72000</v>
      </c>
      <c r="Q14" s="29">
        <f t="shared" si="10"/>
        <v>64800</v>
      </c>
      <c r="R14" s="29">
        <f t="shared" si="10"/>
        <v>61200</v>
      </c>
      <c r="S14" s="29">
        <f t="shared" si="10"/>
        <v>57600.000000000015</v>
      </c>
      <c r="T14" s="29">
        <f t="shared" si="10"/>
        <v>57600.000000000015</v>
      </c>
      <c r="U14" s="29">
        <f t="shared" si="10"/>
        <v>61200</v>
      </c>
      <c r="V14" s="29">
        <f t="shared" si="10"/>
        <v>68400</v>
      </c>
      <c r="W14" s="29">
        <f t="shared" si="10"/>
        <v>75600</v>
      </c>
      <c r="X14" s="29">
        <f t="shared" si="10"/>
        <v>82800</v>
      </c>
      <c r="Y14" s="29">
        <f t="shared" si="10"/>
        <v>100800</v>
      </c>
      <c r="Z14" s="29">
        <f t="shared" si="10"/>
        <v>89424</v>
      </c>
      <c r="AA14" s="29">
        <f t="shared" si="10"/>
        <v>85536.000000000029</v>
      </c>
      <c r="AB14" s="29">
        <f t="shared" si="10"/>
        <v>77760</v>
      </c>
      <c r="AC14" s="29">
        <f t="shared" si="10"/>
        <v>69984</v>
      </c>
      <c r="AD14" s="29">
        <f t="shared" si="10"/>
        <v>66096.000000000015</v>
      </c>
      <c r="AE14" s="29">
        <f t="shared" si="10"/>
        <v>62208.000000000015</v>
      </c>
      <c r="AF14" s="29">
        <f t="shared" si="10"/>
        <v>62208.000000000015</v>
      </c>
      <c r="AG14" s="29">
        <f t="shared" si="10"/>
        <v>66096.000000000015</v>
      </c>
      <c r="AH14" s="29">
        <f t="shared" ref="AH14:BM14" si="11">AH12+AH13</f>
        <v>73872</v>
      </c>
      <c r="AI14" s="29">
        <f t="shared" si="11"/>
        <v>81648.000000000015</v>
      </c>
      <c r="AJ14" s="29">
        <f t="shared" si="11"/>
        <v>89424</v>
      </c>
      <c r="AK14" s="29">
        <f t="shared" si="11"/>
        <v>108864.00000000001</v>
      </c>
      <c r="AL14" s="29">
        <f t="shared" si="11"/>
        <v>94789.440000000002</v>
      </c>
      <c r="AM14" s="29">
        <f t="shared" si="11"/>
        <v>90668.160000000033</v>
      </c>
      <c r="AN14" s="29">
        <f t="shared" si="11"/>
        <v>82425.600000000006</v>
      </c>
      <c r="AO14" s="29">
        <f t="shared" si="11"/>
        <v>74183.040000000008</v>
      </c>
      <c r="AP14" s="29">
        <f t="shared" si="11"/>
        <v>70061.760000000009</v>
      </c>
      <c r="AQ14" s="29">
        <f t="shared" si="11"/>
        <v>65940.48000000001</v>
      </c>
      <c r="AR14" s="29">
        <f t="shared" si="11"/>
        <v>65940.48000000001</v>
      </c>
      <c r="AS14" s="29">
        <f t="shared" si="11"/>
        <v>70061.760000000009</v>
      </c>
      <c r="AT14" s="29">
        <f t="shared" si="11"/>
        <v>78304.320000000007</v>
      </c>
      <c r="AU14" s="29">
        <f t="shared" si="11"/>
        <v>86546.880000000019</v>
      </c>
      <c r="AV14" s="29">
        <f t="shared" si="11"/>
        <v>94789.440000000002</v>
      </c>
      <c r="AW14" s="29">
        <f t="shared" si="11"/>
        <v>115395.84000000001</v>
      </c>
      <c r="AX14" s="29">
        <f t="shared" si="11"/>
        <v>100476.8064</v>
      </c>
      <c r="AY14" s="29">
        <f t="shared" si="11"/>
        <v>96108.249600000039</v>
      </c>
      <c r="AZ14" s="29">
        <f t="shared" si="11"/>
        <v>87371.136000000013</v>
      </c>
      <c r="BA14" s="29">
        <f t="shared" si="11"/>
        <v>78634.022400000016</v>
      </c>
      <c r="BB14" s="29">
        <f t="shared" si="11"/>
        <v>74265.46560000001</v>
      </c>
      <c r="BC14" s="29">
        <f t="shared" si="11"/>
        <v>69896.908800000019</v>
      </c>
      <c r="BD14" s="29">
        <f t="shared" si="11"/>
        <v>69896.908800000019</v>
      </c>
      <c r="BE14" s="29">
        <f t="shared" si="11"/>
        <v>74265.46560000001</v>
      </c>
      <c r="BF14" s="29">
        <f t="shared" si="11"/>
        <v>83002.579200000007</v>
      </c>
      <c r="BG14" s="29">
        <f t="shared" si="11"/>
        <v>91739.692800000019</v>
      </c>
      <c r="BH14" s="29">
        <f t="shared" si="11"/>
        <v>100476.8064</v>
      </c>
      <c r="BI14" s="29">
        <f t="shared" si="11"/>
        <v>122319.59040000002</v>
      </c>
      <c r="BJ14" s="29">
        <f t="shared" si="11"/>
        <v>104495.87865600002</v>
      </c>
      <c r="BK14" s="29">
        <f t="shared" si="11"/>
        <v>99952.579584000036</v>
      </c>
      <c r="BL14" s="29">
        <f t="shared" si="11"/>
        <v>90865.981440000018</v>
      </c>
      <c r="BM14" s="29">
        <f t="shared" si="11"/>
        <v>81779.383296000015</v>
      </c>
      <c r="BN14" s="29">
        <f t="shared" ref="BN14:CS14" si="12">BN12+BN13</f>
        <v>77236.08422400002</v>
      </c>
      <c r="BO14" s="29">
        <f t="shared" si="12"/>
        <v>72692.785152000026</v>
      </c>
      <c r="BP14" s="29">
        <f t="shared" si="12"/>
        <v>72692.785152000026</v>
      </c>
      <c r="BQ14" s="29">
        <f t="shared" si="12"/>
        <v>77236.08422400002</v>
      </c>
      <c r="BR14" s="29">
        <f t="shared" si="12"/>
        <v>86322.682368000009</v>
      </c>
      <c r="BS14" s="29">
        <f t="shared" si="12"/>
        <v>95409.280512000012</v>
      </c>
      <c r="BT14" s="29">
        <f t="shared" si="12"/>
        <v>104495.87865600002</v>
      </c>
      <c r="BU14" s="29">
        <f t="shared" si="12"/>
        <v>127212.37401600002</v>
      </c>
      <c r="BV14" s="29">
        <f t="shared" si="12"/>
        <v>108675.71380224</v>
      </c>
      <c r="BW14" s="29">
        <f t="shared" si="12"/>
        <v>103950.68276736003</v>
      </c>
      <c r="BX14" s="29">
        <f t="shared" si="12"/>
        <v>94500.62069760001</v>
      </c>
      <c r="BY14" s="29">
        <f t="shared" si="12"/>
        <v>85050.558627840015</v>
      </c>
      <c r="BZ14" s="29">
        <f t="shared" si="12"/>
        <v>80325.527592960018</v>
      </c>
      <c r="CA14" s="29">
        <f t="shared" si="12"/>
        <v>75600.49655808002</v>
      </c>
      <c r="CB14" s="29">
        <f t="shared" si="12"/>
        <v>75600.49655808002</v>
      </c>
      <c r="CC14" s="29">
        <f t="shared" si="12"/>
        <v>80325.527592960018</v>
      </c>
      <c r="CD14" s="29">
        <f t="shared" si="12"/>
        <v>89775.589662720013</v>
      </c>
      <c r="CE14" s="29">
        <f t="shared" si="12"/>
        <v>99225.651732480022</v>
      </c>
      <c r="CF14" s="29">
        <f t="shared" si="12"/>
        <v>108675.71380224</v>
      </c>
      <c r="CG14" s="29">
        <f t="shared" si="12"/>
        <v>132300.86897664002</v>
      </c>
      <c r="CH14" s="29">
        <f t="shared" si="12"/>
        <v>113022.7423543296</v>
      </c>
      <c r="CI14" s="29">
        <f t="shared" si="12"/>
        <v>108108.71007805443</v>
      </c>
      <c r="CJ14" s="29">
        <f t="shared" si="12"/>
        <v>98280.645525504005</v>
      </c>
      <c r="CK14" s="29">
        <f t="shared" si="12"/>
        <v>88452.580972953612</v>
      </c>
      <c r="CL14" s="29">
        <f t="shared" si="12"/>
        <v>83538.548696678423</v>
      </c>
      <c r="CM14" s="29">
        <f t="shared" si="12"/>
        <v>78624.516420403219</v>
      </c>
      <c r="CN14" s="29">
        <f t="shared" si="12"/>
        <v>78624.516420403219</v>
      </c>
      <c r="CO14" s="29">
        <f t="shared" si="12"/>
        <v>83538.548696678423</v>
      </c>
      <c r="CP14" s="29">
        <f t="shared" si="12"/>
        <v>93366.613249228802</v>
      </c>
      <c r="CQ14" s="29">
        <f t="shared" si="12"/>
        <v>103194.67780177921</v>
      </c>
      <c r="CR14" s="29">
        <f t="shared" si="12"/>
        <v>113022.7423543296</v>
      </c>
      <c r="CS14" s="29">
        <f t="shared" si="12"/>
        <v>137592.90373570559</v>
      </c>
      <c r="CT14" s="29">
        <f t="shared" ref="CT14:DY14" si="13">CT12+CT13</f>
        <v>117543.65204850279</v>
      </c>
      <c r="CU14" s="29">
        <f t="shared" si="13"/>
        <v>112433.05848117662</v>
      </c>
      <c r="CV14" s="29">
        <f t="shared" si="13"/>
        <v>102211.87134652417</v>
      </c>
      <c r="CW14" s="29">
        <f t="shared" si="13"/>
        <v>91990.684211871761</v>
      </c>
      <c r="CX14" s="29">
        <f t="shared" si="13"/>
        <v>86880.090644545548</v>
      </c>
      <c r="CY14" s="29">
        <f t="shared" si="13"/>
        <v>81769.497077219348</v>
      </c>
      <c r="CZ14" s="29">
        <f t="shared" si="13"/>
        <v>81769.497077219348</v>
      </c>
      <c r="DA14" s="29">
        <f t="shared" si="13"/>
        <v>86880.090644545548</v>
      </c>
      <c r="DB14" s="29">
        <f t="shared" si="13"/>
        <v>97101.277779197961</v>
      </c>
      <c r="DC14" s="29">
        <f t="shared" si="13"/>
        <v>107322.46491385039</v>
      </c>
      <c r="DD14" s="29">
        <f t="shared" si="13"/>
        <v>117543.65204850279</v>
      </c>
      <c r="DE14" s="29">
        <f t="shared" si="13"/>
        <v>143096.61988513384</v>
      </c>
      <c r="DF14" s="29">
        <f t="shared" si="13"/>
        <v>122245.39813044292</v>
      </c>
      <c r="DG14" s="29">
        <f t="shared" si="13"/>
        <v>116930.38082042367</v>
      </c>
      <c r="DH14" s="29">
        <f t="shared" si="13"/>
        <v>106300.34620038515</v>
      </c>
      <c r="DI14" s="29">
        <f t="shared" si="13"/>
        <v>95670.311580346635</v>
      </c>
      <c r="DJ14" s="29">
        <f t="shared" si="13"/>
        <v>90355.294270327373</v>
      </c>
      <c r="DK14" s="29">
        <f t="shared" si="13"/>
        <v>85040.276960308125</v>
      </c>
      <c r="DL14" s="29">
        <f t="shared" si="13"/>
        <v>85040.276960308125</v>
      </c>
      <c r="DM14" s="29">
        <f t="shared" si="13"/>
        <v>90355.294270327373</v>
      </c>
      <c r="DN14" s="29">
        <f t="shared" si="13"/>
        <v>100985.3288903659</v>
      </c>
      <c r="DO14" s="29">
        <f t="shared" si="13"/>
        <v>111615.36351040441</v>
      </c>
      <c r="DP14" s="29">
        <f t="shared" si="13"/>
        <v>122245.39813044292</v>
      </c>
      <c r="DQ14" s="29">
        <f t="shared" si="13"/>
        <v>148820.4846805392</v>
      </c>
    </row>
    <row r="16" spans="1:121" ht="15" customHeight="1">
      <c r="A16" s="5" t="s">
        <v>409</v>
      </c>
    </row>
    <row r="17" spans="1:121" ht="15" customHeight="1">
      <c r="A17" t="s">
        <v>410</v>
      </c>
      <c r="B17" s="22">
        <f>B14*Assum_Volume!$C$12</f>
        <v>53666.666666666657</v>
      </c>
      <c r="C17" s="22">
        <f>C14*Assum_Volume!$C$12</f>
        <v>51333.333333333336</v>
      </c>
      <c r="D17" s="22">
        <f>D14*Assum_Volume!$C$12</f>
        <v>46666.666666666664</v>
      </c>
      <c r="E17" s="22">
        <f>E14*Assum_Volume!$C$12</f>
        <v>42000</v>
      </c>
      <c r="F17" s="22">
        <f>F14*Assum_Volume!$C$12</f>
        <v>39666.666666666664</v>
      </c>
      <c r="G17" s="22">
        <f>G14*Assum_Volume!$C$12</f>
        <v>37333.333333333336</v>
      </c>
      <c r="H17" s="22">
        <f>H14*Assum_Volume!$C$12</f>
        <v>37333.333333333336</v>
      </c>
      <c r="I17" s="22">
        <f>I14*Assum_Volume!$C$12</f>
        <v>39666.666666666664</v>
      </c>
      <c r="J17" s="22">
        <f>J14*Assum_Volume!$C$12</f>
        <v>44333.333333333328</v>
      </c>
      <c r="K17" s="22">
        <f>K14*Assum_Volume!$C$12</f>
        <v>49000</v>
      </c>
      <c r="L17" s="22">
        <f>L14*Assum_Volume!$C$12</f>
        <v>53666.666666666657</v>
      </c>
      <c r="M17" s="22">
        <f>M14*Assum_Volume!$C$12</f>
        <v>65333.333333333328</v>
      </c>
      <c r="N17" s="22">
        <f>N14*Assum_Volume!$C$12</f>
        <v>57959.999999999993</v>
      </c>
      <c r="O17" s="22">
        <f>O14*Assum_Volume!$C$12</f>
        <v>55440.000000000007</v>
      </c>
      <c r="P17" s="22">
        <f>P14*Assum_Volume!$C$12</f>
        <v>50400</v>
      </c>
      <c r="Q17" s="22">
        <f>Q14*Assum_Volume!$C$12</f>
        <v>45360</v>
      </c>
      <c r="R17" s="22">
        <f>R14*Assum_Volume!$C$12</f>
        <v>42840</v>
      </c>
      <c r="S17" s="22">
        <f>S14*Assum_Volume!$C$12</f>
        <v>40320.000000000007</v>
      </c>
      <c r="T17" s="22">
        <f>T14*Assum_Volume!$C$12</f>
        <v>40320.000000000007</v>
      </c>
      <c r="U17" s="22">
        <f>U14*Assum_Volume!$C$12</f>
        <v>42840</v>
      </c>
      <c r="V17" s="22">
        <f>V14*Assum_Volume!$C$12</f>
        <v>47880</v>
      </c>
      <c r="W17" s="22">
        <f>W14*Assum_Volume!$C$12</f>
        <v>52920</v>
      </c>
      <c r="X17" s="22">
        <f>X14*Assum_Volume!$C$12</f>
        <v>57959.999999999993</v>
      </c>
      <c r="Y17" s="22">
        <f>Y14*Assum_Volume!$C$12</f>
        <v>70560</v>
      </c>
      <c r="Z17" s="22">
        <f>Z14*Assum_Volume!$C$12</f>
        <v>62596.799999999996</v>
      </c>
      <c r="AA17" s="22">
        <f>AA14*Assum_Volume!$C$12</f>
        <v>59875.200000000019</v>
      </c>
      <c r="AB17" s="22">
        <f>AB14*Assum_Volume!$C$12</f>
        <v>54432</v>
      </c>
      <c r="AC17" s="22">
        <f>AC14*Assum_Volume!$C$12</f>
        <v>48988.799999999996</v>
      </c>
      <c r="AD17" s="22">
        <f>AD14*Assum_Volume!$C$12</f>
        <v>46267.200000000004</v>
      </c>
      <c r="AE17" s="22">
        <f>AE14*Assum_Volume!$C$12</f>
        <v>43545.600000000006</v>
      </c>
      <c r="AF17" s="22">
        <f>AF14*Assum_Volume!$C$12</f>
        <v>43545.600000000006</v>
      </c>
      <c r="AG17" s="22">
        <f>AG14*Assum_Volume!$C$12</f>
        <v>46267.200000000004</v>
      </c>
      <c r="AH17" s="22">
        <f>AH14*Assum_Volume!$C$12</f>
        <v>51710.399999999994</v>
      </c>
      <c r="AI17" s="22">
        <f>AI14*Assum_Volume!$C$12</f>
        <v>57153.600000000006</v>
      </c>
      <c r="AJ17" s="22">
        <f>AJ14*Assum_Volume!$C$12</f>
        <v>62596.799999999996</v>
      </c>
      <c r="AK17" s="22">
        <f>AK14*Assum_Volume!$C$12</f>
        <v>76204.800000000003</v>
      </c>
      <c r="AL17" s="22">
        <f>AL14*Assum_Volume!$C$12</f>
        <v>66352.607999999993</v>
      </c>
      <c r="AM17" s="22">
        <f>AM14*Assum_Volume!$C$12</f>
        <v>63467.712000000021</v>
      </c>
      <c r="AN17" s="22">
        <f>AN14*Assum_Volume!$C$12</f>
        <v>57697.919999999998</v>
      </c>
      <c r="AO17" s="22">
        <f>AO14*Assum_Volume!$C$12</f>
        <v>51928.128000000004</v>
      </c>
      <c r="AP17" s="22">
        <f>AP14*Assum_Volume!$C$12</f>
        <v>49043.232000000004</v>
      </c>
      <c r="AQ17" s="22">
        <f>AQ14*Assum_Volume!$C$12</f>
        <v>46158.336000000003</v>
      </c>
      <c r="AR17" s="22">
        <f>AR14*Assum_Volume!$C$12</f>
        <v>46158.336000000003</v>
      </c>
      <c r="AS17" s="22">
        <f>AS14*Assum_Volume!$C$12</f>
        <v>49043.232000000004</v>
      </c>
      <c r="AT17" s="22">
        <f>AT14*Assum_Volume!$C$12</f>
        <v>54813.024000000005</v>
      </c>
      <c r="AU17" s="22">
        <f>AU14*Assum_Volume!$C$12</f>
        <v>60582.816000000006</v>
      </c>
      <c r="AV17" s="22">
        <f>AV14*Assum_Volume!$C$12</f>
        <v>66352.607999999993</v>
      </c>
      <c r="AW17" s="22">
        <f>AW14*Assum_Volume!$C$12</f>
        <v>80777.088000000003</v>
      </c>
      <c r="AX17" s="22">
        <f>AX14*Assum_Volume!$C$12</f>
        <v>70333.764479999998</v>
      </c>
      <c r="AY17" s="22">
        <f>AY14*Assum_Volume!$C$12</f>
        <v>67275.77472000003</v>
      </c>
      <c r="AZ17" s="22">
        <f>AZ14*Assum_Volume!$C$12</f>
        <v>61159.795200000008</v>
      </c>
      <c r="BA17" s="22">
        <f>BA14*Assum_Volume!$C$12</f>
        <v>55043.815680000007</v>
      </c>
      <c r="BB17" s="22">
        <f>BB14*Assum_Volume!$C$12</f>
        <v>51985.825920000003</v>
      </c>
      <c r="BC17" s="22">
        <f>BC14*Assum_Volume!$C$12</f>
        <v>48927.836160000013</v>
      </c>
      <c r="BD17" s="22">
        <f>BD14*Assum_Volume!$C$12</f>
        <v>48927.836160000013</v>
      </c>
      <c r="BE17" s="22">
        <f>BE14*Assum_Volume!$C$12</f>
        <v>51985.825920000003</v>
      </c>
      <c r="BF17" s="22">
        <f>BF14*Assum_Volume!$C$12</f>
        <v>58101.805440000004</v>
      </c>
      <c r="BG17" s="22">
        <f>BG14*Assum_Volume!$C$12</f>
        <v>64217.784960000012</v>
      </c>
      <c r="BH17" s="22">
        <f>BH14*Assum_Volume!$C$12</f>
        <v>70333.764479999998</v>
      </c>
      <c r="BI17" s="22">
        <f>BI14*Assum_Volume!$C$12</f>
        <v>85623.713280000011</v>
      </c>
      <c r="BJ17" s="22">
        <f>BJ14*Assum_Volume!$C$12</f>
        <v>73147.115059200005</v>
      </c>
      <c r="BK17" s="22">
        <f>BK14*Assum_Volume!$C$12</f>
        <v>69966.805708800021</v>
      </c>
      <c r="BL17" s="22">
        <f>BL14*Assum_Volume!$C$12</f>
        <v>63606.187008000008</v>
      </c>
      <c r="BM17" s="22">
        <f>BM14*Assum_Volume!$C$12</f>
        <v>57245.56830720001</v>
      </c>
      <c r="BN17" s="22">
        <f>BN14*Assum_Volume!$C$12</f>
        <v>54065.258956800011</v>
      </c>
      <c r="BO17" s="22">
        <f>BO14*Assum_Volume!$C$12</f>
        <v>50884.949606400012</v>
      </c>
      <c r="BP17" s="22">
        <f>BP14*Assum_Volume!$C$12</f>
        <v>50884.949606400012</v>
      </c>
      <c r="BQ17" s="22">
        <f>BQ14*Assum_Volume!$C$12</f>
        <v>54065.258956800011</v>
      </c>
      <c r="BR17" s="22">
        <f>BR14*Assum_Volume!$C$12</f>
        <v>60425.877657600002</v>
      </c>
      <c r="BS17" s="22">
        <f>BS14*Assum_Volume!$C$12</f>
        <v>66786.496358400007</v>
      </c>
      <c r="BT17" s="22">
        <f>BT14*Assum_Volume!$C$12</f>
        <v>73147.115059200005</v>
      </c>
      <c r="BU17" s="22">
        <f>BU14*Assum_Volume!$C$12</f>
        <v>89048.6618112</v>
      </c>
      <c r="BV17" s="22">
        <f>BV14*Assum_Volume!$C$12</f>
        <v>76072.999661567999</v>
      </c>
      <c r="BW17" s="22">
        <f>BW14*Assum_Volume!$C$12</f>
        <v>72765.477937152013</v>
      </c>
      <c r="BX17" s="22">
        <f>BX14*Assum_Volume!$C$12</f>
        <v>66150.43448832001</v>
      </c>
      <c r="BY17" s="22">
        <f>BY14*Assum_Volume!$C$12</f>
        <v>59535.391039488008</v>
      </c>
      <c r="BZ17" s="22">
        <f>BZ14*Assum_Volume!$C$12</f>
        <v>56227.869315072006</v>
      </c>
      <c r="CA17" s="22">
        <f>CA14*Assum_Volume!$C$12</f>
        <v>52920.347590656012</v>
      </c>
      <c r="CB17" s="22">
        <f>CB14*Assum_Volume!$C$12</f>
        <v>52920.347590656012</v>
      </c>
      <c r="CC17" s="22">
        <f>CC14*Assum_Volume!$C$12</f>
        <v>56227.869315072006</v>
      </c>
      <c r="CD17" s="22">
        <f>CD14*Assum_Volume!$C$12</f>
        <v>62842.912763904002</v>
      </c>
      <c r="CE17" s="22">
        <f>CE14*Assum_Volume!$C$12</f>
        <v>69457.956212736011</v>
      </c>
      <c r="CF17" s="22">
        <f>CF14*Assum_Volume!$C$12</f>
        <v>76072.999661567999</v>
      </c>
      <c r="CG17" s="22">
        <f>CG14*Assum_Volume!$C$12</f>
        <v>92610.608283648005</v>
      </c>
      <c r="CH17" s="22">
        <f>CH14*Assum_Volume!$C$12</f>
        <v>79115.919648030715</v>
      </c>
      <c r="CI17" s="22">
        <f>CI14*Assum_Volume!$C$12</f>
        <v>75676.0970546381</v>
      </c>
      <c r="CJ17" s="22">
        <f>CJ14*Assum_Volume!$C$12</f>
        <v>68796.451867852797</v>
      </c>
      <c r="CK17" s="22">
        <f>CK14*Assum_Volume!$C$12</f>
        <v>61916.806681067523</v>
      </c>
      <c r="CL17" s="22">
        <f>CL14*Assum_Volume!$C$12</f>
        <v>58476.984087674893</v>
      </c>
      <c r="CM17" s="22">
        <f>CM14*Assum_Volume!$C$12</f>
        <v>55037.161494282249</v>
      </c>
      <c r="CN17" s="22">
        <f>CN14*Assum_Volume!$C$12</f>
        <v>55037.161494282249</v>
      </c>
      <c r="CO17" s="22">
        <f>CO14*Assum_Volume!$C$12</f>
        <v>58476.984087674893</v>
      </c>
      <c r="CP17" s="22">
        <f>CP14*Assum_Volume!$C$12</f>
        <v>65356.62927446016</v>
      </c>
      <c r="CQ17" s="22">
        <f>CQ14*Assum_Volume!$C$12</f>
        <v>72236.274461245441</v>
      </c>
      <c r="CR17" s="22">
        <f>CR14*Assum_Volume!$C$12</f>
        <v>79115.919648030715</v>
      </c>
      <c r="CS17" s="22">
        <f>CS14*Assum_Volume!$C$12</f>
        <v>96315.032614993906</v>
      </c>
      <c r="CT17" s="22">
        <f>CT14*Assum_Volume!$C$12</f>
        <v>82280.556433951948</v>
      </c>
      <c r="CU17" s="22">
        <f>CU14*Assum_Volume!$C$12</f>
        <v>78703.14093682362</v>
      </c>
      <c r="CV17" s="22">
        <f>CV14*Assum_Volume!$C$12</f>
        <v>71548.309942566921</v>
      </c>
      <c r="CW17" s="22">
        <f>CW14*Assum_Volume!$C$12</f>
        <v>64393.478948310229</v>
      </c>
      <c r="CX17" s="22">
        <f>CX14*Assum_Volume!$C$12</f>
        <v>60816.063451181879</v>
      </c>
      <c r="CY17" s="22">
        <f>CY14*Assum_Volume!$C$12</f>
        <v>57238.647954053544</v>
      </c>
      <c r="CZ17" s="22">
        <f>CZ14*Assum_Volume!$C$12</f>
        <v>57238.647954053544</v>
      </c>
      <c r="DA17" s="22">
        <f>DA14*Assum_Volume!$C$12</f>
        <v>60816.063451181879</v>
      </c>
      <c r="DB17" s="22">
        <f>DB14*Assum_Volume!$C$12</f>
        <v>67970.894445438564</v>
      </c>
      <c r="DC17" s="22">
        <f>DC14*Assum_Volume!$C$12</f>
        <v>75125.725439695263</v>
      </c>
      <c r="DD17" s="22">
        <f>DD14*Assum_Volume!$C$12</f>
        <v>82280.556433951948</v>
      </c>
      <c r="DE17" s="22">
        <f>DE14*Assum_Volume!$C$12</f>
        <v>100167.63391959369</v>
      </c>
      <c r="DF17" s="22">
        <f>DF14*Assum_Volume!$C$12</f>
        <v>85571.778691310043</v>
      </c>
      <c r="DG17" s="22">
        <f>DG14*Assum_Volume!$C$12</f>
        <v>81851.266574296562</v>
      </c>
      <c r="DH17" s="22">
        <f>DH14*Assum_Volume!$C$12</f>
        <v>74410.2423402696</v>
      </c>
      <c r="DI17" s="22">
        <f>DI14*Assum_Volume!$C$12</f>
        <v>66969.218106242639</v>
      </c>
      <c r="DJ17" s="22">
        <f>DJ14*Assum_Volume!$C$12</f>
        <v>63248.705989229158</v>
      </c>
      <c r="DK17" s="22">
        <f>DK14*Assum_Volume!$C$12</f>
        <v>59528.193872215685</v>
      </c>
      <c r="DL17" s="22">
        <f>DL14*Assum_Volume!$C$12</f>
        <v>59528.193872215685</v>
      </c>
      <c r="DM17" s="22">
        <f>DM14*Assum_Volume!$C$12</f>
        <v>63248.705989229158</v>
      </c>
      <c r="DN17" s="22">
        <f>DN14*Assum_Volume!$C$12</f>
        <v>70689.73022325612</v>
      </c>
      <c r="DO17" s="22">
        <f>DO14*Assum_Volume!$C$12</f>
        <v>78130.754457283081</v>
      </c>
      <c r="DP17" s="22">
        <f>DP14*Assum_Volume!$C$12</f>
        <v>85571.778691310043</v>
      </c>
      <c r="DQ17" s="22">
        <f>DQ14*Assum_Volume!$C$12</f>
        <v>104174.33927637743</v>
      </c>
    </row>
    <row r="18" spans="1:121" ht="15" customHeight="1">
      <c r="A18" t="s">
        <v>411</v>
      </c>
      <c r="B18" s="22">
        <f>B14*Assum_Volume!$C$13</f>
        <v>23000</v>
      </c>
      <c r="C18" s="22">
        <f>C14*Assum_Volume!$C$13</f>
        <v>22000.000000000007</v>
      </c>
      <c r="D18" s="22">
        <f>D14*Assum_Volume!$C$13</f>
        <v>20000.000000000004</v>
      </c>
      <c r="E18" s="22">
        <f>E14*Assum_Volume!$C$13</f>
        <v>18000.000000000004</v>
      </c>
      <c r="F18" s="22">
        <f>F14*Assum_Volume!$C$13</f>
        <v>17000.000000000004</v>
      </c>
      <c r="G18" s="22">
        <f>G14*Assum_Volume!$C$13</f>
        <v>16000.000000000005</v>
      </c>
      <c r="H18" s="22">
        <f>H14*Assum_Volume!$C$13</f>
        <v>16000.000000000005</v>
      </c>
      <c r="I18" s="22">
        <f>I14*Assum_Volume!$C$13</f>
        <v>17000.000000000004</v>
      </c>
      <c r="J18" s="22">
        <f>J14*Assum_Volume!$C$13</f>
        <v>19000</v>
      </c>
      <c r="K18" s="22">
        <f>K14*Assum_Volume!$C$13</f>
        <v>21000.000000000004</v>
      </c>
      <c r="L18" s="22">
        <f>L14*Assum_Volume!$C$13</f>
        <v>23000</v>
      </c>
      <c r="M18" s="22">
        <f>M14*Assum_Volume!$C$13</f>
        <v>28000.000000000004</v>
      </c>
      <c r="N18" s="22">
        <f>N14*Assum_Volume!$C$13</f>
        <v>24840.000000000004</v>
      </c>
      <c r="O18" s="22">
        <f>O14*Assum_Volume!$C$13</f>
        <v>23760.000000000007</v>
      </c>
      <c r="P18" s="22">
        <f>P14*Assum_Volume!$C$13</f>
        <v>21600.000000000004</v>
      </c>
      <c r="Q18" s="22">
        <f>Q14*Assum_Volume!$C$13</f>
        <v>19440.000000000004</v>
      </c>
      <c r="R18" s="22">
        <f>R14*Assum_Volume!$C$13</f>
        <v>18360.000000000004</v>
      </c>
      <c r="S18" s="22">
        <f>S14*Assum_Volume!$C$13</f>
        <v>17280.000000000007</v>
      </c>
      <c r="T18" s="22">
        <f>T14*Assum_Volume!$C$13</f>
        <v>17280.000000000007</v>
      </c>
      <c r="U18" s="22">
        <f>U14*Assum_Volume!$C$13</f>
        <v>18360.000000000004</v>
      </c>
      <c r="V18" s="22">
        <f>V14*Assum_Volume!$C$13</f>
        <v>20520.000000000004</v>
      </c>
      <c r="W18" s="22">
        <f>W14*Assum_Volume!$C$13</f>
        <v>22680.000000000004</v>
      </c>
      <c r="X18" s="22">
        <f>X14*Assum_Volume!$C$13</f>
        <v>24840.000000000004</v>
      </c>
      <c r="Y18" s="22">
        <f>Y14*Assum_Volume!$C$13</f>
        <v>30240.000000000004</v>
      </c>
      <c r="Z18" s="22">
        <f>Z14*Assum_Volume!$C$13</f>
        <v>26827.200000000004</v>
      </c>
      <c r="AA18" s="22">
        <f>AA14*Assum_Volume!$C$13</f>
        <v>25660.800000000014</v>
      </c>
      <c r="AB18" s="22">
        <f>AB14*Assum_Volume!$C$13</f>
        <v>23328.000000000004</v>
      </c>
      <c r="AC18" s="22">
        <f>AC14*Assum_Volume!$C$13</f>
        <v>20995.200000000004</v>
      </c>
      <c r="AD18" s="22">
        <f>AD14*Assum_Volume!$C$13</f>
        <v>19828.800000000007</v>
      </c>
      <c r="AE18" s="22">
        <f>AE14*Assum_Volume!$C$13</f>
        <v>18662.400000000009</v>
      </c>
      <c r="AF18" s="22">
        <f>AF14*Assum_Volume!$C$13</f>
        <v>18662.400000000009</v>
      </c>
      <c r="AG18" s="22">
        <f>AG14*Assum_Volume!$C$13</f>
        <v>19828.800000000007</v>
      </c>
      <c r="AH18" s="22">
        <f>AH14*Assum_Volume!$C$13</f>
        <v>22161.600000000002</v>
      </c>
      <c r="AI18" s="22">
        <f>AI14*Assum_Volume!$C$13</f>
        <v>24494.400000000009</v>
      </c>
      <c r="AJ18" s="22">
        <f>AJ14*Assum_Volume!$C$13</f>
        <v>26827.200000000004</v>
      </c>
      <c r="AK18" s="22">
        <f>AK14*Assum_Volume!$C$13</f>
        <v>32659.200000000008</v>
      </c>
      <c r="AL18" s="22">
        <f>AL14*Assum_Volume!$C$13</f>
        <v>28436.832000000006</v>
      </c>
      <c r="AM18" s="22">
        <f>AM14*Assum_Volume!$C$13</f>
        <v>27200.448000000015</v>
      </c>
      <c r="AN18" s="22">
        <f>AN14*Assum_Volume!$C$13</f>
        <v>24727.680000000004</v>
      </c>
      <c r="AO18" s="22">
        <f>AO14*Assum_Volume!$C$13</f>
        <v>22254.912000000008</v>
      </c>
      <c r="AP18" s="22">
        <f>AP14*Assum_Volume!$C$13</f>
        <v>21018.528000000006</v>
      </c>
      <c r="AQ18" s="22">
        <f>AQ14*Assum_Volume!$C$13</f>
        <v>19782.144000000008</v>
      </c>
      <c r="AR18" s="22">
        <f>AR14*Assum_Volume!$C$13</f>
        <v>19782.144000000008</v>
      </c>
      <c r="AS18" s="22">
        <f>AS14*Assum_Volume!$C$13</f>
        <v>21018.528000000006</v>
      </c>
      <c r="AT18" s="22">
        <f>AT14*Assum_Volume!$C$13</f>
        <v>23491.296000000006</v>
      </c>
      <c r="AU18" s="22">
        <f>AU14*Assum_Volume!$C$13</f>
        <v>25964.064000000009</v>
      </c>
      <c r="AV18" s="22">
        <f>AV14*Assum_Volume!$C$13</f>
        <v>28436.832000000006</v>
      </c>
      <c r="AW18" s="22">
        <f>AW14*Assum_Volume!$C$13</f>
        <v>34618.752000000008</v>
      </c>
      <c r="AX18" s="22">
        <f>AX14*Assum_Volume!$C$13</f>
        <v>30143.041920000003</v>
      </c>
      <c r="AY18" s="22">
        <f>AY14*Assum_Volume!$C$13</f>
        <v>28832.474880000016</v>
      </c>
      <c r="AZ18" s="22">
        <f>AZ14*Assum_Volume!$C$13</f>
        <v>26211.340800000009</v>
      </c>
      <c r="BA18" s="22">
        <f>BA14*Assum_Volume!$C$13</f>
        <v>23590.206720000009</v>
      </c>
      <c r="BB18" s="22">
        <f>BB14*Assum_Volume!$C$13</f>
        <v>22279.639680000008</v>
      </c>
      <c r="BC18" s="22">
        <f>BC14*Assum_Volume!$C$13</f>
        <v>20969.072640000009</v>
      </c>
      <c r="BD18" s="22">
        <f>BD14*Assum_Volume!$C$13</f>
        <v>20969.072640000009</v>
      </c>
      <c r="BE18" s="22">
        <f>BE14*Assum_Volume!$C$13</f>
        <v>22279.639680000008</v>
      </c>
      <c r="BF18" s="22">
        <f>BF14*Assum_Volume!$C$13</f>
        <v>24900.773760000007</v>
      </c>
      <c r="BG18" s="22">
        <f>BG14*Assum_Volume!$C$13</f>
        <v>27521.907840000011</v>
      </c>
      <c r="BH18" s="22">
        <f>BH14*Assum_Volume!$C$13</f>
        <v>30143.041920000003</v>
      </c>
      <c r="BI18" s="22">
        <f>BI14*Assum_Volume!$C$13</f>
        <v>36695.877120000012</v>
      </c>
      <c r="BJ18" s="22">
        <f>BJ14*Assum_Volume!$C$13</f>
        <v>31348.76359680001</v>
      </c>
      <c r="BK18" s="22">
        <f>BK14*Assum_Volume!$C$13</f>
        <v>29985.773875200015</v>
      </c>
      <c r="BL18" s="22">
        <f>BL14*Assum_Volume!$C$13</f>
        <v>27259.79443200001</v>
      </c>
      <c r="BM18" s="22">
        <f>BM14*Assum_Volume!$C$13</f>
        <v>24533.814988800008</v>
      </c>
      <c r="BN18" s="22">
        <f>BN14*Assum_Volume!$C$13</f>
        <v>23170.825267200009</v>
      </c>
      <c r="BO18" s="22">
        <f>BO14*Assum_Volume!$C$13</f>
        <v>21807.83554560001</v>
      </c>
      <c r="BP18" s="22">
        <f>BP14*Assum_Volume!$C$13</f>
        <v>21807.83554560001</v>
      </c>
      <c r="BQ18" s="22">
        <f>BQ14*Assum_Volume!$C$13</f>
        <v>23170.825267200009</v>
      </c>
      <c r="BR18" s="22">
        <f>BR14*Assum_Volume!$C$13</f>
        <v>25896.804710400007</v>
      </c>
      <c r="BS18" s="22">
        <f>BS14*Assum_Volume!$C$13</f>
        <v>28622.784153600009</v>
      </c>
      <c r="BT18" s="22">
        <f>BT14*Assum_Volume!$C$13</f>
        <v>31348.76359680001</v>
      </c>
      <c r="BU18" s="22">
        <f>BU14*Assum_Volume!$C$13</f>
        <v>38163.712204800009</v>
      </c>
      <c r="BV18" s="22">
        <f>BV14*Assum_Volume!$C$13</f>
        <v>32602.714140672007</v>
      </c>
      <c r="BW18" s="22">
        <f>BW14*Assum_Volume!$C$13</f>
        <v>31185.204830208015</v>
      </c>
      <c r="BX18" s="22">
        <f>BX14*Assum_Volume!$C$13</f>
        <v>28350.186209280007</v>
      </c>
      <c r="BY18" s="22">
        <f>BY14*Assum_Volume!$C$13</f>
        <v>25515.167588352007</v>
      </c>
      <c r="BZ18" s="22">
        <f>BZ14*Assum_Volume!$C$13</f>
        <v>24097.658277888007</v>
      </c>
      <c r="CA18" s="22">
        <f>CA14*Assum_Volume!$C$13</f>
        <v>22680.148967424011</v>
      </c>
      <c r="CB18" s="22">
        <f>CB14*Assum_Volume!$C$13</f>
        <v>22680.148967424011</v>
      </c>
      <c r="CC18" s="22">
        <f>CC14*Assum_Volume!$C$13</f>
        <v>24097.658277888007</v>
      </c>
      <c r="CD18" s="22">
        <f>CD14*Assum_Volume!$C$13</f>
        <v>26932.676898816007</v>
      </c>
      <c r="CE18" s="22">
        <f>CE14*Assum_Volume!$C$13</f>
        <v>29767.695519744011</v>
      </c>
      <c r="CF18" s="22">
        <f>CF14*Assum_Volume!$C$13</f>
        <v>32602.714140672007</v>
      </c>
      <c r="CG18" s="22">
        <f>CG14*Assum_Volume!$C$13</f>
        <v>39690.260692992015</v>
      </c>
      <c r="CH18" s="22">
        <f>CH14*Assum_Volume!$C$13</f>
        <v>33906.822706298888</v>
      </c>
      <c r="CI18" s="22">
        <f>CI14*Assum_Volume!$C$13</f>
        <v>32432.613023416332</v>
      </c>
      <c r="CJ18" s="22">
        <f>CJ14*Assum_Volume!$C$13</f>
        <v>29484.193657651205</v>
      </c>
      <c r="CK18" s="22">
        <f>CK14*Assum_Volume!$C$13</f>
        <v>26535.774291886086</v>
      </c>
      <c r="CL18" s="22">
        <f>CL14*Assum_Volume!$C$13</f>
        <v>25061.56460900353</v>
      </c>
      <c r="CM18" s="22">
        <f>CM14*Assum_Volume!$C$13</f>
        <v>23587.35492612097</v>
      </c>
      <c r="CN18" s="22">
        <f>CN14*Assum_Volume!$C$13</f>
        <v>23587.35492612097</v>
      </c>
      <c r="CO18" s="22">
        <f>CO14*Assum_Volume!$C$13</f>
        <v>25061.56460900353</v>
      </c>
      <c r="CP18" s="22">
        <f>CP14*Assum_Volume!$C$13</f>
        <v>28009.983974768646</v>
      </c>
      <c r="CQ18" s="22">
        <f>CQ14*Assum_Volume!$C$13</f>
        <v>30958.403340533769</v>
      </c>
      <c r="CR18" s="22">
        <f>CR14*Assum_Volume!$C$13</f>
        <v>33906.822706298888</v>
      </c>
      <c r="CS18" s="22">
        <f>CS14*Assum_Volume!$C$13</f>
        <v>41277.871120711687</v>
      </c>
      <c r="CT18" s="22">
        <f>CT14*Assum_Volume!$C$13</f>
        <v>35263.095614550839</v>
      </c>
      <c r="CU18" s="22">
        <f>CU14*Assum_Volume!$C$13</f>
        <v>33729.917544352989</v>
      </c>
      <c r="CV18" s="22">
        <f>CV14*Assum_Volume!$C$13</f>
        <v>30663.561403957257</v>
      </c>
      <c r="CW18" s="22">
        <f>CW14*Assum_Volume!$C$13</f>
        <v>27597.205263561533</v>
      </c>
      <c r="CX18" s="22">
        <f>CX14*Assum_Volume!$C$13</f>
        <v>26064.027193363669</v>
      </c>
      <c r="CY18" s="22">
        <f>CY14*Assum_Volume!$C$13</f>
        <v>24530.849123165808</v>
      </c>
      <c r="CZ18" s="22">
        <f>CZ14*Assum_Volume!$C$13</f>
        <v>24530.849123165808</v>
      </c>
      <c r="DA18" s="22">
        <f>DA14*Assum_Volume!$C$13</f>
        <v>26064.027193363669</v>
      </c>
      <c r="DB18" s="22">
        <f>DB14*Assum_Volume!$C$13</f>
        <v>29130.383333759393</v>
      </c>
      <c r="DC18" s="22">
        <f>DC14*Assum_Volume!$C$13</f>
        <v>32196.739474155122</v>
      </c>
      <c r="DD18" s="22">
        <f>DD14*Assum_Volume!$C$13</f>
        <v>35263.095614550839</v>
      </c>
      <c r="DE18" s="22">
        <f>DE14*Assum_Volume!$C$13</f>
        <v>42928.98596554016</v>
      </c>
      <c r="DF18" s="22">
        <f>DF14*Assum_Volume!$C$13</f>
        <v>36673.619439132883</v>
      </c>
      <c r="DG18" s="22">
        <f>DG14*Assum_Volume!$C$13</f>
        <v>35079.114246127108</v>
      </c>
      <c r="DH18" s="22">
        <f>DH14*Assum_Volume!$C$13</f>
        <v>31890.103860115549</v>
      </c>
      <c r="DI18" s="22">
        <f>DI14*Assum_Volume!$C$13</f>
        <v>28701.093474103996</v>
      </c>
      <c r="DJ18" s="22">
        <f>DJ14*Assum_Volume!$C$13</f>
        <v>27106.588281098215</v>
      </c>
      <c r="DK18" s="22">
        <f>DK14*Assum_Volume!$C$13</f>
        <v>25512.08308809244</v>
      </c>
      <c r="DL18" s="22">
        <f>DL14*Assum_Volume!$C$13</f>
        <v>25512.08308809244</v>
      </c>
      <c r="DM18" s="22">
        <f>DM14*Assum_Volume!$C$13</f>
        <v>27106.588281098215</v>
      </c>
      <c r="DN18" s="22">
        <f>DN14*Assum_Volume!$C$13</f>
        <v>30295.598667109774</v>
      </c>
      <c r="DO18" s="22">
        <f>DO14*Assum_Volume!$C$13</f>
        <v>33484.609053121327</v>
      </c>
      <c r="DP18" s="22">
        <f>DP14*Assum_Volume!$C$13</f>
        <v>36673.619439132883</v>
      </c>
      <c r="DQ18" s="22">
        <f>DQ14*Assum_Volume!$C$13</f>
        <v>44646.145404161769</v>
      </c>
    </row>
    <row r="20" spans="1:121" ht="15" customHeight="1">
      <c r="A20" s="5" t="s">
        <v>412</v>
      </c>
    </row>
    <row r="21" spans="1:121" ht="15" customHeight="1">
      <c r="A21" t="s">
        <v>273</v>
      </c>
      <c r="B21" s="22">
        <f>B14*Assum_Volume!$C$16</f>
        <v>26833.333333333328</v>
      </c>
      <c r="C21" s="22">
        <f>C14*Assum_Volume!$C$16</f>
        <v>25666.666666666668</v>
      </c>
      <c r="D21" s="22">
        <f>D14*Assum_Volume!$C$16</f>
        <v>23333.333333333332</v>
      </c>
      <c r="E21" s="22">
        <f>E14*Assum_Volume!$C$16</f>
        <v>21000</v>
      </c>
      <c r="F21" s="22">
        <f>F14*Assum_Volume!$C$16</f>
        <v>19833.333333333332</v>
      </c>
      <c r="G21" s="22">
        <f>G14*Assum_Volume!$C$16</f>
        <v>18666.666666666668</v>
      </c>
      <c r="H21" s="22">
        <f>H14*Assum_Volume!$C$16</f>
        <v>18666.666666666668</v>
      </c>
      <c r="I21" s="22">
        <f>I14*Assum_Volume!$C$16</f>
        <v>19833.333333333332</v>
      </c>
      <c r="J21" s="22">
        <f>J14*Assum_Volume!$C$16</f>
        <v>22166.666666666664</v>
      </c>
      <c r="K21" s="22">
        <f>K14*Assum_Volume!$C$16</f>
        <v>24500</v>
      </c>
      <c r="L21" s="22">
        <f>L14*Assum_Volume!$C$16</f>
        <v>26833.333333333328</v>
      </c>
      <c r="M21" s="22">
        <f>M14*Assum_Volume!$C$16</f>
        <v>32666.666666666664</v>
      </c>
      <c r="N21" s="22">
        <f>N14*Assum_Volume!$C$16</f>
        <v>28979.999999999996</v>
      </c>
      <c r="O21" s="22">
        <f>O14*Assum_Volume!$C$16</f>
        <v>27720.000000000004</v>
      </c>
      <c r="P21" s="22">
        <f>P14*Assum_Volume!$C$16</f>
        <v>25200</v>
      </c>
      <c r="Q21" s="22">
        <f>Q14*Assum_Volume!$C$16</f>
        <v>22680</v>
      </c>
      <c r="R21" s="22">
        <f>R14*Assum_Volume!$C$16</f>
        <v>21420</v>
      </c>
      <c r="S21" s="22">
        <f>S14*Assum_Volume!$C$16</f>
        <v>20160.000000000004</v>
      </c>
      <c r="T21" s="22">
        <f>T14*Assum_Volume!$C$16</f>
        <v>20160.000000000004</v>
      </c>
      <c r="U21" s="22">
        <f>U14*Assum_Volume!$C$16</f>
        <v>21420</v>
      </c>
      <c r="V21" s="22">
        <f>V14*Assum_Volume!$C$16</f>
        <v>23940</v>
      </c>
      <c r="W21" s="22">
        <f>W14*Assum_Volume!$C$16</f>
        <v>26460</v>
      </c>
      <c r="X21" s="22">
        <f>X14*Assum_Volume!$C$16</f>
        <v>28979.999999999996</v>
      </c>
      <c r="Y21" s="22">
        <f>Y14*Assum_Volume!$C$16</f>
        <v>35280</v>
      </c>
      <c r="Z21" s="22">
        <f>Z14*Assum_Volume!$C$16</f>
        <v>31298.399999999998</v>
      </c>
      <c r="AA21" s="22">
        <f>AA14*Assum_Volume!$C$16</f>
        <v>29937.600000000009</v>
      </c>
      <c r="AB21" s="22">
        <f>AB14*Assum_Volume!$C$16</f>
        <v>27216</v>
      </c>
      <c r="AC21" s="22">
        <f>AC14*Assum_Volume!$C$16</f>
        <v>24494.399999999998</v>
      </c>
      <c r="AD21" s="22">
        <f>AD14*Assum_Volume!$C$16</f>
        <v>23133.600000000002</v>
      </c>
      <c r="AE21" s="22">
        <f>AE14*Assum_Volume!$C$16</f>
        <v>21772.800000000003</v>
      </c>
      <c r="AF21" s="22">
        <f>AF14*Assum_Volume!$C$16</f>
        <v>21772.800000000003</v>
      </c>
      <c r="AG21" s="22">
        <f>AG14*Assum_Volume!$C$16</f>
        <v>23133.600000000002</v>
      </c>
      <c r="AH21" s="22">
        <f>AH14*Assum_Volume!$C$16</f>
        <v>25855.199999999997</v>
      </c>
      <c r="AI21" s="22">
        <f>AI14*Assum_Volume!$C$16</f>
        <v>28576.800000000003</v>
      </c>
      <c r="AJ21" s="22">
        <f>AJ14*Assum_Volume!$C$16</f>
        <v>31298.399999999998</v>
      </c>
      <c r="AK21" s="22">
        <f>AK14*Assum_Volume!$C$16</f>
        <v>38102.400000000001</v>
      </c>
      <c r="AL21" s="22">
        <f>AL14*Assum_Volume!$C$16</f>
        <v>33176.303999999996</v>
      </c>
      <c r="AM21" s="22">
        <f>AM14*Assum_Volume!$C$16</f>
        <v>31733.856000000011</v>
      </c>
      <c r="AN21" s="22">
        <f>AN14*Assum_Volume!$C$16</f>
        <v>28848.959999999999</v>
      </c>
      <c r="AO21" s="22">
        <f>AO14*Assum_Volume!$C$16</f>
        <v>25964.064000000002</v>
      </c>
      <c r="AP21" s="22">
        <f>AP14*Assum_Volume!$C$16</f>
        <v>24521.616000000002</v>
      </c>
      <c r="AQ21" s="22">
        <f>AQ14*Assum_Volume!$C$16</f>
        <v>23079.168000000001</v>
      </c>
      <c r="AR21" s="22">
        <f>AR14*Assum_Volume!$C$16</f>
        <v>23079.168000000001</v>
      </c>
      <c r="AS21" s="22">
        <f>AS14*Assum_Volume!$C$16</f>
        <v>24521.616000000002</v>
      </c>
      <c r="AT21" s="22">
        <f>AT14*Assum_Volume!$C$16</f>
        <v>27406.512000000002</v>
      </c>
      <c r="AU21" s="22">
        <f>AU14*Assum_Volume!$C$16</f>
        <v>30291.408000000003</v>
      </c>
      <c r="AV21" s="22">
        <f>AV14*Assum_Volume!$C$16</f>
        <v>33176.303999999996</v>
      </c>
      <c r="AW21" s="22">
        <f>AW14*Assum_Volume!$C$16</f>
        <v>40388.544000000002</v>
      </c>
      <c r="AX21" s="22">
        <f>AX14*Assum_Volume!$C$16</f>
        <v>35166.882239999999</v>
      </c>
      <c r="AY21" s="22">
        <f>AY14*Assum_Volume!$C$16</f>
        <v>33637.887360000015</v>
      </c>
      <c r="AZ21" s="22">
        <f>AZ14*Assum_Volume!$C$16</f>
        <v>30579.897600000004</v>
      </c>
      <c r="BA21" s="22">
        <f>BA14*Assum_Volume!$C$16</f>
        <v>27521.907840000003</v>
      </c>
      <c r="BB21" s="22">
        <f>BB14*Assum_Volume!$C$16</f>
        <v>25992.912960000001</v>
      </c>
      <c r="BC21" s="22">
        <f>BC14*Assum_Volume!$C$16</f>
        <v>24463.918080000007</v>
      </c>
      <c r="BD21" s="22">
        <f>BD14*Assum_Volume!$C$16</f>
        <v>24463.918080000007</v>
      </c>
      <c r="BE21" s="22">
        <f>BE14*Assum_Volume!$C$16</f>
        <v>25992.912960000001</v>
      </c>
      <c r="BF21" s="22">
        <f>BF14*Assum_Volume!$C$16</f>
        <v>29050.902720000002</v>
      </c>
      <c r="BG21" s="22">
        <f>BG14*Assum_Volume!$C$16</f>
        <v>32108.892480000006</v>
      </c>
      <c r="BH21" s="22">
        <f>BH14*Assum_Volume!$C$16</f>
        <v>35166.882239999999</v>
      </c>
      <c r="BI21" s="22">
        <f>BI14*Assum_Volume!$C$16</f>
        <v>42811.856640000005</v>
      </c>
      <c r="BJ21" s="22">
        <f>BJ14*Assum_Volume!$C$16</f>
        <v>36573.557529600002</v>
      </c>
      <c r="BK21" s="22">
        <f>BK14*Assum_Volume!$C$16</f>
        <v>34983.40285440001</v>
      </c>
      <c r="BL21" s="22">
        <f>BL14*Assum_Volume!$C$16</f>
        <v>31803.093504000004</v>
      </c>
      <c r="BM21" s="22">
        <f>BM14*Assum_Volume!$C$16</f>
        <v>28622.784153600005</v>
      </c>
      <c r="BN21" s="22">
        <f>BN14*Assum_Volume!$C$16</f>
        <v>27032.629478400006</v>
      </c>
      <c r="BO21" s="22">
        <f>BO14*Assum_Volume!$C$16</f>
        <v>25442.474803200006</v>
      </c>
      <c r="BP21" s="22">
        <f>BP14*Assum_Volume!$C$16</f>
        <v>25442.474803200006</v>
      </c>
      <c r="BQ21" s="22">
        <f>BQ14*Assum_Volume!$C$16</f>
        <v>27032.629478400006</v>
      </c>
      <c r="BR21" s="22">
        <f>BR14*Assum_Volume!$C$16</f>
        <v>30212.938828800001</v>
      </c>
      <c r="BS21" s="22">
        <f>BS14*Assum_Volume!$C$16</f>
        <v>33393.248179200004</v>
      </c>
      <c r="BT21" s="22">
        <f>BT14*Assum_Volume!$C$16</f>
        <v>36573.557529600002</v>
      </c>
      <c r="BU21" s="22">
        <f>BU14*Assum_Volume!$C$16</f>
        <v>44524.3309056</v>
      </c>
      <c r="BV21" s="22">
        <f>BV14*Assum_Volume!$C$16</f>
        <v>38036.499830784</v>
      </c>
      <c r="BW21" s="22">
        <f>BW14*Assum_Volume!$C$16</f>
        <v>36382.738968576006</v>
      </c>
      <c r="BX21" s="22">
        <f>BX14*Assum_Volume!$C$16</f>
        <v>33075.217244160005</v>
      </c>
      <c r="BY21" s="22">
        <f>BY14*Assum_Volume!$C$16</f>
        <v>29767.695519744004</v>
      </c>
      <c r="BZ21" s="22">
        <f>BZ14*Assum_Volume!$C$16</f>
        <v>28113.934657536003</v>
      </c>
      <c r="CA21" s="22">
        <f>CA14*Assum_Volume!$C$16</f>
        <v>26460.173795328006</v>
      </c>
      <c r="CB21" s="22">
        <f>CB14*Assum_Volume!$C$16</f>
        <v>26460.173795328006</v>
      </c>
      <c r="CC21" s="22">
        <f>CC14*Assum_Volume!$C$16</f>
        <v>28113.934657536003</v>
      </c>
      <c r="CD21" s="22">
        <f>CD14*Assum_Volume!$C$16</f>
        <v>31421.456381952001</v>
      </c>
      <c r="CE21" s="22">
        <f>CE14*Assum_Volume!$C$16</f>
        <v>34728.978106368006</v>
      </c>
      <c r="CF21" s="22">
        <f>CF14*Assum_Volume!$C$16</f>
        <v>38036.499830784</v>
      </c>
      <c r="CG21" s="22">
        <f>CG14*Assum_Volume!$C$16</f>
        <v>46305.304141824003</v>
      </c>
      <c r="CH21" s="22">
        <f>CH14*Assum_Volume!$C$16</f>
        <v>39557.959824015357</v>
      </c>
      <c r="CI21" s="22">
        <f>CI14*Assum_Volume!$C$16</f>
        <v>37838.04852731905</v>
      </c>
      <c r="CJ21" s="22">
        <f>CJ14*Assum_Volume!$C$16</f>
        <v>34398.225933926398</v>
      </c>
      <c r="CK21" s="22">
        <f>CK14*Assum_Volume!$C$16</f>
        <v>30958.403340533761</v>
      </c>
      <c r="CL21" s="22">
        <f>CL14*Assum_Volume!$C$16</f>
        <v>29238.492043837447</v>
      </c>
      <c r="CM21" s="22">
        <f>CM14*Assum_Volume!$C$16</f>
        <v>27518.580747141124</v>
      </c>
      <c r="CN21" s="22">
        <f>CN14*Assum_Volume!$C$16</f>
        <v>27518.580747141124</v>
      </c>
      <c r="CO21" s="22">
        <f>CO14*Assum_Volume!$C$16</f>
        <v>29238.492043837447</v>
      </c>
      <c r="CP21" s="22">
        <f>CP14*Assum_Volume!$C$16</f>
        <v>32678.31463723008</v>
      </c>
      <c r="CQ21" s="22">
        <f>CQ14*Assum_Volume!$C$16</f>
        <v>36118.13723062272</v>
      </c>
      <c r="CR21" s="22">
        <f>CR14*Assum_Volume!$C$16</f>
        <v>39557.959824015357</v>
      </c>
      <c r="CS21" s="22">
        <f>CS14*Assum_Volume!$C$16</f>
        <v>48157.516307496953</v>
      </c>
      <c r="CT21" s="22">
        <f>CT14*Assum_Volume!$C$16</f>
        <v>41140.278216975974</v>
      </c>
      <c r="CU21" s="22">
        <f>CU14*Assum_Volume!$C$16</f>
        <v>39351.57046841181</v>
      </c>
      <c r="CV21" s="22">
        <f>CV14*Assum_Volume!$C$16</f>
        <v>35774.15497128346</v>
      </c>
      <c r="CW21" s="22">
        <f>CW14*Assum_Volume!$C$16</f>
        <v>32196.739474155114</v>
      </c>
      <c r="CX21" s="22">
        <f>CX14*Assum_Volume!$C$16</f>
        <v>30408.031725590939</v>
      </c>
      <c r="CY21" s="22">
        <f>CY14*Assum_Volume!$C$16</f>
        <v>28619.323977026772</v>
      </c>
      <c r="CZ21" s="22">
        <f>CZ14*Assum_Volume!$C$16</f>
        <v>28619.323977026772</v>
      </c>
      <c r="DA21" s="22">
        <f>DA14*Assum_Volume!$C$16</f>
        <v>30408.031725590939</v>
      </c>
      <c r="DB21" s="22">
        <f>DB14*Assum_Volume!$C$16</f>
        <v>33985.447222719282</v>
      </c>
      <c r="DC21" s="22">
        <f>DC14*Assum_Volume!$C$16</f>
        <v>37562.862719847632</v>
      </c>
      <c r="DD21" s="22">
        <f>DD14*Assum_Volume!$C$16</f>
        <v>41140.278216975974</v>
      </c>
      <c r="DE21" s="22">
        <f>DE14*Assum_Volume!$C$16</f>
        <v>50083.816959796844</v>
      </c>
      <c r="DF21" s="22">
        <f>DF14*Assum_Volume!$C$16</f>
        <v>42785.889345655021</v>
      </c>
      <c r="DG21" s="22">
        <f>DG14*Assum_Volume!$C$16</f>
        <v>40925.633287148281</v>
      </c>
      <c r="DH21" s="22">
        <f>DH14*Assum_Volume!$C$16</f>
        <v>37205.1211701348</v>
      </c>
      <c r="DI21" s="22">
        <f>DI14*Assum_Volume!$C$16</f>
        <v>33484.609053121319</v>
      </c>
      <c r="DJ21" s="22">
        <f>DJ14*Assum_Volume!$C$16</f>
        <v>31624.352994614579</v>
      </c>
      <c r="DK21" s="22">
        <f>DK14*Assum_Volume!$C$16</f>
        <v>29764.096936107842</v>
      </c>
      <c r="DL21" s="22">
        <f>DL14*Assum_Volume!$C$16</f>
        <v>29764.096936107842</v>
      </c>
      <c r="DM21" s="22">
        <f>DM14*Assum_Volume!$C$16</f>
        <v>31624.352994614579</v>
      </c>
      <c r="DN21" s="22">
        <f>DN14*Assum_Volume!$C$16</f>
        <v>35344.86511162806</v>
      </c>
      <c r="DO21" s="22">
        <f>DO14*Assum_Volume!$C$16</f>
        <v>39065.377228641541</v>
      </c>
      <c r="DP21" s="22">
        <f>DP14*Assum_Volume!$C$16</f>
        <v>42785.889345655021</v>
      </c>
      <c r="DQ21" s="22">
        <f>DQ14*Assum_Volume!$C$16</f>
        <v>52087.169638188716</v>
      </c>
    </row>
    <row r="22" spans="1:121" ht="15" customHeight="1">
      <c r="A22" t="s">
        <v>274</v>
      </c>
      <c r="B22" s="22">
        <f>B14*Assum_Volume!$C$17</f>
        <v>49833.333333333328</v>
      </c>
      <c r="C22" s="22">
        <f>C14*Assum_Volume!$C$17</f>
        <v>47666.666666666672</v>
      </c>
      <c r="D22" s="22">
        <f>D14*Assum_Volume!$C$17</f>
        <v>43333.333333333336</v>
      </c>
      <c r="E22" s="22">
        <f>E14*Assum_Volume!$C$17</f>
        <v>39000</v>
      </c>
      <c r="F22" s="22">
        <f>F14*Assum_Volume!$C$17</f>
        <v>36833.333333333336</v>
      </c>
      <c r="G22" s="22">
        <f>G14*Assum_Volume!$C$17</f>
        <v>34666.666666666672</v>
      </c>
      <c r="H22" s="22">
        <f>H14*Assum_Volume!$C$17</f>
        <v>34666.666666666672</v>
      </c>
      <c r="I22" s="22">
        <f>I14*Assum_Volume!$C$17</f>
        <v>36833.333333333336</v>
      </c>
      <c r="J22" s="22">
        <f>J14*Assum_Volume!$C$17</f>
        <v>41166.666666666664</v>
      </c>
      <c r="K22" s="22">
        <f>K14*Assum_Volume!$C$17</f>
        <v>45500</v>
      </c>
      <c r="L22" s="22">
        <f>L14*Assum_Volume!$C$17</f>
        <v>49833.333333333328</v>
      </c>
      <c r="M22" s="22">
        <f>M14*Assum_Volume!$C$17</f>
        <v>60666.666666666664</v>
      </c>
      <c r="N22" s="22">
        <f>N14*Assum_Volume!$C$17</f>
        <v>53820</v>
      </c>
      <c r="O22" s="22">
        <f>O14*Assum_Volume!$C$17</f>
        <v>51480.000000000015</v>
      </c>
      <c r="P22" s="22">
        <f>P14*Assum_Volume!$C$17</f>
        <v>46800</v>
      </c>
      <c r="Q22" s="22">
        <f>Q14*Assum_Volume!$C$17</f>
        <v>42120</v>
      </c>
      <c r="R22" s="22">
        <f>R14*Assum_Volume!$C$17</f>
        <v>39780</v>
      </c>
      <c r="S22" s="22">
        <f>S14*Assum_Volume!$C$17</f>
        <v>37440.000000000007</v>
      </c>
      <c r="T22" s="22">
        <f>T14*Assum_Volume!$C$17</f>
        <v>37440.000000000007</v>
      </c>
      <c r="U22" s="22">
        <f>U14*Assum_Volume!$C$17</f>
        <v>39780</v>
      </c>
      <c r="V22" s="22">
        <f>V14*Assum_Volume!$C$17</f>
        <v>44460</v>
      </c>
      <c r="W22" s="22">
        <f>W14*Assum_Volume!$C$17</f>
        <v>49140</v>
      </c>
      <c r="X22" s="22">
        <f>X14*Assum_Volume!$C$17</f>
        <v>53820</v>
      </c>
      <c r="Y22" s="22">
        <f>Y14*Assum_Volume!$C$17</f>
        <v>65520</v>
      </c>
      <c r="Z22" s="22">
        <f>Z14*Assum_Volume!$C$17</f>
        <v>58125.599999999999</v>
      </c>
      <c r="AA22" s="22">
        <f>AA14*Assum_Volume!$C$17</f>
        <v>55598.400000000023</v>
      </c>
      <c r="AB22" s="22">
        <f>AB14*Assum_Volume!$C$17</f>
        <v>50544</v>
      </c>
      <c r="AC22" s="22">
        <f>AC14*Assum_Volume!$C$17</f>
        <v>45489.599999999999</v>
      </c>
      <c r="AD22" s="22">
        <f>AD14*Assum_Volume!$C$17</f>
        <v>42962.400000000009</v>
      </c>
      <c r="AE22" s="22">
        <f>AE14*Assum_Volume!$C$17</f>
        <v>40435.200000000012</v>
      </c>
      <c r="AF22" s="22">
        <f>AF14*Assum_Volume!$C$17</f>
        <v>40435.200000000012</v>
      </c>
      <c r="AG22" s="22">
        <f>AG14*Assum_Volume!$C$17</f>
        <v>42962.400000000009</v>
      </c>
      <c r="AH22" s="22">
        <f>AH14*Assum_Volume!$C$17</f>
        <v>48016.800000000003</v>
      </c>
      <c r="AI22" s="22">
        <f>AI14*Assum_Volume!$C$17</f>
        <v>53071.200000000012</v>
      </c>
      <c r="AJ22" s="22">
        <f>AJ14*Assum_Volume!$C$17</f>
        <v>58125.599999999999</v>
      </c>
      <c r="AK22" s="22">
        <f>AK14*Assum_Volume!$C$17</f>
        <v>70761.600000000006</v>
      </c>
      <c r="AL22" s="22">
        <f>AL14*Assum_Volume!$C$17</f>
        <v>61613.136000000006</v>
      </c>
      <c r="AM22" s="22">
        <f>AM14*Assum_Volume!$C$17</f>
        <v>58934.304000000026</v>
      </c>
      <c r="AN22" s="22">
        <f>AN14*Assum_Volume!$C$17</f>
        <v>53576.640000000007</v>
      </c>
      <c r="AO22" s="22">
        <f>AO14*Assum_Volume!$C$17</f>
        <v>48218.97600000001</v>
      </c>
      <c r="AP22" s="22">
        <f>AP14*Assum_Volume!$C$17</f>
        <v>45540.144000000008</v>
      </c>
      <c r="AQ22" s="22">
        <f>AQ14*Assum_Volume!$C$17</f>
        <v>42861.312000000005</v>
      </c>
      <c r="AR22" s="22">
        <f>AR14*Assum_Volume!$C$17</f>
        <v>42861.312000000005</v>
      </c>
      <c r="AS22" s="22">
        <f>AS14*Assum_Volume!$C$17</f>
        <v>45540.144000000008</v>
      </c>
      <c r="AT22" s="22">
        <f>AT14*Assum_Volume!$C$17</f>
        <v>50897.808000000005</v>
      </c>
      <c r="AU22" s="22">
        <f>AU14*Assum_Volume!$C$17</f>
        <v>56255.472000000016</v>
      </c>
      <c r="AV22" s="22">
        <f>AV14*Assum_Volume!$C$17</f>
        <v>61613.136000000006</v>
      </c>
      <c r="AW22" s="22">
        <f>AW14*Assum_Volume!$C$17</f>
        <v>75007.296000000017</v>
      </c>
      <c r="AX22" s="22">
        <f>AX14*Assum_Volume!$C$17</f>
        <v>65309.924160000002</v>
      </c>
      <c r="AY22" s="22">
        <f>AY14*Assum_Volume!$C$17</f>
        <v>62470.362240000024</v>
      </c>
      <c r="AZ22" s="22">
        <f>AZ14*Assum_Volume!$C$17</f>
        <v>56791.238400000009</v>
      </c>
      <c r="BA22" s="22">
        <f>BA14*Assum_Volume!$C$17</f>
        <v>51112.114560000009</v>
      </c>
      <c r="BB22" s="22">
        <f>BB14*Assum_Volume!$C$17</f>
        <v>48272.552640000009</v>
      </c>
      <c r="BC22" s="22">
        <f>BC14*Assum_Volume!$C$17</f>
        <v>45432.990720000016</v>
      </c>
      <c r="BD22" s="22">
        <f>BD14*Assum_Volume!$C$17</f>
        <v>45432.990720000016</v>
      </c>
      <c r="BE22" s="22">
        <f>BE14*Assum_Volume!$C$17</f>
        <v>48272.552640000009</v>
      </c>
      <c r="BF22" s="22">
        <f>BF14*Assum_Volume!$C$17</f>
        <v>53951.676480000009</v>
      </c>
      <c r="BG22" s="22">
        <f>BG14*Assum_Volume!$C$17</f>
        <v>59630.800320000017</v>
      </c>
      <c r="BH22" s="22">
        <f>BH14*Assum_Volume!$C$17</f>
        <v>65309.924160000002</v>
      </c>
      <c r="BI22" s="22">
        <f>BI14*Assum_Volume!$C$17</f>
        <v>79507.733760000017</v>
      </c>
      <c r="BJ22" s="22">
        <f>BJ14*Assum_Volume!$C$17</f>
        <v>67922.321126400013</v>
      </c>
      <c r="BK22" s="22">
        <f>BK14*Assum_Volume!$C$17</f>
        <v>64969.176729600025</v>
      </c>
      <c r="BL22" s="22">
        <f>BL14*Assum_Volume!$C$17</f>
        <v>59062.887936000014</v>
      </c>
      <c r="BM22" s="22">
        <f>BM14*Assum_Volume!$C$17</f>
        <v>53156.599142400009</v>
      </c>
      <c r="BN22" s="22">
        <f>BN14*Assum_Volume!$C$17</f>
        <v>50203.454745600015</v>
      </c>
      <c r="BO22" s="22">
        <f>BO14*Assum_Volume!$C$17</f>
        <v>47250.31034880002</v>
      </c>
      <c r="BP22" s="22">
        <f>BP14*Assum_Volume!$C$17</f>
        <v>47250.31034880002</v>
      </c>
      <c r="BQ22" s="22">
        <f>BQ14*Assum_Volume!$C$17</f>
        <v>50203.454745600015</v>
      </c>
      <c r="BR22" s="22">
        <f>BR14*Assum_Volume!$C$17</f>
        <v>56109.743539200004</v>
      </c>
      <c r="BS22" s="22">
        <f>BS14*Assum_Volume!$C$17</f>
        <v>62016.032332800009</v>
      </c>
      <c r="BT22" s="22">
        <f>BT14*Assum_Volume!$C$17</f>
        <v>67922.321126400013</v>
      </c>
      <c r="BU22" s="22">
        <f>BU14*Assum_Volume!$C$17</f>
        <v>82688.043110400016</v>
      </c>
      <c r="BV22" s="22">
        <f>BV14*Assum_Volume!$C$17</f>
        <v>70639.213971456003</v>
      </c>
      <c r="BW22" s="22">
        <f>BW14*Assum_Volume!$C$17</f>
        <v>67567.943798784021</v>
      </c>
      <c r="BX22" s="22">
        <f>BX14*Assum_Volume!$C$17</f>
        <v>61425.403453440005</v>
      </c>
      <c r="BY22" s="22">
        <f>BY14*Assum_Volume!$C$17</f>
        <v>55282.863108096011</v>
      </c>
      <c r="BZ22" s="22">
        <f>BZ14*Assum_Volume!$C$17</f>
        <v>52211.592935424014</v>
      </c>
      <c r="CA22" s="22">
        <f>CA14*Assum_Volume!$C$17</f>
        <v>49140.322762752017</v>
      </c>
      <c r="CB22" s="22">
        <f>CB14*Assum_Volume!$C$17</f>
        <v>49140.322762752017</v>
      </c>
      <c r="CC22" s="22">
        <f>CC14*Assum_Volume!$C$17</f>
        <v>52211.592935424014</v>
      </c>
      <c r="CD22" s="22">
        <f>CD14*Assum_Volume!$C$17</f>
        <v>58354.133280768008</v>
      </c>
      <c r="CE22" s="22">
        <f>CE14*Assum_Volume!$C$17</f>
        <v>64496.673626112017</v>
      </c>
      <c r="CF22" s="22">
        <f>CF14*Assum_Volume!$C$17</f>
        <v>70639.213971456003</v>
      </c>
      <c r="CG22" s="22">
        <f>CG14*Assum_Volume!$C$17</f>
        <v>85995.564834816018</v>
      </c>
      <c r="CH22" s="22">
        <f>CH14*Assum_Volume!$C$17</f>
        <v>73464.782530314245</v>
      </c>
      <c r="CI22" s="22">
        <f>CI14*Assum_Volume!$C$17</f>
        <v>70270.661550735385</v>
      </c>
      <c r="CJ22" s="22">
        <f>CJ14*Assum_Volume!$C$17</f>
        <v>63882.419591577607</v>
      </c>
      <c r="CK22" s="22">
        <f>CK14*Assum_Volume!$C$17</f>
        <v>57494.177632419851</v>
      </c>
      <c r="CL22" s="22">
        <f>CL14*Assum_Volume!$C$17</f>
        <v>54300.056652840976</v>
      </c>
      <c r="CM22" s="22">
        <f>CM14*Assum_Volume!$C$17</f>
        <v>51105.935673262094</v>
      </c>
      <c r="CN22" s="22">
        <f>CN14*Assum_Volume!$C$17</f>
        <v>51105.935673262094</v>
      </c>
      <c r="CO22" s="22">
        <f>CO14*Assum_Volume!$C$17</f>
        <v>54300.056652840976</v>
      </c>
      <c r="CP22" s="22">
        <f>CP14*Assum_Volume!$C$17</f>
        <v>60688.298611998725</v>
      </c>
      <c r="CQ22" s="22">
        <f>CQ14*Assum_Volume!$C$17</f>
        <v>67076.540571156482</v>
      </c>
      <c r="CR22" s="22">
        <f>CR14*Assum_Volume!$C$17</f>
        <v>73464.782530314245</v>
      </c>
      <c r="CS22" s="22">
        <f>CS14*Assum_Volume!$C$17</f>
        <v>89435.387428208633</v>
      </c>
      <c r="CT22" s="22">
        <f>CT14*Assum_Volume!$C$17</f>
        <v>76403.373831526813</v>
      </c>
      <c r="CU22" s="22">
        <f>CU14*Assum_Volume!$C$17</f>
        <v>73081.488012764807</v>
      </c>
      <c r="CV22" s="22">
        <f>CV14*Assum_Volume!$C$17</f>
        <v>66437.716375240721</v>
      </c>
      <c r="CW22" s="22">
        <f>CW14*Assum_Volume!$C$17</f>
        <v>59793.944737716643</v>
      </c>
      <c r="CX22" s="22">
        <f>CX14*Assum_Volume!$C$17</f>
        <v>56472.058918954608</v>
      </c>
      <c r="CY22" s="22">
        <f>CY14*Assum_Volume!$C$17</f>
        <v>53150.17310019258</v>
      </c>
      <c r="CZ22" s="22">
        <f>CZ14*Assum_Volume!$C$17</f>
        <v>53150.17310019258</v>
      </c>
      <c r="DA22" s="22">
        <f>DA14*Assum_Volume!$C$17</f>
        <v>56472.058918954608</v>
      </c>
      <c r="DB22" s="22">
        <f>DB14*Assum_Volume!$C$17</f>
        <v>63115.830556478679</v>
      </c>
      <c r="DC22" s="22">
        <f>DC14*Assum_Volume!$C$17</f>
        <v>69759.602194002757</v>
      </c>
      <c r="DD22" s="22">
        <f>DD14*Assum_Volume!$C$17</f>
        <v>76403.373831526813</v>
      </c>
      <c r="DE22" s="22">
        <f>DE14*Assum_Volume!$C$17</f>
        <v>93012.802925337004</v>
      </c>
      <c r="DF22" s="22">
        <f>DF14*Assum_Volume!$C$17</f>
        <v>79459.508784787904</v>
      </c>
      <c r="DG22" s="22">
        <f>DG14*Assum_Volume!$C$17</f>
        <v>76004.747533275382</v>
      </c>
      <c r="DH22" s="22">
        <f>DH14*Assum_Volume!$C$17</f>
        <v>69095.225030250353</v>
      </c>
      <c r="DI22" s="22">
        <f>DI14*Assum_Volume!$C$17</f>
        <v>62185.702527225316</v>
      </c>
      <c r="DJ22" s="22">
        <f>DJ14*Assum_Volume!$C$17</f>
        <v>58730.941275712794</v>
      </c>
      <c r="DK22" s="22">
        <f>DK14*Assum_Volume!$C$17</f>
        <v>55276.180024200286</v>
      </c>
      <c r="DL22" s="22">
        <f>DL14*Assum_Volume!$C$17</f>
        <v>55276.180024200286</v>
      </c>
      <c r="DM22" s="22">
        <f>DM14*Assum_Volume!$C$17</f>
        <v>58730.941275712794</v>
      </c>
      <c r="DN22" s="22">
        <f>DN14*Assum_Volume!$C$17</f>
        <v>65640.463778737831</v>
      </c>
      <c r="DO22" s="22">
        <f>DO14*Assum_Volume!$C$17</f>
        <v>72549.986281762875</v>
      </c>
      <c r="DP22" s="22">
        <f>DP14*Assum_Volume!$C$17</f>
        <v>79459.508784787904</v>
      </c>
      <c r="DQ22" s="22">
        <f>DQ14*Assum_Volume!$C$17</f>
        <v>96733.315042350485</v>
      </c>
    </row>
    <row r="24" spans="1:121" ht="15" customHeight="1">
      <c r="A24" s="5" t="s">
        <v>413</v>
      </c>
    </row>
    <row r="25" spans="1:121" ht="15" customHeight="1">
      <c r="A25" t="s">
        <v>414</v>
      </c>
      <c r="B25" s="22">
        <f>B21*Assum_Volume!$C$22+B22*Assum_Volume!$C$26</f>
        <v>27791.666666666664</v>
      </c>
      <c r="C25" s="22">
        <f>C21*Assum_Volume!$C$22+C22*Assum_Volume!$C$26</f>
        <v>26583.333333333336</v>
      </c>
      <c r="D25" s="22">
        <f>D21*Assum_Volume!$C$22+D22*Assum_Volume!$C$26</f>
        <v>24166.666666666668</v>
      </c>
      <c r="E25" s="22">
        <f>E21*Assum_Volume!$C$22+E22*Assum_Volume!$C$26</f>
        <v>21750</v>
      </c>
      <c r="F25" s="22">
        <f>F21*Assum_Volume!$C$22+F22*Assum_Volume!$C$26</f>
        <v>20541.666666666668</v>
      </c>
      <c r="G25" s="22">
        <f>G21*Assum_Volume!$C$22+G22*Assum_Volume!$C$26</f>
        <v>19333.333333333336</v>
      </c>
      <c r="H25" s="22">
        <f>H21*Assum_Volume!$C$22+H22*Assum_Volume!$C$26</f>
        <v>19333.333333333336</v>
      </c>
      <c r="I25" s="22">
        <f>I21*Assum_Volume!$C$22+I22*Assum_Volume!$C$26</f>
        <v>20541.666666666668</v>
      </c>
      <c r="J25" s="22">
        <f>J21*Assum_Volume!$C$22+J22*Assum_Volume!$C$26</f>
        <v>22958.333333333332</v>
      </c>
      <c r="K25" s="22">
        <f>K21*Assum_Volume!$C$22+K22*Assum_Volume!$C$26</f>
        <v>25375</v>
      </c>
      <c r="L25" s="22">
        <f>L21*Assum_Volume!$C$22+L22*Assum_Volume!$C$26</f>
        <v>27791.666666666664</v>
      </c>
      <c r="M25" s="22">
        <f>M21*Assum_Volume!$C$22+M22*Assum_Volume!$C$26</f>
        <v>33833.333333333336</v>
      </c>
      <c r="N25" s="22">
        <f>N21*Assum_Volume!$C$22+N22*Assum_Volume!$C$26</f>
        <v>30015</v>
      </c>
      <c r="O25" s="22">
        <f>O21*Assum_Volume!$C$22+O22*Assum_Volume!$C$26</f>
        <v>28710.000000000007</v>
      </c>
      <c r="P25" s="22">
        <f>P21*Assum_Volume!$C$22+P22*Assum_Volume!$C$26</f>
        <v>26100</v>
      </c>
      <c r="Q25" s="22">
        <f>Q21*Assum_Volume!$C$22+Q22*Assum_Volume!$C$26</f>
        <v>23490</v>
      </c>
      <c r="R25" s="22">
        <f>R21*Assum_Volume!$C$22+R22*Assum_Volume!$C$26</f>
        <v>22185</v>
      </c>
      <c r="S25" s="22">
        <f>S21*Assum_Volume!$C$22+S22*Assum_Volume!$C$26</f>
        <v>20880.000000000004</v>
      </c>
      <c r="T25" s="22">
        <f>T21*Assum_Volume!$C$22+T22*Assum_Volume!$C$26</f>
        <v>20880.000000000004</v>
      </c>
      <c r="U25" s="22">
        <f>U21*Assum_Volume!$C$22+U22*Assum_Volume!$C$26</f>
        <v>22185</v>
      </c>
      <c r="V25" s="22">
        <f>V21*Assum_Volume!$C$22+V22*Assum_Volume!$C$26</f>
        <v>24795</v>
      </c>
      <c r="W25" s="22">
        <f>W21*Assum_Volume!$C$22+W22*Assum_Volume!$C$26</f>
        <v>27405</v>
      </c>
      <c r="X25" s="22">
        <f>X21*Assum_Volume!$C$22+X22*Assum_Volume!$C$26</f>
        <v>30015</v>
      </c>
      <c r="Y25" s="22">
        <f>Y21*Assum_Volume!$C$22+Y22*Assum_Volume!$C$26</f>
        <v>36540</v>
      </c>
      <c r="Z25" s="22">
        <f>Z21*Assum_Volume!$C$22+Z22*Assum_Volume!$C$26</f>
        <v>32416.2</v>
      </c>
      <c r="AA25" s="22">
        <f>AA21*Assum_Volume!$C$22+AA22*Assum_Volume!$C$26</f>
        <v>31006.80000000001</v>
      </c>
      <c r="AB25" s="22">
        <f>AB21*Assum_Volume!$C$22+AB22*Assum_Volume!$C$26</f>
        <v>28188</v>
      </c>
      <c r="AC25" s="22">
        <f>AC21*Assum_Volume!$C$22+AC22*Assum_Volume!$C$26</f>
        <v>25369.200000000001</v>
      </c>
      <c r="AD25" s="22">
        <f>AD21*Assum_Volume!$C$22+AD22*Assum_Volume!$C$26</f>
        <v>23959.800000000007</v>
      </c>
      <c r="AE25" s="22">
        <f>AE21*Assum_Volume!$C$22+AE22*Assum_Volume!$C$26</f>
        <v>22550.400000000009</v>
      </c>
      <c r="AF25" s="22">
        <f>AF21*Assum_Volume!$C$22+AF22*Assum_Volume!$C$26</f>
        <v>22550.400000000009</v>
      </c>
      <c r="AG25" s="22">
        <f>AG21*Assum_Volume!$C$22+AG22*Assum_Volume!$C$26</f>
        <v>23959.800000000007</v>
      </c>
      <c r="AH25" s="22">
        <f>AH21*Assum_Volume!$C$22+AH22*Assum_Volume!$C$26</f>
        <v>26778.600000000002</v>
      </c>
      <c r="AI25" s="22">
        <f>AI21*Assum_Volume!$C$22+AI22*Assum_Volume!$C$26</f>
        <v>29597.400000000005</v>
      </c>
      <c r="AJ25" s="22">
        <f>AJ21*Assum_Volume!$C$22+AJ22*Assum_Volume!$C$26</f>
        <v>32416.2</v>
      </c>
      <c r="AK25" s="22">
        <f>AK21*Assum_Volume!$C$22+AK22*Assum_Volume!$C$26</f>
        <v>39463.200000000004</v>
      </c>
      <c r="AL25" s="22">
        <f>AL21*Assum_Volume!$C$22+AL22*Assum_Volume!$C$26</f>
        <v>34361.172000000006</v>
      </c>
      <c r="AM25" s="22">
        <f>AM21*Assum_Volume!$C$22+AM22*Assum_Volume!$C$26</f>
        <v>32867.208000000013</v>
      </c>
      <c r="AN25" s="22">
        <f>AN21*Assum_Volume!$C$22+AN22*Assum_Volume!$C$26</f>
        <v>29879.280000000006</v>
      </c>
      <c r="AO25" s="22">
        <f>AO21*Assum_Volume!$C$22+AO22*Assum_Volume!$C$26</f>
        <v>26891.352000000006</v>
      </c>
      <c r="AP25" s="22">
        <f>AP21*Assum_Volume!$C$22+AP22*Assum_Volume!$C$26</f>
        <v>25397.388000000006</v>
      </c>
      <c r="AQ25" s="22">
        <f>AQ21*Assum_Volume!$C$22+AQ22*Assum_Volume!$C$26</f>
        <v>23903.424000000006</v>
      </c>
      <c r="AR25" s="22">
        <f>AR21*Assum_Volume!$C$22+AR22*Assum_Volume!$C$26</f>
        <v>23903.424000000006</v>
      </c>
      <c r="AS25" s="22">
        <f>AS21*Assum_Volume!$C$22+AS22*Assum_Volume!$C$26</f>
        <v>25397.388000000006</v>
      </c>
      <c r="AT25" s="22">
        <f>AT21*Assum_Volume!$C$22+AT22*Assum_Volume!$C$26</f>
        <v>28385.316000000003</v>
      </c>
      <c r="AU25" s="22">
        <f>AU21*Assum_Volume!$C$22+AU22*Assum_Volume!$C$26</f>
        <v>31373.24400000001</v>
      </c>
      <c r="AV25" s="22">
        <f>AV21*Assum_Volume!$C$22+AV22*Assum_Volume!$C$26</f>
        <v>34361.172000000006</v>
      </c>
      <c r="AW25" s="22">
        <f>AW21*Assum_Volume!$C$22+AW22*Assum_Volume!$C$26</f>
        <v>41830.992000000006</v>
      </c>
      <c r="AX25" s="22">
        <f>AX21*Assum_Volume!$C$22+AX22*Assum_Volume!$C$26</f>
        <v>36422.842320000003</v>
      </c>
      <c r="AY25" s="22">
        <f>AY21*Assum_Volume!$C$22+AY22*Assum_Volume!$C$26</f>
        <v>34839.240480000015</v>
      </c>
      <c r="AZ25" s="22">
        <f>AZ21*Assum_Volume!$C$22+AZ22*Assum_Volume!$C$26</f>
        <v>31672.036800000005</v>
      </c>
      <c r="BA25" s="22">
        <f>BA21*Assum_Volume!$C$22+BA22*Assum_Volume!$C$26</f>
        <v>28504.833120000007</v>
      </c>
      <c r="BB25" s="22">
        <f>BB21*Assum_Volume!$C$22+BB22*Assum_Volume!$C$26</f>
        <v>26921.231280000007</v>
      </c>
      <c r="BC25" s="22">
        <f>BC21*Assum_Volume!$C$22+BC22*Assum_Volume!$C$26</f>
        <v>25337.629440000008</v>
      </c>
      <c r="BD25" s="22">
        <f>BD21*Assum_Volume!$C$22+BD22*Assum_Volume!$C$26</f>
        <v>25337.629440000008</v>
      </c>
      <c r="BE25" s="22">
        <f>BE21*Assum_Volume!$C$22+BE22*Assum_Volume!$C$26</f>
        <v>26921.231280000007</v>
      </c>
      <c r="BF25" s="22">
        <f>BF21*Assum_Volume!$C$22+BF22*Assum_Volume!$C$26</f>
        <v>30088.434960000006</v>
      </c>
      <c r="BG25" s="22">
        <f>BG21*Assum_Volume!$C$22+BG22*Assum_Volume!$C$26</f>
        <v>33255.638640000012</v>
      </c>
      <c r="BH25" s="22">
        <f>BH21*Assum_Volume!$C$22+BH22*Assum_Volume!$C$26</f>
        <v>36422.842320000003</v>
      </c>
      <c r="BI25" s="22">
        <f>BI21*Assum_Volume!$C$22+BI22*Assum_Volume!$C$26</f>
        <v>44340.851520000011</v>
      </c>
      <c r="BJ25" s="22">
        <f>BJ21*Assum_Volume!$C$22+BJ22*Assum_Volume!$C$26</f>
        <v>37879.756012800004</v>
      </c>
      <c r="BK25" s="22">
        <f>BK21*Assum_Volume!$C$22+BK22*Assum_Volume!$C$26</f>
        <v>36232.810099200011</v>
      </c>
      <c r="BL25" s="22">
        <f>BL21*Assum_Volume!$C$22+BL22*Assum_Volume!$C$26</f>
        <v>32938.91827200001</v>
      </c>
      <c r="BM25" s="22">
        <f>BM21*Assum_Volume!$C$22+BM22*Assum_Volume!$C$26</f>
        <v>29645.026444800005</v>
      </c>
      <c r="BN25" s="22">
        <f>BN21*Assum_Volume!$C$22+BN22*Assum_Volume!$C$26</f>
        <v>27998.080531200008</v>
      </c>
      <c r="BO25" s="22">
        <f>BO21*Assum_Volume!$C$22+BO22*Assum_Volume!$C$26</f>
        <v>26351.134617600012</v>
      </c>
      <c r="BP25" s="22">
        <f>BP21*Assum_Volume!$C$22+BP22*Assum_Volume!$C$26</f>
        <v>26351.134617600012</v>
      </c>
      <c r="BQ25" s="22">
        <f>BQ21*Assum_Volume!$C$22+BQ22*Assum_Volume!$C$26</f>
        <v>27998.080531200008</v>
      </c>
      <c r="BR25" s="22">
        <f>BR21*Assum_Volume!$C$22+BR22*Assum_Volume!$C$26</f>
        <v>31291.972358400002</v>
      </c>
      <c r="BS25" s="22">
        <f>BS21*Assum_Volume!$C$22+BS22*Assum_Volume!$C$26</f>
        <v>34585.864185600003</v>
      </c>
      <c r="BT25" s="22">
        <f>BT21*Assum_Volume!$C$22+BT22*Assum_Volume!$C$26</f>
        <v>37879.756012800004</v>
      </c>
      <c r="BU25" s="22">
        <f>BU21*Assum_Volume!$C$22+BU22*Assum_Volume!$C$26</f>
        <v>46114.485580800007</v>
      </c>
      <c r="BV25" s="22">
        <f>BV21*Assum_Volume!$C$22+BV22*Assum_Volume!$C$26</f>
        <v>39394.946253312002</v>
      </c>
      <c r="BW25" s="22">
        <f>BW21*Assum_Volume!$C$22+BW22*Assum_Volume!$C$26</f>
        <v>37682.122503168008</v>
      </c>
      <c r="BX25" s="22">
        <f>BX21*Assum_Volume!$C$22+BX22*Assum_Volume!$C$26</f>
        <v>34256.475002880004</v>
      </c>
      <c r="BY25" s="22">
        <f>BY21*Assum_Volume!$C$22+BY22*Assum_Volume!$C$26</f>
        <v>30830.827502592008</v>
      </c>
      <c r="BZ25" s="22">
        <f>BZ21*Assum_Volume!$C$22+BZ22*Assum_Volume!$C$26</f>
        <v>29118.00375244801</v>
      </c>
      <c r="CA25" s="22">
        <f>CA21*Assum_Volume!$C$22+CA22*Assum_Volume!$C$26</f>
        <v>27405.180002304009</v>
      </c>
      <c r="CB25" s="22">
        <f>CB21*Assum_Volume!$C$22+CB22*Assum_Volume!$C$26</f>
        <v>27405.180002304009</v>
      </c>
      <c r="CC25" s="22">
        <f>CC21*Assum_Volume!$C$22+CC22*Assum_Volume!$C$26</f>
        <v>29118.00375244801</v>
      </c>
      <c r="CD25" s="22">
        <f>CD21*Assum_Volume!$C$22+CD22*Assum_Volume!$C$26</f>
        <v>32543.651252736003</v>
      </c>
      <c r="CE25" s="22">
        <f>CE21*Assum_Volume!$C$22+CE22*Assum_Volume!$C$26</f>
        <v>35969.298753024006</v>
      </c>
      <c r="CF25" s="22">
        <f>CF21*Assum_Volume!$C$22+CF22*Assum_Volume!$C$26</f>
        <v>39394.946253312002</v>
      </c>
      <c r="CG25" s="22">
        <f>CG21*Assum_Volume!$C$22+CG22*Assum_Volume!$C$26</f>
        <v>47959.065004032011</v>
      </c>
      <c r="CH25" s="22">
        <f>CH21*Assum_Volume!$C$22+CH22*Assum_Volume!$C$26</f>
        <v>40970.744103444478</v>
      </c>
      <c r="CI25" s="22">
        <f>CI21*Assum_Volume!$C$22+CI22*Assum_Volume!$C$26</f>
        <v>39189.407403294732</v>
      </c>
      <c r="CJ25" s="22">
        <f>CJ21*Assum_Volume!$C$22+CJ22*Assum_Volume!$C$26</f>
        <v>35626.734002995203</v>
      </c>
      <c r="CK25" s="22">
        <f>CK21*Assum_Volume!$C$22+CK22*Assum_Volume!$C$26</f>
        <v>32064.060602695688</v>
      </c>
      <c r="CL25" s="22">
        <f>CL21*Assum_Volume!$C$22+CL22*Assum_Volume!$C$26</f>
        <v>30282.723902545931</v>
      </c>
      <c r="CM25" s="22">
        <f>CM21*Assum_Volume!$C$22+CM22*Assum_Volume!$C$26</f>
        <v>28501.38720239617</v>
      </c>
      <c r="CN25" s="22">
        <f>CN21*Assum_Volume!$C$22+CN22*Assum_Volume!$C$26</f>
        <v>28501.38720239617</v>
      </c>
      <c r="CO25" s="22">
        <f>CO21*Assum_Volume!$C$22+CO22*Assum_Volume!$C$26</f>
        <v>30282.723902545931</v>
      </c>
      <c r="CP25" s="22">
        <f>CP21*Assum_Volume!$C$22+CP22*Assum_Volume!$C$26</f>
        <v>33845.397302845442</v>
      </c>
      <c r="CQ25" s="22">
        <f>CQ21*Assum_Volume!$C$22+CQ22*Assum_Volume!$C$26</f>
        <v>37408.070703144964</v>
      </c>
      <c r="CR25" s="22">
        <f>CR21*Assum_Volume!$C$22+CR22*Assum_Volume!$C$26</f>
        <v>40970.744103444478</v>
      </c>
      <c r="CS25" s="22">
        <f>CS21*Assum_Volume!$C$22+CS22*Assum_Volume!$C$26</f>
        <v>49877.427604193275</v>
      </c>
      <c r="CT25" s="22">
        <f>CT21*Assum_Volume!$C$22+CT22*Assum_Volume!$C$26</f>
        <v>42609.573867582258</v>
      </c>
      <c r="CU25" s="22">
        <f>CU21*Assum_Volume!$C$22+CU22*Assum_Volume!$C$26</f>
        <v>40756.983699426528</v>
      </c>
      <c r="CV25" s="22">
        <f>CV21*Assum_Volume!$C$22+CV22*Assum_Volume!$C$26</f>
        <v>37051.803363115017</v>
      </c>
      <c r="CW25" s="22">
        <f>CW21*Assum_Volume!$C$22+CW22*Assum_Volume!$C$26</f>
        <v>33346.623026803514</v>
      </c>
      <c r="CX25" s="22">
        <f>CX21*Assum_Volume!$C$22+CX22*Assum_Volume!$C$26</f>
        <v>31494.032858647763</v>
      </c>
      <c r="CY25" s="22">
        <f>CY21*Assum_Volume!$C$22+CY22*Assum_Volume!$C$26</f>
        <v>29641.442690492018</v>
      </c>
      <c r="CZ25" s="22">
        <f>CZ21*Assum_Volume!$C$22+CZ22*Assum_Volume!$C$26</f>
        <v>29641.442690492018</v>
      </c>
      <c r="DA25" s="22">
        <f>DA21*Assum_Volume!$C$22+DA22*Assum_Volume!$C$26</f>
        <v>31494.032858647763</v>
      </c>
      <c r="DB25" s="22">
        <f>DB21*Assum_Volume!$C$22+DB22*Assum_Volume!$C$26</f>
        <v>35199.213194959259</v>
      </c>
      <c r="DC25" s="22">
        <f>DC21*Assum_Volume!$C$22+DC22*Assum_Volume!$C$26</f>
        <v>38904.393531270769</v>
      </c>
      <c r="DD25" s="22">
        <f>DD21*Assum_Volume!$C$22+DD22*Assum_Volume!$C$26</f>
        <v>42609.573867582258</v>
      </c>
      <c r="DE25" s="22">
        <f>DE21*Assum_Volume!$C$22+DE22*Assum_Volume!$C$26</f>
        <v>51872.524708361023</v>
      </c>
      <c r="DF25" s="22">
        <f>DF21*Assum_Volume!$C$22+DF22*Assum_Volume!$C$26</f>
        <v>44313.95682228556</v>
      </c>
      <c r="DG25" s="22">
        <f>DG21*Assum_Volume!$C$22+DG22*Assum_Volume!$C$26</f>
        <v>42387.263047403583</v>
      </c>
      <c r="DH25" s="22">
        <f>DH21*Assum_Volume!$C$22+DH22*Assum_Volume!$C$26</f>
        <v>38533.875497639616</v>
      </c>
      <c r="DI25" s="22">
        <f>DI21*Assum_Volume!$C$22+DI22*Assum_Volume!$C$26</f>
        <v>34680.487947875656</v>
      </c>
      <c r="DJ25" s="22">
        <f>DJ21*Assum_Volume!$C$22+DJ22*Assum_Volume!$C$26</f>
        <v>32753.794172993676</v>
      </c>
      <c r="DK25" s="22">
        <f>DK21*Assum_Volume!$C$22+DK22*Assum_Volume!$C$26</f>
        <v>30827.100398111696</v>
      </c>
      <c r="DL25" s="22">
        <f>DL21*Assum_Volume!$C$22+DL22*Assum_Volume!$C$26</f>
        <v>30827.100398111696</v>
      </c>
      <c r="DM25" s="22">
        <f>DM21*Assum_Volume!$C$22+DM22*Assum_Volume!$C$26</f>
        <v>32753.794172993676</v>
      </c>
      <c r="DN25" s="22">
        <f>DN21*Assum_Volume!$C$22+DN22*Assum_Volume!$C$26</f>
        <v>36607.181722757639</v>
      </c>
      <c r="DO25" s="22">
        <f>DO21*Assum_Volume!$C$22+DO22*Assum_Volume!$C$26</f>
        <v>40460.569272521607</v>
      </c>
      <c r="DP25" s="22">
        <f>DP21*Assum_Volume!$C$22+DP22*Assum_Volume!$C$26</f>
        <v>44313.95682228556</v>
      </c>
      <c r="DQ25" s="22">
        <f>DQ21*Assum_Volume!$C$22+DQ22*Assum_Volume!$C$26</f>
        <v>53947.425696695464</v>
      </c>
    </row>
    <row r="26" spans="1:121" ht="15" customHeight="1">
      <c r="A26" t="s">
        <v>415</v>
      </c>
      <c r="B26" s="22">
        <f>B21*Assum_Volume!$C$23+B22*Assum_Volume!$C$27</f>
        <v>30091.666666666664</v>
      </c>
      <c r="C26" s="22">
        <f>C21*Assum_Volume!$C$23+C22*Assum_Volume!$C$27</f>
        <v>28783.333333333339</v>
      </c>
      <c r="D26" s="22">
        <f>D21*Assum_Volume!$C$23+D22*Assum_Volume!$C$27</f>
        <v>26166.666666666672</v>
      </c>
      <c r="E26" s="22">
        <f>E21*Assum_Volume!$C$23+E22*Assum_Volume!$C$27</f>
        <v>23550</v>
      </c>
      <c r="F26" s="22">
        <f>F21*Assum_Volume!$C$23+F22*Assum_Volume!$C$27</f>
        <v>22241.666666666672</v>
      </c>
      <c r="G26" s="22">
        <f>G21*Assum_Volume!$C$23+G22*Assum_Volume!$C$27</f>
        <v>20933.333333333339</v>
      </c>
      <c r="H26" s="22">
        <f>H21*Assum_Volume!$C$23+H22*Assum_Volume!$C$27</f>
        <v>20933.333333333339</v>
      </c>
      <c r="I26" s="22">
        <f>I21*Assum_Volume!$C$23+I22*Assum_Volume!$C$27</f>
        <v>22241.666666666672</v>
      </c>
      <c r="J26" s="22">
        <f>J21*Assum_Volume!$C$23+J22*Assum_Volume!$C$27</f>
        <v>24858.333333333336</v>
      </c>
      <c r="K26" s="22">
        <f>K21*Assum_Volume!$C$23+K22*Assum_Volume!$C$27</f>
        <v>27475.000000000004</v>
      </c>
      <c r="L26" s="22">
        <f>L21*Assum_Volume!$C$23+L22*Assum_Volume!$C$27</f>
        <v>30091.666666666664</v>
      </c>
      <c r="M26" s="22">
        <f>M21*Assum_Volume!$C$23+M22*Assum_Volume!$C$27</f>
        <v>36633.333333333336</v>
      </c>
      <c r="N26" s="22">
        <f>N21*Assum_Volume!$C$23+N22*Assum_Volume!$C$27</f>
        <v>32499.000000000004</v>
      </c>
      <c r="O26" s="22">
        <f>O21*Assum_Volume!$C$23+O22*Assum_Volume!$C$27</f>
        <v>31086.000000000011</v>
      </c>
      <c r="P26" s="22">
        <f>P21*Assum_Volume!$C$23+P22*Assum_Volume!$C$27</f>
        <v>28260.000000000004</v>
      </c>
      <c r="Q26" s="22">
        <f>Q21*Assum_Volume!$C$23+Q22*Assum_Volume!$C$27</f>
        <v>25434.000000000004</v>
      </c>
      <c r="R26" s="22">
        <f>R21*Assum_Volume!$C$23+R22*Assum_Volume!$C$27</f>
        <v>24021</v>
      </c>
      <c r="S26" s="22">
        <f>S21*Assum_Volume!$C$23+S22*Assum_Volume!$C$27</f>
        <v>22608.000000000007</v>
      </c>
      <c r="T26" s="22">
        <f>T21*Assum_Volume!$C$23+T22*Assum_Volume!$C$27</f>
        <v>22608.000000000007</v>
      </c>
      <c r="U26" s="22">
        <f>U21*Assum_Volume!$C$23+U22*Assum_Volume!$C$27</f>
        <v>24021</v>
      </c>
      <c r="V26" s="22">
        <f>V21*Assum_Volume!$C$23+V22*Assum_Volume!$C$27</f>
        <v>26847.000000000004</v>
      </c>
      <c r="W26" s="22">
        <f>W21*Assum_Volume!$C$23+W22*Assum_Volume!$C$27</f>
        <v>29673.000000000004</v>
      </c>
      <c r="X26" s="22">
        <f>X21*Assum_Volume!$C$23+X22*Assum_Volume!$C$27</f>
        <v>32499.000000000004</v>
      </c>
      <c r="Y26" s="22">
        <f>Y21*Assum_Volume!$C$23+Y22*Assum_Volume!$C$27</f>
        <v>39564</v>
      </c>
      <c r="Z26" s="22">
        <f>Z21*Assum_Volume!$C$23+Z22*Assum_Volume!$C$27</f>
        <v>35098.920000000006</v>
      </c>
      <c r="AA26" s="22">
        <f>AA21*Assum_Volume!$C$23+AA22*Assum_Volume!$C$27</f>
        <v>33572.880000000019</v>
      </c>
      <c r="AB26" s="22">
        <f>AB21*Assum_Volume!$C$23+AB22*Assum_Volume!$C$27</f>
        <v>30520.800000000003</v>
      </c>
      <c r="AC26" s="22">
        <f>AC21*Assum_Volume!$C$23+AC22*Assum_Volume!$C$27</f>
        <v>27468.720000000001</v>
      </c>
      <c r="AD26" s="22">
        <f>AD21*Assum_Volume!$C$23+AD22*Assum_Volume!$C$27</f>
        <v>25942.680000000008</v>
      </c>
      <c r="AE26" s="22">
        <f>AE21*Assum_Volume!$C$23+AE22*Assum_Volume!$C$27</f>
        <v>24416.64000000001</v>
      </c>
      <c r="AF26" s="22">
        <f>AF21*Assum_Volume!$C$23+AF22*Assum_Volume!$C$27</f>
        <v>24416.64000000001</v>
      </c>
      <c r="AG26" s="22">
        <f>AG21*Assum_Volume!$C$23+AG22*Assum_Volume!$C$27</f>
        <v>25942.680000000008</v>
      </c>
      <c r="AH26" s="22">
        <f>AH21*Assum_Volume!$C$23+AH22*Assum_Volume!$C$27</f>
        <v>28994.760000000006</v>
      </c>
      <c r="AI26" s="22">
        <f>AI21*Assum_Volume!$C$23+AI22*Assum_Volume!$C$27</f>
        <v>32046.840000000007</v>
      </c>
      <c r="AJ26" s="22">
        <f>AJ21*Assum_Volume!$C$23+AJ22*Assum_Volume!$C$27</f>
        <v>35098.920000000006</v>
      </c>
      <c r="AK26" s="22">
        <f>AK21*Assum_Volume!$C$23+AK22*Assum_Volume!$C$27</f>
        <v>42729.12000000001</v>
      </c>
      <c r="AL26" s="22">
        <f>AL21*Assum_Volume!$C$23+AL22*Assum_Volume!$C$27</f>
        <v>37204.855200000005</v>
      </c>
      <c r="AM26" s="22">
        <f>AM21*Assum_Volume!$C$23+AM22*Assum_Volume!$C$27</f>
        <v>35587.252800000017</v>
      </c>
      <c r="AN26" s="22">
        <f>AN21*Assum_Volume!$C$23+AN22*Assum_Volume!$C$27</f>
        <v>32352.048000000006</v>
      </c>
      <c r="AO26" s="22">
        <f>AO21*Assum_Volume!$C$23+AO22*Assum_Volume!$C$27</f>
        <v>29116.843200000007</v>
      </c>
      <c r="AP26" s="22">
        <f>AP21*Assum_Volume!$C$23+AP22*Assum_Volume!$C$27</f>
        <v>27499.240800000007</v>
      </c>
      <c r="AQ26" s="22">
        <f>AQ21*Assum_Volume!$C$23+AQ22*Assum_Volume!$C$27</f>
        <v>25881.638400000003</v>
      </c>
      <c r="AR26" s="22">
        <f>AR21*Assum_Volume!$C$23+AR22*Assum_Volume!$C$27</f>
        <v>25881.638400000003</v>
      </c>
      <c r="AS26" s="22">
        <f>AS21*Assum_Volume!$C$23+AS22*Assum_Volume!$C$27</f>
        <v>27499.240800000007</v>
      </c>
      <c r="AT26" s="22">
        <f>AT21*Assum_Volume!$C$23+AT22*Assum_Volume!$C$27</f>
        <v>30734.445600000006</v>
      </c>
      <c r="AU26" s="22">
        <f>AU21*Assum_Volume!$C$23+AU22*Assum_Volume!$C$27</f>
        <v>33969.650400000013</v>
      </c>
      <c r="AV26" s="22">
        <f>AV21*Assum_Volume!$C$23+AV22*Assum_Volume!$C$27</f>
        <v>37204.855200000005</v>
      </c>
      <c r="AW26" s="22">
        <f>AW21*Assum_Volume!$C$23+AW22*Assum_Volume!$C$27</f>
        <v>45292.867200000015</v>
      </c>
      <c r="AX26" s="22">
        <f>AX21*Assum_Volume!$C$23+AX22*Assum_Volume!$C$27</f>
        <v>39437.146511999999</v>
      </c>
      <c r="AY26" s="22">
        <f>AY21*Assum_Volume!$C$23+AY22*Assum_Volume!$C$27</f>
        <v>37722.487968000016</v>
      </c>
      <c r="AZ26" s="22">
        <f>AZ21*Assum_Volume!$C$23+AZ22*Assum_Volume!$C$27</f>
        <v>34293.170880000012</v>
      </c>
      <c r="BA26" s="22">
        <f>BA21*Assum_Volume!$C$23+BA22*Assum_Volume!$C$27</f>
        <v>30863.853792000009</v>
      </c>
      <c r="BB26" s="22">
        <f>BB21*Assum_Volume!$C$23+BB22*Assum_Volume!$C$27</f>
        <v>29149.195248000011</v>
      </c>
      <c r="BC26" s="22">
        <f>BC21*Assum_Volume!$C$23+BC22*Assum_Volume!$C$27</f>
        <v>27434.536704000013</v>
      </c>
      <c r="BD26" s="22">
        <f>BD21*Assum_Volume!$C$23+BD22*Assum_Volume!$C$27</f>
        <v>27434.536704000013</v>
      </c>
      <c r="BE26" s="22">
        <f>BE21*Assum_Volume!$C$23+BE22*Assum_Volume!$C$27</f>
        <v>29149.195248000011</v>
      </c>
      <c r="BF26" s="22">
        <f>BF21*Assum_Volume!$C$23+BF22*Assum_Volume!$C$27</f>
        <v>32578.512336000007</v>
      </c>
      <c r="BG26" s="22">
        <f>BG21*Assum_Volume!$C$23+BG22*Assum_Volume!$C$27</f>
        <v>36007.82942400001</v>
      </c>
      <c r="BH26" s="22">
        <f>BH21*Assum_Volume!$C$23+BH22*Assum_Volume!$C$27</f>
        <v>39437.146511999999</v>
      </c>
      <c r="BI26" s="22">
        <f>BI21*Assum_Volume!$C$23+BI22*Assum_Volume!$C$27</f>
        <v>48010.439232000019</v>
      </c>
      <c r="BJ26" s="22">
        <f>BJ21*Assum_Volume!$C$23+BJ22*Assum_Volume!$C$27</f>
        <v>41014.63237248001</v>
      </c>
      <c r="BK26" s="22">
        <f>BK21*Assum_Volume!$C$23+BK22*Assum_Volume!$C$27</f>
        <v>39231.387486720021</v>
      </c>
      <c r="BL26" s="22">
        <f>BL21*Assum_Volume!$C$23+BL22*Assum_Volume!$C$27</f>
        <v>35664.897715200008</v>
      </c>
      <c r="BM26" s="22">
        <f>BM21*Assum_Volume!$C$23+BM22*Assum_Volume!$C$27</f>
        <v>32098.407943680009</v>
      </c>
      <c r="BN26" s="22">
        <f>BN21*Assum_Volume!$C$23+BN22*Assum_Volume!$C$27</f>
        <v>30315.16305792001</v>
      </c>
      <c r="BO26" s="22">
        <f>BO21*Assum_Volume!$C$23+BO22*Assum_Volume!$C$27</f>
        <v>28531.918172160014</v>
      </c>
      <c r="BP26" s="22">
        <f>BP21*Assum_Volume!$C$23+BP22*Assum_Volume!$C$27</f>
        <v>28531.918172160014</v>
      </c>
      <c r="BQ26" s="22">
        <f>BQ21*Assum_Volume!$C$23+BQ22*Assum_Volume!$C$27</f>
        <v>30315.16305792001</v>
      </c>
      <c r="BR26" s="22">
        <f>BR21*Assum_Volume!$C$23+BR22*Assum_Volume!$C$27</f>
        <v>33881.652829440005</v>
      </c>
      <c r="BS26" s="22">
        <f>BS21*Assum_Volume!$C$23+BS22*Assum_Volume!$C$27</f>
        <v>37448.142600960011</v>
      </c>
      <c r="BT26" s="22">
        <f>BT21*Assum_Volume!$C$23+BT22*Assum_Volume!$C$27</f>
        <v>41014.63237248001</v>
      </c>
      <c r="BU26" s="22">
        <f>BU21*Assum_Volume!$C$23+BU22*Assum_Volume!$C$27</f>
        <v>49930.85680128001</v>
      </c>
      <c r="BV26" s="22">
        <f>BV21*Assum_Volume!$C$23+BV22*Assum_Volume!$C$27</f>
        <v>42655.217667379206</v>
      </c>
      <c r="BW26" s="22">
        <f>BW21*Assum_Volume!$C$23+BW22*Assum_Volume!$C$27</f>
        <v>40800.642986188817</v>
      </c>
      <c r="BX26" s="22">
        <f>BX21*Assum_Volume!$C$23+BX22*Assum_Volume!$C$27</f>
        <v>37091.493623808004</v>
      </c>
      <c r="BY26" s="22">
        <f>BY21*Assum_Volume!$C$23+BY22*Assum_Volume!$C$27</f>
        <v>33382.344261427213</v>
      </c>
      <c r="BZ26" s="22">
        <f>BZ21*Assum_Volume!$C$23+BZ22*Assum_Volume!$C$27</f>
        <v>31527.769580236811</v>
      </c>
      <c r="CA26" s="22">
        <f>CA21*Assum_Volume!$C$23+CA22*Assum_Volume!$C$27</f>
        <v>29673.194899046412</v>
      </c>
      <c r="CB26" s="22">
        <f>CB21*Assum_Volume!$C$23+CB22*Assum_Volume!$C$27</f>
        <v>29673.194899046412</v>
      </c>
      <c r="CC26" s="22">
        <f>CC21*Assum_Volume!$C$23+CC22*Assum_Volume!$C$27</f>
        <v>31527.769580236811</v>
      </c>
      <c r="CD26" s="22">
        <f>CD21*Assum_Volume!$C$23+CD22*Assum_Volume!$C$27</f>
        <v>35236.918942617609</v>
      </c>
      <c r="CE26" s="22">
        <f>CE21*Assum_Volume!$C$23+CE22*Assum_Volume!$C$27</f>
        <v>38946.068304998415</v>
      </c>
      <c r="CF26" s="22">
        <f>CF21*Assum_Volume!$C$23+CF22*Assum_Volume!$C$27</f>
        <v>42655.217667379206</v>
      </c>
      <c r="CG26" s="22">
        <f>CG21*Assum_Volume!$C$23+CG22*Assum_Volume!$C$27</f>
        <v>51928.091073331212</v>
      </c>
      <c r="CH26" s="22">
        <f>CH21*Assum_Volume!$C$23+CH22*Assum_Volume!$C$27</f>
        <v>44361.42637407437</v>
      </c>
      <c r="CI26" s="22">
        <f>CI21*Assum_Volume!$C$23+CI22*Assum_Volume!$C$27</f>
        <v>42432.668705636366</v>
      </c>
      <c r="CJ26" s="22">
        <f>CJ21*Assum_Volume!$C$23+CJ22*Assum_Volume!$C$27</f>
        <v>38575.15336876033</v>
      </c>
      <c r="CK26" s="22">
        <f>CK21*Assum_Volume!$C$23+CK22*Assum_Volume!$C$27</f>
        <v>34717.6380318843</v>
      </c>
      <c r="CL26" s="22">
        <f>CL21*Assum_Volume!$C$23+CL22*Assum_Volume!$C$27</f>
        <v>32788.880363446282</v>
      </c>
      <c r="CM26" s="22">
        <f>CM21*Assum_Volume!$C$23+CM22*Assum_Volume!$C$27</f>
        <v>30860.122695008267</v>
      </c>
      <c r="CN26" s="22">
        <f>CN21*Assum_Volume!$C$23+CN22*Assum_Volume!$C$27</f>
        <v>30860.122695008267</v>
      </c>
      <c r="CO26" s="22">
        <f>CO21*Assum_Volume!$C$23+CO22*Assum_Volume!$C$27</f>
        <v>32788.880363446282</v>
      </c>
      <c r="CP26" s="22">
        <f>CP21*Assum_Volume!$C$23+CP22*Assum_Volume!$C$27</f>
        <v>36646.395700322311</v>
      </c>
      <c r="CQ26" s="22">
        <f>CQ21*Assum_Volume!$C$23+CQ22*Assum_Volume!$C$27</f>
        <v>40503.911037198341</v>
      </c>
      <c r="CR26" s="22">
        <f>CR21*Assum_Volume!$C$23+CR22*Assum_Volume!$C$27</f>
        <v>44361.42637407437</v>
      </c>
      <c r="CS26" s="22">
        <f>CS21*Assum_Volume!$C$23+CS22*Assum_Volume!$C$27</f>
        <v>54005.214716264454</v>
      </c>
      <c r="CT26" s="22">
        <f>CT21*Assum_Volume!$C$23+CT22*Assum_Volume!$C$27</f>
        <v>46135.883429037349</v>
      </c>
      <c r="CU26" s="22">
        <f>CU21*Assum_Volume!$C$23+CU22*Assum_Volume!$C$27</f>
        <v>44129.975453861829</v>
      </c>
      <c r="CV26" s="22">
        <f>CV21*Assum_Volume!$C$23+CV22*Assum_Volume!$C$27</f>
        <v>40118.159503510753</v>
      </c>
      <c r="CW26" s="22">
        <f>CW21*Assum_Volume!$C$23+CW22*Assum_Volume!$C$27</f>
        <v>36106.34355315967</v>
      </c>
      <c r="CX26" s="22">
        <f>CX21*Assum_Volume!$C$23+CX22*Assum_Volume!$C$27</f>
        <v>34100.435577984128</v>
      </c>
      <c r="CY26" s="22">
        <f>CY21*Assum_Volume!$C$23+CY22*Assum_Volume!$C$27</f>
        <v>32094.527602808601</v>
      </c>
      <c r="CZ26" s="22">
        <f>CZ21*Assum_Volume!$C$23+CZ22*Assum_Volume!$C$27</f>
        <v>32094.527602808601</v>
      </c>
      <c r="DA26" s="22">
        <f>DA21*Assum_Volume!$C$23+DA22*Assum_Volume!$C$27</f>
        <v>34100.435577984128</v>
      </c>
      <c r="DB26" s="22">
        <f>DB21*Assum_Volume!$C$23+DB22*Assum_Volume!$C$27</f>
        <v>38112.251528335204</v>
      </c>
      <c r="DC26" s="22">
        <f>DC21*Assum_Volume!$C$23+DC22*Assum_Volume!$C$27</f>
        <v>42124.06747868628</v>
      </c>
      <c r="DD26" s="22">
        <f>DD21*Assum_Volume!$C$23+DD22*Assum_Volume!$C$27</f>
        <v>46135.883429037349</v>
      </c>
      <c r="DE26" s="22">
        <f>DE21*Assum_Volume!$C$23+DE22*Assum_Volume!$C$27</f>
        <v>56165.423304915035</v>
      </c>
      <c r="DF26" s="22">
        <f>DF21*Assum_Volume!$C$23+DF22*Assum_Volume!$C$27</f>
        <v>47981.318766198849</v>
      </c>
      <c r="DG26" s="22">
        <f>DG21*Assum_Volume!$C$23+DG22*Assum_Volume!$C$27</f>
        <v>45895.174472016297</v>
      </c>
      <c r="DH26" s="22">
        <f>DH21*Assum_Volume!$C$23+DH22*Assum_Volume!$C$27</f>
        <v>41722.885883651179</v>
      </c>
      <c r="DI26" s="22">
        <f>DI21*Assum_Volume!$C$23+DI22*Assum_Volume!$C$27</f>
        <v>37550.597295286061</v>
      </c>
      <c r="DJ26" s="22">
        <f>DJ21*Assum_Volume!$C$23+DJ22*Assum_Volume!$C$27</f>
        <v>35464.453001103495</v>
      </c>
      <c r="DK26" s="22">
        <f>DK21*Assum_Volume!$C$23+DK22*Assum_Volume!$C$27</f>
        <v>33378.308706920943</v>
      </c>
      <c r="DL26" s="22">
        <f>DL21*Assum_Volume!$C$23+DL22*Assum_Volume!$C$27</f>
        <v>33378.308706920943</v>
      </c>
      <c r="DM26" s="22">
        <f>DM21*Assum_Volume!$C$23+DM22*Assum_Volume!$C$27</f>
        <v>35464.453001103495</v>
      </c>
      <c r="DN26" s="22">
        <f>DN21*Assum_Volume!$C$23+DN22*Assum_Volume!$C$27</f>
        <v>39636.74158946862</v>
      </c>
      <c r="DO26" s="22">
        <f>DO21*Assum_Volume!$C$23+DO22*Assum_Volume!$C$27</f>
        <v>43809.030177833745</v>
      </c>
      <c r="DP26" s="22">
        <f>DP21*Assum_Volume!$C$23+DP22*Assum_Volume!$C$27</f>
        <v>47981.318766198849</v>
      </c>
      <c r="DQ26" s="22">
        <f>DQ21*Assum_Volume!$C$23+DQ22*Assum_Volume!$C$27</f>
        <v>58412.040237111643</v>
      </c>
    </row>
    <row r="27" spans="1:121" ht="15" customHeight="1">
      <c r="A27" t="s">
        <v>416</v>
      </c>
      <c r="B27" s="22">
        <f>B21*Assum_Volume!$C$21</f>
        <v>18783.333333333328</v>
      </c>
      <c r="C27" s="22">
        <f>C21*Assum_Volume!$C$21</f>
        <v>17966.666666666668</v>
      </c>
      <c r="D27" s="22">
        <f>D21*Assum_Volume!$C$21</f>
        <v>16333.333333333332</v>
      </c>
      <c r="E27" s="22">
        <f>E21*Assum_Volume!$C$21</f>
        <v>14699.999999999998</v>
      </c>
      <c r="F27" s="22">
        <f>F21*Assum_Volume!$C$21</f>
        <v>13883.333333333332</v>
      </c>
      <c r="G27" s="22">
        <f>G21*Assum_Volume!$C$21</f>
        <v>13066.666666666666</v>
      </c>
      <c r="H27" s="22">
        <f>H21*Assum_Volume!$C$21</f>
        <v>13066.666666666666</v>
      </c>
      <c r="I27" s="22">
        <f>I21*Assum_Volume!$C$21</f>
        <v>13883.333333333332</v>
      </c>
      <c r="J27" s="22">
        <f>J21*Assum_Volume!$C$21</f>
        <v>15516.666666666664</v>
      </c>
      <c r="K27" s="22">
        <f>K21*Assum_Volume!$C$21</f>
        <v>17150</v>
      </c>
      <c r="L27" s="22">
        <f>L21*Assum_Volume!$C$21</f>
        <v>18783.333333333328</v>
      </c>
      <c r="M27" s="22">
        <f>M21*Assum_Volume!$C$21</f>
        <v>22866.666666666664</v>
      </c>
      <c r="N27" s="22">
        <f>N21*Assum_Volume!$C$21</f>
        <v>20285.999999999996</v>
      </c>
      <c r="O27" s="22">
        <f>O21*Assum_Volume!$C$21</f>
        <v>19404</v>
      </c>
      <c r="P27" s="22">
        <f>P21*Assum_Volume!$C$21</f>
        <v>17640</v>
      </c>
      <c r="Q27" s="22">
        <f>Q21*Assum_Volume!$C$21</f>
        <v>15875.999999999998</v>
      </c>
      <c r="R27" s="22">
        <f>R21*Assum_Volume!$C$21</f>
        <v>14993.999999999998</v>
      </c>
      <c r="S27" s="22">
        <f>S21*Assum_Volume!$C$21</f>
        <v>14112.000000000002</v>
      </c>
      <c r="T27" s="22">
        <f>T21*Assum_Volume!$C$21</f>
        <v>14112.000000000002</v>
      </c>
      <c r="U27" s="22">
        <f>U21*Assum_Volume!$C$21</f>
        <v>14993.999999999998</v>
      </c>
      <c r="V27" s="22">
        <f>V21*Assum_Volume!$C$21</f>
        <v>16758</v>
      </c>
      <c r="W27" s="22">
        <f>W21*Assum_Volume!$C$21</f>
        <v>18522</v>
      </c>
      <c r="X27" s="22">
        <f>X21*Assum_Volume!$C$21</f>
        <v>20285.999999999996</v>
      </c>
      <c r="Y27" s="22">
        <f>Y21*Assum_Volume!$C$21</f>
        <v>24696</v>
      </c>
      <c r="Z27" s="22">
        <f>Z21*Assum_Volume!$C$21</f>
        <v>21908.879999999997</v>
      </c>
      <c r="AA27" s="22">
        <f>AA21*Assum_Volume!$C$21</f>
        <v>20956.320000000007</v>
      </c>
      <c r="AB27" s="22">
        <f>AB21*Assum_Volume!$C$21</f>
        <v>19051.199999999997</v>
      </c>
      <c r="AC27" s="22">
        <f>AC21*Assum_Volume!$C$21</f>
        <v>17146.079999999998</v>
      </c>
      <c r="AD27" s="22">
        <f>AD21*Assum_Volume!$C$21</f>
        <v>16193.52</v>
      </c>
      <c r="AE27" s="22">
        <f>AE21*Assum_Volume!$C$21</f>
        <v>15240.960000000001</v>
      </c>
      <c r="AF27" s="22">
        <f>AF21*Assum_Volume!$C$21</f>
        <v>15240.960000000001</v>
      </c>
      <c r="AG27" s="22">
        <f>AG21*Assum_Volume!$C$21</f>
        <v>16193.52</v>
      </c>
      <c r="AH27" s="22">
        <f>AH21*Assum_Volume!$C$21</f>
        <v>18098.639999999996</v>
      </c>
      <c r="AI27" s="22">
        <f>AI21*Assum_Volume!$C$21</f>
        <v>20003.760000000002</v>
      </c>
      <c r="AJ27" s="22">
        <f>AJ21*Assum_Volume!$C$21</f>
        <v>21908.879999999997</v>
      </c>
      <c r="AK27" s="22">
        <f>AK21*Assum_Volume!$C$21</f>
        <v>26671.68</v>
      </c>
      <c r="AL27" s="22">
        <f>AL21*Assum_Volume!$C$21</f>
        <v>23223.412799999995</v>
      </c>
      <c r="AM27" s="22">
        <f>AM21*Assum_Volume!$C$21</f>
        <v>22213.699200000006</v>
      </c>
      <c r="AN27" s="22">
        <f>AN21*Assum_Volume!$C$21</f>
        <v>20194.271999999997</v>
      </c>
      <c r="AO27" s="22">
        <f>AO21*Assum_Volume!$C$21</f>
        <v>18174.844799999999</v>
      </c>
      <c r="AP27" s="22">
        <f>AP21*Assum_Volume!$C$21</f>
        <v>17165.1312</v>
      </c>
      <c r="AQ27" s="22">
        <f>AQ21*Assum_Volume!$C$21</f>
        <v>16155.417600000001</v>
      </c>
      <c r="AR27" s="22">
        <f>AR21*Assum_Volume!$C$21</f>
        <v>16155.417600000001</v>
      </c>
      <c r="AS27" s="22">
        <f>AS21*Assum_Volume!$C$21</f>
        <v>17165.1312</v>
      </c>
      <c r="AT27" s="22">
        <f>AT21*Assum_Volume!$C$21</f>
        <v>19184.558400000002</v>
      </c>
      <c r="AU27" s="22">
        <f>AU21*Assum_Volume!$C$21</f>
        <v>21203.9856</v>
      </c>
      <c r="AV27" s="22">
        <f>AV21*Assum_Volume!$C$21</f>
        <v>23223.412799999995</v>
      </c>
      <c r="AW27" s="22">
        <f>AW21*Assum_Volume!$C$21</f>
        <v>28271.980800000001</v>
      </c>
      <c r="AX27" s="22">
        <f>AX21*Assum_Volume!$C$21</f>
        <v>24616.817567999999</v>
      </c>
      <c r="AY27" s="22">
        <f>AY21*Assum_Volume!$C$21</f>
        <v>23546.521152000008</v>
      </c>
      <c r="AZ27" s="22">
        <f>AZ21*Assum_Volume!$C$21</f>
        <v>21405.928320000003</v>
      </c>
      <c r="BA27" s="22">
        <f>BA21*Assum_Volume!$C$21</f>
        <v>19265.335488000001</v>
      </c>
      <c r="BB27" s="22">
        <f>BB21*Assum_Volume!$C$21</f>
        <v>18195.039072</v>
      </c>
      <c r="BC27" s="22">
        <f>BC21*Assum_Volume!$C$21</f>
        <v>17124.742656000002</v>
      </c>
      <c r="BD27" s="22">
        <f>BD21*Assum_Volume!$C$21</f>
        <v>17124.742656000002</v>
      </c>
      <c r="BE27" s="22">
        <f>BE21*Assum_Volume!$C$21</f>
        <v>18195.039072</v>
      </c>
      <c r="BF27" s="22">
        <f>BF21*Assum_Volume!$C$21</f>
        <v>20335.631904000002</v>
      </c>
      <c r="BG27" s="22">
        <f>BG21*Assum_Volume!$C$21</f>
        <v>22476.224736000004</v>
      </c>
      <c r="BH27" s="22">
        <f>BH21*Assum_Volume!$C$21</f>
        <v>24616.817567999999</v>
      </c>
      <c r="BI27" s="22">
        <f>BI21*Assum_Volume!$C$21</f>
        <v>29968.299648</v>
      </c>
      <c r="BJ27" s="22">
        <f>BJ21*Assum_Volume!$C$21</f>
        <v>25601.490270720002</v>
      </c>
      <c r="BK27" s="22">
        <f>BK21*Assum_Volume!$C$21</f>
        <v>24488.381998080007</v>
      </c>
      <c r="BL27" s="22">
        <f>BL21*Assum_Volume!$C$21</f>
        <v>22262.1654528</v>
      </c>
      <c r="BM27" s="22">
        <f>BM21*Assum_Volume!$C$21</f>
        <v>20035.948907520004</v>
      </c>
      <c r="BN27" s="22">
        <f>BN21*Assum_Volume!$C$21</f>
        <v>18922.840634880002</v>
      </c>
      <c r="BO27" s="22">
        <f>BO21*Assum_Volume!$C$21</f>
        <v>17809.732362240004</v>
      </c>
      <c r="BP27" s="22">
        <f>BP21*Assum_Volume!$C$21</f>
        <v>17809.732362240004</v>
      </c>
      <c r="BQ27" s="22">
        <f>BQ21*Assum_Volume!$C$21</f>
        <v>18922.840634880002</v>
      </c>
      <c r="BR27" s="22">
        <f>BR21*Assum_Volume!$C$21</f>
        <v>21149.057180159998</v>
      </c>
      <c r="BS27" s="22">
        <f>BS21*Assum_Volume!$C$21</f>
        <v>23375.273725440002</v>
      </c>
      <c r="BT27" s="22">
        <f>BT21*Assum_Volume!$C$21</f>
        <v>25601.490270720002</v>
      </c>
      <c r="BU27" s="22">
        <f>BU21*Assum_Volume!$C$21</f>
        <v>31167.031633919996</v>
      </c>
      <c r="BV27" s="22">
        <f>BV21*Assum_Volume!$C$21</f>
        <v>26625.549881548799</v>
      </c>
      <c r="BW27" s="22">
        <f>BW21*Assum_Volume!$C$21</f>
        <v>25467.917278003202</v>
      </c>
      <c r="BX27" s="22">
        <f>BX21*Assum_Volume!$C$21</f>
        <v>23152.652070912001</v>
      </c>
      <c r="BY27" s="22">
        <f>BY21*Assum_Volume!$C$21</f>
        <v>20837.3868638208</v>
      </c>
      <c r="BZ27" s="22">
        <f>BZ21*Assum_Volume!$C$21</f>
        <v>19679.7542602752</v>
      </c>
      <c r="CA27" s="22">
        <f>CA21*Assum_Volume!$C$21</f>
        <v>18522.121656729603</v>
      </c>
      <c r="CB27" s="22">
        <f>CB21*Assum_Volume!$C$21</f>
        <v>18522.121656729603</v>
      </c>
      <c r="CC27" s="22">
        <f>CC21*Assum_Volume!$C$21</f>
        <v>19679.7542602752</v>
      </c>
      <c r="CD27" s="22">
        <f>CD21*Assum_Volume!$C$21</f>
        <v>21995.019467366401</v>
      </c>
      <c r="CE27" s="22">
        <f>CE21*Assum_Volume!$C$21</f>
        <v>24310.284674457602</v>
      </c>
      <c r="CF27" s="22">
        <f>CF21*Assum_Volume!$C$21</f>
        <v>26625.549881548799</v>
      </c>
      <c r="CG27" s="22">
        <f>CG21*Assum_Volume!$C$21</f>
        <v>32413.712899276801</v>
      </c>
      <c r="CH27" s="22">
        <f>CH21*Assum_Volume!$C$21</f>
        <v>27690.571876810747</v>
      </c>
      <c r="CI27" s="22">
        <f>CI21*Assum_Volume!$C$21</f>
        <v>26486.633969123333</v>
      </c>
      <c r="CJ27" s="22">
        <f>CJ21*Assum_Volume!$C$21</f>
        <v>24078.758153748477</v>
      </c>
      <c r="CK27" s="22">
        <f>CK21*Assum_Volume!$C$21</f>
        <v>21670.882338373631</v>
      </c>
      <c r="CL27" s="22">
        <f>CL21*Assum_Volume!$C$21</f>
        <v>20466.94443068621</v>
      </c>
      <c r="CM27" s="22">
        <f>CM21*Assum_Volume!$C$21</f>
        <v>19263.006522998785</v>
      </c>
      <c r="CN27" s="22">
        <f>CN21*Assum_Volume!$C$21</f>
        <v>19263.006522998785</v>
      </c>
      <c r="CO27" s="22">
        <f>CO21*Assum_Volume!$C$21</f>
        <v>20466.94443068621</v>
      </c>
      <c r="CP27" s="22">
        <f>CP21*Assum_Volume!$C$21</f>
        <v>22874.820246061056</v>
      </c>
      <c r="CQ27" s="22">
        <f>CQ21*Assum_Volume!$C$21</f>
        <v>25282.696061435901</v>
      </c>
      <c r="CR27" s="22">
        <f>CR21*Assum_Volume!$C$21</f>
        <v>27690.571876810747</v>
      </c>
      <c r="CS27" s="22">
        <f>CS21*Assum_Volume!$C$21</f>
        <v>33710.261415247864</v>
      </c>
      <c r="CT27" s="22">
        <f>CT21*Assum_Volume!$C$21</f>
        <v>28798.19475188318</v>
      </c>
      <c r="CU27" s="22">
        <f>CU21*Assum_Volume!$C$21</f>
        <v>27546.099327888267</v>
      </c>
      <c r="CV27" s="22">
        <f>CV21*Assum_Volume!$C$21</f>
        <v>25041.908479898422</v>
      </c>
      <c r="CW27" s="22">
        <f>CW21*Assum_Volume!$C$21</f>
        <v>22537.717631908577</v>
      </c>
      <c r="CX27" s="22">
        <f>CX21*Assum_Volume!$C$21</f>
        <v>21285.622207913657</v>
      </c>
      <c r="CY27" s="22">
        <f>CY21*Assum_Volume!$C$21</f>
        <v>20033.52678391874</v>
      </c>
      <c r="CZ27" s="22">
        <f>CZ21*Assum_Volume!$C$21</f>
        <v>20033.52678391874</v>
      </c>
      <c r="DA27" s="22">
        <f>DA21*Assum_Volume!$C$21</f>
        <v>21285.622207913657</v>
      </c>
      <c r="DB27" s="22">
        <f>DB21*Assum_Volume!$C$21</f>
        <v>23789.813055903494</v>
      </c>
      <c r="DC27" s="22">
        <f>DC21*Assum_Volume!$C$21</f>
        <v>26294.003903893339</v>
      </c>
      <c r="DD27" s="22">
        <f>DD21*Assum_Volume!$C$21</f>
        <v>28798.19475188318</v>
      </c>
      <c r="DE27" s="22">
        <f>DE21*Assum_Volume!$C$21</f>
        <v>35058.67187185779</v>
      </c>
      <c r="DF27" s="22">
        <f>DF21*Assum_Volume!$C$21</f>
        <v>29950.122541958513</v>
      </c>
      <c r="DG27" s="22">
        <f>DG21*Assum_Volume!$C$21</f>
        <v>28647.943301003794</v>
      </c>
      <c r="DH27" s="22">
        <f>DH21*Assum_Volume!$C$21</f>
        <v>26043.584819094358</v>
      </c>
      <c r="DI27" s="22">
        <f>DI21*Assum_Volume!$C$21</f>
        <v>23439.226337184922</v>
      </c>
      <c r="DJ27" s="22">
        <f>DJ21*Assum_Volume!$C$21</f>
        <v>22137.047096230202</v>
      </c>
      <c r="DK27" s="22">
        <f>DK21*Assum_Volume!$C$21</f>
        <v>20834.86785527549</v>
      </c>
      <c r="DL27" s="22">
        <f>DL21*Assum_Volume!$C$21</f>
        <v>20834.86785527549</v>
      </c>
      <c r="DM27" s="22">
        <f>DM21*Assum_Volume!$C$21</f>
        <v>22137.047096230202</v>
      </c>
      <c r="DN27" s="22">
        <f>DN21*Assum_Volume!$C$21</f>
        <v>24741.405578139642</v>
      </c>
      <c r="DO27" s="22">
        <f>DO21*Assum_Volume!$C$21</f>
        <v>27345.764060049078</v>
      </c>
      <c r="DP27" s="22">
        <f>DP21*Assum_Volume!$C$21</f>
        <v>29950.122541958513</v>
      </c>
      <c r="DQ27" s="22">
        <f>DQ21*Assum_Volume!$C$21</f>
        <v>36461.018746732101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Q30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417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5" spans="1:121" ht="15" customHeight="1">
      <c r="A5" t="s">
        <v>418</v>
      </c>
      <c r="B5" s="28">
        <v>1</v>
      </c>
      <c r="C5" s="28">
        <f t="shared" ref="C5:M5" si="0">B5</f>
        <v>1</v>
      </c>
      <c r="D5" s="28">
        <f t="shared" si="0"/>
        <v>1</v>
      </c>
      <c r="E5" s="28">
        <f t="shared" si="0"/>
        <v>1</v>
      </c>
      <c r="F5" s="28">
        <f t="shared" si="0"/>
        <v>1</v>
      </c>
      <c r="G5" s="28">
        <f t="shared" si="0"/>
        <v>1</v>
      </c>
      <c r="H5" s="28">
        <f t="shared" si="0"/>
        <v>1</v>
      </c>
      <c r="I5" s="28">
        <f t="shared" si="0"/>
        <v>1</v>
      </c>
      <c r="J5" s="28">
        <f t="shared" si="0"/>
        <v>1</v>
      </c>
      <c r="K5" s="28">
        <f t="shared" si="0"/>
        <v>1</v>
      </c>
      <c r="L5" s="28">
        <f t="shared" si="0"/>
        <v>1</v>
      </c>
      <c r="M5" s="28">
        <f t="shared" si="0"/>
        <v>1</v>
      </c>
      <c r="N5" s="28">
        <f>M5*(1+INDEX(Assum_Pricing!$C$36:$C$38,Control!$D$5,1))</f>
        <v>1.0249999999999999</v>
      </c>
      <c r="O5" s="28">
        <f t="shared" ref="O5:Y5" si="1">N5</f>
        <v>1.0249999999999999</v>
      </c>
      <c r="P5" s="28">
        <f t="shared" si="1"/>
        <v>1.0249999999999999</v>
      </c>
      <c r="Q5" s="28">
        <f t="shared" si="1"/>
        <v>1.0249999999999999</v>
      </c>
      <c r="R5" s="28">
        <f t="shared" si="1"/>
        <v>1.0249999999999999</v>
      </c>
      <c r="S5" s="28">
        <f t="shared" si="1"/>
        <v>1.0249999999999999</v>
      </c>
      <c r="T5" s="28">
        <f t="shared" si="1"/>
        <v>1.0249999999999999</v>
      </c>
      <c r="U5" s="28">
        <f t="shared" si="1"/>
        <v>1.0249999999999999</v>
      </c>
      <c r="V5" s="28">
        <f t="shared" si="1"/>
        <v>1.0249999999999999</v>
      </c>
      <c r="W5" s="28">
        <f t="shared" si="1"/>
        <v>1.0249999999999999</v>
      </c>
      <c r="X5" s="28">
        <f t="shared" si="1"/>
        <v>1.0249999999999999</v>
      </c>
      <c r="Y5" s="28">
        <f t="shared" si="1"/>
        <v>1.0249999999999999</v>
      </c>
      <c r="Z5" s="28">
        <f>Y5*(1+INDEX(Assum_Pricing!$C$36:$C$38,Control!$D$5,1))</f>
        <v>1.0506249999999999</v>
      </c>
      <c r="AA5" s="28">
        <f t="shared" ref="AA5:AK5" si="2">Z5</f>
        <v>1.0506249999999999</v>
      </c>
      <c r="AB5" s="28">
        <f t="shared" si="2"/>
        <v>1.0506249999999999</v>
      </c>
      <c r="AC5" s="28">
        <f t="shared" si="2"/>
        <v>1.0506249999999999</v>
      </c>
      <c r="AD5" s="28">
        <f t="shared" si="2"/>
        <v>1.0506249999999999</v>
      </c>
      <c r="AE5" s="28">
        <f t="shared" si="2"/>
        <v>1.0506249999999999</v>
      </c>
      <c r="AF5" s="28">
        <f t="shared" si="2"/>
        <v>1.0506249999999999</v>
      </c>
      <c r="AG5" s="28">
        <f t="shared" si="2"/>
        <v>1.0506249999999999</v>
      </c>
      <c r="AH5" s="28">
        <f t="shared" si="2"/>
        <v>1.0506249999999999</v>
      </c>
      <c r="AI5" s="28">
        <f t="shared" si="2"/>
        <v>1.0506249999999999</v>
      </c>
      <c r="AJ5" s="28">
        <f t="shared" si="2"/>
        <v>1.0506249999999999</v>
      </c>
      <c r="AK5" s="28">
        <f t="shared" si="2"/>
        <v>1.0506249999999999</v>
      </c>
      <c r="AL5" s="28">
        <f>AK5*(1+INDEX(Assum_Pricing!$C$36:$C$38,Control!$D$5,1))</f>
        <v>1.0768906249999999</v>
      </c>
      <c r="AM5" s="28">
        <f t="shared" ref="AM5:AW5" si="3">AL5</f>
        <v>1.0768906249999999</v>
      </c>
      <c r="AN5" s="28">
        <f t="shared" si="3"/>
        <v>1.0768906249999999</v>
      </c>
      <c r="AO5" s="28">
        <f t="shared" si="3"/>
        <v>1.0768906249999999</v>
      </c>
      <c r="AP5" s="28">
        <f t="shared" si="3"/>
        <v>1.0768906249999999</v>
      </c>
      <c r="AQ5" s="28">
        <f t="shared" si="3"/>
        <v>1.0768906249999999</v>
      </c>
      <c r="AR5" s="28">
        <f t="shared" si="3"/>
        <v>1.0768906249999999</v>
      </c>
      <c r="AS5" s="28">
        <f t="shared" si="3"/>
        <v>1.0768906249999999</v>
      </c>
      <c r="AT5" s="28">
        <f t="shared" si="3"/>
        <v>1.0768906249999999</v>
      </c>
      <c r="AU5" s="28">
        <f t="shared" si="3"/>
        <v>1.0768906249999999</v>
      </c>
      <c r="AV5" s="28">
        <f t="shared" si="3"/>
        <v>1.0768906249999999</v>
      </c>
      <c r="AW5" s="28">
        <f t="shared" si="3"/>
        <v>1.0768906249999999</v>
      </c>
      <c r="AX5" s="28">
        <f>AW5*(1+INDEX(Assum_Pricing!$C$36:$C$38,Control!$D$5,1))</f>
        <v>1.1038128906249998</v>
      </c>
      <c r="AY5" s="28">
        <f t="shared" ref="AY5:BI5" si="4">AX5</f>
        <v>1.1038128906249998</v>
      </c>
      <c r="AZ5" s="28">
        <f t="shared" si="4"/>
        <v>1.1038128906249998</v>
      </c>
      <c r="BA5" s="28">
        <f t="shared" si="4"/>
        <v>1.1038128906249998</v>
      </c>
      <c r="BB5" s="28">
        <f t="shared" si="4"/>
        <v>1.1038128906249998</v>
      </c>
      <c r="BC5" s="28">
        <f t="shared" si="4"/>
        <v>1.1038128906249998</v>
      </c>
      <c r="BD5" s="28">
        <f t="shared" si="4"/>
        <v>1.1038128906249998</v>
      </c>
      <c r="BE5" s="28">
        <f t="shared" si="4"/>
        <v>1.1038128906249998</v>
      </c>
      <c r="BF5" s="28">
        <f t="shared" si="4"/>
        <v>1.1038128906249998</v>
      </c>
      <c r="BG5" s="28">
        <f t="shared" si="4"/>
        <v>1.1038128906249998</v>
      </c>
      <c r="BH5" s="28">
        <f t="shared" si="4"/>
        <v>1.1038128906249998</v>
      </c>
      <c r="BI5" s="28">
        <f t="shared" si="4"/>
        <v>1.1038128906249998</v>
      </c>
      <c r="BJ5" s="28">
        <f>BI5*(1+INDEX(Assum_Pricing!$C$36:$C$38,Control!$D$5,1))</f>
        <v>1.1314082128906247</v>
      </c>
      <c r="BK5" s="28">
        <f t="shared" ref="BK5:BU5" si="5">BJ5</f>
        <v>1.1314082128906247</v>
      </c>
      <c r="BL5" s="28">
        <f t="shared" si="5"/>
        <v>1.1314082128906247</v>
      </c>
      <c r="BM5" s="28">
        <f t="shared" si="5"/>
        <v>1.1314082128906247</v>
      </c>
      <c r="BN5" s="28">
        <f t="shared" si="5"/>
        <v>1.1314082128906247</v>
      </c>
      <c r="BO5" s="28">
        <f t="shared" si="5"/>
        <v>1.1314082128906247</v>
      </c>
      <c r="BP5" s="28">
        <f t="shared" si="5"/>
        <v>1.1314082128906247</v>
      </c>
      <c r="BQ5" s="28">
        <f t="shared" si="5"/>
        <v>1.1314082128906247</v>
      </c>
      <c r="BR5" s="28">
        <f t="shared" si="5"/>
        <v>1.1314082128906247</v>
      </c>
      <c r="BS5" s="28">
        <f t="shared" si="5"/>
        <v>1.1314082128906247</v>
      </c>
      <c r="BT5" s="28">
        <f t="shared" si="5"/>
        <v>1.1314082128906247</v>
      </c>
      <c r="BU5" s="28">
        <f t="shared" si="5"/>
        <v>1.1314082128906247</v>
      </c>
      <c r="BV5" s="28">
        <f>BU5*(1+INDEX(Assum_Pricing!$C$36:$C$38,Control!$D$5,1))</f>
        <v>1.1596934182128902</v>
      </c>
      <c r="BW5" s="28">
        <f t="shared" ref="BW5:CG5" si="6">BV5</f>
        <v>1.1596934182128902</v>
      </c>
      <c r="BX5" s="28">
        <f t="shared" si="6"/>
        <v>1.1596934182128902</v>
      </c>
      <c r="BY5" s="28">
        <f t="shared" si="6"/>
        <v>1.1596934182128902</v>
      </c>
      <c r="BZ5" s="28">
        <f t="shared" si="6"/>
        <v>1.1596934182128902</v>
      </c>
      <c r="CA5" s="28">
        <f t="shared" si="6"/>
        <v>1.1596934182128902</v>
      </c>
      <c r="CB5" s="28">
        <f t="shared" si="6"/>
        <v>1.1596934182128902</v>
      </c>
      <c r="CC5" s="28">
        <f t="shared" si="6"/>
        <v>1.1596934182128902</v>
      </c>
      <c r="CD5" s="28">
        <f t="shared" si="6"/>
        <v>1.1596934182128902</v>
      </c>
      <c r="CE5" s="28">
        <f t="shared" si="6"/>
        <v>1.1596934182128902</v>
      </c>
      <c r="CF5" s="28">
        <f t="shared" si="6"/>
        <v>1.1596934182128902</v>
      </c>
      <c r="CG5" s="28">
        <f t="shared" si="6"/>
        <v>1.1596934182128902</v>
      </c>
      <c r="CH5" s="28">
        <f>CG5*(1+INDEX(Assum_Pricing!$C$36:$C$38,Control!$D$5,1))</f>
        <v>1.1886857536682123</v>
      </c>
      <c r="CI5" s="28">
        <f t="shared" ref="CI5:CS5" si="7">CH5</f>
        <v>1.1886857536682123</v>
      </c>
      <c r="CJ5" s="28">
        <f t="shared" si="7"/>
        <v>1.1886857536682123</v>
      </c>
      <c r="CK5" s="28">
        <f t="shared" si="7"/>
        <v>1.1886857536682123</v>
      </c>
      <c r="CL5" s="28">
        <f t="shared" si="7"/>
        <v>1.1886857536682123</v>
      </c>
      <c r="CM5" s="28">
        <f t="shared" si="7"/>
        <v>1.1886857536682123</v>
      </c>
      <c r="CN5" s="28">
        <f t="shared" si="7"/>
        <v>1.1886857536682123</v>
      </c>
      <c r="CO5" s="28">
        <f t="shared" si="7"/>
        <v>1.1886857536682123</v>
      </c>
      <c r="CP5" s="28">
        <f t="shared" si="7"/>
        <v>1.1886857536682123</v>
      </c>
      <c r="CQ5" s="28">
        <f t="shared" si="7"/>
        <v>1.1886857536682123</v>
      </c>
      <c r="CR5" s="28">
        <f t="shared" si="7"/>
        <v>1.1886857536682123</v>
      </c>
      <c r="CS5" s="28">
        <f t="shared" si="7"/>
        <v>1.1886857536682123</v>
      </c>
      <c r="CT5" s="28">
        <f>CS5*(1+INDEX(Assum_Pricing!$C$36:$C$38,Control!$D$5,1))</f>
        <v>1.2184028975099175</v>
      </c>
      <c r="CU5" s="28">
        <f t="shared" ref="CU5:DE5" si="8">CT5</f>
        <v>1.2184028975099175</v>
      </c>
      <c r="CV5" s="28">
        <f t="shared" si="8"/>
        <v>1.2184028975099175</v>
      </c>
      <c r="CW5" s="28">
        <f t="shared" si="8"/>
        <v>1.2184028975099175</v>
      </c>
      <c r="CX5" s="28">
        <f t="shared" si="8"/>
        <v>1.2184028975099175</v>
      </c>
      <c r="CY5" s="28">
        <f t="shared" si="8"/>
        <v>1.2184028975099175</v>
      </c>
      <c r="CZ5" s="28">
        <f t="shared" si="8"/>
        <v>1.2184028975099175</v>
      </c>
      <c r="DA5" s="28">
        <f t="shared" si="8"/>
        <v>1.2184028975099175</v>
      </c>
      <c r="DB5" s="28">
        <f t="shared" si="8"/>
        <v>1.2184028975099175</v>
      </c>
      <c r="DC5" s="28">
        <f t="shared" si="8"/>
        <v>1.2184028975099175</v>
      </c>
      <c r="DD5" s="28">
        <f t="shared" si="8"/>
        <v>1.2184028975099175</v>
      </c>
      <c r="DE5" s="28">
        <f t="shared" si="8"/>
        <v>1.2184028975099175</v>
      </c>
      <c r="DF5" s="28">
        <f>DE5*(1+INDEX(Assum_Pricing!$C$36:$C$38,Control!$D$5,1))</f>
        <v>1.2488629699476652</v>
      </c>
      <c r="DG5" s="28">
        <f t="shared" ref="DG5:DQ5" si="9">DF5</f>
        <v>1.2488629699476652</v>
      </c>
      <c r="DH5" s="28">
        <f t="shared" si="9"/>
        <v>1.2488629699476652</v>
      </c>
      <c r="DI5" s="28">
        <f t="shared" si="9"/>
        <v>1.2488629699476652</v>
      </c>
      <c r="DJ5" s="28">
        <f t="shared" si="9"/>
        <v>1.2488629699476652</v>
      </c>
      <c r="DK5" s="28">
        <f t="shared" si="9"/>
        <v>1.2488629699476652</v>
      </c>
      <c r="DL5" s="28">
        <f t="shared" si="9"/>
        <v>1.2488629699476652</v>
      </c>
      <c r="DM5" s="28">
        <f t="shared" si="9"/>
        <v>1.2488629699476652</v>
      </c>
      <c r="DN5" s="28">
        <f t="shared" si="9"/>
        <v>1.2488629699476652</v>
      </c>
      <c r="DO5" s="28">
        <f t="shared" si="9"/>
        <v>1.2488629699476652</v>
      </c>
      <c r="DP5" s="28">
        <f t="shared" si="9"/>
        <v>1.2488629699476652</v>
      </c>
      <c r="DQ5" s="28">
        <f t="shared" si="9"/>
        <v>1.2488629699476652</v>
      </c>
    </row>
    <row r="7" spans="1:121" ht="15" customHeight="1">
      <c r="A7" s="5" t="s">
        <v>419</v>
      </c>
    </row>
    <row r="8" spans="1:121" ht="15" customHeight="1">
      <c r="A8" t="s">
        <v>420</v>
      </c>
      <c r="B8" s="22">
        <f>(Calc_Volume!B12*Assum_Volume!$C$16)*(Assum_Pricing!$C$6*Assum_Volume!$C$22+Assum_Pricing!$C$7*Assum_Volume!$C$23+Assum_Pricing!$C$8*Assum_Volume!$C$21)*B5/1000</f>
        <v>13242.249999999996</v>
      </c>
      <c r="C8" s="22">
        <f>(Calc_Volume!C12*Assum_Volume!$C$16)*(Assum_Pricing!$C$6*Assum_Volume!$C$22+Assum_Pricing!$C$7*Assum_Volume!$C$23+Assum_Pricing!$C$8*Assum_Volume!$C$21)*C5/1000</f>
        <v>12666.5</v>
      </c>
      <c r="D8" s="22">
        <f>(Calc_Volume!D12*Assum_Volume!$C$16)*(Assum_Pricing!$C$6*Assum_Volume!$C$22+Assum_Pricing!$C$7*Assum_Volume!$C$23+Assum_Pricing!$C$8*Assum_Volume!$C$21)*D5/1000</f>
        <v>11515</v>
      </c>
      <c r="E8" s="22">
        <f>(Calc_Volume!E12*Assum_Volume!$C$16)*(Assum_Pricing!$C$6*Assum_Volume!$C$22+Assum_Pricing!$C$7*Assum_Volume!$C$23+Assum_Pricing!$C$8*Assum_Volume!$C$21)*E5/1000</f>
        <v>10363.499999999998</v>
      </c>
      <c r="F8" s="22">
        <f>(Calc_Volume!F12*Assum_Volume!$C$16)*(Assum_Pricing!$C$6*Assum_Volume!$C$22+Assum_Pricing!$C$7*Assum_Volume!$C$23+Assum_Pricing!$C$8*Assum_Volume!$C$21)*F5/1000</f>
        <v>9787.75</v>
      </c>
      <c r="G8" s="22">
        <f>(Calc_Volume!G12*Assum_Volume!$C$16)*(Assum_Pricing!$C$6*Assum_Volume!$C$22+Assum_Pricing!$C$7*Assum_Volume!$C$23+Assum_Pricing!$C$8*Assum_Volume!$C$21)*G5/1000</f>
        <v>9212</v>
      </c>
      <c r="H8" s="22">
        <f>(Calc_Volume!H12*Assum_Volume!$C$16)*(Assum_Pricing!$C$6*Assum_Volume!$C$22+Assum_Pricing!$C$7*Assum_Volume!$C$23+Assum_Pricing!$C$8*Assum_Volume!$C$21)*H5/1000</f>
        <v>9212</v>
      </c>
      <c r="I8" s="22">
        <f>(Calc_Volume!I12*Assum_Volume!$C$16)*(Assum_Pricing!$C$6*Assum_Volume!$C$22+Assum_Pricing!$C$7*Assum_Volume!$C$23+Assum_Pricing!$C$8*Assum_Volume!$C$21)*I5/1000</f>
        <v>9787.75</v>
      </c>
      <c r="J8" s="22">
        <f>(Calc_Volume!J12*Assum_Volume!$C$16)*(Assum_Pricing!$C$6*Assum_Volume!$C$22+Assum_Pricing!$C$7*Assum_Volume!$C$23+Assum_Pricing!$C$8*Assum_Volume!$C$21)*J5/1000</f>
        <v>10939.249999999998</v>
      </c>
      <c r="K8" s="22">
        <f>(Calc_Volume!K12*Assum_Volume!$C$16)*(Assum_Pricing!$C$6*Assum_Volume!$C$22+Assum_Pricing!$C$7*Assum_Volume!$C$23+Assum_Pricing!$C$8*Assum_Volume!$C$21)*K5/1000</f>
        <v>12090.75</v>
      </c>
      <c r="L8" s="22">
        <f>(Calc_Volume!L12*Assum_Volume!$C$16)*(Assum_Pricing!$C$6*Assum_Volume!$C$22+Assum_Pricing!$C$7*Assum_Volume!$C$23+Assum_Pricing!$C$8*Assum_Volume!$C$21)*L5/1000</f>
        <v>13242.249999999996</v>
      </c>
      <c r="M8" s="22">
        <f>(Calc_Volume!M12*Assum_Volume!$C$16)*(Assum_Pricing!$C$6*Assum_Volume!$C$22+Assum_Pricing!$C$7*Assum_Volume!$C$23+Assum_Pricing!$C$8*Assum_Volume!$C$21)*M5/1000</f>
        <v>16120.999999999998</v>
      </c>
      <c r="N8" s="22">
        <f>(Calc_Volume!N12*Assum_Volume!$C$16)*(Assum_Pricing!$C$6*Assum_Volume!$C$22+Assum_Pricing!$C$7*Assum_Volume!$C$23+Assum_Pricing!$C$8*Assum_Volume!$C$21)*N5/1000</f>
        <v>14659.170749999996</v>
      </c>
      <c r="O8" s="22">
        <f>(Calc_Volume!O12*Assum_Volume!$C$16)*(Assum_Pricing!$C$6*Assum_Volume!$C$22+Assum_Pricing!$C$7*Assum_Volume!$C$23+Assum_Pricing!$C$8*Assum_Volume!$C$21)*O5/1000</f>
        <v>14021.815499999999</v>
      </c>
      <c r="P8" s="22">
        <f>(Calc_Volume!P12*Assum_Volume!$C$16)*(Assum_Pricing!$C$6*Assum_Volume!$C$22+Assum_Pricing!$C$7*Assum_Volume!$C$23+Assum_Pricing!$C$8*Assum_Volume!$C$21)*P5/1000</f>
        <v>12747.104999999998</v>
      </c>
      <c r="Q8" s="22">
        <f>(Calc_Volume!Q12*Assum_Volume!$C$16)*(Assum_Pricing!$C$6*Assum_Volume!$C$22+Assum_Pricing!$C$7*Assum_Volume!$C$23+Assum_Pricing!$C$8*Assum_Volume!$C$21)*Q5/1000</f>
        <v>11472.394499999997</v>
      </c>
      <c r="R8" s="22">
        <f>(Calc_Volume!R12*Assum_Volume!$C$16)*(Assum_Pricing!$C$6*Assum_Volume!$C$22+Assum_Pricing!$C$7*Assum_Volume!$C$23+Assum_Pricing!$C$8*Assum_Volume!$C$21)*R5/1000</f>
        <v>10835.039249999996</v>
      </c>
      <c r="S8" s="22">
        <f>(Calc_Volume!S12*Assum_Volume!$C$16)*(Assum_Pricing!$C$6*Assum_Volume!$C$22+Assum_Pricing!$C$7*Assum_Volume!$C$23+Assum_Pricing!$C$8*Assum_Volume!$C$21)*S5/1000</f>
        <v>10197.684000000001</v>
      </c>
      <c r="T8" s="22">
        <f>(Calc_Volume!T12*Assum_Volume!$C$16)*(Assum_Pricing!$C$6*Assum_Volume!$C$22+Assum_Pricing!$C$7*Assum_Volume!$C$23+Assum_Pricing!$C$8*Assum_Volume!$C$21)*T5/1000</f>
        <v>10197.684000000001</v>
      </c>
      <c r="U8" s="22">
        <f>(Calc_Volume!U12*Assum_Volume!$C$16)*(Assum_Pricing!$C$6*Assum_Volume!$C$22+Assum_Pricing!$C$7*Assum_Volume!$C$23+Assum_Pricing!$C$8*Assum_Volume!$C$21)*U5/1000</f>
        <v>10835.039249999996</v>
      </c>
      <c r="V8" s="22">
        <f>(Calc_Volume!V12*Assum_Volume!$C$16)*(Assum_Pricing!$C$6*Assum_Volume!$C$22+Assum_Pricing!$C$7*Assum_Volume!$C$23+Assum_Pricing!$C$8*Assum_Volume!$C$21)*V5/1000</f>
        <v>12109.749749999999</v>
      </c>
      <c r="W8" s="22">
        <f>(Calc_Volume!W12*Assum_Volume!$C$16)*(Assum_Pricing!$C$6*Assum_Volume!$C$22+Assum_Pricing!$C$7*Assum_Volume!$C$23+Assum_Pricing!$C$8*Assum_Volume!$C$21)*W5/1000</f>
        <v>13384.460249999998</v>
      </c>
      <c r="X8" s="22">
        <f>(Calc_Volume!X12*Assum_Volume!$C$16)*(Assum_Pricing!$C$6*Assum_Volume!$C$22+Assum_Pricing!$C$7*Assum_Volume!$C$23+Assum_Pricing!$C$8*Assum_Volume!$C$21)*X5/1000</f>
        <v>14659.170749999996</v>
      </c>
      <c r="Y8" s="22">
        <f>(Calc_Volume!Y12*Assum_Volume!$C$16)*(Assum_Pricing!$C$6*Assum_Volume!$C$22+Assum_Pricing!$C$7*Assum_Volume!$C$23+Assum_Pricing!$C$8*Assum_Volume!$C$21)*Y5/1000</f>
        <v>17845.947</v>
      </c>
      <c r="Z8" s="22">
        <f>(Calc_Volume!Z12*Assum_Volume!$C$16)*(Assum_Pricing!$C$6*Assum_Volume!$C$22+Assum_Pricing!$C$7*Assum_Volume!$C$23+Assum_Pricing!$C$8*Assum_Volume!$C$21)*Z5/1000</f>
        <v>16227.702020249997</v>
      </c>
      <c r="AA8" s="22">
        <f>(Calc_Volume!AA12*Assum_Volume!$C$16)*(Assum_Pricing!$C$6*Assum_Volume!$C$22+Assum_Pricing!$C$7*Assum_Volume!$C$23+Assum_Pricing!$C$8*Assum_Volume!$C$21)*AA5/1000</f>
        <v>15522.1497585</v>
      </c>
      <c r="AB8" s="22">
        <f>(Calc_Volume!AB12*Assum_Volume!$C$16)*(Assum_Pricing!$C$6*Assum_Volume!$C$22+Assum_Pricing!$C$7*Assum_Volume!$C$23+Assum_Pricing!$C$8*Assum_Volume!$C$21)*AB5/1000</f>
        <v>14111.045234999998</v>
      </c>
      <c r="AC8" s="22">
        <f>(Calc_Volume!AC12*Assum_Volume!$C$16)*(Assum_Pricing!$C$6*Assum_Volume!$C$22+Assum_Pricing!$C$7*Assum_Volume!$C$23+Assum_Pricing!$C$8*Assum_Volume!$C$21)*AC5/1000</f>
        <v>12699.940711499999</v>
      </c>
      <c r="AD8" s="22">
        <f>(Calc_Volume!AD12*Assum_Volume!$C$16)*(Assum_Pricing!$C$6*Assum_Volume!$C$22+Assum_Pricing!$C$7*Assum_Volume!$C$23+Assum_Pricing!$C$8*Assum_Volume!$C$21)*AD5/1000</f>
        <v>11994.388449749998</v>
      </c>
      <c r="AE8" s="22">
        <f>(Calc_Volume!AE12*Assum_Volume!$C$16)*(Assum_Pricing!$C$6*Assum_Volume!$C$22+Assum_Pricing!$C$7*Assum_Volume!$C$23+Assum_Pricing!$C$8*Assum_Volume!$C$21)*AE5/1000</f>
        <v>11288.836187999999</v>
      </c>
      <c r="AF8" s="22">
        <f>(Calc_Volume!AF12*Assum_Volume!$C$16)*(Assum_Pricing!$C$6*Assum_Volume!$C$22+Assum_Pricing!$C$7*Assum_Volume!$C$23+Assum_Pricing!$C$8*Assum_Volume!$C$21)*AF5/1000</f>
        <v>11288.836187999999</v>
      </c>
      <c r="AG8" s="22">
        <f>(Calc_Volume!AG12*Assum_Volume!$C$16)*(Assum_Pricing!$C$6*Assum_Volume!$C$22+Assum_Pricing!$C$7*Assum_Volume!$C$23+Assum_Pricing!$C$8*Assum_Volume!$C$21)*AG5/1000</f>
        <v>11994.388449749998</v>
      </c>
      <c r="AH8" s="22">
        <f>(Calc_Volume!AH12*Assum_Volume!$C$16)*(Assum_Pricing!$C$6*Assum_Volume!$C$22+Assum_Pricing!$C$7*Assum_Volume!$C$23+Assum_Pricing!$C$8*Assum_Volume!$C$21)*AH5/1000</f>
        <v>13405.492973249999</v>
      </c>
      <c r="AI8" s="22">
        <f>(Calc_Volume!AI12*Assum_Volume!$C$16)*(Assum_Pricing!$C$6*Assum_Volume!$C$22+Assum_Pricing!$C$7*Assum_Volume!$C$23+Assum_Pricing!$C$8*Assum_Volume!$C$21)*AI5/1000</f>
        <v>14816.597496749999</v>
      </c>
      <c r="AJ8" s="22">
        <f>(Calc_Volume!AJ12*Assum_Volume!$C$16)*(Assum_Pricing!$C$6*Assum_Volume!$C$22+Assum_Pricing!$C$7*Assum_Volume!$C$23+Assum_Pricing!$C$8*Assum_Volume!$C$21)*AJ5/1000</f>
        <v>16227.702020249997</v>
      </c>
      <c r="AK8" s="22">
        <f>(Calc_Volume!AK12*Assum_Volume!$C$16)*(Assum_Pricing!$C$6*Assum_Volume!$C$22+Assum_Pricing!$C$7*Assum_Volume!$C$23+Assum_Pricing!$C$8*Assum_Volume!$C$21)*AK5/1000</f>
        <v>19755.463328999995</v>
      </c>
      <c r="AL8" s="22">
        <f>(Calc_Volume!AL12*Assum_Volume!$C$16)*(Assum_Pricing!$C$6*Assum_Volume!$C$22+Assum_Pricing!$C$7*Assum_Volume!$C$23+Assum_Pricing!$C$8*Assum_Volume!$C$21)*AL5/1000</f>
        <v>17631.398245001619</v>
      </c>
      <c r="AM8" s="22">
        <f>(Calc_Volume!AM12*Assum_Volume!$C$16)*(Assum_Pricing!$C$6*Assum_Volume!$C$22+Assum_Pricing!$C$7*Assum_Volume!$C$23+Assum_Pricing!$C$8*Assum_Volume!$C$21)*AM5/1000</f>
        <v>16864.815712610252</v>
      </c>
      <c r="AN8" s="22">
        <f>(Calc_Volume!AN12*Assum_Volume!$C$16)*(Assum_Pricing!$C$6*Assum_Volume!$C$22+Assum_Pricing!$C$7*Assum_Volume!$C$23+Assum_Pricing!$C$8*Assum_Volume!$C$21)*AN5/1000</f>
        <v>15331.650647827499</v>
      </c>
      <c r="AO8" s="22">
        <f>(Calc_Volume!AO12*Assum_Volume!$C$16)*(Assum_Pricing!$C$6*Assum_Volume!$C$22+Assum_Pricing!$C$7*Assum_Volume!$C$23+Assum_Pricing!$C$8*Assum_Volume!$C$21)*AO5/1000</f>
        <v>13798.485583044747</v>
      </c>
      <c r="AP8" s="22">
        <f>(Calc_Volume!AP12*Assum_Volume!$C$16)*(Assum_Pricing!$C$6*Assum_Volume!$C$22+Assum_Pricing!$C$7*Assum_Volume!$C$23+Assum_Pricing!$C$8*Assum_Volume!$C$21)*AP5/1000</f>
        <v>13031.903050653373</v>
      </c>
      <c r="AQ8" s="22">
        <f>(Calc_Volume!AQ12*Assum_Volume!$C$16)*(Assum_Pricing!$C$6*Assum_Volume!$C$22+Assum_Pricing!$C$7*Assum_Volume!$C$23+Assum_Pricing!$C$8*Assum_Volume!$C$21)*AQ5/1000</f>
        <v>12265.320518262</v>
      </c>
      <c r="AR8" s="22">
        <f>(Calc_Volume!AR12*Assum_Volume!$C$16)*(Assum_Pricing!$C$6*Assum_Volume!$C$22+Assum_Pricing!$C$7*Assum_Volume!$C$23+Assum_Pricing!$C$8*Assum_Volume!$C$21)*AR5/1000</f>
        <v>12265.320518262</v>
      </c>
      <c r="AS8" s="22">
        <f>(Calc_Volume!AS12*Assum_Volume!$C$16)*(Assum_Pricing!$C$6*Assum_Volume!$C$22+Assum_Pricing!$C$7*Assum_Volume!$C$23+Assum_Pricing!$C$8*Assum_Volume!$C$21)*AS5/1000</f>
        <v>13031.903050653373</v>
      </c>
      <c r="AT8" s="22">
        <f>(Calc_Volume!AT12*Assum_Volume!$C$16)*(Assum_Pricing!$C$6*Assum_Volume!$C$22+Assum_Pricing!$C$7*Assum_Volume!$C$23+Assum_Pricing!$C$8*Assum_Volume!$C$21)*AT5/1000</f>
        <v>14565.068115436121</v>
      </c>
      <c r="AU8" s="22">
        <f>(Calc_Volume!AU12*Assum_Volume!$C$16)*(Assum_Pricing!$C$6*Assum_Volume!$C$22+Assum_Pricing!$C$7*Assum_Volume!$C$23+Assum_Pricing!$C$8*Assum_Volume!$C$21)*AU5/1000</f>
        <v>16098.233180218871</v>
      </c>
      <c r="AV8" s="22">
        <f>(Calc_Volume!AV12*Assum_Volume!$C$16)*(Assum_Pricing!$C$6*Assum_Volume!$C$22+Assum_Pricing!$C$7*Assum_Volume!$C$23+Assum_Pricing!$C$8*Assum_Volume!$C$21)*AV5/1000</f>
        <v>17631.398245001619</v>
      </c>
      <c r="AW8" s="22">
        <f>(Calc_Volume!AW12*Assum_Volume!$C$16)*(Assum_Pricing!$C$6*Assum_Volume!$C$22+Assum_Pricing!$C$7*Assum_Volume!$C$23+Assum_Pricing!$C$8*Assum_Volume!$C$21)*AW5/1000</f>
        <v>21464.310906958497</v>
      </c>
      <c r="AX8" s="22">
        <f>(Calc_Volume!AX12*Assum_Volume!$C$16)*(Assum_Pricing!$C$6*Assum_Volume!$C$22+Assum_Pricing!$C$7*Assum_Volume!$C$23+Assum_Pricing!$C$8*Assum_Volume!$C$21)*AX5/1000</f>
        <v>19156.514193194263</v>
      </c>
      <c r="AY8" s="22">
        <f>(Calc_Volume!AY12*Assum_Volume!$C$16)*(Assum_Pricing!$C$6*Assum_Volume!$C$22+Assum_Pricing!$C$7*Assum_Volume!$C$23+Assum_Pricing!$C$8*Assum_Volume!$C$21)*AY5/1000</f>
        <v>18323.622271751035</v>
      </c>
      <c r="AZ8" s="22">
        <f>(Calc_Volume!AZ12*Assum_Volume!$C$16)*(Assum_Pricing!$C$6*Assum_Volume!$C$22+Assum_Pricing!$C$7*Assum_Volume!$C$23+Assum_Pricing!$C$8*Assum_Volume!$C$21)*AZ5/1000</f>
        <v>16657.838428864579</v>
      </c>
      <c r="BA8" s="22">
        <f>(Calc_Volume!BA12*Assum_Volume!$C$16)*(Assum_Pricing!$C$6*Assum_Volume!$C$22+Assum_Pricing!$C$7*Assum_Volume!$C$23+Assum_Pricing!$C$8*Assum_Volume!$C$21)*BA5/1000</f>
        <v>14992.054585978116</v>
      </c>
      <c r="BB8" s="22">
        <f>(Calc_Volume!BB12*Assum_Volume!$C$16)*(Assum_Pricing!$C$6*Assum_Volume!$C$22+Assum_Pricing!$C$7*Assum_Volume!$C$23+Assum_Pricing!$C$8*Assum_Volume!$C$21)*BB5/1000</f>
        <v>14159.16266453489</v>
      </c>
      <c r="BC8" s="22">
        <f>(Calc_Volume!BC12*Assum_Volume!$C$16)*(Assum_Pricing!$C$6*Assum_Volume!$C$22+Assum_Pricing!$C$7*Assum_Volume!$C$23+Assum_Pricing!$C$8*Assum_Volume!$C$21)*BC5/1000</f>
        <v>13326.270743091663</v>
      </c>
      <c r="BD8" s="22">
        <f>(Calc_Volume!BD12*Assum_Volume!$C$16)*(Assum_Pricing!$C$6*Assum_Volume!$C$22+Assum_Pricing!$C$7*Assum_Volume!$C$23+Assum_Pricing!$C$8*Assum_Volume!$C$21)*BD5/1000</f>
        <v>13326.270743091663</v>
      </c>
      <c r="BE8" s="22">
        <f>(Calc_Volume!BE12*Assum_Volume!$C$16)*(Assum_Pricing!$C$6*Assum_Volume!$C$22+Assum_Pricing!$C$7*Assum_Volume!$C$23+Assum_Pricing!$C$8*Assum_Volume!$C$21)*BE5/1000</f>
        <v>14159.16266453489</v>
      </c>
      <c r="BF8" s="22">
        <f>(Calc_Volume!BF12*Assum_Volume!$C$16)*(Assum_Pricing!$C$6*Assum_Volume!$C$22+Assum_Pricing!$C$7*Assum_Volume!$C$23+Assum_Pricing!$C$8*Assum_Volume!$C$21)*BF5/1000</f>
        <v>15824.946507421348</v>
      </c>
      <c r="BG8" s="22">
        <f>(Calc_Volume!BG12*Assum_Volume!$C$16)*(Assum_Pricing!$C$6*Assum_Volume!$C$22+Assum_Pricing!$C$7*Assum_Volume!$C$23+Assum_Pricing!$C$8*Assum_Volume!$C$21)*BG5/1000</f>
        <v>17490.730350307807</v>
      </c>
      <c r="BH8" s="22">
        <f>(Calc_Volume!BH12*Assum_Volume!$C$16)*(Assum_Pricing!$C$6*Assum_Volume!$C$22+Assum_Pricing!$C$7*Assum_Volume!$C$23+Assum_Pricing!$C$8*Assum_Volume!$C$21)*BH5/1000</f>
        <v>19156.514193194263</v>
      </c>
      <c r="BI8" s="22">
        <f>(Calc_Volume!BI12*Assum_Volume!$C$16)*(Assum_Pricing!$C$6*Assum_Volume!$C$22+Assum_Pricing!$C$7*Assum_Volume!$C$23+Assum_Pricing!$C$8*Assum_Volume!$C$21)*BI5/1000</f>
        <v>23320.973800410404</v>
      </c>
      <c r="BJ8" s="22">
        <f>(Calc_Volume!BJ12*Assum_Volume!$C$16)*(Assum_Pricing!$C$6*Assum_Volume!$C$22+Assum_Pricing!$C$7*Assum_Volume!$C$23+Assum_Pricing!$C$8*Assum_Volume!$C$21)*BJ5/1000</f>
        <v>20420.844129945082</v>
      </c>
      <c r="BK8" s="22">
        <f>(Calc_Volume!BK12*Assum_Volume!$C$16)*(Assum_Pricing!$C$6*Assum_Volume!$C$22+Assum_Pricing!$C$7*Assum_Volume!$C$23+Assum_Pricing!$C$8*Assum_Volume!$C$21)*BK5/1000</f>
        <v>19532.981341686602</v>
      </c>
      <c r="BL8" s="22">
        <f>(Calc_Volume!BL12*Assum_Volume!$C$16)*(Assum_Pricing!$C$6*Assum_Volume!$C$22+Assum_Pricing!$C$7*Assum_Volume!$C$23+Assum_Pricing!$C$8*Assum_Volume!$C$21)*BL5/1000</f>
        <v>17757.255765169637</v>
      </c>
      <c r="BM8" s="22">
        <f>(Calc_Volume!BM12*Assum_Volume!$C$16)*(Assum_Pricing!$C$6*Assum_Volume!$C$22+Assum_Pricing!$C$7*Assum_Volume!$C$23+Assum_Pricing!$C$8*Assum_Volume!$C$21)*BM5/1000</f>
        <v>15981.530188652676</v>
      </c>
      <c r="BN8" s="22">
        <f>(Calc_Volume!BN12*Assum_Volume!$C$16)*(Assum_Pricing!$C$6*Assum_Volume!$C$22+Assum_Pricing!$C$7*Assum_Volume!$C$23+Assum_Pricing!$C$8*Assum_Volume!$C$21)*BN5/1000</f>
        <v>15093.66740039419</v>
      </c>
      <c r="BO8" s="22">
        <f>(Calc_Volume!BO12*Assum_Volume!$C$16)*(Assum_Pricing!$C$6*Assum_Volume!$C$22+Assum_Pricing!$C$7*Assum_Volume!$C$23+Assum_Pricing!$C$8*Assum_Volume!$C$21)*BO5/1000</f>
        <v>14205.804612135711</v>
      </c>
      <c r="BP8" s="22">
        <f>(Calc_Volume!BP12*Assum_Volume!$C$16)*(Assum_Pricing!$C$6*Assum_Volume!$C$22+Assum_Pricing!$C$7*Assum_Volume!$C$23+Assum_Pricing!$C$8*Assum_Volume!$C$21)*BP5/1000</f>
        <v>14205.804612135711</v>
      </c>
      <c r="BQ8" s="22">
        <f>(Calc_Volume!BQ12*Assum_Volume!$C$16)*(Assum_Pricing!$C$6*Assum_Volume!$C$22+Assum_Pricing!$C$7*Assum_Volume!$C$23+Assum_Pricing!$C$8*Assum_Volume!$C$21)*BQ5/1000</f>
        <v>15093.66740039419</v>
      </c>
      <c r="BR8" s="22">
        <f>(Calc_Volume!BR12*Assum_Volume!$C$16)*(Assum_Pricing!$C$6*Assum_Volume!$C$22+Assum_Pricing!$C$7*Assum_Volume!$C$23+Assum_Pricing!$C$8*Assum_Volume!$C$21)*BR5/1000</f>
        <v>16869.392976911153</v>
      </c>
      <c r="BS8" s="22">
        <f>(Calc_Volume!BS12*Assum_Volume!$C$16)*(Assum_Pricing!$C$6*Assum_Volume!$C$22+Assum_Pricing!$C$7*Assum_Volume!$C$23+Assum_Pricing!$C$8*Assum_Volume!$C$21)*BS5/1000</f>
        <v>18645.118553428118</v>
      </c>
      <c r="BT8" s="22">
        <f>(Calc_Volume!BT12*Assum_Volume!$C$16)*(Assum_Pricing!$C$6*Assum_Volume!$C$22+Assum_Pricing!$C$7*Assum_Volume!$C$23+Assum_Pricing!$C$8*Assum_Volume!$C$21)*BT5/1000</f>
        <v>20420.844129945082</v>
      </c>
      <c r="BU8" s="22">
        <f>(Calc_Volume!BU12*Assum_Volume!$C$16)*(Assum_Pricing!$C$6*Assum_Volume!$C$22+Assum_Pricing!$C$7*Assum_Volume!$C$23+Assum_Pricing!$C$8*Assum_Volume!$C$21)*BU5/1000</f>
        <v>24860.158071237485</v>
      </c>
      <c r="BV8" s="22">
        <f>(Calc_Volume!BV12*Assum_Volume!$C$16)*(Assum_Pricing!$C$6*Assum_Volume!$C$22+Assum_Pricing!$C$7*Assum_Volume!$C$23+Assum_Pricing!$C$8*Assum_Volume!$C$21)*BV5/1000</f>
        <v>21768.619842521453</v>
      </c>
      <c r="BW8" s="22">
        <f>(Calc_Volume!BW12*Assum_Volume!$C$16)*(Assum_Pricing!$C$6*Assum_Volume!$C$22+Assum_Pricing!$C$7*Assum_Volume!$C$23+Assum_Pricing!$C$8*Assum_Volume!$C$21)*BW5/1000</f>
        <v>20822.158110237917</v>
      </c>
      <c r="BX8" s="22">
        <f>(Calc_Volume!BX12*Assum_Volume!$C$16)*(Assum_Pricing!$C$6*Assum_Volume!$C$22+Assum_Pricing!$C$7*Assum_Volume!$C$23+Assum_Pricing!$C$8*Assum_Volume!$C$21)*BX5/1000</f>
        <v>18929.234645670833</v>
      </c>
      <c r="BY8" s="22">
        <f>(Calc_Volume!BY12*Assum_Volume!$C$16)*(Assum_Pricing!$C$6*Assum_Volume!$C$22+Assum_Pricing!$C$7*Assum_Volume!$C$23+Assum_Pricing!$C$8*Assum_Volume!$C$21)*BY5/1000</f>
        <v>17036.311181103749</v>
      </c>
      <c r="BZ8" s="22">
        <f>(Calc_Volume!BZ12*Assum_Volume!$C$16)*(Assum_Pricing!$C$6*Assum_Volume!$C$22+Assum_Pricing!$C$7*Assum_Volume!$C$23+Assum_Pricing!$C$8*Assum_Volume!$C$21)*BZ5/1000</f>
        <v>16089.849448820207</v>
      </c>
      <c r="CA8" s="22">
        <f>(Calc_Volume!CA12*Assum_Volume!$C$16)*(Assum_Pricing!$C$6*Assum_Volume!$C$22+Assum_Pricing!$C$7*Assum_Volume!$C$23+Assum_Pricing!$C$8*Assum_Volume!$C$21)*CA5/1000</f>
        <v>15143.387716536667</v>
      </c>
      <c r="CB8" s="22">
        <f>(Calc_Volume!CB12*Assum_Volume!$C$16)*(Assum_Pricing!$C$6*Assum_Volume!$C$22+Assum_Pricing!$C$7*Assum_Volume!$C$23+Assum_Pricing!$C$8*Assum_Volume!$C$21)*CB5/1000</f>
        <v>15143.387716536667</v>
      </c>
      <c r="CC8" s="22">
        <f>(Calc_Volume!CC12*Assum_Volume!$C$16)*(Assum_Pricing!$C$6*Assum_Volume!$C$22+Assum_Pricing!$C$7*Assum_Volume!$C$23+Assum_Pricing!$C$8*Assum_Volume!$C$21)*CC5/1000</f>
        <v>16089.849448820207</v>
      </c>
      <c r="CD8" s="22">
        <f>(Calc_Volume!CD12*Assum_Volume!$C$16)*(Assum_Pricing!$C$6*Assum_Volume!$C$22+Assum_Pricing!$C$7*Assum_Volume!$C$23+Assum_Pricing!$C$8*Assum_Volume!$C$21)*CD5/1000</f>
        <v>17982.772913387293</v>
      </c>
      <c r="CE8" s="22">
        <f>(Calc_Volume!CE12*Assum_Volume!$C$16)*(Assum_Pricing!$C$6*Assum_Volume!$C$22+Assum_Pricing!$C$7*Assum_Volume!$C$23+Assum_Pricing!$C$8*Assum_Volume!$C$21)*CE5/1000</f>
        <v>19875.696377954377</v>
      </c>
      <c r="CF8" s="22">
        <f>(Calc_Volume!CF12*Assum_Volume!$C$16)*(Assum_Pricing!$C$6*Assum_Volume!$C$22+Assum_Pricing!$C$7*Assum_Volume!$C$23+Assum_Pricing!$C$8*Assum_Volume!$C$21)*CF5/1000</f>
        <v>21768.619842521453</v>
      </c>
      <c r="CG8" s="22">
        <f>(Calc_Volume!CG12*Assum_Volume!$C$16)*(Assum_Pricing!$C$6*Assum_Volume!$C$22+Assum_Pricing!$C$7*Assum_Volume!$C$23+Assum_Pricing!$C$8*Assum_Volume!$C$21)*CG5/1000</f>
        <v>26500.928503939162</v>
      </c>
      <c r="CH8" s="22">
        <f>(Calc_Volume!CH12*Assum_Volume!$C$16)*(Assum_Pricing!$C$6*Assum_Volume!$C$22+Assum_Pricing!$C$7*Assum_Volume!$C$23+Assum_Pricing!$C$8*Assum_Volume!$C$21)*CH5/1000</f>
        <v>23205.348752127858</v>
      </c>
      <c r="CI8" s="22">
        <f>(Calc_Volume!CI12*Assum_Volume!$C$16)*(Assum_Pricing!$C$6*Assum_Volume!$C$22+Assum_Pricing!$C$7*Assum_Volume!$C$23+Assum_Pricing!$C$8*Assum_Volume!$C$21)*CI5/1000</f>
        <v>22196.420545513611</v>
      </c>
      <c r="CJ8" s="22">
        <f>(Calc_Volume!CJ12*Assum_Volume!$C$16)*(Assum_Pricing!$C$6*Assum_Volume!$C$22+Assum_Pricing!$C$7*Assum_Volume!$C$23+Assum_Pricing!$C$8*Assum_Volume!$C$21)*CJ5/1000</f>
        <v>20178.564132285101</v>
      </c>
      <c r="CK8" s="22">
        <f>(Calc_Volume!CK12*Assum_Volume!$C$16)*(Assum_Pricing!$C$6*Assum_Volume!$C$22+Assum_Pricing!$C$7*Assum_Volume!$C$23+Assum_Pricing!$C$8*Assum_Volume!$C$21)*CK5/1000</f>
        <v>18160.707719056594</v>
      </c>
      <c r="CL8" s="22">
        <f>(Calc_Volume!CL12*Assum_Volume!$C$16)*(Assum_Pricing!$C$6*Assum_Volume!$C$22+Assum_Pricing!$C$7*Assum_Volume!$C$23+Assum_Pricing!$C$8*Assum_Volume!$C$21)*CL5/1000</f>
        <v>17151.779512442336</v>
      </c>
      <c r="CM8" s="22">
        <f>(Calc_Volume!CM12*Assum_Volume!$C$16)*(Assum_Pricing!$C$6*Assum_Volume!$C$22+Assum_Pricing!$C$7*Assum_Volume!$C$23+Assum_Pricing!$C$8*Assum_Volume!$C$21)*CM5/1000</f>
        <v>16142.851305828082</v>
      </c>
      <c r="CN8" s="22">
        <f>(Calc_Volume!CN12*Assum_Volume!$C$16)*(Assum_Pricing!$C$6*Assum_Volume!$C$22+Assum_Pricing!$C$7*Assum_Volume!$C$23+Assum_Pricing!$C$8*Assum_Volume!$C$21)*CN5/1000</f>
        <v>16142.851305828082</v>
      </c>
      <c r="CO8" s="22">
        <f>(Calc_Volume!CO12*Assum_Volume!$C$16)*(Assum_Pricing!$C$6*Assum_Volume!$C$22+Assum_Pricing!$C$7*Assum_Volume!$C$23+Assum_Pricing!$C$8*Assum_Volume!$C$21)*CO5/1000</f>
        <v>17151.779512442336</v>
      </c>
      <c r="CP8" s="22">
        <f>(Calc_Volume!CP12*Assum_Volume!$C$16)*(Assum_Pricing!$C$6*Assum_Volume!$C$22+Assum_Pricing!$C$7*Assum_Volume!$C$23+Assum_Pricing!$C$8*Assum_Volume!$C$21)*CP5/1000</f>
        <v>19169.635925670846</v>
      </c>
      <c r="CQ8" s="22">
        <f>(Calc_Volume!CQ12*Assum_Volume!$C$16)*(Assum_Pricing!$C$6*Assum_Volume!$C$22+Assum_Pricing!$C$7*Assum_Volume!$C$23+Assum_Pricing!$C$8*Assum_Volume!$C$21)*CQ5/1000</f>
        <v>21187.492338899356</v>
      </c>
      <c r="CR8" s="22">
        <f>(Calc_Volume!CR12*Assum_Volume!$C$16)*(Assum_Pricing!$C$6*Assum_Volume!$C$22+Assum_Pricing!$C$7*Assum_Volume!$C$23+Assum_Pricing!$C$8*Assum_Volume!$C$21)*CR5/1000</f>
        <v>23205.348752127858</v>
      </c>
      <c r="CS8" s="22">
        <f>(Calc_Volume!CS12*Assum_Volume!$C$16)*(Assum_Pricing!$C$6*Assum_Volume!$C$22+Assum_Pricing!$C$7*Assum_Volume!$C$23+Assum_Pricing!$C$8*Assum_Volume!$C$21)*CS5/1000</f>
        <v>28249.989785199145</v>
      </c>
      <c r="CT8" s="22">
        <f>(Calc_Volume!CT12*Assum_Volume!$C$16)*(Assum_Pricing!$C$6*Assum_Volume!$C$22+Assum_Pricing!$C$7*Assum_Volume!$C$23+Assum_Pricing!$C$8*Assum_Volume!$C$21)*CT5/1000</f>
        <v>24736.901769768305</v>
      </c>
      <c r="CU8" s="22">
        <f>(Calc_Volume!CU12*Assum_Volume!$C$16)*(Assum_Pricing!$C$6*Assum_Volume!$C$22+Assum_Pricing!$C$7*Assum_Volume!$C$23+Assum_Pricing!$C$8*Assum_Volume!$C$21)*CU5/1000</f>
        <v>23661.384301517512</v>
      </c>
      <c r="CV8" s="22">
        <f>(Calc_Volume!CV12*Assum_Volume!$C$16)*(Assum_Pricing!$C$6*Assum_Volume!$C$22+Assum_Pricing!$C$7*Assum_Volume!$C$23+Assum_Pricing!$C$8*Assum_Volume!$C$21)*CV5/1000</f>
        <v>21510.349365015922</v>
      </c>
      <c r="CW8" s="22">
        <f>(Calc_Volume!CW12*Assum_Volume!$C$16)*(Assum_Pricing!$C$6*Assum_Volume!$C$22+Assum_Pricing!$C$7*Assum_Volume!$C$23+Assum_Pricing!$C$8*Assum_Volume!$C$21)*CW5/1000</f>
        <v>19359.314428514324</v>
      </c>
      <c r="CX8" s="22">
        <f>(Calc_Volume!CX12*Assum_Volume!$C$16)*(Assum_Pricing!$C$6*Assum_Volume!$C$22+Assum_Pricing!$C$7*Assum_Volume!$C$23+Assum_Pricing!$C$8*Assum_Volume!$C$21)*CX5/1000</f>
        <v>18283.796960263528</v>
      </c>
      <c r="CY8" s="22">
        <f>(Calc_Volume!CY12*Assum_Volume!$C$16)*(Assum_Pricing!$C$6*Assum_Volume!$C$22+Assum_Pricing!$C$7*Assum_Volume!$C$23+Assum_Pricing!$C$8*Assum_Volume!$C$21)*CY5/1000</f>
        <v>17208.279492012734</v>
      </c>
      <c r="CZ8" s="22">
        <f>(Calc_Volume!CZ12*Assum_Volume!$C$16)*(Assum_Pricing!$C$6*Assum_Volume!$C$22+Assum_Pricing!$C$7*Assum_Volume!$C$23+Assum_Pricing!$C$8*Assum_Volume!$C$21)*CZ5/1000</f>
        <v>17208.279492012734</v>
      </c>
      <c r="DA8" s="22">
        <f>(Calc_Volume!DA12*Assum_Volume!$C$16)*(Assum_Pricing!$C$6*Assum_Volume!$C$22+Assum_Pricing!$C$7*Assum_Volume!$C$23+Assum_Pricing!$C$8*Assum_Volume!$C$21)*DA5/1000</f>
        <v>18283.796960263528</v>
      </c>
      <c r="DB8" s="22">
        <f>(Calc_Volume!DB12*Assum_Volume!$C$16)*(Assum_Pricing!$C$6*Assum_Volume!$C$22+Assum_Pricing!$C$7*Assum_Volume!$C$23+Assum_Pricing!$C$8*Assum_Volume!$C$21)*DB5/1000</f>
        <v>20434.831896765118</v>
      </c>
      <c r="DC8" s="22">
        <f>(Calc_Volume!DC12*Assum_Volume!$C$16)*(Assum_Pricing!$C$6*Assum_Volume!$C$22+Assum_Pricing!$C$7*Assum_Volume!$C$23+Assum_Pricing!$C$8*Assum_Volume!$C$21)*DC5/1000</f>
        <v>22585.866833266711</v>
      </c>
      <c r="DD8" s="22">
        <f>(Calc_Volume!DD12*Assum_Volume!$C$16)*(Assum_Pricing!$C$6*Assum_Volume!$C$22+Assum_Pricing!$C$7*Assum_Volume!$C$23+Assum_Pricing!$C$8*Assum_Volume!$C$21)*DD5/1000</f>
        <v>24736.901769768305</v>
      </c>
      <c r="DE8" s="22">
        <f>(Calc_Volume!DE12*Assum_Volume!$C$16)*(Assum_Pricing!$C$6*Assum_Volume!$C$22+Assum_Pricing!$C$7*Assum_Volume!$C$23+Assum_Pricing!$C$8*Assum_Volume!$C$21)*DE5/1000</f>
        <v>30114.489111022282</v>
      </c>
      <c r="DF8" s="22">
        <f>(Calc_Volume!DF12*Assum_Volume!$C$16)*(Assum_Pricing!$C$6*Assum_Volume!$C$22+Assum_Pricing!$C$7*Assum_Volume!$C$23+Assum_Pricing!$C$8*Assum_Volume!$C$21)*DF5/1000</f>
        <v>26369.537286573002</v>
      </c>
      <c r="DG8" s="22">
        <f>(Calc_Volume!DG12*Assum_Volume!$C$16)*(Assum_Pricing!$C$6*Assum_Volume!$C$22+Assum_Pricing!$C$7*Assum_Volume!$C$23+Assum_Pricing!$C$8*Assum_Volume!$C$21)*DG5/1000</f>
        <v>25223.035665417665</v>
      </c>
      <c r="DH8" s="22">
        <f>(Calc_Volume!DH12*Assum_Volume!$C$16)*(Assum_Pricing!$C$6*Assum_Volume!$C$22+Assum_Pricing!$C$7*Assum_Volume!$C$23+Assum_Pricing!$C$8*Assum_Volume!$C$21)*DH5/1000</f>
        <v>22930.032423106964</v>
      </c>
      <c r="DI8" s="22">
        <f>(Calc_Volume!DI12*Assum_Volume!$C$16)*(Assum_Pricing!$C$6*Assum_Volume!$C$22+Assum_Pricing!$C$7*Assum_Volume!$C$23+Assum_Pricing!$C$8*Assum_Volume!$C$21)*DI5/1000</f>
        <v>20637.029180796268</v>
      </c>
      <c r="DJ8" s="22">
        <f>(Calc_Volume!DJ12*Assum_Volume!$C$16)*(Assum_Pricing!$C$6*Assum_Volume!$C$22+Assum_Pricing!$C$7*Assum_Volume!$C$23+Assum_Pricing!$C$8*Assum_Volume!$C$21)*DJ5/1000</f>
        <v>19490.527559640923</v>
      </c>
      <c r="DK8" s="22">
        <f>(Calc_Volume!DK12*Assum_Volume!$C$16)*(Assum_Pricing!$C$6*Assum_Volume!$C$22+Assum_Pricing!$C$7*Assum_Volume!$C$23+Assum_Pricing!$C$8*Assum_Volume!$C$21)*DK5/1000</f>
        <v>18344.025938485578</v>
      </c>
      <c r="DL8" s="22">
        <f>(Calc_Volume!DL12*Assum_Volume!$C$16)*(Assum_Pricing!$C$6*Assum_Volume!$C$22+Assum_Pricing!$C$7*Assum_Volume!$C$23+Assum_Pricing!$C$8*Assum_Volume!$C$21)*DL5/1000</f>
        <v>18344.025938485578</v>
      </c>
      <c r="DM8" s="22">
        <f>(Calc_Volume!DM12*Assum_Volume!$C$16)*(Assum_Pricing!$C$6*Assum_Volume!$C$22+Assum_Pricing!$C$7*Assum_Volume!$C$23+Assum_Pricing!$C$8*Assum_Volume!$C$21)*DM5/1000</f>
        <v>19490.527559640923</v>
      </c>
      <c r="DN8" s="22">
        <f>(Calc_Volume!DN12*Assum_Volume!$C$16)*(Assum_Pricing!$C$6*Assum_Volume!$C$22+Assum_Pricing!$C$7*Assum_Volume!$C$23+Assum_Pricing!$C$8*Assum_Volume!$C$21)*DN5/1000</f>
        <v>21783.530801951616</v>
      </c>
      <c r="DO8" s="22">
        <f>(Calc_Volume!DO12*Assum_Volume!$C$16)*(Assum_Pricing!$C$6*Assum_Volume!$C$22+Assum_Pricing!$C$7*Assum_Volume!$C$23+Assum_Pricing!$C$8*Assum_Volume!$C$21)*DO5/1000</f>
        <v>24076.534044262313</v>
      </c>
      <c r="DP8" s="22">
        <f>(Calc_Volume!DP12*Assum_Volume!$C$16)*(Assum_Pricing!$C$6*Assum_Volume!$C$22+Assum_Pricing!$C$7*Assum_Volume!$C$23+Assum_Pricing!$C$8*Assum_Volume!$C$21)*DP5/1000</f>
        <v>26369.537286573002</v>
      </c>
      <c r="DQ8" s="22">
        <f>(Calc_Volume!DQ12*Assum_Volume!$C$16)*(Assum_Pricing!$C$6*Assum_Volume!$C$22+Assum_Pricing!$C$7*Assum_Volume!$C$23+Assum_Pricing!$C$8*Assum_Volume!$C$21)*DQ5/1000</f>
        <v>32102.045392349755</v>
      </c>
    </row>
    <row r="9" spans="1:121" ht="15" customHeight="1">
      <c r="A9" t="s">
        <v>421</v>
      </c>
      <c r="B9" s="22">
        <f>(Calc_Volume!B12*Assum_Volume!$C$17)*(Assum_Pricing!$D$6*Assum_Volume!$C$26+Assum_Pricing!$D$7*Assum_Volume!$C$27)*B5/1000</f>
        <v>18610.258333333331</v>
      </c>
      <c r="C9" s="22">
        <f>(Calc_Volume!C12*Assum_Volume!$C$17)*(Assum_Pricing!$D$6*Assum_Volume!$C$26+Assum_Pricing!$D$7*Assum_Volume!$C$27)*C5/1000</f>
        <v>17801.116666666669</v>
      </c>
      <c r="D9" s="22">
        <f>(Calc_Volume!D12*Assum_Volume!$C$17)*(Assum_Pricing!$D$6*Assum_Volume!$C$26+Assum_Pricing!$D$7*Assum_Volume!$C$27)*D5/1000</f>
        <v>16182.833333333332</v>
      </c>
      <c r="E9" s="22">
        <f>(Calc_Volume!E12*Assum_Volume!$C$17)*(Assum_Pricing!$D$6*Assum_Volume!$C$26+Assum_Pricing!$D$7*Assum_Volume!$C$27)*E5/1000</f>
        <v>14564.55</v>
      </c>
      <c r="F9" s="22">
        <f>(Calc_Volume!F12*Assum_Volume!$C$17)*(Assum_Pricing!$D$6*Assum_Volume!$C$26+Assum_Pricing!$D$7*Assum_Volume!$C$27)*F5/1000</f>
        <v>13755.408333333333</v>
      </c>
      <c r="G9" s="22">
        <f>(Calc_Volume!G12*Assum_Volume!$C$17)*(Assum_Pricing!$D$6*Assum_Volume!$C$26+Assum_Pricing!$D$7*Assum_Volume!$C$27)*G5/1000</f>
        <v>12946.266666666668</v>
      </c>
      <c r="H9" s="22">
        <f>(Calc_Volume!H12*Assum_Volume!$C$17)*(Assum_Pricing!$D$6*Assum_Volume!$C$26+Assum_Pricing!$D$7*Assum_Volume!$C$27)*H5/1000</f>
        <v>12946.266666666668</v>
      </c>
      <c r="I9" s="22">
        <f>(Calc_Volume!I12*Assum_Volume!$C$17)*(Assum_Pricing!$D$6*Assum_Volume!$C$26+Assum_Pricing!$D$7*Assum_Volume!$C$27)*I5/1000</f>
        <v>13755.408333333333</v>
      </c>
      <c r="J9" s="22">
        <f>(Calc_Volume!J12*Assum_Volume!$C$17)*(Assum_Pricing!$D$6*Assum_Volume!$C$26+Assum_Pricing!$D$7*Assum_Volume!$C$27)*J5/1000</f>
        <v>15373.691666666666</v>
      </c>
      <c r="K9" s="22">
        <f>(Calc_Volume!K12*Assum_Volume!$C$17)*(Assum_Pricing!$D$6*Assum_Volume!$C$26+Assum_Pricing!$D$7*Assum_Volume!$C$27)*K5/1000</f>
        <v>16991.974999999999</v>
      </c>
      <c r="L9" s="22">
        <f>(Calc_Volume!L12*Assum_Volume!$C$17)*(Assum_Pricing!$D$6*Assum_Volume!$C$26+Assum_Pricing!$D$7*Assum_Volume!$C$27)*L5/1000</f>
        <v>18610.258333333331</v>
      </c>
      <c r="M9" s="22">
        <f>(Calc_Volume!M12*Assum_Volume!$C$17)*(Assum_Pricing!$D$6*Assum_Volume!$C$26+Assum_Pricing!$D$7*Assum_Volume!$C$27)*M5/1000</f>
        <v>22655.966666666664</v>
      </c>
      <c r="N9" s="22">
        <f>(Calc_Volume!N12*Assum_Volume!$C$17)*(Assum_Pricing!$D$6*Assum_Volume!$C$26+Assum_Pricing!$D$7*Assum_Volume!$C$27)*N5/1000</f>
        <v>20601.555974999999</v>
      </c>
      <c r="O9" s="22">
        <f>(Calc_Volume!O12*Assum_Volume!$C$17)*(Assum_Pricing!$D$6*Assum_Volume!$C$26+Assum_Pricing!$D$7*Assum_Volume!$C$27)*O5/1000</f>
        <v>19705.836150000003</v>
      </c>
      <c r="P9" s="22">
        <f>(Calc_Volume!P12*Assum_Volume!$C$17)*(Assum_Pricing!$D$6*Assum_Volume!$C$26+Assum_Pricing!$D$7*Assum_Volume!$C$27)*P5/1000</f>
        <v>17914.396499999999</v>
      </c>
      <c r="Q9" s="22">
        <f>(Calc_Volume!Q12*Assum_Volume!$C$17)*(Assum_Pricing!$D$6*Assum_Volume!$C$26+Assum_Pricing!$D$7*Assum_Volume!$C$27)*Q5/1000</f>
        <v>16122.956849999999</v>
      </c>
      <c r="R9" s="22">
        <f>(Calc_Volume!R12*Assum_Volume!$C$17)*(Assum_Pricing!$D$6*Assum_Volume!$C$26+Assum_Pricing!$D$7*Assum_Volume!$C$27)*R5/1000</f>
        <v>15227.237024999999</v>
      </c>
      <c r="S9" s="22">
        <f>(Calc_Volume!S12*Assum_Volume!$C$17)*(Assum_Pricing!$D$6*Assum_Volume!$C$26+Assum_Pricing!$D$7*Assum_Volume!$C$27)*S5/1000</f>
        <v>14331.517200000004</v>
      </c>
      <c r="T9" s="22">
        <f>(Calc_Volume!T12*Assum_Volume!$C$17)*(Assum_Pricing!$D$6*Assum_Volume!$C$26+Assum_Pricing!$D$7*Assum_Volume!$C$27)*T5/1000</f>
        <v>14331.517200000004</v>
      </c>
      <c r="U9" s="22">
        <f>(Calc_Volume!U12*Assum_Volume!$C$17)*(Assum_Pricing!$D$6*Assum_Volume!$C$26+Assum_Pricing!$D$7*Assum_Volume!$C$27)*U5/1000</f>
        <v>15227.237024999999</v>
      </c>
      <c r="V9" s="22">
        <f>(Calc_Volume!V12*Assum_Volume!$C$17)*(Assum_Pricing!$D$6*Assum_Volume!$C$26+Assum_Pricing!$D$7*Assum_Volume!$C$27)*V5/1000</f>
        <v>17018.676674999999</v>
      </c>
      <c r="W9" s="22">
        <f>(Calc_Volume!W12*Assum_Volume!$C$17)*(Assum_Pricing!$D$6*Assum_Volume!$C$26+Assum_Pricing!$D$7*Assum_Volume!$C$27)*W5/1000</f>
        <v>18810.116324999999</v>
      </c>
      <c r="X9" s="22">
        <f>(Calc_Volume!X12*Assum_Volume!$C$17)*(Assum_Pricing!$D$6*Assum_Volume!$C$26+Assum_Pricing!$D$7*Assum_Volume!$C$27)*X5/1000</f>
        <v>20601.555974999999</v>
      </c>
      <c r="Y9" s="22">
        <f>(Calc_Volume!Y12*Assum_Volume!$C$17)*(Assum_Pricing!$D$6*Assum_Volume!$C$26+Assum_Pricing!$D$7*Assum_Volume!$C$27)*Y5/1000</f>
        <v>25080.155099999996</v>
      </c>
      <c r="Z9" s="22">
        <f>(Calc_Volume!Z12*Assum_Volume!$C$17)*(Assum_Pricing!$D$6*Assum_Volume!$C$26+Assum_Pricing!$D$7*Assum_Volume!$C$27)*Z5/1000</f>
        <v>22805.922464324998</v>
      </c>
      <c r="AA9" s="22">
        <f>(Calc_Volume!AA12*Assum_Volume!$C$17)*(Assum_Pricing!$D$6*Assum_Volume!$C$26+Assum_Pricing!$D$7*Assum_Volume!$C$27)*AA5/1000</f>
        <v>21814.360618050006</v>
      </c>
      <c r="AB9" s="22">
        <f>(Calc_Volume!AB12*Assum_Volume!$C$17)*(Assum_Pricing!$D$6*Assum_Volume!$C$26+Assum_Pricing!$D$7*Assum_Volume!$C$27)*AB5/1000</f>
        <v>19831.236925499998</v>
      </c>
      <c r="AC9" s="22">
        <f>(Calc_Volume!AC12*Assum_Volume!$C$17)*(Assum_Pricing!$D$6*Assum_Volume!$C$26+Assum_Pricing!$D$7*Assum_Volume!$C$27)*AC5/1000</f>
        <v>17848.11323295</v>
      </c>
      <c r="AD9" s="22">
        <f>(Calc_Volume!AD12*Assum_Volume!$C$17)*(Assum_Pricing!$D$6*Assum_Volume!$C$26+Assum_Pricing!$D$7*Assum_Volume!$C$27)*AD5/1000</f>
        <v>16856.551386675001</v>
      </c>
      <c r="AE9" s="22">
        <f>(Calc_Volume!AE12*Assum_Volume!$C$17)*(Assum_Pricing!$D$6*Assum_Volume!$C$26+Assum_Pricing!$D$7*Assum_Volume!$C$27)*AE5/1000</f>
        <v>15864.9895404</v>
      </c>
      <c r="AF9" s="22">
        <f>(Calc_Volume!AF12*Assum_Volume!$C$17)*(Assum_Pricing!$D$6*Assum_Volume!$C$26+Assum_Pricing!$D$7*Assum_Volume!$C$27)*AF5/1000</f>
        <v>15864.9895404</v>
      </c>
      <c r="AG9" s="22">
        <f>(Calc_Volume!AG12*Assum_Volume!$C$17)*(Assum_Pricing!$D$6*Assum_Volume!$C$26+Assum_Pricing!$D$7*Assum_Volume!$C$27)*AG5/1000</f>
        <v>16856.551386675001</v>
      </c>
      <c r="AH9" s="22">
        <f>(Calc_Volume!AH12*Assum_Volume!$C$17)*(Assum_Pricing!$D$6*Assum_Volume!$C$26+Assum_Pricing!$D$7*Assum_Volume!$C$27)*AH5/1000</f>
        <v>18839.675079224999</v>
      </c>
      <c r="AI9" s="22">
        <f>(Calc_Volume!AI12*Assum_Volume!$C$17)*(Assum_Pricing!$D$6*Assum_Volume!$C$26+Assum_Pricing!$D$7*Assum_Volume!$C$27)*AI5/1000</f>
        <v>20822.798771775</v>
      </c>
      <c r="AJ9" s="22">
        <f>(Calc_Volume!AJ12*Assum_Volume!$C$17)*(Assum_Pricing!$D$6*Assum_Volume!$C$26+Assum_Pricing!$D$7*Assum_Volume!$C$27)*AJ5/1000</f>
        <v>22805.922464324998</v>
      </c>
      <c r="AK9" s="22">
        <f>(Calc_Volume!AK12*Assum_Volume!$C$17)*(Assum_Pricing!$D$6*Assum_Volume!$C$26+Assum_Pricing!$D$7*Assum_Volume!$C$27)*AK5/1000</f>
        <v>27763.731695699997</v>
      </c>
      <c r="AL9" s="22">
        <f>(Calc_Volume!AL12*Assum_Volume!$C$17)*(Assum_Pricing!$D$6*Assum_Volume!$C$26+Assum_Pricing!$D$7*Assum_Volume!$C$27)*AL5/1000</f>
        <v>24778.634757489108</v>
      </c>
      <c r="AM9" s="22">
        <f>(Calc_Volume!AM12*Assum_Volume!$C$17)*(Assum_Pricing!$D$6*Assum_Volume!$C$26+Assum_Pricing!$D$7*Assum_Volume!$C$27)*AM5/1000</f>
        <v>23701.30281151133</v>
      </c>
      <c r="AN9" s="22">
        <f>(Calc_Volume!AN12*Assum_Volume!$C$17)*(Assum_Pricing!$D$6*Assum_Volume!$C$26+Assum_Pricing!$D$7*Assum_Volume!$C$27)*AN5/1000</f>
        <v>21546.638919555753</v>
      </c>
      <c r="AO9" s="22">
        <f>(Calc_Volume!AO12*Assum_Volume!$C$17)*(Assum_Pricing!$D$6*Assum_Volume!$C$26+Assum_Pricing!$D$7*Assum_Volume!$C$27)*AO5/1000</f>
        <v>19391.975027600176</v>
      </c>
      <c r="AP9" s="22">
        <f>(Calc_Volume!AP12*Assum_Volume!$C$17)*(Assum_Pricing!$D$6*Assum_Volume!$C$26+Assum_Pricing!$D$7*Assum_Volume!$C$27)*AP5/1000</f>
        <v>18314.643081622387</v>
      </c>
      <c r="AQ9" s="22">
        <f>(Calc_Volume!AQ12*Assum_Volume!$C$17)*(Assum_Pricing!$D$6*Assum_Volume!$C$26+Assum_Pricing!$D$7*Assum_Volume!$C$27)*AQ5/1000</f>
        <v>17237.311135644599</v>
      </c>
      <c r="AR9" s="22">
        <f>(Calc_Volume!AR12*Assum_Volume!$C$17)*(Assum_Pricing!$D$6*Assum_Volume!$C$26+Assum_Pricing!$D$7*Assum_Volume!$C$27)*AR5/1000</f>
        <v>17237.311135644599</v>
      </c>
      <c r="AS9" s="22">
        <f>(Calc_Volume!AS12*Assum_Volume!$C$17)*(Assum_Pricing!$D$6*Assum_Volume!$C$26+Assum_Pricing!$D$7*Assum_Volume!$C$27)*AS5/1000</f>
        <v>18314.643081622387</v>
      </c>
      <c r="AT9" s="22">
        <f>(Calc_Volume!AT12*Assum_Volume!$C$17)*(Assum_Pricing!$D$6*Assum_Volume!$C$26+Assum_Pricing!$D$7*Assum_Volume!$C$27)*AT5/1000</f>
        <v>20469.306973577961</v>
      </c>
      <c r="AU9" s="22">
        <f>(Calc_Volume!AU12*Assum_Volume!$C$17)*(Assum_Pricing!$D$6*Assum_Volume!$C$26+Assum_Pricing!$D$7*Assum_Volume!$C$27)*AU5/1000</f>
        <v>22623.970865533538</v>
      </c>
      <c r="AV9" s="22">
        <f>(Calc_Volume!AV12*Assum_Volume!$C$17)*(Assum_Pricing!$D$6*Assum_Volume!$C$26+Assum_Pricing!$D$7*Assum_Volume!$C$27)*AV5/1000</f>
        <v>24778.634757489108</v>
      </c>
      <c r="AW9" s="22">
        <f>(Calc_Volume!AW12*Assum_Volume!$C$17)*(Assum_Pricing!$D$6*Assum_Volume!$C$26+Assum_Pricing!$D$7*Assum_Volume!$C$27)*AW5/1000</f>
        <v>30165.294487378051</v>
      </c>
      <c r="AX9" s="22">
        <f>(Calc_Volume!AX12*Assum_Volume!$C$17)*(Assum_Pricing!$D$6*Assum_Volume!$C$26+Assum_Pricing!$D$7*Assum_Volume!$C$27)*AX5/1000</f>
        <v>26921.986664011914</v>
      </c>
      <c r="AY9" s="22">
        <f>(Calc_Volume!AY12*Assum_Volume!$C$17)*(Assum_Pricing!$D$6*Assum_Volume!$C$26+Assum_Pricing!$D$7*Assum_Volume!$C$27)*AY5/1000</f>
        <v>25751.465504707056</v>
      </c>
      <c r="AZ9" s="22">
        <f>(Calc_Volume!AZ12*Assum_Volume!$C$17)*(Assum_Pricing!$D$6*Assum_Volume!$C$26+Assum_Pricing!$D$7*Assum_Volume!$C$27)*AZ5/1000</f>
        <v>23410.42318609732</v>
      </c>
      <c r="BA9" s="22">
        <f>(Calc_Volume!BA12*Assum_Volume!$C$17)*(Assum_Pricing!$D$6*Assum_Volume!$C$26+Assum_Pricing!$D$7*Assum_Volume!$C$27)*BA5/1000</f>
        <v>21069.380867487587</v>
      </c>
      <c r="BB9" s="22">
        <f>(Calc_Volume!BB12*Assum_Volume!$C$17)*(Assum_Pricing!$D$6*Assum_Volume!$C$26+Assum_Pricing!$D$7*Assum_Volume!$C$27)*BB5/1000</f>
        <v>19898.859708182721</v>
      </c>
      <c r="BC9" s="22">
        <f>(Calc_Volume!BC12*Assum_Volume!$C$17)*(Assum_Pricing!$D$6*Assum_Volume!$C$26+Assum_Pricing!$D$7*Assum_Volume!$C$27)*BC5/1000</f>
        <v>18728.338548877862</v>
      </c>
      <c r="BD9" s="22">
        <f>(Calc_Volume!BD12*Assum_Volume!$C$17)*(Assum_Pricing!$D$6*Assum_Volume!$C$26+Assum_Pricing!$D$7*Assum_Volume!$C$27)*BD5/1000</f>
        <v>18728.338548877862</v>
      </c>
      <c r="BE9" s="22">
        <f>(Calc_Volume!BE12*Assum_Volume!$C$17)*(Assum_Pricing!$D$6*Assum_Volume!$C$26+Assum_Pricing!$D$7*Assum_Volume!$C$27)*BE5/1000</f>
        <v>19898.859708182721</v>
      </c>
      <c r="BF9" s="22">
        <f>(Calc_Volume!BF12*Assum_Volume!$C$17)*(Assum_Pricing!$D$6*Assum_Volume!$C$26+Assum_Pricing!$D$7*Assum_Volume!$C$27)*BF5/1000</f>
        <v>22239.902026792453</v>
      </c>
      <c r="BG9" s="22">
        <f>(Calc_Volume!BG12*Assum_Volume!$C$17)*(Assum_Pricing!$D$6*Assum_Volume!$C$26+Assum_Pricing!$D$7*Assum_Volume!$C$27)*BG5/1000</f>
        <v>24580.944345402186</v>
      </c>
      <c r="BH9" s="22">
        <f>(Calc_Volume!BH12*Assum_Volume!$C$17)*(Assum_Pricing!$D$6*Assum_Volume!$C$26+Assum_Pricing!$D$7*Assum_Volume!$C$27)*BH5/1000</f>
        <v>26921.986664011914</v>
      </c>
      <c r="BI9" s="22">
        <f>(Calc_Volume!BI12*Assum_Volume!$C$17)*(Assum_Pricing!$D$6*Assum_Volume!$C$26+Assum_Pricing!$D$7*Assum_Volume!$C$27)*BI5/1000</f>
        <v>32774.592460536252</v>
      </c>
      <c r="BJ9" s="22">
        <f>(Calc_Volume!BJ12*Assum_Volume!$C$17)*(Assum_Pricing!$D$6*Assum_Volume!$C$26+Assum_Pricing!$D$7*Assum_Volume!$C$27)*BJ5/1000</f>
        <v>28698.837783836701</v>
      </c>
      <c r="BK9" s="22">
        <f>(Calc_Volume!BK12*Assum_Volume!$C$17)*(Assum_Pricing!$D$6*Assum_Volume!$C$26+Assum_Pricing!$D$7*Assum_Volume!$C$27)*BK5/1000</f>
        <v>27451.062228017723</v>
      </c>
      <c r="BL9" s="22">
        <f>(Calc_Volume!BL12*Assum_Volume!$C$17)*(Assum_Pricing!$D$6*Assum_Volume!$C$26+Assum_Pricing!$D$7*Assum_Volume!$C$27)*BL5/1000</f>
        <v>24955.511116379745</v>
      </c>
      <c r="BM9" s="22">
        <f>(Calc_Volume!BM12*Assum_Volume!$C$17)*(Assum_Pricing!$D$6*Assum_Volume!$C$26+Assum_Pricing!$D$7*Assum_Volume!$C$27)*BM5/1000</f>
        <v>22459.960004741766</v>
      </c>
      <c r="BN9" s="22">
        <f>(Calc_Volume!BN12*Assum_Volume!$C$17)*(Assum_Pricing!$D$6*Assum_Volume!$C$26+Assum_Pricing!$D$7*Assum_Volume!$C$27)*BN5/1000</f>
        <v>21212.184448922781</v>
      </c>
      <c r="BO9" s="22">
        <f>(Calc_Volume!BO12*Assum_Volume!$C$17)*(Assum_Pricing!$D$6*Assum_Volume!$C$26+Assum_Pricing!$D$7*Assum_Volume!$C$27)*BO5/1000</f>
        <v>19964.408893103799</v>
      </c>
      <c r="BP9" s="22">
        <f>(Calc_Volume!BP12*Assum_Volume!$C$17)*(Assum_Pricing!$D$6*Assum_Volume!$C$26+Assum_Pricing!$D$7*Assum_Volume!$C$27)*BP5/1000</f>
        <v>19964.408893103799</v>
      </c>
      <c r="BQ9" s="22">
        <f>(Calc_Volume!BQ12*Assum_Volume!$C$17)*(Assum_Pricing!$D$6*Assum_Volume!$C$26+Assum_Pricing!$D$7*Assum_Volume!$C$27)*BQ5/1000</f>
        <v>21212.184448922781</v>
      </c>
      <c r="BR9" s="22">
        <f>(Calc_Volume!BR12*Assum_Volume!$C$17)*(Assum_Pricing!$D$6*Assum_Volume!$C$26+Assum_Pricing!$D$7*Assum_Volume!$C$27)*BR5/1000</f>
        <v>23707.735560560748</v>
      </c>
      <c r="BS9" s="22">
        <f>(Calc_Volume!BS12*Assum_Volume!$C$17)*(Assum_Pricing!$D$6*Assum_Volume!$C$26+Assum_Pricing!$D$7*Assum_Volume!$C$27)*BS5/1000</f>
        <v>26203.28667219873</v>
      </c>
      <c r="BT9" s="22">
        <f>(Calc_Volume!BT12*Assum_Volume!$C$17)*(Assum_Pricing!$D$6*Assum_Volume!$C$26+Assum_Pricing!$D$7*Assum_Volume!$C$27)*BT5/1000</f>
        <v>28698.837783836701</v>
      </c>
      <c r="BU9" s="22">
        <f>(Calc_Volume!BU12*Assum_Volume!$C$17)*(Assum_Pricing!$D$6*Assum_Volume!$C$26+Assum_Pricing!$D$7*Assum_Volume!$C$27)*BU5/1000</f>
        <v>34937.715562931633</v>
      </c>
      <c r="BV9" s="22">
        <f>(Calc_Volume!BV12*Assum_Volume!$C$17)*(Assum_Pricing!$D$6*Assum_Volume!$C$26+Assum_Pricing!$D$7*Assum_Volume!$C$27)*BV5/1000</f>
        <v>30592.961077569922</v>
      </c>
      <c r="BW9" s="22">
        <f>(Calc_Volume!BW12*Assum_Volume!$C$17)*(Assum_Pricing!$D$6*Assum_Volume!$C$26+Assum_Pricing!$D$7*Assum_Volume!$C$27)*BW5/1000</f>
        <v>29262.832335066883</v>
      </c>
      <c r="BX9" s="22">
        <f>(Calc_Volume!BX12*Assum_Volume!$C$17)*(Assum_Pricing!$D$6*Assum_Volume!$C$26+Assum_Pricing!$D$7*Assum_Volume!$C$27)*BX5/1000</f>
        <v>26602.574850060806</v>
      </c>
      <c r="BY9" s="22">
        <f>(Calc_Volume!BY12*Assum_Volume!$C$17)*(Assum_Pricing!$D$6*Assum_Volume!$C$26+Assum_Pricing!$D$7*Assum_Volume!$C$27)*BY5/1000</f>
        <v>23942.317365054721</v>
      </c>
      <c r="BZ9" s="22">
        <f>(Calc_Volume!BZ12*Assum_Volume!$C$17)*(Assum_Pricing!$D$6*Assum_Volume!$C$26+Assum_Pricing!$D$7*Assum_Volume!$C$27)*BZ5/1000</f>
        <v>22612.188622551683</v>
      </c>
      <c r="CA9" s="22">
        <f>(Calc_Volume!CA12*Assum_Volume!$C$17)*(Assum_Pricing!$D$6*Assum_Volume!$C$26+Assum_Pricing!$D$7*Assum_Volume!$C$27)*CA5/1000</f>
        <v>21282.059880048648</v>
      </c>
      <c r="CB9" s="22">
        <f>(Calc_Volume!CB12*Assum_Volume!$C$17)*(Assum_Pricing!$D$6*Assum_Volume!$C$26+Assum_Pricing!$D$7*Assum_Volume!$C$27)*CB5/1000</f>
        <v>21282.059880048648</v>
      </c>
      <c r="CC9" s="22">
        <f>(Calc_Volume!CC12*Assum_Volume!$C$17)*(Assum_Pricing!$D$6*Assum_Volume!$C$26+Assum_Pricing!$D$7*Assum_Volume!$C$27)*CC5/1000</f>
        <v>22612.188622551683</v>
      </c>
      <c r="CD9" s="22">
        <f>(Calc_Volume!CD12*Assum_Volume!$C$17)*(Assum_Pricing!$D$6*Assum_Volume!$C$26+Assum_Pricing!$D$7*Assum_Volume!$C$27)*CD5/1000</f>
        <v>25272.44610755776</v>
      </c>
      <c r="CE9" s="22">
        <f>(Calc_Volume!CE12*Assum_Volume!$C$17)*(Assum_Pricing!$D$6*Assum_Volume!$C$26+Assum_Pricing!$D$7*Assum_Volume!$C$27)*CE5/1000</f>
        <v>27932.703592563845</v>
      </c>
      <c r="CF9" s="22">
        <f>(Calc_Volume!CF12*Assum_Volume!$C$17)*(Assum_Pricing!$D$6*Assum_Volume!$C$26+Assum_Pricing!$D$7*Assum_Volume!$C$27)*CF5/1000</f>
        <v>30592.961077569922</v>
      </c>
      <c r="CG9" s="22">
        <f>(Calc_Volume!CG12*Assum_Volume!$C$17)*(Assum_Pricing!$D$6*Assum_Volume!$C$26+Assum_Pricing!$D$7*Assum_Volume!$C$27)*CG5/1000</f>
        <v>37243.604790085119</v>
      </c>
      <c r="CH9" s="22">
        <f>(Calc_Volume!CH12*Assum_Volume!$C$17)*(Assum_Pricing!$D$6*Assum_Volume!$C$26+Assum_Pricing!$D$7*Assum_Volume!$C$27)*CH5/1000</f>
        <v>32612.096508689527</v>
      </c>
      <c r="CI9" s="22">
        <f>(Calc_Volume!CI12*Assum_Volume!$C$17)*(Assum_Pricing!$D$6*Assum_Volume!$C$26+Assum_Pricing!$D$7*Assum_Volume!$C$27)*CI5/1000</f>
        <v>31194.179269181288</v>
      </c>
      <c r="CJ9" s="22">
        <f>(Calc_Volume!CJ12*Assum_Volume!$C$17)*(Assum_Pricing!$D$6*Assum_Volume!$C$26+Assum_Pricing!$D$7*Assum_Volume!$C$27)*CJ5/1000</f>
        <v>28358.344790164803</v>
      </c>
      <c r="CK9" s="22">
        <f>(Calc_Volume!CK12*Assum_Volume!$C$17)*(Assum_Pricing!$D$6*Assum_Volume!$C$26+Assum_Pricing!$D$7*Assum_Volume!$C$27)*CK5/1000</f>
        <v>25522.510311148333</v>
      </c>
      <c r="CL9" s="22">
        <f>(Calc_Volume!CL12*Assum_Volume!$C$17)*(Assum_Pricing!$D$6*Assum_Volume!$C$26+Assum_Pricing!$D$7*Assum_Volume!$C$27)*CL5/1000</f>
        <v>24104.593071640094</v>
      </c>
      <c r="CM9" s="22">
        <f>(Calc_Volume!CM12*Assum_Volume!$C$17)*(Assum_Pricing!$D$6*Assum_Volume!$C$26+Assum_Pricing!$D$7*Assum_Volume!$C$27)*CM5/1000</f>
        <v>22686.675832131852</v>
      </c>
      <c r="CN9" s="22">
        <f>(Calc_Volume!CN12*Assum_Volume!$C$17)*(Assum_Pricing!$D$6*Assum_Volume!$C$26+Assum_Pricing!$D$7*Assum_Volume!$C$27)*CN5/1000</f>
        <v>22686.675832131852</v>
      </c>
      <c r="CO9" s="22">
        <f>(Calc_Volume!CO12*Assum_Volume!$C$17)*(Assum_Pricing!$D$6*Assum_Volume!$C$26+Assum_Pricing!$D$7*Assum_Volume!$C$27)*CO5/1000</f>
        <v>24104.593071640094</v>
      </c>
      <c r="CP9" s="22">
        <f>(Calc_Volume!CP12*Assum_Volume!$C$17)*(Assum_Pricing!$D$6*Assum_Volume!$C$26+Assum_Pricing!$D$7*Assum_Volume!$C$27)*CP5/1000</f>
        <v>26940.427550656565</v>
      </c>
      <c r="CQ9" s="22">
        <f>(Calc_Volume!CQ12*Assum_Volume!$C$17)*(Assum_Pricing!$D$6*Assum_Volume!$C$26+Assum_Pricing!$D$7*Assum_Volume!$C$27)*CQ5/1000</f>
        <v>29776.262029673046</v>
      </c>
      <c r="CR9" s="22">
        <f>(Calc_Volume!CR12*Assum_Volume!$C$17)*(Assum_Pricing!$D$6*Assum_Volume!$C$26+Assum_Pricing!$D$7*Assum_Volume!$C$27)*CR5/1000</f>
        <v>32612.096508689527</v>
      </c>
      <c r="CS9" s="22">
        <f>(Calc_Volume!CS12*Assum_Volume!$C$17)*(Assum_Pricing!$D$6*Assum_Volume!$C$26+Assum_Pricing!$D$7*Assum_Volume!$C$27)*CS5/1000</f>
        <v>39701.682706230727</v>
      </c>
      <c r="CT9" s="22">
        <f>(Calc_Volume!CT12*Assum_Volume!$C$17)*(Assum_Pricing!$D$6*Assum_Volume!$C$26+Assum_Pricing!$D$7*Assum_Volume!$C$27)*CT5/1000</f>
        <v>34764.494878263031</v>
      </c>
      <c r="CU9" s="22">
        <f>(Calc_Volume!CU12*Assum_Volume!$C$17)*(Assum_Pricing!$D$6*Assum_Volume!$C$26+Assum_Pricing!$D$7*Assum_Volume!$C$27)*CU5/1000</f>
        <v>33252.995100947257</v>
      </c>
      <c r="CV9" s="22">
        <f>(Calc_Volume!CV12*Assum_Volume!$C$17)*(Assum_Pricing!$D$6*Assum_Volume!$C$26+Assum_Pricing!$D$7*Assum_Volume!$C$27)*CV5/1000</f>
        <v>30229.995546315684</v>
      </c>
      <c r="CW9" s="22">
        <f>(Calc_Volume!CW12*Assum_Volume!$C$17)*(Assum_Pricing!$D$6*Assum_Volume!$C$26+Assum_Pricing!$D$7*Assum_Volume!$C$27)*CW5/1000</f>
        <v>27206.995991684122</v>
      </c>
      <c r="CX9" s="22">
        <f>(Calc_Volume!CX12*Assum_Volume!$C$17)*(Assum_Pricing!$D$6*Assum_Volume!$C$26+Assum_Pricing!$D$7*Assum_Volume!$C$27)*CX5/1000</f>
        <v>25695.496214368333</v>
      </c>
      <c r="CY9" s="22">
        <f>(Calc_Volume!CY12*Assum_Volume!$C$17)*(Assum_Pricing!$D$6*Assum_Volume!$C$26+Assum_Pricing!$D$7*Assum_Volume!$C$27)*CY5/1000</f>
        <v>24183.996437052549</v>
      </c>
      <c r="CZ9" s="22">
        <f>(Calc_Volume!CZ12*Assum_Volume!$C$17)*(Assum_Pricing!$D$6*Assum_Volume!$C$26+Assum_Pricing!$D$7*Assum_Volume!$C$27)*CZ5/1000</f>
        <v>24183.996437052549</v>
      </c>
      <c r="DA9" s="22">
        <f>(Calc_Volume!DA12*Assum_Volume!$C$17)*(Assum_Pricing!$D$6*Assum_Volume!$C$26+Assum_Pricing!$D$7*Assum_Volume!$C$27)*DA5/1000</f>
        <v>25695.496214368333</v>
      </c>
      <c r="DB9" s="22">
        <f>(Calc_Volume!DB12*Assum_Volume!$C$17)*(Assum_Pricing!$D$6*Assum_Volume!$C$26+Assum_Pricing!$D$7*Assum_Volume!$C$27)*DB5/1000</f>
        <v>28718.495768999896</v>
      </c>
      <c r="DC9" s="22">
        <f>(Calc_Volume!DC12*Assum_Volume!$C$17)*(Assum_Pricing!$D$6*Assum_Volume!$C$26+Assum_Pricing!$D$7*Assum_Volume!$C$27)*DC5/1000</f>
        <v>31741.495323631469</v>
      </c>
      <c r="DD9" s="22">
        <f>(Calc_Volume!DD12*Assum_Volume!$C$17)*(Assum_Pricing!$D$6*Assum_Volume!$C$26+Assum_Pricing!$D$7*Assum_Volume!$C$27)*DD5/1000</f>
        <v>34764.494878263031</v>
      </c>
      <c r="DE9" s="22">
        <f>(Calc_Volume!DE12*Assum_Volume!$C$17)*(Assum_Pricing!$D$6*Assum_Volume!$C$26+Assum_Pricing!$D$7*Assum_Volume!$C$27)*DE5/1000</f>
        <v>42321.993764841951</v>
      </c>
      <c r="DF9" s="22">
        <f>(Calc_Volume!DF12*Assum_Volume!$C$17)*(Assum_Pricing!$D$6*Assum_Volume!$C$26+Assum_Pricing!$D$7*Assum_Volume!$C$27)*DF5/1000</f>
        <v>37058.951540228387</v>
      </c>
      <c r="DG9" s="22">
        <f>(Calc_Volume!DG12*Assum_Volume!$C$17)*(Assum_Pricing!$D$6*Assum_Volume!$C$26+Assum_Pricing!$D$7*Assum_Volume!$C$27)*DG5/1000</f>
        <v>35447.692777609773</v>
      </c>
      <c r="DH9" s="22">
        <f>(Calc_Volume!DH12*Assum_Volume!$C$17)*(Assum_Pricing!$D$6*Assum_Volume!$C$26+Assum_Pricing!$D$7*Assum_Volume!$C$27)*DH5/1000</f>
        <v>32225.175252372519</v>
      </c>
      <c r="DI9" s="22">
        <f>(Calc_Volume!DI12*Assum_Volume!$C$17)*(Assum_Pricing!$D$6*Assum_Volume!$C$26+Assum_Pricing!$D$7*Assum_Volume!$C$27)*DI5/1000</f>
        <v>29002.657727135265</v>
      </c>
      <c r="DJ9" s="22">
        <f>(Calc_Volume!DJ12*Assum_Volume!$C$17)*(Assum_Pricing!$D$6*Assum_Volume!$C$26+Assum_Pricing!$D$7*Assum_Volume!$C$27)*DJ5/1000</f>
        <v>27391.39896451664</v>
      </c>
      <c r="DK9" s="22">
        <f>(Calc_Volume!DK12*Assum_Volume!$C$17)*(Assum_Pricing!$D$6*Assum_Volume!$C$26+Assum_Pricing!$D$7*Assum_Volume!$C$27)*DK5/1000</f>
        <v>25780.140201898015</v>
      </c>
      <c r="DL9" s="22">
        <f>(Calc_Volume!DL12*Assum_Volume!$C$17)*(Assum_Pricing!$D$6*Assum_Volume!$C$26+Assum_Pricing!$D$7*Assum_Volume!$C$27)*DL5/1000</f>
        <v>25780.140201898015</v>
      </c>
      <c r="DM9" s="22">
        <f>(Calc_Volume!DM12*Assum_Volume!$C$17)*(Assum_Pricing!$D$6*Assum_Volume!$C$26+Assum_Pricing!$D$7*Assum_Volume!$C$27)*DM5/1000</f>
        <v>27391.39896451664</v>
      </c>
      <c r="DN9" s="22">
        <f>(Calc_Volume!DN12*Assum_Volume!$C$17)*(Assum_Pricing!$D$6*Assum_Volume!$C$26+Assum_Pricing!$D$7*Assum_Volume!$C$27)*DN5/1000</f>
        <v>30613.91648975389</v>
      </c>
      <c r="DO9" s="22">
        <f>(Calc_Volume!DO12*Assum_Volume!$C$17)*(Assum_Pricing!$D$6*Assum_Volume!$C$26+Assum_Pricing!$D$7*Assum_Volume!$C$27)*DO5/1000</f>
        <v>33836.434014991144</v>
      </c>
      <c r="DP9" s="22">
        <f>(Calc_Volume!DP12*Assum_Volume!$C$17)*(Assum_Pricing!$D$6*Assum_Volume!$C$26+Assum_Pricing!$D$7*Assum_Volume!$C$27)*DP5/1000</f>
        <v>37058.951540228387</v>
      </c>
      <c r="DQ9" s="22">
        <f>(Calc_Volume!DQ12*Assum_Volume!$C$17)*(Assum_Pricing!$D$6*Assum_Volume!$C$26+Assum_Pricing!$D$7*Assum_Volume!$C$27)*DQ5/1000</f>
        <v>45115.245353321523</v>
      </c>
    </row>
    <row r="10" spans="1:121" ht="15" customHeight="1">
      <c r="A10" t="s">
        <v>422</v>
      </c>
      <c r="B10" s="22">
        <f>(Calc_Volume!B13*Assum_Volume!$C$16)*(Assum_Pricing!$C$9*Assum_Volume!$C$22+Assum_Pricing!$C$10*Assum_Volume!$C$23+Assum_Pricing!$C$11*Assum_Volume!$C$21)*B5/1000</f>
        <v>6311.2000000000007</v>
      </c>
      <c r="C10" s="22">
        <f>(Calc_Volume!C13*Assum_Volume!$C$16)*(Assum_Pricing!$C$9*Assum_Volume!$C$22+Assum_Pricing!$C$10*Assum_Volume!$C$23+Assum_Pricing!$C$11*Assum_Volume!$C$21)*C5/1000</f>
        <v>6036.800000000002</v>
      </c>
      <c r="D10" s="22">
        <f>(Calc_Volume!D13*Assum_Volume!$C$16)*(Assum_Pricing!$C$9*Assum_Volume!$C$22+Assum_Pricing!$C$10*Assum_Volume!$C$23+Assum_Pricing!$C$11*Assum_Volume!$C$21)*D5/1000</f>
        <v>5488.0000000000009</v>
      </c>
      <c r="E10" s="22">
        <f>(Calc_Volume!E13*Assum_Volume!$C$16)*(Assum_Pricing!$C$9*Assum_Volume!$C$22+Assum_Pricing!$C$10*Assum_Volume!$C$23+Assum_Pricing!$C$11*Assum_Volume!$C$21)*E5/1000</f>
        <v>4939.2000000000007</v>
      </c>
      <c r="F10" s="22">
        <f>(Calc_Volume!F13*Assum_Volume!$C$16)*(Assum_Pricing!$C$9*Assum_Volume!$C$22+Assum_Pricing!$C$10*Assum_Volume!$C$23+Assum_Pricing!$C$11*Assum_Volume!$C$21)*F5/1000</f>
        <v>4664.8000000000011</v>
      </c>
      <c r="G10" s="22">
        <f>(Calc_Volume!G13*Assum_Volume!$C$16)*(Assum_Pricing!$C$9*Assum_Volume!$C$22+Assum_Pricing!$C$10*Assum_Volume!$C$23+Assum_Pricing!$C$11*Assum_Volume!$C$21)*G5/1000</f>
        <v>4390.4000000000005</v>
      </c>
      <c r="H10" s="22">
        <f>(Calc_Volume!H13*Assum_Volume!$C$16)*(Assum_Pricing!$C$9*Assum_Volume!$C$22+Assum_Pricing!$C$10*Assum_Volume!$C$23+Assum_Pricing!$C$11*Assum_Volume!$C$21)*H5/1000</f>
        <v>4390.4000000000005</v>
      </c>
      <c r="I10" s="22">
        <f>(Calc_Volume!I13*Assum_Volume!$C$16)*(Assum_Pricing!$C$9*Assum_Volume!$C$22+Assum_Pricing!$C$10*Assum_Volume!$C$23+Assum_Pricing!$C$11*Assum_Volume!$C$21)*I5/1000</f>
        <v>4664.8000000000011</v>
      </c>
      <c r="J10" s="22">
        <f>(Calc_Volume!J13*Assum_Volume!$C$16)*(Assum_Pricing!$C$9*Assum_Volume!$C$22+Assum_Pricing!$C$10*Assum_Volume!$C$23+Assum_Pricing!$C$11*Assum_Volume!$C$21)*J5/1000</f>
        <v>5213.6000000000013</v>
      </c>
      <c r="K10" s="22">
        <f>(Calc_Volume!K13*Assum_Volume!$C$16)*(Assum_Pricing!$C$9*Assum_Volume!$C$22+Assum_Pricing!$C$10*Assum_Volume!$C$23+Assum_Pricing!$C$11*Assum_Volume!$C$21)*K5/1000</f>
        <v>5762.4000000000005</v>
      </c>
      <c r="L10" s="22">
        <f>(Calc_Volume!L13*Assum_Volume!$C$16)*(Assum_Pricing!$C$9*Assum_Volume!$C$22+Assum_Pricing!$C$10*Assum_Volume!$C$23+Assum_Pricing!$C$11*Assum_Volume!$C$21)*L5/1000</f>
        <v>6311.2000000000007</v>
      </c>
      <c r="M10" s="22">
        <f>(Calc_Volume!M13*Assum_Volume!$C$16)*(Assum_Pricing!$C$9*Assum_Volume!$C$22+Assum_Pricing!$C$10*Assum_Volume!$C$23+Assum_Pricing!$C$11*Assum_Volume!$C$21)*M5/1000</f>
        <v>7683.2</v>
      </c>
      <c r="N10" s="22">
        <f>(Calc_Volume!N13*Assum_Volume!$C$16)*(Assum_Pricing!$C$9*Assum_Volume!$C$22+Assum_Pricing!$C$10*Assum_Volume!$C$23+Assum_Pricing!$C$11*Assum_Volume!$C$21)*N5/1000</f>
        <v>6986.4984000000013</v>
      </c>
      <c r="O10" s="22">
        <f>(Calc_Volume!O13*Assum_Volume!$C$16)*(Assum_Pricing!$C$9*Assum_Volume!$C$22+Assum_Pricing!$C$10*Assum_Volume!$C$23+Assum_Pricing!$C$11*Assum_Volume!$C$21)*O5/1000</f>
        <v>6682.7376000000022</v>
      </c>
      <c r="P10" s="22">
        <f>(Calc_Volume!P13*Assum_Volume!$C$16)*(Assum_Pricing!$C$9*Assum_Volume!$C$22+Assum_Pricing!$C$10*Assum_Volume!$C$23+Assum_Pricing!$C$11*Assum_Volume!$C$21)*P5/1000</f>
        <v>6075.2160000000003</v>
      </c>
      <c r="Q10" s="22">
        <f>(Calc_Volume!Q13*Assum_Volume!$C$16)*(Assum_Pricing!$C$9*Assum_Volume!$C$22+Assum_Pricing!$C$10*Assum_Volume!$C$23+Assum_Pricing!$C$11*Assum_Volume!$C$21)*Q5/1000</f>
        <v>5467.6944000000003</v>
      </c>
      <c r="R10" s="22">
        <f>(Calc_Volume!R13*Assum_Volume!$C$16)*(Assum_Pricing!$C$9*Assum_Volume!$C$22+Assum_Pricing!$C$10*Assum_Volume!$C$23+Assum_Pricing!$C$11*Assum_Volume!$C$21)*R5/1000</f>
        <v>5163.9336000000003</v>
      </c>
      <c r="S10" s="22">
        <f>(Calc_Volume!S13*Assum_Volume!$C$16)*(Assum_Pricing!$C$9*Assum_Volume!$C$22+Assum_Pricing!$C$10*Assum_Volume!$C$23+Assum_Pricing!$C$11*Assum_Volume!$C$21)*S5/1000</f>
        <v>4860.1728000000012</v>
      </c>
      <c r="T10" s="22">
        <f>(Calc_Volume!T13*Assum_Volume!$C$16)*(Assum_Pricing!$C$9*Assum_Volume!$C$22+Assum_Pricing!$C$10*Assum_Volume!$C$23+Assum_Pricing!$C$11*Assum_Volume!$C$21)*T5/1000</f>
        <v>4860.1728000000012</v>
      </c>
      <c r="U10" s="22">
        <f>(Calc_Volume!U13*Assum_Volume!$C$16)*(Assum_Pricing!$C$9*Assum_Volume!$C$22+Assum_Pricing!$C$10*Assum_Volume!$C$23+Assum_Pricing!$C$11*Assum_Volume!$C$21)*U5/1000</f>
        <v>5163.9336000000003</v>
      </c>
      <c r="V10" s="22">
        <f>(Calc_Volume!V13*Assum_Volume!$C$16)*(Assum_Pricing!$C$9*Assum_Volume!$C$22+Assum_Pricing!$C$10*Assum_Volume!$C$23+Assum_Pricing!$C$11*Assum_Volume!$C$21)*V5/1000</f>
        <v>5771.4552000000003</v>
      </c>
      <c r="W10" s="22">
        <f>(Calc_Volume!W13*Assum_Volume!$C$16)*(Assum_Pricing!$C$9*Assum_Volume!$C$22+Assum_Pricing!$C$10*Assum_Volume!$C$23+Assum_Pricing!$C$11*Assum_Volume!$C$21)*W5/1000</f>
        <v>6378.9768000000004</v>
      </c>
      <c r="X10" s="22">
        <f>(Calc_Volume!X13*Assum_Volume!$C$16)*(Assum_Pricing!$C$9*Assum_Volume!$C$22+Assum_Pricing!$C$10*Assum_Volume!$C$23+Assum_Pricing!$C$11*Assum_Volume!$C$21)*X5/1000</f>
        <v>6986.4984000000013</v>
      </c>
      <c r="Y10" s="22">
        <f>(Calc_Volume!Y13*Assum_Volume!$C$16)*(Assum_Pricing!$C$9*Assum_Volume!$C$22+Assum_Pricing!$C$10*Assum_Volume!$C$23+Assum_Pricing!$C$11*Assum_Volume!$C$21)*Y5/1000</f>
        <v>8505.3024000000005</v>
      </c>
      <c r="Z10" s="22">
        <f>(Calc_Volume!Z13*Assum_Volume!$C$16)*(Assum_Pricing!$C$9*Assum_Volume!$C$22+Assum_Pricing!$C$10*Assum_Volume!$C$23+Assum_Pricing!$C$11*Assum_Volume!$C$21)*Z5/1000</f>
        <v>7734.0537288000005</v>
      </c>
      <c r="AA10" s="22">
        <f>(Calc_Volume!AA13*Assum_Volume!$C$16)*(Assum_Pricing!$C$9*Assum_Volume!$C$22+Assum_Pricing!$C$10*Assum_Volume!$C$23+Assum_Pricing!$C$11*Assum_Volume!$C$21)*AA5/1000</f>
        <v>7397.7905232000012</v>
      </c>
      <c r="AB10" s="22">
        <f>(Calc_Volume!AB13*Assum_Volume!$C$16)*(Assum_Pricing!$C$9*Assum_Volume!$C$22+Assum_Pricing!$C$10*Assum_Volume!$C$23+Assum_Pricing!$C$11*Assum_Volume!$C$21)*AB5/1000</f>
        <v>6725.2641120000008</v>
      </c>
      <c r="AC10" s="22">
        <f>(Calc_Volume!AC13*Assum_Volume!$C$16)*(Assum_Pricing!$C$9*Assum_Volume!$C$22+Assum_Pricing!$C$10*Assum_Volume!$C$23+Assum_Pricing!$C$11*Assum_Volume!$C$21)*AC5/1000</f>
        <v>6052.7377008000003</v>
      </c>
      <c r="AD10" s="22">
        <f>(Calc_Volume!AD13*Assum_Volume!$C$16)*(Assum_Pricing!$C$9*Assum_Volume!$C$22+Assum_Pricing!$C$10*Assum_Volume!$C$23+Assum_Pricing!$C$11*Assum_Volume!$C$21)*AD5/1000</f>
        <v>5716.4744952000019</v>
      </c>
      <c r="AE10" s="22">
        <f>(Calc_Volume!AE13*Assum_Volume!$C$16)*(Assum_Pricing!$C$9*Assum_Volume!$C$22+Assum_Pricing!$C$10*Assum_Volume!$C$23+Assum_Pricing!$C$11*Assum_Volume!$C$21)*AE5/1000</f>
        <v>5380.2112895999999</v>
      </c>
      <c r="AF10" s="22">
        <f>(Calc_Volume!AF13*Assum_Volume!$C$16)*(Assum_Pricing!$C$9*Assum_Volume!$C$22+Assum_Pricing!$C$10*Assum_Volume!$C$23+Assum_Pricing!$C$11*Assum_Volume!$C$21)*AF5/1000</f>
        <v>5380.2112895999999</v>
      </c>
      <c r="AG10" s="22">
        <f>(Calc_Volume!AG13*Assum_Volume!$C$16)*(Assum_Pricing!$C$9*Assum_Volume!$C$22+Assum_Pricing!$C$10*Assum_Volume!$C$23+Assum_Pricing!$C$11*Assum_Volume!$C$21)*AG5/1000</f>
        <v>5716.4744952000019</v>
      </c>
      <c r="AH10" s="22">
        <f>(Calc_Volume!AH13*Assum_Volume!$C$16)*(Assum_Pricing!$C$9*Assum_Volume!$C$22+Assum_Pricing!$C$10*Assum_Volume!$C$23+Assum_Pricing!$C$11*Assum_Volume!$C$21)*AH5/1000</f>
        <v>6389.0009064000005</v>
      </c>
      <c r="AI10" s="22">
        <f>(Calc_Volume!AI13*Assum_Volume!$C$16)*(Assum_Pricing!$C$9*Assum_Volume!$C$22+Assum_Pricing!$C$10*Assum_Volume!$C$23+Assum_Pricing!$C$11*Assum_Volume!$C$21)*AI5/1000</f>
        <v>7061.5273176000001</v>
      </c>
      <c r="AJ10" s="22">
        <f>(Calc_Volume!AJ13*Assum_Volume!$C$16)*(Assum_Pricing!$C$9*Assum_Volume!$C$22+Assum_Pricing!$C$10*Assum_Volume!$C$23+Assum_Pricing!$C$11*Assum_Volume!$C$21)*AJ5/1000</f>
        <v>7734.0537288000005</v>
      </c>
      <c r="AK10" s="22">
        <f>(Calc_Volume!AK13*Assum_Volume!$C$16)*(Assum_Pricing!$C$9*Assum_Volume!$C$22+Assum_Pricing!$C$10*Assum_Volume!$C$23+Assum_Pricing!$C$11*Assum_Volume!$C$21)*AK5/1000</f>
        <v>9415.3697568000007</v>
      </c>
      <c r="AL10" s="22">
        <f>(Calc_Volume!AL13*Assum_Volume!$C$16)*(Assum_Pricing!$C$9*Assum_Volume!$C$22+Assum_Pricing!$C$10*Assum_Volume!$C$23+Assum_Pricing!$C$11*Assum_Volume!$C$21)*AL5/1000</f>
        <v>8403.0493763412014</v>
      </c>
      <c r="AM10" s="22">
        <f>(Calc_Volume!AM13*Assum_Volume!$C$16)*(Assum_Pricing!$C$9*Assum_Volume!$C$22+Assum_Pricing!$C$10*Assum_Volume!$C$23+Assum_Pricing!$C$11*Assum_Volume!$C$21)*AM5/1000</f>
        <v>8037.6994034568015</v>
      </c>
      <c r="AN10" s="22">
        <f>(Calc_Volume!AN13*Assum_Volume!$C$16)*(Assum_Pricing!$C$9*Assum_Volume!$C$22+Assum_Pricing!$C$10*Assum_Volume!$C$23+Assum_Pricing!$C$11*Assum_Volume!$C$21)*AN5/1000</f>
        <v>7306.9994576880008</v>
      </c>
      <c r="AO10" s="22">
        <f>(Calc_Volume!AO13*Assum_Volume!$C$16)*(Assum_Pricing!$C$9*Assum_Volume!$C$22+Assum_Pricing!$C$10*Assum_Volume!$C$23+Assum_Pricing!$C$11*Assum_Volume!$C$21)*AO5/1000</f>
        <v>6576.2995119192001</v>
      </c>
      <c r="AP10" s="22">
        <f>(Calc_Volume!AP13*Assum_Volume!$C$16)*(Assum_Pricing!$C$9*Assum_Volume!$C$22+Assum_Pricing!$C$10*Assum_Volume!$C$23+Assum_Pricing!$C$11*Assum_Volume!$C$21)*AP5/1000</f>
        <v>6210.9495390348002</v>
      </c>
      <c r="AQ10" s="22">
        <f>(Calc_Volume!AQ13*Assum_Volume!$C$16)*(Assum_Pricing!$C$9*Assum_Volume!$C$22+Assum_Pricing!$C$10*Assum_Volume!$C$23+Assum_Pricing!$C$11*Assum_Volume!$C$21)*AQ5/1000</f>
        <v>5845.5995661504021</v>
      </c>
      <c r="AR10" s="22">
        <f>(Calc_Volume!AR13*Assum_Volume!$C$16)*(Assum_Pricing!$C$9*Assum_Volume!$C$22+Assum_Pricing!$C$10*Assum_Volume!$C$23+Assum_Pricing!$C$11*Assum_Volume!$C$21)*AR5/1000</f>
        <v>5845.5995661504021</v>
      </c>
      <c r="AS10" s="22">
        <f>(Calc_Volume!AS13*Assum_Volume!$C$16)*(Assum_Pricing!$C$9*Assum_Volume!$C$22+Assum_Pricing!$C$10*Assum_Volume!$C$23+Assum_Pricing!$C$11*Assum_Volume!$C$21)*AS5/1000</f>
        <v>6210.9495390348002</v>
      </c>
      <c r="AT10" s="22">
        <f>(Calc_Volume!AT13*Assum_Volume!$C$16)*(Assum_Pricing!$C$9*Assum_Volume!$C$22+Assum_Pricing!$C$10*Assum_Volume!$C$23+Assum_Pricing!$C$11*Assum_Volume!$C$21)*AT5/1000</f>
        <v>6941.6494848036</v>
      </c>
      <c r="AU10" s="22">
        <f>(Calc_Volume!AU13*Assum_Volume!$C$16)*(Assum_Pricing!$C$9*Assum_Volume!$C$22+Assum_Pricing!$C$10*Assum_Volume!$C$23+Assum_Pricing!$C$11*Assum_Volume!$C$21)*AU5/1000</f>
        <v>7672.3494305724016</v>
      </c>
      <c r="AV10" s="22">
        <f>(Calc_Volume!AV13*Assum_Volume!$C$16)*(Assum_Pricing!$C$9*Assum_Volume!$C$22+Assum_Pricing!$C$10*Assum_Volume!$C$23+Assum_Pricing!$C$11*Assum_Volume!$C$21)*AV5/1000</f>
        <v>8403.0493763412014</v>
      </c>
      <c r="AW10" s="22">
        <f>(Calc_Volume!AW13*Assum_Volume!$C$16)*(Assum_Pricing!$C$9*Assum_Volume!$C$22+Assum_Pricing!$C$10*Assum_Volume!$C$23+Assum_Pricing!$C$11*Assum_Volume!$C$21)*AW5/1000</f>
        <v>10229.799240763201</v>
      </c>
      <c r="AX10" s="22">
        <f>(Calc_Volume!AX13*Assum_Volume!$C$16)*(Assum_Pricing!$C$9*Assum_Volume!$C$22+Assum_Pricing!$C$10*Assum_Volume!$C$23+Assum_Pricing!$C$11*Assum_Volume!$C$21)*AX5/1000</f>
        <v>9129.9131473947127</v>
      </c>
      <c r="AY10" s="22">
        <f>(Calc_Volume!AY13*Assum_Volume!$C$16)*(Assum_Pricing!$C$9*Assum_Volume!$C$22+Assum_Pricing!$C$10*Assum_Volume!$C$23+Assum_Pricing!$C$11*Assum_Volume!$C$21)*AY5/1000</f>
        <v>8732.9604018558148</v>
      </c>
      <c r="AZ10" s="22">
        <f>(Calc_Volume!AZ13*Assum_Volume!$C$16)*(Assum_Pricing!$C$9*Assum_Volume!$C$22+Assum_Pricing!$C$10*Assum_Volume!$C$23+Assum_Pricing!$C$11*Assum_Volume!$C$21)*AZ5/1000</f>
        <v>7939.0549107780134</v>
      </c>
      <c r="BA10" s="22">
        <f>(Calc_Volume!BA13*Assum_Volume!$C$16)*(Assum_Pricing!$C$9*Assum_Volume!$C$22+Assum_Pricing!$C$10*Assum_Volume!$C$23+Assum_Pricing!$C$11*Assum_Volume!$C$21)*BA5/1000</f>
        <v>7145.1494197002121</v>
      </c>
      <c r="BB10" s="22">
        <f>(Calc_Volume!BB13*Assum_Volume!$C$16)*(Assum_Pricing!$C$9*Assum_Volume!$C$22+Assum_Pricing!$C$10*Assum_Volume!$C$23+Assum_Pricing!$C$11*Assum_Volume!$C$21)*BB5/1000</f>
        <v>6748.1966741613114</v>
      </c>
      <c r="BC10" s="22">
        <f>(Calc_Volume!BC13*Assum_Volume!$C$16)*(Assum_Pricing!$C$9*Assum_Volume!$C$22+Assum_Pricing!$C$10*Assum_Volume!$C$23+Assum_Pricing!$C$11*Assum_Volume!$C$21)*BC5/1000</f>
        <v>6351.2439286224107</v>
      </c>
      <c r="BD10" s="22">
        <f>(Calc_Volume!BD13*Assum_Volume!$C$16)*(Assum_Pricing!$C$9*Assum_Volume!$C$22+Assum_Pricing!$C$10*Assum_Volume!$C$23+Assum_Pricing!$C$11*Assum_Volume!$C$21)*BD5/1000</f>
        <v>6351.2439286224107</v>
      </c>
      <c r="BE10" s="22">
        <f>(Calc_Volume!BE13*Assum_Volume!$C$16)*(Assum_Pricing!$C$9*Assum_Volume!$C$22+Assum_Pricing!$C$10*Assum_Volume!$C$23+Assum_Pricing!$C$11*Assum_Volume!$C$21)*BE5/1000</f>
        <v>6748.1966741613114</v>
      </c>
      <c r="BF10" s="22">
        <f>(Calc_Volume!BF13*Assum_Volume!$C$16)*(Assum_Pricing!$C$9*Assum_Volume!$C$22+Assum_Pricing!$C$10*Assum_Volume!$C$23+Assum_Pricing!$C$11*Assum_Volume!$C$21)*BF5/1000</f>
        <v>7542.1021652391137</v>
      </c>
      <c r="BG10" s="22">
        <f>(Calc_Volume!BG13*Assum_Volume!$C$16)*(Assum_Pricing!$C$9*Assum_Volume!$C$22+Assum_Pricing!$C$10*Assum_Volume!$C$23+Assum_Pricing!$C$11*Assum_Volume!$C$21)*BG5/1000</f>
        <v>8336.007656316915</v>
      </c>
      <c r="BH10" s="22">
        <f>(Calc_Volume!BH13*Assum_Volume!$C$16)*(Assum_Pricing!$C$9*Assum_Volume!$C$22+Assum_Pricing!$C$10*Assum_Volume!$C$23+Assum_Pricing!$C$11*Assum_Volume!$C$21)*BH5/1000</f>
        <v>9129.9131473947127</v>
      </c>
      <c r="BI10" s="22">
        <f>(Calc_Volume!BI13*Assum_Volume!$C$16)*(Assum_Pricing!$C$9*Assum_Volume!$C$22+Assum_Pricing!$C$10*Assum_Volume!$C$23+Assum_Pricing!$C$11*Assum_Volume!$C$21)*BI5/1000</f>
        <v>11114.676875089219</v>
      </c>
      <c r="BJ10" s="22">
        <f>(Calc_Volume!BJ13*Assum_Volume!$C$16)*(Assum_Pricing!$C$9*Assum_Volume!$C$22+Assum_Pricing!$C$10*Assum_Volume!$C$23+Assum_Pricing!$C$11*Assum_Volume!$C$21)*BJ5/1000</f>
        <v>9732.487415122765</v>
      </c>
      <c r="BK10" s="22">
        <f>(Calc_Volume!BK13*Assum_Volume!$C$16)*(Assum_Pricing!$C$9*Assum_Volume!$C$22+Assum_Pricing!$C$10*Assum_Volume!$C$23+Assum_Pricing!$C$11*Assum_Volume!$C$21)*BK5/1000</f>
        <v>9309.3357883782992</v>
      </c>
      <c r="BL10" s="22">
        <f>(Calc_Volume!BL13*Assum_Volume!$C$16)*(Assum_Pricing!$C$9*Assum_Volume!$C$22+Assum_Pricing!$C$10*Assum_Volume!$C$23+Assum_Pricing!$C$11*Assum_Volume!$C$21)*BL5/1000</f>
        <v>8463.0325348893602</v>
      </c>
      <c r="BM10" s="22">
        <f>(Calc_Volume!BM13*Assum_Volume!$C$16)*(Assum_Pricing!$C$9*Assum_Volume!$C$22+Assum_Pricing!$C$10*Assum_Volume!$C$23+Assum_Pricing!$C$11*Assum_Volume!$C$21)*BM5/1000</f>
        <v>7616.7292814004231</v>
      </c>
      <c r="BN10" s="22">
        <f>(Calc_Volume!BN13*Assum_Volume!$C$16)*(Assum_Pricing!$C$9*Assum_Volume!$C$22+Assum_Pricing!$C$10*Assum_Volume!$C$23+Assum_Pricing!$C$11*Assum_Volume!$C$21)*BN5/1000</f>
        <v>7193.5776546559573</v>
      </c>
      <c r="BO10" s="22">
        <f>(Calc_Volume!BO13*Assum_Volume!$C$16)*(Assum_Pricing!$C$9*Assum_Volume!$C$22+Assum_Pricing!$C$10*Assum_Volume!$C$23+Assum_Pricing!$C$11*Assum_Volume!$C$21)*BO5/1000</f>
        <v>6770.4260279114887</v>
      </c>
      <c r="BP10" s="22">
        <f>(Calc_Volume!BP13*Assum_Volume!$C$16)*(Assum_Pricing!$C$9*Assum_Volume!$C$22+Assum_Pricing!$C$10*Assum_Volume!$C$23+Assum_Pricing!$C$11*Assum_Volume!$C$21)*BP5/1000</f>
        <v>6770.4260279114887</v>
      </c>
      <c r="BQ10" s="22">
        <f>(Calc_Volume!BQ13*Assum_Volume!$C$16)*(Assum_Pricing!$C$9*Assum_Volume!$C$22+Assum_Pricing!$C$10*Assum_Volume!$C$23+Assum_Pricing!$C$11*Assum_Volume!$C$21)*BQ5/1000</f>
        <v>7193.5776546559573</v>
      </c>
      <c r="BR10" s="22">
        <f>(Calc_Volume!BR13*Assum_Volume!$C$16)*(Assum_Pricing!$C$9*Assum_Volume!$C$22+Assum_Pricing!$C$10*Assum_Volume!$C$23+Assum_Pricing!$C$11*Assum_Volume!$C$21)*BR5/1000</f>
        <v>8039.8809081448917</v>
      </c>
      <c r="BS10" s="22">
        <f>(Calc_Volume!BS13*Assum_Volume!$C$16)*(Assum_Pricing!$C$9*Assum_Volume!$C$22+Assum_Pricing!$C$10*Assum_Volume!$C$23+Assum_Pricing!$C$11*Assum_Volume!$C$21)*BS5/1000</f>
        <v>8886.1841616338279</v>
      </c>
      <c r="BT10" s="22">
        <f>(Calc_Volume!BT13*Assum_Volume!$C$16)*(Assum_Pricing!$C$9*Assum_Volume!$C$22+Assum_Pricing!$C$10*Assum_Volume!$C$23+Assum_Pricing!$C$11*Assum_Volume!$C$21)*BT5/1000</f>
        <v>9732.487415122765</v>
      </c>
      <c r="BU10" s="22">
        <f>(Calc_Volume!BU13*Assum_Volume!$C$16)*(Assum_Pricing!$C$9*Assum_Volume!$C$22+Assum_Pricing!$C$10*Assum_Volume!$C$23+Assum_Pricing!$C$11*Assum_Volume!$C$21)*BU5/1000</f>
        <v>11848.245548845103</v>
      </c>
      <c r="BV10" s="22">
        <f>(Calc_Volume!BV13*Assum_Volume!$C$16)*(Assum_Pricing!$C$9*Assum_Volume!$C$22+Assum_Pricing!$C$10*Assum_Volume!$C$23+Assum_Pricing!$C$11*Assum_Volume!$C$21)*BV5/1000</f>
        <v>10374.831584520865</v>
      </c>
      <c r="BW10" s="22">
        <f>(Calc_Volume!BW13*Assum_Volume!$C$16)*(Assum_Pricing!$C$9*Assum_Volume!$C$22+Assum_Pricing!$C$10*Assum_Volume!$C$23+Assum_Pricing!$C$11*Assum_Volume!$C$21)*BW5/1000</f>
        <v>9923.7519504112643</v>
      </c>
      <c r="BX10" s="22">
        <f>(Calc_Volume!BX13*Assum_Volume!$C$16)*(Assum_Pricing!$C$9*Assum_Volume!$C$22+Assum_Pricing!$C$10*Assum_Volume!$C$23+Assum_Pricing!$C$11*Assum_Volume!$C$21)*BX5/1000</f>
        <v>9021.5926821920548</v>
      </c>
      <c r="BY10" s="22">
        <f>(Calc_Volume!BY13*Assum_Volume!$C$16)*(Assum_Pricing!$C$9*Assum_Volume!$C$22+Assum_Pricing!$C$10*Assum_Volume!$C$23+Assum_Pricing!$C$11*Assum_Volume!$C$21)*BY5/1000</f>
        <v>8119.4334139728508</v>
      </c>
      <c r="BZ10" s="22">
        <f>(Calc_Volume!BZ13*Assum_Volume!$C$16)*(Assum_Pricing!$C$9*Assum_Volume!$C$22+Assum_Pricing!$C$10*Assum_Volume!$C$23+Assum_Pricing!$C$11*Assum_Volume!$C$21)*BZ5/1000</f>
        <v>7668.3537798632478</v>
      </c>
      <c r="CA10" s="22">
        <f>(Calc_Volume!CA13*Assum_Volume!$C$16)*(Assum_Pricing!$C$9*Assum_Volume!$C$22+Assum_Pricing!$C$10*Assum_Volume!$C$23+Assum_Pricing!$C$11*Assum_Volume!$C$21)*CA5/1000</f>
        <v>7217.2741457536449</v>
      </c>
      <c r="CB10" s="22">
        <f>(Calc_Volume!CB13*Assum_Volume!$C$16)*(Assum_Pricing!$C$9*Assum_Volume!$C$22+Assum_Pricing!$C$10*Assum_Volume!$C$23+Assum_Pricing!$C$11*Assum_Volume!$C$21)*CB5/1000</f>
        <v>7217.2741457536449</v>
      </c>
      <c r="CC10" s="22">
        <f>(Calc_Volume!CC13*Assum_Volume!$C$16)*(Assum_Pricing!$C$9*Assum_Volume!$C$22+Assum_Pricing!$C$10*Assum_Volume!$C$23+Assum_Pricing!$C$11*Assum_Volume!$C$21)*CC5/1000</f>
        <v>7668.3537798632478</v>
      </c>
      <c r="CD10" s="22">
        <f>(Calc_Volume!CD13*Assum_Volume!$C$16)*(Assum_Pricing!$C$9*Assum_Volume!$C$22+Assum_Pricing!$C$10*Assum_Volume!$C$23+Assum_Pricing!$C$11*Assum_Volume!$C$21)*CD5/1000</f>
        <v>8570.5130480824537</v>
      </c>
      <c r="CE10" s="22">
        <f>(Calc_Volume!CE13*Assum_Volume!$C$16)*(Assum_Pricing!$C$9*Assum_Volume!$C$22+Assum_Pricing!$C$10*Assum_Volume!$C$23+Assum_Pricing!$C$11*Assum_Volume!$C$21)*CE5/1000</f>
        <v>9472.6723163016595</v>
      </c>
      <c r="CF10" s="22">
        <f>(Calc_Volume!CF13*Assum_Volume!$C$16)*(Assum_Pricing!$C$9*Assum_Volume!$C$22+Assum_Pricing!$C$10*Assum_Volume!$C$23+Assum_Pricing!$C$11*Assum_Volume!$C$21)*CF5/1000</f>
        <v>10374.831584520865</v>
      </c>
      <c r="CG10" s="22">
        <f>(Calc_Volume!CG13*Assum_Volume!$C$16)*(Assum_Pricing!$C$9*Assum_Volume!$C$22+Assum_Pricing!$C$10*Assum_Volume!$C$23+Assum_Pricing!$C$11*Assum_Volume!$C$21)*CG5/1000</f>
        <v>12630.22975506888</v>
      </c>
      <c r="CH10" s="22">
        <f>(Calc_Volume!CH13*Assum_Volume!$C$16)*(Assum_Pricing!$C$9*Assum_Volume!$C$22+Assum_Pricing!$C$10*Assum_Volume!$C$23+Assum_Pricing!$C$11*Assum_Volume!$C$21)*CH5/1000</f>
        <v>11059.570469099242</v>
      </c>
      <c r="CI10" s="22">
        <f>(Calc_Volume!CI13*Assum_Volume!$C$16)*(Assum_Pricing!$C$9*Assum_Volume!$C$22+Assum_Pricing!$C$10*Assum_Volume!$C$23+Assum_Pricing!$C$11*Assum_Volume!$C$21)*CI5/1000</f>
        <v>10578.719579138406</v>
      </c>
      <c r="CJ10" s="22">
        <f>(Calc_Volume!CJ13*Assum_Volume!$C$16)*(Assum_Pricing!$C$9*Assum_Volume!$C$22+Assum_Pricing!$C$10*Assum_Volume!$C$23+Assum_Pricing!$C$11*Assum_Volume!$C$21)*CJ5/1000</f>
        <v>9617.0177992167319</v>
      </c>
      <c r="CK10" s="22">
        <f>(Calc_Volume!CK13*Assum_Volume!$C$16)*(Assum_Pricing!$C$9*Assum_Volume!$C$22+Assum_Pricing!$C$10*Assum_Volume!$C$23+Assum_Pricing!$C$11*Assum_Volume!$C$21)*CK5/1000</f>
        <v>8655.31601929506</v>
      </c>
      <c r="CL10" s="22">
        <f>(Calc_Volume!CL13*Assum_Volume!$C$16)*(Assum_Pricing!$C$9*Assum_Volume!$C$22+Assum_Pricing!$C$10*Assum_Volume!$C$23+Assum_Pricing!$C$11*Assum_Volume!$C$21)*CL5/1000</f>
        <v>8174.4651293342222</v>
      </c>
      <c r="CM10" s="22">
        <f>(Calc_Volume!CM13*Assum_Volume!$C$16)*(Assum_Pricing!$C$9*Assum_Volume!$C$22+Assum_Pricing!$C$10*Assum_Volume!$C$23+Assum_Pricing!$C$11*Assum_Volume!$C$21)*CM5/1000</f>
        <v>7693.6142393733853</v>
      </c>
      <c r="CN10" s="22">
        <f>(Calc_Volume!CN13*Assum_Volume!$C$16)*(Assum_Pricing!$C$9*Assum_Volume!$C$22+Assum_Pricing!$C$10*Assum_Volume!$C$23+Assum_Pricing!$C$11*Assum_Volume!$C$21)*CN5/1000</f>
        <v>7693.6142393733853</v>
      </c>
      <c r="CO10" s="22">
        <f>(Calc_Volume!CO13*Assum_Volume!$C$16)*(Assum_Pricing!$C$9*Assum_Volume!$C$22+Assum_Pricing!$C$10*Assum_Volume!$C$23+Assum_Pricing!$C$11*Assum_Volume!$C$21)*CO5/1000</f>
        <v>8174.4651293342222</v>
      </c>
      <c r="CP10" s="22">
        <f>(Calc_Volume!CP13*Assum_Volume!$C$16)*(Assum_Pricing!$C$9*Assum_Volume!$C$22+Assum_Pricing!$C$10*Assum_Volume!$C$23+Assum_Pricing!$C$11*Assum_Volume!$C$21)*CP5/1000</f>
        <v>9136.166909255895</v>
      </c>
      <c r="CQ10" s="22">
        <f>(Calc_Volume!CQ13*Assum_Volume!$C$16)*(Assum_Pricing!$C$9*Assum_Volume!$C$22+Assum_Pricing!$C$10*Assum_Volume!$C$23+Assum_Pricing!$C$11*Assum_Volume!$C$21)*CQ5/1000</f>
        <v>10097.868689177569</v>
      </c>
      <c r="CR10" s="22">
        <f>(Calc_Volume!CR13*Assum_Volume!$C$16)*(Assum_Pricing!$C$9*Assum_Volume!$C$22+Assum_Pricing!$C$10*Assum_Volume!$C$23+Assum_Pricing!$C$11*Assum_Volume!$C$21)*CR5/1000</f>
        <v>11059.570469099242</v>
      </c>
      <c r="CS10" s="22">
        <f>(Calc_Volume!CS13*Assum_Volume!$C$16)*(Assum_Pricing!$C$9*Assum_Volume!$C$22+Assum_Pricing!$C$10*Assum_Volume!$C$23+Assum_Pricing!$C$11*Assum_Volume!$C$21)*CS5/1000</f>
        <v>13463.824918903423</v>
      </c>
      <c r="CT10" s="22">
        <f>(Calc_Volume!CT13*Assum_Volume!$C$16)*(Assum_Pricing!$C$9*Assum_Volume!$C$22+Assum_Pricing!$C$10*Assum_Volume!$C$23+Assum_Pricing!$C$11*Assum_Volume!$C$21)*CT5/1000</f>
        <v>11789.502120059791</v>
      </c>
      <c r="CU10" s="22">
        <f>(Calc_Volume!CU13*Assum_Volume!$C$16)*(Assum_Pricing!$C$9*Assum_Volume!$C$22+Assum_Pricing!$C$10*Assum_Volume!$C$23+Assum_Pricing!$C$11*Assum_Volume!$C$21)*CU5/1000</f>
        <v>11276.915071361542</v>
      </c>
      <c r="CV10" s="22">
        <f>(Calc_Volume!CV13*Assum_Volume!$C$16)*(Assum_Pricing!$C$9*Assum_Volume!$C$22+Assum_Pricing!$C$10*Assum_Volume!$C$23+Assum_Pricing!$C$11*Assum_Volume!$C$21)*CV5/1000</f>
        <v>10251.740973965036</v>
      </c>
      <c r="CW10" s="22">
        <f>(Calc_Volume!CW13*Assum_Volume!$C$16)*(Assum_Pricing!$C$9*Assum_Volume!$C$22+Assum_Pricing!$C$10*Assum_Volume!$C$23+Assum_Pricing!$C$11*Assum_Volume!$C$21)*CW5/1000</f>
        <v>9226.5668765685314</v>
      </c>
      <c r="CX10" s="22">
        <f>(Calc_Volume!CX13*Assum_Volume!$C$16)*(Assum_Pricing!$C$9*Assum_Volume!$C$22+Assum_Pricing!$C$10*Assum_Volume!$C$23+Assum_Pricing!$C$11*Assum_Volume!$C$21)*CX5/1000</f>
        <v>8713.9798278702801</v>
      </c>
      <c r="CY10" s="22">
        <f>(Calc_Volume!CY13*Assum_Volume!$C$16)*(Assum_Pricing!$C$9*Assum_Volume!$C$22+Assum_Pricing!$C$10*Assum_Volume!$C$23+Assum_Pricing!$C$11*Assum_Volume!$C$21)*CY5/1000</f>
        <v>8201.3927791720289</v>
      </c>
      <c r="CZ10" s="22">
        <f>(Calc_Volume!CZ13*Assum_Volume!$C$16)*(Assum_Pricing!$C$9*Assum_Volume!$C$22+Assum_Pricing!$C$10*Assum_Volume!$C$23+Assum_Pricing!$C$11*Assum_Volume!$C$21)*CZ5/1000</f>
        <v>8201.3927791720289</v>
      </c>
      <c r="DA10" s="22">
        <f>(Calc_Volume!DA13*Assum_Volume!$C$16)*(Assum_Pricing!$C$9*Assum_Volume!$C$22+Assum_Pricing!$C$10*Assum_Volume!$C$23+Assum_Pricing!$C$11*Assum_Volume!$C$21)*DA5/1000</f>
        <v>8713.9798278702801</v>
      </c>
      <c r="DB10" s="22">
        <f>(Calc_Volume!DB13*Assum_Volume!$C$16)*(Assum_Pricing!$C$9*Assum_Volume!$C$22+Assum_Pricing!$C$10*Assum_Volume!$C$23+Assum_Pricing!$C$11*Assum_Volume!$C$21)*DB5/1000</f>
        <v>9739.1539252667844</v>
      </c>
      <c r="DC10" s="22">
        <f>(Calc_Volume!DC13*Assum_Volume!$C$16)*(Assum_Pricing!$C$9*Assum_Volume!$C$22+Assum_Pricing!$C$10*Assum_Volume!$C$23+Assum_Pricing!$C$11*Assum_Volume!$C$21)*DC5/1000</f>
        <v>10764.328022663285</v>
      </c>
      <c r="DD10" s="22">
        <f>(Calc_Volume!DD13*Assum_Volume!$C$16)*(Assum_Pricing!$C$9*Assum_Volume!$C$22+Assum_Pricing!$C$10*Assum_Volume!$C$23+Assum_Pricing!$C$11*Assum_Volume!$C$21)*DD5/1000</f>
        <v>11789.502120059791</v>
      </c>
      <c r="DE10" s="22">
        <f>(Calc_Volume!DE13*Assum_Volume!$C$16)*(Assum_Pricing!$C$9*Assum_Volume!$C$22+Assum_Pricing!$C$10*Assum_Volume!$C$23+Assum_Pricing!$C$11*Assum_Volume!$C$21)*DE5/1000</f>
        <v>14352.437363551049</v>
      </c>
      <c r="DF10" s="22">
        <f>(Calc_Volume!DF13*Assum_Volume!$C$16)*(Assum_Pricing!$C$9*Assum_Volume!$C$22+Assum_Pricing!$C$10*Assum_Volume!$C$23+Assum_Pricing!$C$11*Assum_Volume!$C$21)*DF5/1000</f>
        <v>12567.609259983736</v>
      </c>
      <c r="DG10" s="22">
        <f>(Calc_Volume!DG13*Assum_Volume!$C$16)*(Assum_Pricing!$C$9*Assum_Volume!$C$22+Assum_Pricing!$C$10*Assum_Volume!$C$23+Assum_Pricing!$C$11*Assum_Volume!$C$21)*DG5/1000</f>
        <v>12021.191466071401</v>
      </c>
      <c r="DH10" s="22">
        <f>(Calc_Volume!DH13*Assum_Volume!$C$16)*(Assum_Pricing!$C$9*Assum_Volume!$C$22+Assum_Pricing!$C$10*Assum_Volume!$C$23+Assum_Pricing!$C$11*Assum_Volume!$C$21)*DH5/1000</f>
        <v>10928.355878246728</v>
      </c>
      <c r="DI10" s="22">
        <f>(Calc_Volume!DI13*Assum_Volume!$C$16)*(Assum_Pricing!$C$9*Assum_Volume!$C$22+Assum_Pricing!$C$10*Assum_Volume!$C$23+Assum_Pricing!$C$11*Assum_Volume!$C$21)*DI5/1000</f>
        <v>9835.5202904220532</v>
      </c>
      <c r="DJ10" s="22">
        <f>(Calc_Volume!DJ13*Assum_Volume!$C$16)*(Assum_Pricing!$C$9*Assum_Volume!$C$22+Assum_Pricing!$C$10*Assum_Volume!$C$23+Assum_Pricing!$C$11*Assum_Volume!$C$21)*DJ5/1000</f>
        <v>9289.1024965097185</v>
      </c>
      <c r="DK10" s="22">
        <f>(Calc_Volume!DK13*Assum_Volume!$C$16)*(Assum_Pricing!$C$9*Assum_Volume!$C$22+Assum_Pricing!$C$10*Assum_Volume!$C$23+Assum_Pricing!$C$11*Assum_Volume!$C$21)*DK5/1000</f>
        <v>8742.6847025973821</v>
      </c>
      <c r="DL10" s="22">
        <f>(Calc_Volume!DL13*Assum_Volume!$C$16)*(Assum_Pricing!$C$9*Assum_Volume!$C$22+Assum_Pricing!$C$10*Assum_Volume!$C$23+Assum_Pricing!$C$11*Assum_Volume!$C$21)*DL5/1000</f>
        <v>8742.6847025973821</v>
      </c>
      <c r="DM10" s="22">
        <f>(Calc_Volume!DM13*Assum_Volume!$C$16)*(Assum_Pricing!$C$9*Assum_Volume!$C$22+Assum_Pricing!$C$10*Assum_Volume!$C$23+Assum_Pricing!$C$11*Assum_Volume!$C$21)*DM5/1000</f>
        <v>9289.1024965097185</v>
      </c>
      <c r="DN10" s="22">
        <f>(Calc_Volume!DN13*Assum_Volume!$C$16)*(Assum_Pricing!$C$9*Assum_Volume!$C$22+Assum_Pricing!$C$10*Assum_Volume!$C$23+Assum_Pricing!$C$11*Assum_Volume!$C$21)*DN5/1000</f>
        <v>10381.93808433439</v>
      </c>
      <c r="DO10" s="22">
        <f>(Calc_Volume!DO13*Assum_Volume!$C$16)*(Assum_Pricing!$C$9*Assum_Volume!$C$22+Assum_Pricing!$C$10*Assum_Volume!$C$23+Assum_Pricing!$C$11*Assum_Volume!$C$21)*DO5/1000</f>
        <v>11474.773672159061</v>
      </c>
      <c r="DP10" s="22">
        <f>(Calc_Volume!DP13*Assum_Volume!$C$16)*(Assum_Pricing!$C$9*Assum_Volume!$C$22+Assum_Pricing!$C$10*Assum_Volume!$C$23+Assum_Pricing!$C$11*Assum_Volume!$C$21)*DP5/1000</f>
        <v>12567.609259983736</v>
      </c>
      <c r="DQ10" s="22">
        <f>(Calc_Volume!DQ13*Assum_Volume!$C$16)*(Assum_Pricing!$C$9*Assum_Volume!$C$22+Assum_Pricing!$C$10*Assum_Volume!$C$23+Assum_Pricing!$C$11*Assum_Volume!$C$21)*DQ5/1000</f>
        <v>15299.698229545416</v>
      </c>
    </row>
    <row r="11" spans="1:121" ht="15" customHeight="1">
      <c r="A11" t="s">
        <v>423</v>
      </c>
      <c r="B11" s="22">
        <f>(Calc_Volume!B13*Assum_Volume!$C$17)*(Assum_Pricing!$D$9*Assum_Volume!$C$26+Assum_Pricing!$D$10*Assum_Volume!$C$27)*B5/1000</f>
        <v>8940.1000000000022</v>
      </c>
      <c r="C11" s="22">
        <f>(Calc_Volume!C13*Assum_Volume!$C$17)*(Assum_Pricing!$D$9*Assum_Volume!$C$26+Assum_Pricing!$D$10*Assum_Volume!$C$27)*C5/1000</f>
        <v>8551.4000000000033</v>
      </c>
      <c r="D11" s="22">
        <f>(Calc_Volume!D13*Assum_Volume!$C$17)*(Assum_Pricing!$D$9*Assum_Volume!$C$26+Assum_Pricing!$D$10*Assum_Volume!$C$27)*D5/1000</f>
        <v>7774.0000000000018</v>
      </c>
      <c r="E11" s="22">
        <f>(Calc_Volume!E13*Assum_Volume!$C$17)*(Assum_Pricing!$D$9*Assum_Volume!$C$26+Assum_Pricing!$D$10*Assum_Volume!$C$27)*E5/1000</f>
        <v>6996.6000000000022</v>
      </c>
      <c r="F11" s="22">
        <f>(Calc_Volume!F13*Assum_Volume!$C$17)*(Assum_Pricing!$D$9*Assum_Volume!$C$26+Assum_Pricing!$D$10*Assum_Volume!$C$27)*F5/1000</f>
        <v>6607.9000000000015</v>
      </c>
      <c r="G11" s="22">
        <f>(Calc_Volume!G13*Assum_Volume!$C$17)*(Assum_Pricing!$D$9*Assum_Volume!$C$26+Assum_Pricing!$D$10*Assum_Volume!$C$27)*G5/1000</f>
        <v>6219.2000000000007</v>
      </c>
      <c r="H11" s="22">
        <f>(Calc_Volume!H13*Assum_Volume!$C$17)*(Assum_Pricing!$D$9*Assum_Volume!$C$26+Assum_Pricing!$D$10*Assum_Volume!$C$27)*H5/1000</f>
        <v>6219.2000000000007</v>
      </c>
      <c r="I11" s="22">
        <f>(Calc_Volume!I13*Assum_Volume!$C$17)*(Assum_Pricing!$D$9*Assum_Volume!$C$26+Assum_Pricing!$D$10*Assum_Volume!$C$27)*I5/1000</f>
        <v>6607.9000000000015</v>
      </c>
      <c r="J11" s="22">
        <f>(Calc_Volume!J13*Assum_Volume!$C$17)*(Assum_Pricing!$D$9*Assum_Volume!$C$26+Assum_Pricing!$D$10*Assum_Volume!$C$27)*J5/1000</f>
        <v>7385.300000000002</v>
      </c>
      <c r="K11" s="22">
        <f>(Calc_Volume!K13*Assum_Volume!$C$17)*(Assum_Pricing!$D$9*Assum_Volume!$C$26+Assum_Pricing!$D$10*Assum_Volume!$C$27)*K5/1000</f>
        <v>8162.7000000000016</v>
      </c>
      <c r="L11" s="22">
        <f>(Calc_Volume!L13*Assum_Volume!$C$17)*(Assum_Pricing!$D$9*Assum_Volume!$C$26+Assum_Pricing!$D$10*Assum_Volume!$C$27)*L5/1000</f>
        <v>8940.1000000000022</v>
      </c>
      <c r="M11" s="22">
        <f>(Calc_Volume!M13*Assum_Volume!$C$17)*(Assum_Pricing!$D$9*Assum_Volume!$C$26+Assum_Pricing!$D$10*Assum_Volume!$C$27)*M5/1000</f>
        <v>10883.600000000002</v>
      </c>
      <c r="N11" s="22">
        <f>(Calc_Volume!N13*Assum_Volume!$C$17)*(Assum_Pricing!$D$9*Assum_Volume!$C$26+Assum_Pricing!$D$10*Assum_Volume!$C$27)*N5/1000</f>
        <v>9896.6907000000028</v>
      </c>
      <c r="O11" s="22">
        <f>(Calc_Volume!O13*Assum_Volume!$C$17)*(Assum_Pricing!$D$9*Assum_Volume!$C$26+Assum_Pricing!$D$10*Assum_Volume!$C$27)*O5/1000</f>
        <v>9466.3998000000029</v>
      </c>
      <c r="P11" s="22">
        <f>(Calc_Volume!P13*Assum_Volume!$C$17)*(Assum_Pricing!$D$9*Assum_Volume!$C$26+Assum_Pricing!$D$10*Assum_Volume!$C$27)*P5/1000</f>
        <v>8605.8180000000011</v>
      </c>
      <c r="Q11" s="22">
        <f>(Calc_Volume!Q13*Assum_Volume!$C$17)*(Assum_Pricing!$D$9*Assum_Volume!$C$26+Assum_Pricing!$D$10*Assum_Volume!$C$27)*Q5/1000</f>
        <v>7745.2362000000012</v>
      </c>
      <c r="R11" s="22">
        <f>(Calc_Volume!R13*Assum_Volume!$C$17)*(Assum_Pricing!$D$9*Assum_Volume!$C$26+Assum_Pricing!$D$10*Assum_Volume!$C$27)*R5/1000</f>
        <v>7314.9453000000012</v>
      </c>
      <c r="S11" s="22">
        <f>(Calc_Volume!S13*Assum_Volume!$C$17)*(Assum_Pricing!$D$9*Assum_Volume!$C$26+Assum_Pricing!$D$10*Assum_Volume!$C$27)*S5/1000</f>
        <v>6884.6544000000013</v>
      </c>
      <c r="T11" s="22">
        <f>(Calc_Volume!T13*Assum_Volume!$C$17)*(Assum_Pricing!$D$9*Assum_Volume!$C$26+Assum_Pricing!$D$10*Assum_Volume!$C$27)*T5/1000</f>
        <v>6884.6544000000013</v>
      </c>
      <c r="U11" s="22">
        <f>(Calc_Volume!U13*Assum_Volume!$C$17)*(Assum_Pricing!$D$9*Assum_Volume!$C$26+Assum_Pricing!$D$10*Assum_Volume!$C$27)*U5/1000</f>
        <v>7314.9453000000012</v>
      </c>
      <c r="V11" s="22">
        <f>(Calc_Volume!V13*Assum_Volume!$C$17)*(Assum_Pricing!$D$9*Assum_Volume!$C$26+Assum_Pricing!$D$10*Assum_Volume!$C$27)*V5/1000</f>
        <v>8175.5271000000012</v>
      </c>
      <c r="W11" s="22">
        <f>(Calc_Volume!W13*Assum_Volume!$C$17)*(Assum_Pricing!$D$9*Assum_Volume!$C$26+Assum_Pricing!$D$10*Assum_Volume!$C$27)*W5/1000</f>
        <v>9036.1089000000011</v>
      </c>
      <c r="X11" s="22">
        <f>(Calc_Volume!X13*Assum_Volume!$C$17)*(Assum_Pricing!$D$9*Assum_Volume!$C$26+Assum_Pricing!$D$10*Assum_Volume!$C$27)*X5/1000</f>
        <v>9896.6907000000028</v>
      </c>
      <c r="Y11" s="22">
        <f>(Calc_Volume!Y13*Assum_Volume!$C$17)*(Assum_Pricing!$D$9*Assum_Volume!$C$26+Assum_Pricing!$D$10*Assum_Volume!$C$27)*Y5/1000</f>
        <v>12048.145200000001</v>
      </c>
      <c r="Z11" s="22">
        <f>(Calc_Volume!Z13*Assum_Volume!$C$17)*(Assum_Pricing!$D$9*Assum_Volume!$C$26+Assum_Pricing!$D$10*Assum_Volume!$C$27)*Z5/1000</f>
        <v>10955.636604900004</v>
      </c>
      <c r="AA11" s="22">
        <f>(Calc_Volume!AA13*Assum_Volume!$C$17)*(Assum_Pricing!$D$9*Assum_Volume!$C$26+Assum_Pricing!$D$10*Assum_Volume!$C$27)*AA5/1000</f>
        <v>10479.304578600004</v>
      </c>
      <c r="AB11" s="22">
        <f>(Calc_Volume!AB13*Assum_Volume!$C$17)*(Assum_Pricing!$D$9*Assum_Volume!$C$26+Assum_Pricing!$D$10*Assum_Volume!$C$27)*AB5/1000</f>
        <v>9526.6405260000029</v>
      </c>
      <c r="AC11" s="22">
        <f>(Calc_Volume!AC13*Assum_Volume!$C$17)*(Assum_Pricing!$D$9*Assum_Volume!$C$26+Assum_Pricing!$D$10*Assum_Volume!$C$27)*AC5/1000</f>
        <v>8573.9764734000019</v>
      </c>
      <c r="AD11" s="22">
        <f>(Calc_Volume!AD13*Assum_Volume!$C$17)*(Assum_Pricing!$D$9*Assum_Volume!$C$26+Assum_Pricing!$D$10*Assum_Volume!$C$27)*AD5/1000</f>
        <v>8097.6444471000032</v>
      </c>
      <c r="AE11" s="22">
        <f>(Calc_Volume!AE13*Assum_Volume!$C$17)*(Assum_Pricing!$D$9*Assum_Volume!$C$26+Assum_Pricing!$D$10*Assum_Volume!$C$27)*AE5/1000</f>
        <v>7621.3124208000017</v>
      </c>
      <c r="AF11" s="22">
        <f>(Calc_Volume!AF13*Assum_Volume!$C$17)*(Assum_Pricing!$D$9*Assum_Volume!$C$26+Assum_Pricing!$D$10*Assum_Volume!$C$27)*AF5/1000</f>
        <v>7621.3124208000017</v>
      </c>
      <c r="AG11" s="22">
        <f>(Calc_Volume!AG13*Assum_Volume!$C$17)*(Assum_Pricing!$D$9*Assum_Volume!$C$26+Assum_Pricing!$D$10*Assum_Volume!$C$27)*AG5/1000</f>
        <v>8097.6444471000032</v>
      </c>
      <c r="AH11" s="22">
        <f>(Calc_Volume!AH13*Assum_Volume!$C$17)*(Assum_Pricing!$D$9*Assum_Volume!$C$26+Assum_Pricing!$D$10*Assum_Volume!$C$27)*AH5/1000</f>
        <v>9050.3084997000005</v>
      </c>
      <c r="AI11" s="22">
        <f>(Calc_Volume!AI13*Assum_Volume!$C$17)*(Assum_Pricing!$D$9*Assum_Volume!$C$26+Assum_Pricing!$D$10*Assum_Volume!$C$27)*AI5/1000</f>
        <v>10002.972552300002</v>
      </c>
      <c r="AJ11" s="22">
        <f>(Calc_Volume!AJ13*Assum_Volume!$C$17)*(Assum_Pricing!$D$9*Assum_Volume!$C$26+Assum_Pricing!$D$10*Assum_Volume!$C$27)*AJ5/1000</f>
        <v>10955.636604900004</v>
      </c>
      <c r="AK11" s="22">
        <f>(Calc_Volume!AK13*Assum_Volume!$C$17)*(Assum_Pricing!$D$9*Assum_Volume!$C$26+Assum_Pricing!$D$10*Assum_Volume!$C$27)*AK5/1000</f>
        <v>13337.296736400005</v>
      </c>
      <c r="AL11" s="22">
        <f>(Calc_Volume!AL13*Assum_Volume!$C$17)*(Assum_Pricing!$D$9*Assum_Volume!$C$26+Assum_Pricing!$D$10*Assum_Volume!$C$27)*AL5/1000</f>
        <v>11903.299171223853</v>
      </c>
      <c r="AM11" s="22">
        <f>(Calc_Volume!AM13*Assum_Volume!$C$17)*(Assum_Pricing!$D$9*Assum_Volume!$C$26+Assum_Pricing!$D$10*Assum_Volume!$C$27)*AM5/1000</f>
        <v>11385.764424648904</v>
      </c>
      <c r="AN11" s="22">
        <f>(Calc_Volume!AN13*Assum_Volume!$C$17)*(Assum_Pricing!$D$9*Assum_Volume!$C$26+Assum_Pricing!$D$10*Assum_Volume!$C$27)*AN5/1000</f>
        <v>10350.694931499003</v>
      </c>
      <c r="AO11" s="22">
        <f>(Calc_Volume!AO13*Assum_Volume!$C$17)*(Assum_Pricing!$D$9*Assum_Volume!$C$26+Assum_Pricing!$D$10*Assum_Volume!$C$27)*AO5/1000</f>
        <v>9315.6254383491014</v>
      </c>
      <c r="AP11" s="22">
        <f>(Calc_Volume!AP13*Assum_Volume!$C$17)*(Assum_Pricing!$D$9*Assum_Volume!$C$26+Assum_Pricing!$D$10*Assum_Volume!$C$27)*AP5/1000</f>
        <v>8798.0906917741522</v>
      </c>
      <c r="AQ11" s="22">
        <f>(Calc_Volume!AQ13*Assum_Volume!$C$17)*(Assum_Pricing!$D$9*Assum_Volume!$C$26+Assum_Pricing!$D$10*Assum_Volume!$C$27)*AQ5/1000</f>
        <v>8280.5559451992012</v>
      </c>
      <c r="AR11" s="22">
        <f>(Calc_Volume!AR13*Assum_Volume!$C$17)*(Assum_Pricing!$D$9*Assum_Volume!$C$26+Assum_Pricing!$D$10*Assum_Volume!$C$27)*AR5/1000</f>
        <v>8280.5559451992012</v>
      </c>
      <c r="AS11" s="22">
        <f>(Calc_Volume!AS13*Assum_Volume!$C$17)*(Assum_Pricing!$D$9*Assum_Volume!$C$26+Assum_Pricing!$D$10*Assum_Volume!$C$27)*AS5/1000</f>
        <v>8798.0906917741522</v>
      </c>
      <c r="AT11" s="22">
        <f>(Calc_Volume!AT13*Assum_Volume!$C$17)*(Assum_Pricing!$D$9*Assum_Volume!$C$26+Assum_Pricing!$D$10*Assum_Volume!$C$27)*AT5/1000</f>
        <v>9833.1601849240506</v>
      </c>
      <c r="AU11" s="22">
        <f>(Calc_Volume!AU13*Assum_Volume!$C$17)*(Assum_Pricing!$D$9*Assum_Volume!$C$26+Assum_Pricing!$D$10*Assum_Volume!$C$27)*AU5/1000</f>
        <v>10868.229678073953</v>
      </c>
      <c r="AV11" s="22">
        <f>(Calc_Volume!AV13*Assum_Volume!$C$17)*(Assum_Pricing!$D$9*Assum_Volume!$C$26+Assum_Pricing!$D$10*Assum_Volume!$C$27)*AV5/1000</f>
        <v>11903.299171223853</v>
      </c>
      <c r="AW11" s="22">
        <f>(Calc_Volume!AW13*Assum_Volume!$C$17)*(Assum_Pricing!$D$9*Assum_Volume!$C$26+Assum_Pricing!$D$10*Assum_Volume!$C$27)*AW5/1000</f>
        <v>14490.972904098602</v>
      </c>
      <c r="AX11" s="22">
        <f>(Calc_Volume!AX13*Assum_Volume!$C$17)*(Assum_Pricing!$D$9*Assum_Volume!$C$26+Assum_Pricing!$D$10*Assum_Volume!$C$27)*AX5/1000</f>
        <v>12932.934549534713</v>
      </c>
      <c r="AY11" s="22">
        <f>(Calc_Volume!AY13*Assum_Volume!$C$17)*(Assum_Pricing!$D$9*Assum_Volume!$C$26+Assum_Pricing!$D$10*Assum_Volume!$C$27)*AY5/1000</f>
        <v>12370.633047381034</v>
      </c>
      <c r="AZ11" s="22">
        <f>(Calc_Volume!AZ13*Assum_Volume!$C$17)*(Assum_Pricing!$D$9*Assum_Volume!$C$26+Assum_Pricing!$D$10*Assum_Volume!$C$27)*AZ5/1000</f>
        <v>11246.030043073668</v>
      </c>
      <c r="BA11" s="22">
        <f>(Calc_Volume!BA13*Assum_Volume!$C$17)*(Assum_Pricing!$D$9*Assum_Volume!$C$26+Assum_Pricing!$D$10*Assum_Volume!$C$27)*BA5/1000</f>
        <v>10121.4270387663</v>
      </c>
      <c r="BB11" s="22">
        <f>(Calc_Volume!BB13*Assum_Volume!$C$17)*(Assum_Pricing!$D$9*Assum_Volume!$C$26+Assum_Pricing!$D$10*Assum_Volume!$C$27)*BB5/1000</f>
        <v>9559.1255366126152</v>
      </c>
      <c r="BC11" s="22">
        <f>(Calc_Volume!BC13*Assum_Volume!$C$17)*(Assum_Pricing!$D$9*Assum_Volume!$C$26+Assum_Pricing!$D$10*Assum_Volume!$C$27)*BC5/1000</f>
        <v>8996.824034458934</v>
      </c>
      <c r="BD11" s="22">
        <f>(Calc_Volume!BD13*Assum_Volume!$C$17)*(Assum_Pricing!$D$9*Assum_Volume!$C$26+Assum_Pricing!$D$10*Assum_Volume!$C$27)*BD5/1000</f>
        <v>8996.824034458934</v>
      </c>
      <c r="BE11" s="22">
        <f>(Calc_Volume!BE13*Assum_Volume!$C$17)*(Assum_Pricing!$D$9*Assum_Volume!$C$26+Assum_Pricing!$D$10*Assum_Volume!$C$27)*BE5/1000</f>
        <v>9559.1255366126152</v>
      </c>
      <c r="BF11" s="22">
        <f>(Calc_Volume!BF13*Assum_Volume!$C$17)*(Assum_Pricing!$D$9*Assum_Volume!$C$26+Assum_Pricing!$D$10*Assum_Volume!$C$27)*BF5/1000</f>
        <v>10683.728540919981</v>
      </c>
      <c r="BG11" s="22">
        <f>(Calc_Volume!BG13*Assum_Volume!$C$17)*(Assum_Pricing!$D$9*Assum_Volume!$C$26+Assum_Pricing!$D$10*Assum_Volume!$C$27)*BG5/1000</f>
        <v>11808.331545227349</v>
      </c>
      <c r="BH11" s="22">
        <f>(Calc_Volume!BH13*Assum_Volume!$C$17)*(Assum_Pricing!$D$9*Assum_Volume!$C$26+Assum_Pricing!$D$10*Assum_Volume!$C$27)*BH5/1000</f>
        <v>12932.934549534713</v>
      </c>
      <c r="BI11" s="22">
        <f>(Calc_Volume!BI13*Assum_Volume!$C$17)*(Assum_Pricing!$D$9*Assum_Volume!$C$26+Assum_Pricing!$D$10*Assum_Volume!$C$27)*BI5/1000</f>
        <v>15744.442060303132</v>
      </c>
      <c r="BJ11" s="22">
        <f>(Calc_Volume!BJ13*Assum_Volume!$C$17)*(Assum_Pricing!$D$9*Assum_Volume!$C$26+Assum_Pricing!$D$10*Assum_Volume!$C$27)*BJ5/1000</f>
        <v>13786.508229804003</v>
      </c>
      <c r="BK11" s="22">
        <f>(Calc_Volume!BK13*Assum_Volume!$C$17)*(Assum_Pricing!$D$9*Assum_Volume!$C$26+Assum_Pricing!$D$10*Assum_Volume!$C$27)*BK5/1000</f>
        <v>13187.094828508181</v>
      </c>
      <c r="BL11" s="22">
        <f>(Calc_Volume!BL13*Assum_Volume!$C$17)*(Assum_Pricing!$D$9*Assum_Volume!$C$26+Assum_Pricing!$D$10*Assum_Volume!$C$27)*BL5/1000</f>
        <v>11988.268025916524</v>
      </c>
      <c r="BM11" s="22">
        <f>(Calc_Volume!BM13*Assum_Volume!$C$17)*(Assum_Pricing!$D$9*Assum_Volume!$C$26+Assum_Pricing!$D$10*Assum_Volume!$C$27)*BM5/1000</f>
        <v>10789.441223324875</v>
      </c>
      <c r="BN11" s="22">
        <f>(Calc_Volume!BN13*Assum_Volume!$C$17)*(Assum_Pricing!$D$9*Assum_Volume!$C$26+Assum_Pricing!$D$10*Assum_Volume!$C$27)*BN5/1000</f>
        <v>10190.027822029049</v>
      </c>
      <c r="BO11" s="22">
        <f>(Calc_Volume!BO13*Assum_Volume!$C$17)*(Assum_Pricing!$D$9*Assum_Volume!$C$26+Assum_Pricing!$D$10*Assum_Volume!$C$27)*BO5/1000</f>
        <v>9590.6144207332218</v>
      </c>
      <c r="BP11" s="22">
        <f>(Calc_Volume!BP13*Assum_Volume!$C$17)*(Assum_Pricing!$D$9*Assum_Volume!$C$26+Assum_Pricing!$D$10*Assum_Volume!$C$27)*BP5/1000</f>
        <v>9590.6144207332218</v>
      </c>
      <c r="BQ11" s="22">
        <f>(Calc_Volume!BQ13*Assum_Volume!$C$17)*(Assum_Pricing!$D$9*Assum_Volume!$C$26+Assum_Pricing!$D$10*Assum_Volume!$C$27)*BQ5/1000</f>
        <v>10190.027822029049</v>
      </c>
      <c r="BR11" s="22">
        <f>(Calc_Volume!BR13*Assum_Volume!$C$17)*(Assum_Pricing!$D$9*Assum_Volume!$C$26+Assum_Pricing!$D$10*Assum_Volume!$C$27)*BR5/1000</f>
        <v>11388.854624620699</v>
      </c>
      <c r="BS11" s="22">
        <f>(Calc_Volume!BS13*Assum_Volume!$C$17)*(Assum_Pricing!$D$9*Assum_Volume!$C$26+Assum_Pricing!$D$10*Assum_Volume!$C$27)*BS5/1000</f>
        <v>12587.681427212352</v>
      </c>
      <c r="BT11" s="22">
        <f>(Calc_Volume!BT13*Assum_Volume!$C$17)*(Assum_Pricing!$D$9*Assum_Volume!$C$26+Assum_Pricing!$D$10*Assum_Volume!$C$27)*BT5/1000</f>
        <v>13786.508229804003</v>
      </c>
      <c r="BU11" s="22">
        <f>(Calc_Volume!BU13*Assum_Volume!$C$17)*(Assum_Pricing!$D$9*Assum_Volume!$C$26+Assum_Pricing!$D$10*Assum_Volume!$C$27)*BU5/1000</f>
        <v>16783.575236283134</v>
      </c>
      <c r="BV11" s="22">
        <f>(Calc_Volume!BV13*Assum_Volume!$C$17)*(Assum_Pricing!$D$9*Assum_Volume!$C$26+Assum_Pricing!$D$10*Assum_Volume!$C$27)*BV5/1000</f>
        <v>14696.417772971066</v>
      </c>
      <c r="BW11" s="22">
        <f>(Calc_Volume!BW13*Assum_Volume!$C$17)*(Assum_Pricing!$D$9*Assum_Volume!$C$26+Assum_Pricing!$D$10*Assum_Volume!$C$27)*BW5/1000</f>
        <v>14057.44308718972</v>
      </c>
      <c r="BX11" s="22">
        <f>(Calc_Volume!BX13*Assum_Volume!$C$17)*(Assum_Pricing!$D$9*Assum_Volume!$C$26+Assum_Pricing!$D$10*Assum_Volume!$C$27)*BX5/1000</f>
        <v>12779.493715627013</v>
      </c>
      <c r="BY11" s="22">
        <f>(Calc_Volume!BY13*Assum_Volume!$C$17)*(Assum_Pricing!$D$9*Assum_Volume!$C$26+Assum_Pricing!$D$10*Assum_Volume!$C$27)*BY5/1000</f>
        <v>11501.544344064312</v>
      </c>
      <c r="BZ11" s="22">
        <f>(Calc_Volume!BZ13*Assum_Volume!$C$17)*(Assum_Pricing!$D$9*Assum_Volume!$C$26+Assum_Pricing!$D$10*Assum_Volume!$C$27)*BZ5/1000</f>
        <v>10862.569658282964</v>
      </c>
      <c r="CA11" s="22">
        <f>(Calc_Volume!CA13*Assum_Volume!$C$17)*(Assum_Pricing!$D$9*Assum_Volume!$C$26+Assum_Pricing!$D$10*Assum_Volume!$C$27)*CA5/1000</f>
        <v>10223.594972501611</v>
      </c>
      <c r="CB11" s="22">
        <f>(Calc_Volume!CB13*Assum_Volume!$C$17)*(Assum_Pricing!$D$9*Assum_Volume!$C$26+Assum_Pricing!$D$10*Assum_Volume!$C$27)*CB5/1000</f>
        <v>10223.594972501611</v>
      </c>
      <c r="CC11" s="22">
        <f>(Calc_Volume!CC13*Assum_Volume!$C$17)*(Assum_Pricing!$D$9*Assum_Volume!$C$26+Assum_Pricing!$D$10*Assum_Volume!$C$27)*CC5/1000</f>
        <v>10862.569658282964</v>
      </c>
      <c r="CD11" s="22">
        <f>(Calc_Volume!CD13*Assum_Volume!$C$17)*(Assum_Pricing!$D$9*Assum_Volume!$C$26+Assum_Pricing!$D$10*Assum_Volume!$C$27)*CD5/1000</f>
        <v>12140.519029845662</v>
      </c>
      <c r="CE11" s="22">
        <f>(Calc_Volume!CE13*Assum_Volume!$C$17)*(Assum_Pricing!$D$9*Assum_Volume!$C$26+Assum_Pricing!$D$10*Assum_Volume!$C$27)*CE5/1000</f>
        <v>13418.468401408365</v>
      </c>
      <c r="CF11" s="22">
        <f>(Calc_Volume!CF13*Assum_Volume!$C$17)*(Assum_Pricing!$D$9*Assum_Volume!$C$26+Assum_Pricing!$D$10*Assum_Volume!$C$27)*CF5/1000</f>
        <v>14696.417772971066</v>
      </c>
      <c r="CG11" s="22">
        <f>(Calc_Volume!CG13*Assum_Volume!$C$17)*(Assum_Pricing!$D$9*Assum_Volume!$C$26+Assum_Pricing!$D$10*Assum_Volume!$C$27)*CG5/1000</f>
        <v>17891.291201877819</v>
      </c>
      <c r="CH11" s="22">
        <f>(Calc_Volume!CH13*Assum_Volume!$C$17)*(Assum_Pricing!$D$9*Assum_Volume!$C$26+Assum_Pricing!$D$10*Assum_Volume!$C$27)*CH5/1000</f>
        <v>15666.381345987154</v>
      </c>
      <c r="CI11" s="22">
        <f>(Calc_Volume!CI13*Assum_Volume!$C$17)*(Assum_Pricing!$D$9*Assum_Volume!$C$26+Assum_Pricing!$D$10*Assum_Volume!$C$27)*CI5/1000</f>
        <v>14985.234330944239</v>
      </c>
      <c r="CJ11" s="22">
        <f>(Calc_Volume!CJ13*Assum_Volume!$C$17)*(Assum_Pricing!$D$9*Assum_Volume!$C$26+Assum_Pricing!$D$10*Assum_Volume!$C$27)*CJ5/1000</f>
        <v>13622.940300858398</v>
      </c>
      <c r="CK11" s="22">
        <f>(Calc_Volume!CK13*Assum_Volume!$C$17)*(Assum_Pricing!$D$9*Assum_Volume!$C$26+Assum_Pricing!$D$10*Assum_Volume!$C$27)*CK5/1000</f>
        <v>12260.646270772557</v>
      </c>
      <c r="CL11" s="22">
        <f>(Calc_Volume!CL13*Assum_Volume!$C$17)*(Assum_Pricing!$D$9*Assum_Volume!$C$26+Assum_Pricing!$D$10*Assum_Volume!$C$27)*CL5/1000</f>
        <v>11579.499255729637</v>
      </c>
      <c r="CM11" s="22">
        <f>(Calc_Volume!CM13*Assum_Volume!$C$17)*(Assum_Pricing!$D$9*Assum_Volume!$C$26+Assum_Pricing!$D$10*Assum_Volume!$C$27)*CM5/1000</f>
        <v>10898.352240686716</v>
      </c>
      <c r="CN11" s="22">
        <f>(Calc_Volume!CN13*Assum_Volume!$C$17)*(Assum_Pricing!$D$9*Assum_Volume!$C$26+Assum_Pricing!$D$10*Assum_Volume!$C$27)*CN5/1000</f>
        <v>10898.352240686716</v>
      </c>
      <c r="CO11" s="22">
        <f>(Calc_Volume!CO13*Assum_Volume!$C$17)*(Assum_Pricing!$D$9*Assum_Volume!$C$26+Assum_Pricing!$D$10*Assum_Volume!$C$27)*CO5/1000</f>
        <v>11579.499255729637</v>
      </c>
      <c r="CP11" s="22">
        <f>(Calc_Volume!CP13*Assum_Volume!$C$17)*(Assum_Pricing!$D$9*Assum_Volume!$C$26+Assum_Pricing!$D$10*Assum_Volume!$C$27)*CP5/1000</f>
        <v>12941.793285815476</v>
      </c>
      <c r="CQ11" s="22">
        <f>(Calc_Volume!CQ13*Assum_Volume!$C$17)*(Assum_Pricing!$D$9*Assum_Volume!$C$26+Assum_Pricing!$D$10*Assum_Volume!$C$27)*CQ5/1000</f>
        <v>14304.087315901315</v>
      </c>
      <c r="CR11" s="22">
        <f>(Calc_Volume!CR13*Assum_Volume!$C$17)*(Assum_Pricing!$D$9*Assum_Volume!$C$26+Assum_Pricing!$D$10*Assum_Volume!$C$27)*CR5/1000</f>
        <v>15666.381345987154</v>
      </c>
      <c r="CS11" s="22">
        <f>(Calc_Volume!CS13*Assum_Volume!$C$17)*(Assum_Pricing!$D$9*Assum_Volume!$C$26+Assum_Pricing!$D$10*Assum_Volume!$C$27)*CS5/1000</f>
        <v>19072.11642120175</v>
      </c>
      <c r="CT11" s="22">
        <f>(Calc_Volume!CT13*Assum_Volume!$C$17)*(Assum_Pricing!$D$9*Assum_Volume!$C$26+Assum_Pricing!$D$10*Assum_Volume!$C$27)*CT5/1000</f>
        <v>16700.362514822311</v>
      </c>
      <c r="CU11" s="22">
        <f>(Calc_Volume!CU13*Assum_Volume!$C$17)*(Assum_Pricing!$D$9*Assum_Volume!$C$26+Assum_Pricing!$D$10*Assum_Volume!$C$27)*CU5/1000</f>
        <v>15974.259796786559</v>
      </c>
      <c r="CV11" s="22">
        <f>(Calc_Volume!CV13*Assum_Volume!$C$17)*(Assum_Pricing!$D$9*Assum_Volume!$C$26+Assum_Pricing!$D$10*Assum_Volume!$C$27)*CV5/1000</f>
        <v>14522.05436071505</v>
      </c>
      <c r="CW11" s="22">
        <f>(Calc_Volume!CW13*Assum_Volume!$C$17)*(Assum_Pricing!$D$9*Assum_Volume!$C$26+Assum_Pricing!$D$10*Assum_Volume!$C$27)*CW5/1000</f>
        <v>13069.848924643544</v>
      </c>
      <c r="CX11" s="22">
        <f>(Calc_Volume!CX13*Assum_Volume!$C$17)*(Assum_Pricing!$D$9*Assum_Volume!$C$26+Assum_Pricing!$D$10*Assum_Volume!$C$27)*CX5/1000</f>
        <v>12343.746206607793</v>
      </c>
      <c r="CY11" s="22">
        <f>(Calc_Volume!CY13*Assum_Volume!$C$17)*(Assum_Pricing!$D$9*Assum_Volume!$C$26+Assum_Pricing!$D$10*Assum_Volume!$C$27)*CY5/1000</f>
        <v>11617.643488572041</v>
      </c>
      <c r="CZ11" s="22">
        <f>(Calc_Volume!CZ13*Assum_Volume!$C$17)*(Assum_Pricing!$D$9*Assum_Volume!$C$26+Assum_Pricing!$D$10*Assum_Volume!$C$27)*CZ5/1000</f>
        <v>11617.643488572041</v>
      </c>
      <c r="DA11" s="22">
        <f>(Calc_Volume!DA13*Assum_Volume!$C$17)*(Assum_Pricing!$D$9*Assum_Volume!$C$26+Assum_Pricing!$D$10*Assum_Volume!$C$27)*DA5/1000</f>
        <v>12343.746206607793</v>
      </c>
      <c r="DB11" s="22">
        <f>(Calc_Volume!DB13*Assum_Volume!$C$17)*(Assum_Pricing!$D$9*Assum_Volume!$C$26+Assum_Pricing!$D$10*Assum_Volume!$C$27)*DB5/1000</f>
        <v>13795.951642679296</v>
      </c>
      <c r="DC11" s="22">
        <f>(Calc_Volume!DC13*Assum_Volume!$C$17)*(Assum_Pricing!$D$9*Assum_Volume!$C$26+Assum_Pricing!$D$10*Assum_Volume!$C$27)*DC5/1000</f>
        <v>15248.157078750801</v>
      </c>
      <c r="DD11" s="22">
        <f>(Calc_Volume!DD13*Assum_Volume!$C$17)*(Assum_Pricing!$D$9*Assum_Volume!$C$26+Assum_Pricing!$D$10*Assum_Volume!$C$27)*DD5/1000</f>
        <v>16700.362514822311</v>
      </c>
      <c r="DE11" s="22">
        <f>(Calc_Volume!DE13*Assum_Volume!$C$17)*(Assum_Pricing!$D$9*Assum_Volume!$C$26+Assum_Pricing!$D$10*Assum_Volume!$C$27)*DE5/1000</f>
        <v>20330.876105001069</v>
      </c>
      <c r="DF11" s="22">
        <f>(Calc_Volume!DF13*Assum_Volume!$C$17)*(Assum_Pricing!$D$9*Assum_Volume!$C$26+Assum_Pricing!$D$10*Assum_Volume!$C$27)*DF5/1000</f>
        <v>17802.586440800576</v>
      </c>
      <c r="DG11" s="22">
        <f>(Calc_Volume!DG13*Assum_Volume!$C$17)*(Assum_Pricing!$D$9*Assum_Volume!$C$26+Assum_Pricing!$D$10*Assum_Volume!$C$27)*DG5/1000</f>
        <v>17028.560943374465</v>
      </c>
      <c r="DH11" s="22">
        <f>(Calc_Volume!DH13*Assum_Volume!$C$17)*(Assum_Pricing!$D$9*Assum_Volume!$C$26+Assum_Pricing!$D$10*Assum_Volume!$C$27)*DH5/1000</f>
        <v>15480.50994852224</v>
      </c>
      <c r="DI11" s="22">
        <f>(Calc_Volume!DI13*Assum_Volume!$C$17)*(Assum_Pricing!$D$9*Assum_Volume!$C$26+Assum_Pricing!$D$10*Assum_Volume!$C$27)*DI5/1000</f>
        <v>13932.458953670019</v>
      </c>
      <c r="DJ11" s="22">
        <f>(Calc_Volume!DJ13*Assum_Volume!$C$17)*(Assum_Pricing!$D$9*Assum_Volume!$C$26+Assum_Pricing!$D$10*Assum_Volume!$C$27)*DJ5/1000</f>
        <v>13158.433456243905</v>
      </c>
      <c r="DK11" s="22">
        <f>(Calc_Volume!DK13*Assum_Volume!$C$17)*(Assum_Pricing!$D$9*Assum_Volume!$C$26+Assum_Pricing!$D$10*Assum_Volume!$C$27)*DK5/1000</f>
        <v>12384.407958817796</v>
      </c>
      <c r="DL11" s="22">
        <f>(Calc_Volume!DL13*Assum_Volume!$C$17)*(Assum_Pricing!$D$9*Assum_Volume!$C$26+Assum_Pricing!$D$10*Assum_Volume!$C$27)*DL5/1000</f>
        <v>12384.407958817796</v>
      </c>
      <c r="DM11" s="22">
        <f>(Calc_Volume!DM13*Assum_Volume!$C$17)*(Assum_Pricing!$D$9*Assum_Volume!$C$26+Assum_Pricing!$D$10*Assum_Volume!$C$27)*DM5/1000</f>
        <v>13158.433456243905</v>
      </c>
      <c r="DN11" s="22">
        <f>(Calc_Volume!DN13*Assum_Volume!$C$17)*(Assum_Pricing!$D$9*Assum_Volume!$C$26+Assum_Pricing!$D$10*Assum_Volume!$C$27)*DN5/1000</f>
        <v>14706.484451096128</v>
      </c>
      <c r="DO11" s="22">
        <f>(Calc_Volume!DO13*Assum_Volume!$C$17)*(Assum_Pricing!$D$9*Assum_Volume!$C$26+Assum_Pricing!$D$10*Assum_Volume!$C$27)*DO5/1000</f>
        <v>16254.535445948353</v>
      </c>
      <c r="DP11" s="22">
        <f>(Calc_Volume!DP13*Assum_Volume!$C$17)*(Assum_Pricing!$D$9*Assum_Volume!$C$26+Assum_Pricing!$D$10*Assum_Volume!$C$27)*DP5/1000</f>
        <v>17802.586440800576</v>
      </c>
      <c r="DQ11" s="22">
        <f>(Calc_Volume!DQ13*Assum_Volume!$C$17)*(Assum_Pricing!$D$9*Assum_Volume!$C$26+Assum_Pricing!$D$10*Assum_Volume!$C$27)*DQ5/1000</f>
        <v>21672.713927931138</v>
      </c>
    </row>
    <row r="12" spans="1:121" ht="15" customHeight="1">
      <c r="A12" s="14" t="s">
        <v>424</v>
      </c>
      <c r="B12" s="29">
        <f t="shared" ref="B12:AG12" si="10">SUM(B8:B11)</f>
        <v>47103.808333333334</v>
      </c>
      <c r="C12" s="29">
        <f t="shared" si="10"/>
        <v>45055.816666666673</v>
      </c>
      <c r="D12" s="29">
        <f t="shared" si="10"/>
        <v>40959.833333333336</v>
      </c>
      <c r="E12" s="29">
        <f t="shared" si="10"/>
        <v>36863.85</v>
      </c>
      <c r="F12" s="29">
        <f t="shared" si="10"/>
        <v>34815.858333333337</v>
      </c>
      <c r="G12" s="29">
        <f t="shared" si="10"/>
        <v>32767.866666666672</v>
      </c>
      <c r="H12" s="29">
        <f t="shared" si="10"/>
        <v>32767.866666666672</v>
      </c>
      <c r="I12" s="29">
        <f t="shared" si="10"/>
        <v>34815.858333333337</v>
      </c>
      <c r="J12" s="29">
        <f t="shared" si="10"/>
        <v>38911.841666666667</v>
      </c>
      <c r="K12" s="29">
        <f t="shared" si="10"/>
        <v>43007.825000000004</v>
      </c>
      <c r="L12" s="29">
        <f t="shared" si="10"/>
        <v>47103.808333333334</v>
      </c>
      <c r="M12" s="29">
        <f t="shared" si="10"/>
        <v>57343.766666666663</v>
      </c>
      <c r="N12" s="29">
        <f t="shared" si="10"/>
        <v>52143.915825000004</v>
      </c>
      <c r="O12" s="29">
        <f t="shared" si="10"/>
        <v>49876.789050000007</v>
      </c>
      <c r="P12" s="29">
        <f t="shared" si="10"/>
        <v>45342.535499999998</v>
      </c>
      <c r="Q12" s="29">
        <f t="shared" si="10"/>
        <v>40808.281949999997</v>
      </c>
      <c r="R12" s="29">
        <f t="shared" si="10"/>
        <v>38541.155175</v>
      </c>
      <c r="S12" s="29">
        <f t="shared" si="10"/>
        <v>36274.028400000003</v>
      </c>
      <c r="T12" s="29">
        <f t="shared" si="10"/>
        <v>36274.028400000003</v>
      </c>
      <c r="U12" s="29">
        <f t="shared" si="10"/>
        <v>38541.155175</v>
      </c>
      <c r="V12" s="29">
        <f t="shared" si="10"/>
        <v>43075.408724999994</v>
      </c>
      <c r="W12" s="29">
        <f t="shared" si="10"/>
        <v>47609.662275000002</v>
      </c>
      <c r="X12" s="29">
        <f t="shared" si="10"/>
        <v>52143.915825000004</v>
      </c>
      <c r="Y12" s="29">
        <f t="shared" si="10"/>
        <v>63479.549699999996</v>
      </c>
      <c r="Z12" s="29">
        <f t="shared" si="10"/>
        <v>57723.314818275001</v>
      </c>
      <c r="AA12" s="29">
        <f t="shared" si="10"/>
        <v>55213.605478350015</v>
      </c>
      <c r="AB12" s="29">
        <f t="shared" si="10"/>
        <v>50194.186798499999</v>
      </c>
      <c r="AC12" s="29">
        <f t="shared" si="10"/>
        <v>45174.768118649998</v>
      </c>
      <c r="AD12" s="29">
        <f t="shared" si="10"/>
        <v>42665.058778725012</v>
      </c>
      <c r="AE12" s="29">
        <f t="shared" si="10"/>
        <v>40155.349438800004</v>
      </c>
      <c r="AF12" s="29">
        <f t="shared" si="10"/>
        <v>40155.349438800004</v>
      </c>
      <c r="AG12" s="29">
        <f t="shared" si="10"/>
        <v>42665.058778725012</v>
      </c>
      <c r="AH12" s="29">
        <f t="shared" ref="AH12:BM12" si="11">SUM(AH8:AH11)</f>
        <v>47684.477458574998</v>
      </c>
      <c r="AI12" s="29">
        <f t="shared" si="11"/>
        <v>52703.896138425</v>
      </c>
      <c r="AJ12" s="29">
        <f t="shared" si="11"/>
        <v>57723.314818275001</v>
      </c>
      <c r="AK12" s="29">
        <f t="shared" si="11"/>
        <v>70271.86151789999</v>
      </c>
      <c r="AL12" s="29">
        <f t="shared" si="11"/>
        <v>62716.381550055783</v>
      </c>
      <c r="AM12" s="29">
        <f t="shared" si="11"/>
        <v>59989.582352227299</v>
      </c>
      <c r="AN12" s="29">
        <f t="shared" si="11"/>
        <v>54535.983956570257</v>
      </c>
      <c r="AO12" s="29">
        <f t="shared" si="11"/>
        <v>49082.385560913222</v>
      </c>
      <c r="AP12" s="29">
        <f t="shared" si="11"/>
        <v>46355.586363084716</v>
      </c>
      <c r="AQ12" s="29">
        <f t="shared" si="11"/>
        <v>43628.787165256203</v>
      </c>
      <c r="AR12" s="29">
        <f t="shared" si="11"/>
        <v>43628.787165256203</v>
      </c>
      <c r="AS12" s="29">
        <f t="shared" si="11"/>
        <v>46355.586363084716</v>
      </c>
      <c r="AT12" s="29">
        <f t="shared" si="11"/>
        <v>51809.184758741729</v>
      </c>
      <c r="AU12" s="29">
        <f t="shared" si="11"/>
        <v>57262.78315439877</v>
      </c>
      <c r="AV12" s="29">
        <f t="shared" si="11"/>
        <v>62716.381550055783</v>
      </c>
      <c r="AW12" s="29">
        <f t="shared" si="11"/>
        <v>76350.377539198351</v>
      </c>
      <c r="AX12" s="29">
        <f t="shared" si="11"/>
        <v>68141.348554135606</v>
      </c>
      <c r="AY12" s="29">
        <f t="shared" si="11"/>
        <v>65178.681225694949</v>
      </c>
      <c r="AZ12" s="29">
        <f t="shared" si="11"/>
        <v>59253.346568813577</v>
      </c>
      <c r="BA12" s="29">
        <f t="shared" si="11"/>
        <v>53328.011911932212</v>
      </c>
      <c r="BB12" s="29">
        <f t="shared" si="11"/>
        <v>50365.34458349154</v>
      </c>
      <c r="BC12" s="29">
        <f t="shared" si="11"/>
        <v>47402.677255050869</v>
      </c>
      <c r="BD12" s="29">
        <f t="shared" si="11"/>
        <v>47402.677255050869</v>
      </c>
      <c r="BE12" s="29">
        <f t="shared" si="11"/>
        <v>50365.34458349154</v>
      </c>
      <c r="BF12" s="29">
        <f t="shared" si="11"/>
        <v>56290.679240372898</v>
      </c>
      <c r="BG12" s="29">
        <f t="shared" si="11"/>
        <v>62216.013897254263</v>
      </c>
      <c r="BH12" s="29">
        <f t="shared" si="11"/>
        <v>68141.348554135606</v>
      </c>
      <c r="BI12" s="29">
        <f t="shared" si="11"/>
        <v>82954.685196339007</v>
      </c>
      <c r="BJ12" s="29">
        <f t="shared" si="11"/>
        <v>72638.677558708543</v>
      </c>
      <c r="BK12" s="29">
        <f t="shared" si="11"/>
        <v>69480.474186590814</v>
      </c>
      <c r="BL12" s="29">
        <f t="shared" si="11"/>
        <v>63164.06744235527</v>
      </c>
      <c r="BM12" s="29">
        <f t="shared" si="11"/>
        <v>56847.66069811974</v>
      </c>
      <c r="BN12" s="29">
        <f t="shared" ref="BN12:CS12" si="12">SUM(BN8:BN11)</f>
        <v>53689.457326001975</v>
      </c>
      <c r="BO12" s="29">
        <f t="shared" si="12"/>
        <v>50531.253953884225</v>
      </c>
      <c r="BP12" s="29">
        <f t="shared" si="12"/>
        <v>50531.253953884225</v>
      </c>
      <c r="BQ12" s="29">
        <f t="shared" si="12"/>
        <v>53689.457326001975</v>
      </c>
      <c r="BR12" s="29">
        <f t="shared" si="12"/>
        <v>60005.864070237491</v>
      </c>
      <c r="BS12" s="29">
        <f t="shared" si="12"/>
        <v>66322.270814473028</v>
      </c>
      <c r="BT12" s="29">
        <f t="shared" si="12"/>
        <v>72638.677558708543</v>
      </c>
      <c r="BU12" s="29">
        <f t="shared" si="12"/>
        <v>88429.694419297361</v>
      </c>
      <c r="BV12" s="29">
        <f t="shared" si="12"/>
        <v>77432.830277583314</v>
      </c>
      <c r="BW12" s="29">
        <f t="shared" si="12"/>
        <v>74066.185482905785</v>
      </c>
      <c r="BX12" s="29">
        <f t="shared" si="12"/>
        <v>67332.895893550711</v>
      </c>
      <c r="BY12" s="29">
        <f t="shared" si="12"/>
        <v>60599.606304195637</v>
      </c>
      <c r="BZ12" s="29">
        <f t="shared" si="12"/>
        <v>57232.9615095181</v>
      </c>
      <c r="CA12" s="29">
        <f t="shared" si="12"/>
        <v>53866.31671484057</v>
      </c>
      <c r="CB12" s="29">
        <f t="shared" si="12"/>
        <v>53866.31671484057</v>
      </c>
      <c r="CC12" s="29">
        <f t="shared" si="12"/>
        <v>57232.9615095181</v>
      </c>
      <c r="CD12" s="29">
        <f t="shared" si="12"/>
        <v>63966.251098873166</v>
      </c>
      <c r="CE12" s="29">
        <f t="shared" si="12"/>
        <v>70699.54068822824</v>
      </c>
      <c r="CF12" s="29">
        <f t="shared" si="12"/>
        <v>77432.830277583314</v>
      </c>
      <c r="CG12" s="29">
        <f t="shared" si="12"/>
        <v>94266.054250970978</v>
      </c>
      <c r="CH12" s="29">
        <f t="shared" si="12"/>
        <v>82543.397075903791</v>
      </c>
      <c r="CI12" s="29">
        <f t="shared" si="12"/>
        <v>78954.55372477755</v>
      </c>
      <c r="CJ12" s="29">
        <f t="shared" si="12"/>
        <v>71776.867022525024</v>
      </c>
      <c r="CK12" s="29">
        <f t="shared" si="12"/>
        <v>64599.180320272542</v>
      </c>
      <c r="CL12" s="29">
        <f t="shared" si="12"/>
        <v>61010.336969146294</v>
      </c>
      <c r="CM12" s="29">
        <f t="shared" si="12"/>
        <v>57421.493618020031</v>
      </c>
      <c r="CN12" s="29">
        <f t="shared" si="12"/>
        <v>57421.493618020031</v>
      </c>
      <c r="CO12" s="29">
        <f t="shared" si="12"/>
        <v>61010.336969146294</v>
      </c>
      <c r="CP12" s="29">
        <f t="shared" si="12"/>
        <v>68188.023671398783</v>
      </c>
      <c r="CQ12" s="29">
        <f t="shared" si="12"/>
        <v>75365.71037365128</v>
      </c>
      <c r="CR12" s="29">
        <f t="shared" si="12"/>
        <v>82543.397075903791</v>
      </c>
      <c r="CS12" s="29">
        <f t="shared" si="12"/>
        <v>100487.61383153504</v>
      </c>
      <c r="CT12" s="29">
        <f t="shared" ref="CT12:DY12" si="13">SUM(CT8:CT11)</f>
        <v>87991.261282913445</v>
      </c>
      <c r="CU12" s="29">
        <f t="shared" si="13"/>
        <v>84165.554270612862</v>
      </c>
      <c r="CV12" s="29">
        <f t="shared" si="13"/>
        <v>76514.140246011681</v>
      </c>
      <c r="CW12" s="29">
        <f t="shared" si="13"/>
        <v>68862.726221410529</v>
      </c>
      <c r="CX12" s="29">
        <f t="shared" si="13"/>
        <v>65037.019209109938</v>
      </c>
      <c r="CY12" s="29">
        <f t="shared" si="13"/>
        <v>61211.312196809347</v>
      </c>
      <c r="CZ12" s="29">
        <f t="shared" si="13"/>
        <v>61211.312196809347</v>
      </c>
      <c r="DA12" s="29">
        <f t="shared" si="13"/>
        <v>65037.019209109938</v>
      </c>
      <c r="DB12" s="29">
        <f t="shared" si="13"/>
        <v>72688.433233711097</v>
      </c>
      <c r="DC12" s="29">
        <f t="shared" si="13"/>
        <v>80339.847258312264</v>
      </c>
      <c r="DD12" s="29">
        <f t="shared" si="13"/>
        <v>87991.261282913445</v>
      </c>
      <c r="DE12" s="29">
        <f t="shared" si="13"/>
        <v>107119.79634441635</v>
      </c>
      <c r="DF12" s="29">
        <f t="shared" si="13"/>
        <v>93798.68452758569</v>
      </c>
      <c r="DG12" s="29">
        <f t="shared" si="13"/>
        <v>89720.480852473309</v>
      </c>
      <c r="DH12" s="29">
        <f t="shared" si="13"/>
        <v>81564.073502248459</v>
      </c>
      <c r="DI12" s="29">
        <f t="shared" si="13"/>
        <v>73407.666152023608</v>
      </c>
      <c r="DJ12" s="29">
        <f t="shared" si="13"/>
        <v>69329.462476911183</v>
      </c>
      <c r="DK12" s="29">
        <f t="shared" si="13"/>
        <v>65251.258801798773</v>
      </c>
      <c r="DL12" s="29">
        <f t="shared" si="13"/>
        <v>65251.258801798773</v>
      </c>
      <c r="DM12" s="29">
        <f t="shared" si="13"/>
        <v>69329.462476911183</v>
      </c>
      <c r="DN12" s="29">
        <f t="shared" si="13"/>
        <v>77485.869827136034</v>
      </c>
      <c r="DO12" s="29">
        <f t="shared" si="13"/>
        <v>85642.277177360869</v>
      </c>
      <c r="DP12" s="29">
        <f t="shared" si="13"/>
        <v>93798.68452758569</v>
      </c>
      <c r="DQ12" s="29">
        <f t="shared" si="13"/>
        <v>114189.70290314785</v>
      </c>
    </row>
    <row r="14" spans="1:121" ht="15" customHeight="1">
      <c r="A14" s="5" t="s">
        <v>425</v>
      </c>
    </row>
    <row r="15" spans="1:121" ht="15" customHeight="1">
      <c r="A15" t="s">
        <v>426</v>
      </c>
      <c r="B15" s="22">
        <f>(B8+B10)*Assum_Pricing!$C$15</f>
        <v>1564.2759999999998</v>
      </c>
      <c r="C15" s="22">
        <f>(C8+C10)*Assum_Pricing!$C$15</f>
        <v>1496.2640000000004</v>
      </c>
      <c r="D15" s="22">
        <f>(D8+D10)*Assum_Pricing!$C$15</f>
        <v>1360.24</v>
      </c>
      <c r="E15" s="22">
        <f>(E8+E10)*Assum_Pricing!$C$15</f>
        <v>1224.2159999999999</v>
      </c>
      <c r="F15" s="22">
        <f>(F8+F10)*Assum_Pricing!$C$15</f>
        <v>1156.2040000000002</v>
      </c>
      <c r="G15" s="22">
        <f>(G8+G10)*Assum_Pricing!$C$15</f>
        <v>1088.1920000000002</v>
      </c>
      <c r="H15" s="22">
        <f>(H8+H10)*Assum_Pricing!$C$15</f>
        <v>1088.1920000000002</v>
      </c>
      <c r="I15" s="22">
        <f>(I8+I10)*Assum_Pricing!$C$15</f>
        <v>1156.2040000000002</v>
      </c>
      <c r="J15" s="22">
        <f>(J8+J10)*Assum_Pricing!$C$15</f>
        <v>1292.2279999999998</v>
      </c>
      <c r="K15" s="22">
        <f>(K8+K10)*Assum_Pricing!$C$15</f>
        <v>1428.2520000000002</v>
      </c>
      <c r="L15" s="22">
        <f>(L8+L10)*Assum_Pricing!$C$15</f>
        <v>1564.2759999999998</v>
      </c>
      <c r="M15" s="22">
        <f>(M8+M10)*Assum_Pricing!$C$15</f>
        <v>1904.3359999999998</v>
      </c>
      <c r="N15" s="22">
        <f>(N8+N10)*Assum_Pricing!$C$15</f>
        <v>1731.6535319999998</v>
      </c>
      <c r="O15" s="22">
        <f>(O8+O10)*Assum_Pricing!$C$15</f>
        <v>1656.3642480000001</v>
      </c>
      <c r="P15" s="22">
        <f>(P8+P10)*Assum_Pricing!$C$15</f>
        <v>1505.7856799999997</v>
      </c>
      <c r="Q15" s="22">
        <f>(Q8+Q10)*Assum_Pricing!$C$15</f>
        <v>1355.2071119999996</v>
      </c>
      <c r="R15" s="22">
        <f>(R8+R10)*Assum_Pricing!$C$15</f>
        <v>1279.9178279999996</v>
      </c>
      <c r="S15" s="22">
        <f>(S8+S10)*Assum_Pricing!$C$15</f>
        <v>1204.6285440000001</v>
      </c>
      <c r="T15" s="22">
        <f>(T8+T10)*Assum_Pricing!$C$15</f>
        <v>1204.6285440000001</v>
      </c>
      <c r="U15" s="22">
        <f>(U8+U10)*Assum_Pricing!$C$15</f>
        <v>1279.9178279999996</v>
      </c>
      <c r="V15" s="22">
        <f>(V8+V10)*Assum_Pricing!$C$15</f>
        <v>1430.496396</v>
      </c>
      <c r="W15" s="22">
        <f>(W8+W10)*Assum_Pricing!$C$15</f>
        <v>1581.0749640000001</v>
      </c>
      <c r="X15" s="22">
        <f>(X8+X10)*Assum_Pricing!$C$15</f>
        <v>1731.6535319999998</v>
      </c>
      <c r="Y15" s="22">
        <f>(Y8+Y10)*Assum_Pricing!$C$15</f>
        <v>2108.099952</v>
      </c>
      <c r="Z15" s="22">
        <f>(Z8+Z10)*Assum_Pricing!$C$15</f>
        <v>1916.9404599239997</v>
      </c>
      <c r="AA15" s="22">
        <f>(AA8+AA10)*Assum_Pricing!$C$15</f>
        <v>1833.5952225360002</v>
      </c>
      <c r="AB15" s="22">
        <f>(AB8+AB10)*Assum_Pricing!$C$15</f>
        <v>1666.90474776</v>
      </c>
      <c r="AC15" s="22">
        <f>(AC8+AC10)*Assum_Pricing!$C$15</f>
        <v>1500.214272984</v>
      </c>
      <c r="AD15" s="22">
        <f>(AD8+AD10)*Assum_Pricing!$C$15</f>
        <v>1416.869035596</v>
      </c>
      <c r="AE15" s="22">
        <f>(AE8+AE10)*Assum_Pricing!$C$15</f>
        <v>1333.5237982079998</v>
      </c>
      <c r="AF15" s="22">
        <f>(AF8+AF10)*Assum_Pricing!$C$15</f>
        <v>1333.5237982079998</v>
      </c>
      <c r="AG15" s="22">
        <f>(AG8+AG10)*Assum_Pricing!$C$15</f>
        <v>1416.869035596</v>
      </c>
      <c r="AH15" s="22">
        <f>(AH8+AH10)*Assum_Pricing!$C$15</f>
        <v>1583.559510372</v>
      </c>
      <c r="AI15" s="22">
        <f>(AI8+AI10)*Assum_Pricing!$C$15</f>
        <v>1750.249985148</v>
      </c>
      <c r="AJ15" s="22">
        <f>(AJ8+AJ10)*Assum_Pricing!$C$15</f>
        <v>1916.9404599239997</v>
      </c>
      <c r="AK15" s="22">
        <f>(AK8+AK10)*Assum_Pricing!$C$15</f>
        <v>2333.6666468639996</v>
      </c>
      <c r="AL15" s="22">
        <f>(AL8+AL10)*Assum_Pricing!$C$15</f>
        <v>2082.7558097074257</v>
      </c>
      <c r="AM15" s="22">
        <f>(AM8+AM10)*Assum_Pricing!$C$15</f>
        <v>1992.2012092853643</v>
      </c>
      <c r="AN15" s="22">
        <f>(AN8+AN10)*Assum_Pricing!$C$15</f>
        <v>1811.0920084412398</v>
      </c>
      <c r="AO15" s="22">
        <f>(AO8+AO10)*Assum_Pricing!$C$15</f>
        <v>1629.9828075971159</v>
      </c>
      <c r="AP15" s="22">
        <f>(AP8+AP10)*Assum_Pricing!$C$15</f>
        <v>1539.4282071750538</v>
      </c>
      <c r="AQ15" s="22">
        <f>(AQ8+AQ10)*Assum_Pricing!$C$15</f>
        <v>1448.8736067529921</v>
      </c>
      <c r="AR15" s="22">
        <f>(AR8+AR10)*Assum_Pricing!$C$15</f>
        <v>1448.8736067529921</v>
      </c>
      <c r="AS15" s="22">
        <f>(AS8+AS10)*Assum_Pricing!$C$15</f>
        <v>1539.4282071750538</v>
      </c>
      <c r="AT15" s="22">
        <f>(AT8+AT10)*Assum_Pricing!$C$15</f>
        <v>1720.5374080191777</v>
      </c>
      <c r="AU15" s="22">
        <f>(AU8+AU10)*Assum_Pricing!$C$15</f>
        <v>1901.6466088633019</v>
      </c>
      <c r="AV15" s="22">
        <f>(AV8+AV10)*Assum_Pricing!$C$15</f>
        <v>2082.7558097074257</v>
      </c>
      <c r="AW15" s="22">
        <f>(AW8+AW10)*Assum_Pricing!$C$15</f>
        <v>2535.5288118177359</v>
      </c>
      <c r="AX15" s="22">
        <f>(AX8+AX10)*Assum_Pricing!$C$15</f>
        <v>2262.9141872471182</v>
      </c>
      <c r="AY15" s="22">
        <f>(AY8+AY10)*Assum_Pricing!$C$15</f>
        <v>2164.5266138885481</v>
      </c>
      <c r="AZ15" s="22">
        <f>(AZ8+AZ10)*Assum_Pricing!$C$15</f>
        <v>1967.7514671714075</v>
      </c>
      <c r="BA15" s="22">
        <f>(BA8+BA10)*Assum_Pricing!$C$15</f>
        <v>1770.9763204542664</v>
      </c>
      <c r="BB15" s="22">
        <f>(BB8+BB10)*Assum_Pricing!$C$15</f>
        <v>1672.5887470956961</v>
      </c>
      <c r="BC15" s="22">
        <f>(BC8+BC10)*Assum_Pricing!$C$15</f>
        <v>1574.2011737371261</v>
      </c>
      <c r="BD15" s="22">
        <f>(BD8+BD10)*Assum_Pricing!$C$15</f>
        <v>1574.2011737371261</v>
      </c>
      <c r="BE15" s="22">
        <f>(BE8+BE10)*Assum_Pricing!$C$15</f>
        <v>1672.5887470956961</v>
      </c>
      <c r="BF15" s="22">
        <f>(BF8+BF10)*Assum_Pricing!$C$15</f>
        <v>1869.363893812837</v>
      </c>
      <c r="BG15" s="22">
        <f>(BG8+BG10)*Assum_Pricing!$C$15</f>
        <v>2066.1390405299776</v>
      </c>
      <c r="BH15" s="22">
        <f>(BH8+BH10)*Assum_Pricing!$C$15</f>
        <v>2262.9141872471182</v>
      </c>
      <c r="BI15" s="22">
        <f>(BI8+BI10)*Assum_Pricing!$C$15</f>
        <v>2754.85205403997</v>
      </c>
      <c r="BJ15" s="22">
        <f>(BJ8+BJ10)*Assum_Pricing!$C$15</f>
        <v>2412.2665236054281</v>
      </c>
      <c r="BK15" s="22">
        <f>(BK8+BK10)*Assum_Pricing!$C$15</f>
        <v>2307.3853704051921</v>
      </c>
      <c r="BL15" s="22">
        <f>(BL8+BL10)*Assum_Pricing!$C$15</f>
        <v>2097.6230640047197</v>
      </c>
      <c r="BM15" s="22">
        <f>(BM8+BM10)*Assum_Pricing!$C$15</f>
        <v>1887.8607576042477</v>
      </c>
      <c r="BN15" s="22">
        <f>(BN8+BN10)*Assum_Pricing!$C$15</f>
        <v>1782.9796044040118</v>
      </c>
      <c r="BO15" s="22">
        <f>(BO8+BO10)*Assum_Pricing!$C$15</f>
        <v>1678.098451203776</v>
      </c>
      <c r="BP15" s="22">
        <f>(BP8+BP10)*Assum_Pricing!$C$15</f>
        <v>1678.098451203776</v>
      </c>
      <c r="BQ15" s="22">
        <f>(BQ8+BQ10)*Assum_Pricing!$C$15</f>
        <v>1782.9796044040118</v>
      </c>
      <c r="BR15" s="22">
        <f>(BR8+BR10)*Assum_Pricing!$C$15</f>
        <v>1992.7419108044837</v>
      </c>
      <c r="BS15" s="22">
        <f>(BS8+BS10)*Assum_Pricing!$C$15</f>
        <v>2202.5042172049557</v>
      </c>
      <c r="BT15" s="22">
        <f>(BT8+BT10)*Assum_Pricing!$C$15</f>
        <v>2412.2665236054281</v>
      </c>
      <c r="BU15" s="22">
        <f>(BU8+BU10)*Assum_Pricing!$C$15</f>
        <v>2936.6722896066071</v>
      </c>
      <c r="BV15" s="22">
        <f>(BV8+BV10)*Assum_Pricing!$C$15</f>
        <v>2571.4761141633853</v>
      </c>
      <c r="BW15" s="22">
        <f>(BW8+BW10)*Assum_Pricing!$C$15</f>
        <v>2459.6728048519344</v>
      </c>
      <c r="BX15" s="22">
        <f>(BX8+BX10)*Assum_Pricing!$C$15</f>
        <v>2236.0661862290312</v>
      </c>
      <c r="BY15" s="22">
        <f>(BY8+BY10)*Assum_Pricing!$C$15</f>
        <v>2012.4595676061278</v>
      </c>
      <c r="BZ15" s="22">
        <f>(BZ8+BZ10)*Assum_Pricing!$C$15</f>
        <v>1900.6562582946765</v>
      </c>
      <c r="CA15" s="22">
        <f>(CA8+CA10)*Assum_Pricing!$C$15</f>
        <v>1788.8529489832249</v>
      </c>
      <c r="CB15" s="22">
        <f>(CB8+CB10)*Assum_Pricing!$C$15</f>
        <v>1788.8529489832249</v>
      </c>
      <c r="CC15" s="22">
        <f>(CC8+CC10)*Assum_Pricing!$C$15</f>
        <v>1900.6562582946765</v>
      </c>
      <c r="CD15" s="22">
        <f>(CD8+CD10)*Assum_Pricing!$C$15</f>
        <v>2124.2628769175794</v>
      </c>
      <c r="CE15" s="22">
        <f>(CE8+CE10)*Assum_Pricing!$C$15</f>
        <v>2347.8694955404831</v>
      </c>
      <c r="CF15" s="22">
        <f>(CF8+CF10)*Assum_Pricing!$C$15</f>
        <v>2571.4761141633853</v>
      </c>
      <c r="CG15" s="22">
        <f>(CG8+CG10)*Assum_Pricing!$C$15</f>
        <v>3130.4926607206435</v>
      </c>
      <c r="CH15" s="22">
        <f>(CH8+CH10)*Assum_Pricing!$C$15</f>
        <v>2741.1935376981683</v>
      </c>
      <c r="CI15" s="22">
        <f>(CI8+CI10)*Assum_Pricing!$C$15</f>
        <v>2622.0112099721614</v>
      </c>
      <c r="CJ15" s="22">
        <f>(CJ8+CJ10)*Assum_Pricing!$C$15</f>
        <v>2383.6465545201463</v>
      </c>
      <c r="CK15" s="22">
        <f>(CK8+CK10)*Assum_Pricing!$C$15</f>
        <v>2145.2818990681326</v>
      </c>
      <c r="CL15" s="22">
        <f>(CL8+CL10)*Assum_Pricing!$C$15</f>
        <v>2026.0995713421246</v>
      </c>
      <c r="CM15" s="22">
        <f>(CM8+CM10)*Assum_Pricing!$C$15</f>
        <v>1906.9172436161173</v>
      </c>
      <c r="CN15" s="22">
        <f>(CN8+CN10)*Assum_Pricing!$C$15</f>
        <v>1906.9172436161173</v>
      </c>
      <c r="CO15" s="22">
        <f>(CO8+CO10)*Assum_Pricing!$C$15</f>
        <v>2026.0995713421246</v>
      </c>
      <c r="CP15" s="22">
        <f>(CP8+CP10)*Assum_Pricing!$C$15</f>
        <v>2264.4642267941394</v>
      </c>
      <c r="CQ15" s="22">
        <f>(CQ8+CQ10)*Assum_Pricing!$C$15</f>
        <v>2502.8288822461541</v>
      </c>
      <c r="CR15" s="22">
        <f>(CR8+CR10)*Assum_Pricing!$C$15</f>
        <v>2741.1935376981683</v>
      </c>
      <c r="CS15" s="22">
        <f>(CS8+CS10)*Assum_Pricing!$C$15</f>
        <v>3337.1051763282053</v>
      </c>
      <c r="CT15" s="22">
        <f>(CT8+CT10)*Assum_Pricing!$C$15</f>
        <v>2922.112311186248</v>
      </c>
      <c r="CU15" s="22">
        <f>(CU8+CU10)*Assum_Pricing!$C$15</f>
        <v>2795.0639498303244</v>
      </c>
      <c r="CV15" s="22">
        <f>(CV8+CV10)*Assum_Pricing!$C$15</f>
        <v>2540.9672271184768</v>
      </c>
      <c r="CW15" s="22">
        <f>(CW8+CW10)*Assum_Pricing!$C$15</f>
        <v>2286.8705044066282</v>
      </c>
      <c r="CX15" s="22">
        <f>(CX8+CX10)*Assum_Pricing!$C$15</f>
        <v>2159.8221430507047</v>
      </c>
      <c r="CY15" s="22">
        <f>(CY8+CY10)*Assum_Pricing!$C$15</f>
        <v>2032.7737816947811</v>
      </c>
      <c r="CZ15" s="22">
        <f>(CZ8+CZ10)*Assum_Pricing!$C$15</f>
        <v>2032.7737816947811</v>
      </c>
      <c r="DA15" s="22">
        <f>(DA8+DA10)*Assum_Pricing!$C$15</f>
        <v>2159.8221430507047</v>
      </c>
      <c r="DB15" s="22">
        <f>(DB8+DB10)*Assum_Pricing!$C$15</f>
        <v>2413.9188657625523</v>
      </c>
      <c r="DC15" s="22">
        <f>(DC8+DC10)*Assum_Pricing!$C$15</f>
        <v>2668.0155884743995</v>
      </c>
      <c r="DD15" s="22">
        <f>(DD8+DD10)*Assum_Pricing!$C$15</f>
        <v>2922.112311186248</v>
      </c>
      <c r="DE15" s="22">
        <f>(DE8+DE10)*Assum_Pricing!$C$15</f>
        <v>3557.3541179658664</v>
      </c>
      <c r="DF15" s="22">
        <f>(DF8+DF10)*Assum_Pricing!$C$15</f>
        <v>3114.9717237245391</v>
      </c>
      <c r="DG15" s="22">
        <f>(DG8+DG10)*Assum_Pricing!$C$15</f>
        <v>2979.5381705191253</v>
      </c>
      <c r="DH15" s="22">
        <f>(DH8+DH10)*Assum_Pricing!$C$15</f>
        <v>2708.6710641082955</v>
      </c>
      <c r="DI15" s="22">
        <f>(DI8+DI10)*Assum_Pricing!$C$15</f>
        <v>2437.8039576974656</v>
      </c>
      <c r="DJ15" s="22">
        <f>(DJ8+DJ10)*Assum_Pricing!$C$15</f>
        <v>2302.3704044920514</v>
      </c>
      <c r="DK15" s="22">
        <f>(DK8+DK10)*Assum_Pricing!$C$15</f>
        <v>2166.9368512866367</v>
      </c>
      <c r="DL15" s="22">
        <f>(DL8+DL10)*Assum_Pricing!$C$15</f>
        <v>2166.9368512866367</v>
      </c>
      <c r="DM15" s="22">
        <f>(DM8+DM10)*Assum_Pricing!$C$15</f>
        <v>2302.3704044920514</v>
      </c>
      <c r="DN15" s="22">
        <f>(DN8+DN10)*Assum_Pricing!$C$15</f>
        <v>2573.2375109028803</v>
      </c>
      <c r="DO15" s="22">
        <f>(DO8+DO10)*Assum_Pricing!$C$15</f>
        <v>2844.1046173137102</v>
      </c>
      <c r="DP15" s="22">
        <f>(DP8+DP10)*Assum_Pricing!$C$15</f>
        <v>3114.9717237245391</v>
      </c>
      <c r="DQ15" s="22">
        <f>(DQ8+DQ10)*Assum_Pricing!$C$15</f>
        <v>3792.1394897516138</v>
      </c>
    </row>
    <row r="16" spans="1:121" ht="15" customHeight="1">
      <c r="A16" t="s">
        <v>427</v>
      </c>
      <c r="B16" s="22">
        <f>(B9+B11)*Assum_Pricing!$C$18</f>
        <v>4132.55375</v>
      </c>
      <c r="C16" s="22">
        <f>(C9+C11)*Assum_Pricing!$C$18</f>
        <v>3952.8775000000005</v>
      </c>
      <c r="D16" s="22">
        <f>(D9+D11)*Assum_Pricing!$C$18</f>
        <v>3593.5250000000001</v>
      </c>
      <c r="E16" s="22">
        <f>(E9+E11)*Assum_Pricing!$C$18</f>
        <v>3234.1725000000001</v>
      </c>
      <c r="F16" s="22">
        <f>(F9+F11)*Assum_Pricing!$C$18</f>
        <v>3054.4962500000001</v>
      </c>
      <c r="G16" s="22">
        <f>(G9+G11)*Assum_Pricing!$C$18</f>
        <v>2874.82</v>
      </c>
      <c r="H16" s="22">
        <f>(H9+H11)*Assum_Pricing!$C$18</f>
        <v>2874.82</v>
      </c>
      <c r="I16" s="22">
        <f>(I9+I11)*Assum_Pricing!$C$18</f>
        <v>3054.4962500000001</v>
      </c>
      <c r="J16" s="22">
        <f>(J9+J11)*Assum_Pricing!$C$18</f>
        <v>3413.8487500000001</v>
      </c>
      <c r="K16" s="22">
        <f>(K9+K11)*Assum_Pricing!$C$18</f>
        <v>3773.2012499999996</v>
      </c>
      <c r="L16" s="22">
        <f>(L9+L11)*Assum_Pricing!$C$18</f>
        <v>4132.55375</v>
      </c>
      <c r="M16" s="22">
        <f>(M9+M11)*Assum_Pricing!$C$18</f>
        <v>5030.9349999999995</v>
      </c>
      <c r="N16" s="22">
        <f>(N9+N11)*Assum_Pricing!$C$18</f>
        <v>4574.7370012500005</v>
      </c>
      <c r="O16" s="22">
        <f>(O9+O11)*Assum_Pricing!$C$18</f>
        <v>4375.835392500001</v>
      </c>
      <c r="P16" s="22">
        <f>(P9+P11)*Assum_Pricing!$C$18</f>
        <v>3978.0321750000003</v>
      </c>
      <c r="Q16" s="22">
        <f>(Q9+Q11)*Assum_Pricing!$C$18</f>
        <v>3580.2289575</v>
      </c>
      <c r="R16" s="22">
        <f>(R9+R11)*Assum_Pricing!$C$18</f>
        <v>3381.3273487500001</v>
      </c>
      <c r="S16" s="22">
        <f>(S9+S11)*Assum_Pricing!$C$18</f>
        <v>3182.4257400000006</v>
      </c>
      <c r="T16" s="22">
        <f>(T9+T11)*Assum_Pricing!$C$18</f>
        <v>3182.4257400000006</v>
      </c>
      <c r="U16" s="22">
        <f>(U9+U11)*Assum_Pricing!$C$18</f>
        <v>3381.3273487500001</v>
      </c>
      <c r="V16" s="22">
        <f>(V9+V11)*Assum_Pricing!$C$18</f>
        <v>3779.1305662499999</v>
      </c>
      <c r="W16" s="22">
        <f>(W9+W11)*Assum_Pricing!$C$18</f>
        <v>4176.9337837499997</v>
      </c>
      <c r="X16" s="22">
        <f>(X9+X11)*Assum_Pricing!$C$18</f>
        <v>4574.7370012500005</v>
      </c>
      <c r="Y16" s="22">
        <f>(Y9+Y11)*Assum_Pricing!$C$18</f>
        <v>5569.2450449999988</v>
      </c>
      <c r="Z16" s="22">
        <f>(Z9+Z11)*Assum_Pricing!$C$18</f>
        <v>5064.2338603837507</v>
      </c>
      <c r="AA16" s="22">
        <f>(AA9+AA11)*Assum_Pricing!$C$18</f>
        <v>4844.0497794975017</v>
      </c>
      <c r="AB16" s="22">
        <f>(AB9+AB11)*Assum_Pricing!$C$18</f>
        <v>4403.6816177250003</v>
      </c>
      <c r="AC16" s="22">
        <f>(AC9+AC11)*Assum_Pricing!$C$18</f>
        <v>3963.3134559525001</v>
      </c>
      <c r="AD16" s="22">
        <f>(AD9+AD11)*Assum_Pricing!$C$18</f>
        <v>3743.1293750662503</v>
      </c>
      <c r="AE16" s="22">
        <f>(AE9+AE11)*Assum_Pricing!$C$18</f>
        <v>3522.9452941800005</v>
      </c>
      <c r="AF16" s="22">
        <f>(AF9+AF11)*Assum_Pricing!$C$18</f>
        <v>3522.9452941800005</v>
      </c>
      <c r="AG16" s="22">
        <f>(AG9+AG11)*Assum_Pricing!$C$18</f>
        <v>3743.1293750662503</v>
      </c>
      <c r="AH16" s="22">
        <f>(AH9+AH11)*Assum_Pricing!$C$18</f>
        <v>4183.4975368387495</v>
      </c>
      <c r="AI16" s="22">
        <f>(AI9+AI11)*Assum_Pricing!$C$18</f>
        <v>4623.8656986112501</v>
      </c>
      <c r="AJ16" s="22">
        <f>(AJ9+AJ11)*Assum_Pricing!$C$18</f>
        <v>5064.2338603837507</v>
      </c>
      <c r="AK16" s="22">
        <f>(AK9+AK11)*Assum_Pricing!$C$18</f>
        <v>6165.1542648149998</v>
      </c>
      <c r="AL16" s="22">
        <f>(AL9+AL11)*Assum_Pricing!$C$18</f>
        <v>5502.2900893069445</v>
      </c>
      <c r="AM16" s="22">
        <f>(AM9+AM11)*Assum_Pricing!$C$18</f>
        <v>5263.0600854240347</v>
      </c>
      <c r="AN16" s="22">
        <f>(AN9+AN11)*Assum_Pricing!$C$18</f>
        <v>4784.6000776582132</v>
      </c>
      <c r="AO16" s="22">
        <f>(AO9+AO11)*Assum_Pricing!$C$18</f>
        <v>4306.1400698923908</v>
      </c>
      <c r="AP16" s="22">
        <f>(AP9+AP11)*Assum_Pricing!$C$18</f>
        <v>4066.9100660094809</v>
      </c>
      <c r="AQ16" s="22">
        <f>(AQ9+AQ11)*Assum_Pricing!$C$18</f>
        <v>3827.6800621265697</v>
      </c>
      <c r="AR16" s="22">
        <f>(AR9+AR11)*Assum_Pricing!$C$18</f>
        <v>3827.6800621265697</v>
      </c>
      <c r="AS16" s="22">
        <f>(AS9+AS11)*Assum_Pricing!$C$18</f>
        <v>4066.9100660094809</v>
      </c>
      <c r="AT16" s="22">
        <f>(AT9+AT11)*Assum_Pricing!$C$18</f>
        <v>4545.3700737753015</v>
      </c>
      <c r="AU16" s="22">
        <f>(AU9+AU11)*Assum_Pricing!$C$18</f>
        <v>5023.830081541123</v>
      </c>
      <c r="AV16" s="22">
        <f>(AV9+AV11)*Assum_Pricing!$C$18</f>
        <v>5502.2900893069445</v>
      </c>
      <c r="AW16" s="22">
        <f>(AW9+AW11)*Assum_Pricing!$C$18</f>
        <v>6698.4401087214974</v>
      </c>
      <c r="AX16" s="22">
        <f>(AX9+AX11)*Assum_Pricing!$C$18</f>
        <v>5978.2381820319943</v>
      </c>
      <c r="AY16" s="22">
        <f>(AY9+AY11)*Assum_Pricing!$C$18</f>
        <v>5718.3147828132142</v>
      </c>
      <c r="AZ16" s="22">
        <f>(AZ9+AZ11)*Assum_Pricing!$C$18</f>
        <v>5198.4679843756485</v>
      </c>
      <c r="BA16" s="22">
        <f>(BA9+BA11)*Assum_Pricing!$C$18</f>
        <v>4678.6211859380828</v>
      </c>
      <c r="BB16" s="22">
        <f>(BB9+BB11)*Assum_Pricing!$C$18</f>
        <v>4418.6977867193009</v>
      </c>
      <c r="BC16" s="22">
        <f>(BC9+BC11)*Assum_Pricing!$C$18</f>
        <v>4158.774387500519</v>
      </c>
      <c r="BD16" s="22">
        <f>(BD9+BD11)*Assum_Pricing!$C$18</f>
        <v>4158.774387500519</v>
      </c>
      <c r="BE16" s="22">
        <f>(BE9+BE11)*Assum_Pricing!$C$18</f>
        <v>4418.6977867193009</v>
      </c>
      <c r="BF16" s="22">
        <f>(BF9+BF11)*Assum_Pricing!$C$18</f>
        <v>4938.5445851568647</v>
      </c>
      <c r="BG16" s="22">
        <f>(BG9+BG11)*Assum_Pricing!$C$18</f>
        <v>5458.3913835944304</v>
      </c>
      <c r="BH16" s="22">
        <f>(BH9+BH11)*Assum_Pricing!$C$18</f>
        <v>5978.2381820319943</v>
      </c>
      <c r="BI16" s="22">
        <f>(BI9+BI11)*Assum_Pricing!$C$18</f>
        <v>7277.8551781259075</v>
      </c>
      <c r="BJ16" s="22">
        <f>(BJ9+BJ11)*Assum_Pricing!$C$18</f>
        <v>6372.8019020461061</v>
      </c>
      <c r="BK16" s="22">
        <f>(BK9+BK11)*Assum_Pricing!$C$18</f>
        <v>6095.723558478885</v>
      </c>
      <c r="BL16" s="22">
        <f>(BL9+BL11)*Assum_Pricing!$C$18</f>
        <v>5541.5668713444402</v>
      </c>
      <c r="BM16" s="22">
        <f>(BM9+BM11)*Assum_Pricing!$C$18</f>
        <v>4987.4101842099963</v>
      </c>
      <c r="BN16" s="22">
        <f>(BN9+BN11)*Assum_Pricing!$C$18</f>
        <v>4710.3318406427743</v>
      </c>
      <c r="BO16" s="22">
        <f>(BO9+BO11)*Assum_Pricing!$C$18</f>
        <v>4433.2534970755532</v>
      </c>
      <c r="BP16" s="22">
        <f>(BP9+BP11)*Assum_Pricing!$C$18</f>
        <v>4433.2534970755532</v>
      </c>
      <c r="BQ16" s="22">
        <f>(BQ9+BQ11)*Assum_Pricing!$C$18</f>
        <v>4710.3318406427743</v>
      </c>
      <c r="BR16" s="22">
        <f>(BR9+BR11)*Assum_Pricing!$C$18</f>
        <v>5264.4885277772173</v>
      </c>
      <c r="BS16" s="22">
        <f>(BS9+BS11)*Assum_Pricing!$C$18</f>
        <v>5818.6452149116622</v>
      </c>
      <c r="BT16" s="22">
        <f>(BT9+BT11)*Assum_Pricing!$C$18</f>
        <v>6372.8019020461061</v>
      </c>
      <c r="BU16" s="22">
        <f>(BU9+BU11)*Assum_Pricing!$C$18</f>
        <v>7758.193619882215</v>
      </c>
      <c r="BV16" s="22">
        <f>(BV9+BV11)*Assum_Pricing!$C$18</f>
        <v>6793.4068275811487</v>
      </c>
      <c r="BW16" s="22">
        <f>(BW9+BW11)*Assum_Pricing!$C$18</f>
        <v>6498.04131333849</v>
      </c>
      <c r="BX16" s="22">
        <f>(BX9+BX11)*Assum_Pricing!$C$18</f>
        <v>5907.3102848531726</v>
      </c>
      <c r="BY16" s="22">
        <f>(BY9+BY11)*Assum_Pricing!$C$18</f>
        <v>5316.5792563678542</v>
      </c>
      <c r="BZ16" s="22">
        <f>(BZ9+BZ11)*Assum_Pricing!$C$18</f>
        <v>5021.2137421251973</v>
      </c>
      <c r="CA16" s="22">
        <f>(CA9+CA11)*Assum_Pricing!$C$18</f>
        <v>4725.8482278825386</v>
      </c>
      <c r="CB16" s="22">
        <f>(CB9+CB11)*Assum_Pricing!$C$18</f>
        <v>4725.8482278825386</v>
      </c>
      <c r="CC16" s="22">
        <f>(CC9+CC11)*Assum_Pricing!$C$18</f>
        <v>5021.2137421251973</v>
      </c>
      <c r="CD16" s="22">
        <f>(CD9+CD11)*Assum_Pricing!$C$18</f>
        <v>5611.9447706105129</v>
      </c>
      <c r="CE16" s="22">
        <f>(CE9+CE11)*Assum_Pricing!$C$18</f>
        <v>6202.6757990958313</v>
      </c>
      <c r="CF16" s="22">
        <f>(CF9+CF11)*Assum_Pricing!$C$18</f>
        <v>6793.4068275811487</v>
      </c>
      <c r="CG16" s="22">
        <f>(CG9+CG11)*Assum_Pricing!$C$18</f>
        <v>8270.2343987944405</v>
      </c>
      <c r="CH16" s="22">
        <f>(CH9+CH11)*Assum_Pricing!$C$18</f>
        <v>7241.7716782015023</v>
      </c>
      <c r="CI16" s="22">
        <f>(CI9+CI11)*Assum_Pricing!$C$18</f>
        <v>6926.9120400188285</v>
      </c>
      <c r="CJ16" s="22">
        <f>(CJ9+CJ11)*Assum_Pricing!$C$18</f>
        <v>6297.1927636534801</v>
      </c>
      <c r="CK16" s="22">
        <f>(CK9+CK11)*Assum_Pricing!$C$18</f>
        <v>5667.4734872881336</v>
      </c>
      <c r="CL16" s="22">
        <f>(CL9+CL11)*Assum_Pricing!$C$18</f>
        <v>5352.6138491054598</v>
      </c>
      <c r="CM16" s="22">
        <f>(CM9+CM11)*Assum_Pricing!$C$18</f>
        <v>5037.7542109227852</v>
      </c>
      <c r="CN16" s="22">
        <f>(CN9+CN11)*Assum_Pricing!$C$18</f>
        <v>5037.7542109227852</v>
      </c>
      <c r="CO16" s="22">
        <f>(CO9+CO11)*Assum_Pricing!$C$18</f>
        <v>5352.6138491054598</v>
      </c>
      <c r="CP16" s="22">
        <f>(CP9+CP11)*Assum_Pricing!$C$18</f>
        <v>5982.3331254708064</v>
      </c>
      <c r="CQ16" s="22">
        <f>(CQ9+CQ11)*Assum_Pricing!$C$18</f>
        <v>6612.0524018361539</v>
      </c>
      <c r="CR16" s="22">
        <f>(CR9+CR11)*Assum_Pricing!$C$18</f>
        <v>7241.7716782015023</v>
      </c>
      <c r="CS16" s="22">
        <f>(CS9+CS11)*Assum_Pricing!$C$18</f>
        <v>8816.06986911487</v>
      </c>
      <c r="CT16" s="22">
        <f>(CT9+CT11)*Assum_Pricing!$C$18</f>
        <v>7719.7286089628014</v>
      </c>
      <c r="CU16" s="22">
        <f>(CU9+CU11)*Assum_Pricing!$C$18</f>
        <v>7384.088234660072</v>
      </c>
      <c r="CV16" s="22">
        <f>(CV9+CV11)*Assum_Pricing!$C$18</f>
        <v>6712.8074860546103</v>
      </c>
      <c r="CW16" s="22">
        <f>(CW9+CW11)*Assum_Pricing!$C$18</f>
        <v>6041.5267374491496</v>
      </c>
      <c r="CX16" s="22">
        <f>(CX9+CX11)*Assum_Pricing!$C$18</f>
        <v>5705.8863631464183</v>
      </c>
      <c r="CY16" s="22">
        <f>(CY9+CY11)*Assum_Pricing!$C$18</f>
        <v>5370.2459888436888</v>
      </c>
      <c r="CZ16" s="22">
        <f>(CZ9+CZ11)*Assum_Pricing!$C$18</f>
        <v>5370.2459888436888</v>
      </c>
      <c r="DA16" s="22">
        <f>(DA9+DA11)*Assum_Pricing!$C$18</f>
        <v>5705.8863631464183</v>
      </c>
      <c r="DB16" s="22">
        <f>(DB9+DB11)*Assum_Pricing!$C$18</f>
        <v>6377.1671117518781</v>
      </c>
      <c r="DC16" s="22">
        <f>(DC9+DC11)*Assum_Pricing!$C$18</f>
        <v>7048.4478603573407</v>
      </c>
      <c r="DD16" s="22">
        <f>(DD9+DD11)*Assum_Pricing!$C$18</f>
        <v>7719.7286089628014</v>
      </c>
      <c r="DE16" s="22">
        <f>(DE9+DE11)*Assum_Pricing!$C$18</f>
        <v>9397.9304804764524</v>
      </c>
      <c r="DF16" s="22">
        <f>(DF9+DF11)*Assum_Pricing!$C$18</f>
        <v>8229.2306971543439</v>
      </c>
      <c r="DG16" s="22">
        <f>(DG9+DG11)*Assum_Pricing!$C$18</f>
        <v>7871.4380581476362</v>
      </c>
      <c r="DH16" s="22">
        <f>(DH9+DH11)*Assum_Pricing!$C$18</f>
        <v>7155.8527801342143</v>
      </c>
      <c r="DI16" s="22">
        <f>(DI9+DI11)*Assum_Pricing!$C$18</f>
        <v>6440.2675021207915</v>
      </c>
      <c r="DJ16" s="22">
        <f>(DJ9+DJ11)*Assum_Pricing!$C$18</f>
        <v>6082.4748631140819</v>
      </c>
      <c r="DK16" s="22">
        <f>(DK9+DK11)*Assum_Pricing!$C$18</f>
        <v>5724.6822241073723</v>
      </c>
      <c r="DL16" s="22">
        <f>(DL9+DL11)*Assum_Pricing!$C$18</f>
        <v>5724.6822241073723</v>
      </c>
      <c r="DM16" s="22">
        <f>(DM9+DM11)*Assum_Pricing!$C$18</f>
        <v>6082.4748631140819</v>
      </c>
      <c r="DN16" s="22">
        <f>(DN9+DN11)*Assum_Pricing!$C$18</f>
        <v>6798.0601411275029</v>
      </c>
      <c r="DO16" s="22">
        <f>(DO9+DO11)*Assum_Pricing!$C$18</f>
        <v>7513.6454191409239</v>
      </c>
      <c r="DP16" s="22">
        <f>(DP9+DP11)*Assum_Pricing!$C$18</f>
        <v>8229.2306971543439</v>
      </c>
      <c r="DQ16" s="22">
        <f>(DQ9+DQ11)*Assum_Pricing!$C$18</f>
        <v>10018.193892187899</v>
      </c>
    </row>
    <row r="17" spans="1:121" ht="15" customHeight="1">
      <c r="A17" s="14" t="s">
        <v>428</v>
      </c>
      <c r="B17" s="29">
        <f t="shared" ref="B17:AG17" si="14">B15+B16</f>
        <v>5696.8297499999999</v>
      </c>
      <c r="C17" s="29">
        <f t="shared" si="14"/>
        <v>5449.1415000000006</v>
      </c>
      <c r="D17" s="29">
        <f t="shared" si="14"/>
        <v>4953.7650000000003</v>
      </c>
      <c r="E17" s="29">
        <f t="shared" si="14"/>
        <v>4458.3885</v>
      </c>
      <c r="F17" s="29">
        <f t="shared" si="14"/>
        <v>4210.7002499999999</v>
      </c>
      <c r="G17" s="29">
        <f t="shared" si="14"/>
        <v>3963.0120000000006</v>
      </c>
      <c r="H17" s="29">
        <f t="shared" si="14"/>
        <v>3963.0120000000006</v>
      </c>
      <c r="I17" s="29">
        <f t="shared" si="14"/>
        <v>4210.7002499999999</v>
      </c>
      <c r="J17" s="29">
        <f t="shared" si="14"/>
        <v>4706.0767500000002</v>
      </c>
      <c r="K17" s="29">
        <f t="shared" si="14"/>
        <v>5201.4532499999996</v>
      </c>
      <c r="L17" s="29">
        <f t="shared" si="14"/>
        <v>5696.8297499999999</v>
      </c>
      <c r="M17" s="29">
        <f t="shared" si="14"/>
        <v>6935.2709999999988</v>
      </c>
      <c r="N17" s="29">
        <f t="shared" si="14"/>
        <v>6306.3905332499999</v>
      </c>
      <c r="O17" s="29">
        <f t="shared" si="14"/>
        <v>6032.1996405000009</v>
      </c>
      <c r="P17" s="29">
        <f t="shared" si="14"/>
        <v>5483.8178550000002</v>
      </c>
      <c r="Q17" s="29">
        <f t="shared" si="14"/>
        <v>4935.4360694999996</v>
      </c>
      <c r="R17" s="29">
        <f t="shared" si="14"/>
        <v>4661.2451767499997</v>
      </c>
      <c r="S17" s="29">
        <f t="shared" si="14"/>
        <v>4387.0542840000007</v>
      </c>
      <c r="T17" s="29">
        <f t="shared" si="14"/>
        <v>4387.0542840000007</v>
      </c>
      <c r="U17" s="29">
        <f t="shared" si="14"/>
        <v>4661.2451767499997</v>
      </c>
      <c r="V17" s="29">
        <f t="shared" si="14"/>
        <v>5209.6269622500004</v>
      </c>
      <c r="W17" s="29">
        <f t="shared" si="14"/>
        <v>5758.0087477500001</v>
      </c>
      <c r="X17" s="29">
        <f t="shared" si="14"/>
        <v>6306.3905332499999</v>
      </c>
      <c r="Y17" s="29">
        <f t="shared" si="14"/>
        <v>7677.3449969999983</v>
      </c>
      <c r="Z17" s="29">
        <f t="shared" si="14"/>
        <v>6981.1743203077503</v>
      </c>
      <c r="AA17" s="29">
        <f t="shared" si="14"/>
        <v>6677.6450020335014</v>
      </c>
      <c r="AB17" s="29">
        <f t="shared" si="14"/>
        <v>6070.586365485</v>
      </c>
      <c r="AC17" s="29">
        <f t="shared" si="14"/>
        <v>5463.5277289365004</v>
      </c>
      <c r="AD17" s="29">
        <f t="shared" si="14"/>
        <v>5159.9984106622505</v>
      </c>
      <c r="AE17" s="29">
        <f t="shared" si="14"/>
        <v>4856.4690923880007</v>
      </c>
      <c r="AF17" s="29">
        <f t="shared" si="14"/>
        <v>4856.4690923880007</v>
      </c>
      <c r="AG17" s="29">
        <f t="shared" si="14"/>
        <v>5159.9984106622505</v>
      </c>
      <c r="AH17" s="29">
        <f t="shared" ref="AH17:BM17" si="15">AH15+AH16</f>
        <v>5767.0570472107493</v>
      </c>
      <c r="AI17" s="29">
        <f t="shared" si="15"/>
        <v>6374.1156837592498</v>
      </c>
      <c r="AJ17" s="29">
        <f t="shared" si="15"/>
        <v>6981.1743203077503</v>
      </c>
      <c r="AK17" s="29">
        <f t="shared" si="15"/>
        <v>8498.8209116789985</v>
      </c>
      <c r="AL17" s="29">
        <f t="shared" si="15"/>
        <v>7585.0458990143707</v>
      </c>
      <c r="AM17" s="29">
        <f t="shared" si="15"/>
        <v>7255.2612947093985</v>
      </c>
      <c r="AN17" s="29">
        <f t="shared" si="15"/>
        <v>6595.6920860994533</v>
      </c>
      <c r="AO17" s="29">
        <f t="shared" si="15"/>
        <v>5936.1228774895062</v>
      </c>
      <c r="AP17" s="29">
        <f t="shared" si="15"/>
        <v>5606.338273184535</v>
      </c>
      <c r="AQ17" s="29">
        <f t="shared" si="15"/>
        <v>5276.5536688795619</v>
      </c>
      <c r="AR17" s="29">
        <f t="shared" si="15"/>
        <v>5276.5536688795619</v>
      </c>
      <c r="AS17" s="29">
        <f t="shared" si="15"/>
        <v>5606.338273184535</v>
      </c>
      <c r="AT17" s="29">
        <f t="shared" si="15"/>
        <v>6265.9074817944793</v>
      </c>
      <c r="AU17" s="29">
        <f t="shared" si="15"/>
        <v>6925.4766904044245</v>
      </c>
      <c r="AV17" s="29">
        <f t="shared" si="15"/>
        <v>7585.0458990143707</v>
      </c>
      <c r="AW17" s="29">
        <f t="shared" si="15"/>
        <v>9233.9689205392333</v>
      </c>
      <c r="AX17" s="29">
        <f t="shared" si="15"/>
        <v>8241.1523692791125</v>
      </c>
      <c r="AY17" s="29">
        <f t="shared" si="15"/>
        <v>7882.8413967017623</v>
      </c>
      <c r="AZ17" s="29">
        <f t="shared" si="15"/>
        <v>7166.2194515470565</v>
      </c>
      <c r="BA17" s="29">
        <f t="shared" si="15"/>
        <v>6449.5975063923488</v>
      </c>
      <c r="BB17" s="29">
        <f t="shared" si="15"/>
        <v>6091.2865338149968</v>
      </c>
      <c r="BC17" s="29">
        <f t="shared" si="15"/>
        <v>5732.9755612376448</v>
      </c>
      <c r="BD17" s="29">
        <f t="shared" si="15"/>
        <v>5732.9755612376448</v>
      </c>
      <c r="BE17" s="29">
        <f t="shared" si="15"/>
        <v>6091.2865338149968</v>
      </c>
      <c r="BF17" s="29">
        <f t="shared" si="15"/>
        <v>6807.9084789697017</v>
      </c>
      <c r="BG17" s="29">
        <f t="shared" si="15"/>
        <v>7524.5304241244085</v>
      </c>
      <c r="BH17" s="29">
        <f t="shared" si="15"/>
        <v>8241.1523692791125</v>
      </c>
      <c r="BI17" s="29">
        <f t="shared" si="15"/>
        <v>10032.707232165878</v>
      </c>
      <c r="BJ17" s="29">
        <f t="shared" si="15"/>
        <v>8785.0684256515342</v>
      </c>
      <c r="BK17" s="29">
        <f t="shared" si="15"/>
        <v>8403.1089288840776</v>
      </c>
      <c r="BL17" s="29">
        <f t="shared" si="15"/>
        <v>7639.1899353491599</v>
      </c>
      <c r="BM17" s="29">
        <f t="shared" si="15"/>
        <v>6875.270941814244</v>
      </c>
      <c r="BN17" s="29">
        <f t="shared" ref="BN17:CS17" si="16">BN15+BN16</f>
        <v>6493.3114450467856</v>
      </c>
      <c r="BO17" s="29">
        <f t="shared" si="16"/>
        <v>6111.351948279329</v>
      </c>
      <c r="BP17" s="29">
        <f t="shared" si="16"/>
        <v>6111.351948279329</v>
      </c>
      <c r="BQ17" s="29">
        <f t="shared" si="16"/>
        <v>6493.3114450467856</v>
      </c>
      <c r="BR17" s="29">
        <f t="shared" si="16"/>
        <v>7257.2304385817006</v>
      </c>
      <c r="BS17" s="29">
        <f t="shared" si="16"/>
        <v>8021.1494321166174</v>
      </c>
      <c r="BT17" s="29">
        <f t="shared" si="16"/>
        <v>8785.0684256515342</v>
      </c>
      <c r="BU17" s="29">
        <f t="shared" si="16"/>
        <v>10694.865909488823</v>
      </c>
      <c r="BV17" s="29">
        <f t="shared" si="16"/>
        <v>9364.882941744534</v>
      </c>
      <c r="BW17" s="29">
        <f t="shared" si="16"/>
        <v>8957.7141181904244</v>
      </c>
      <c r="BX17" s="29">
        <f t="shared" si="16"/>
        <v>8143.3764710822034</v>
      </c>
      <c r="BY17" s="29">
        <f t="shared" si="16"/>
        <v>7329.0388239739823</v>
      </c>
      <c r="BZ17" s="29">
        <f t="shared" si="16"/>
        <v>6921.8700004198736</v>
      </c>
      <c r="CA17" s="29">
        <f t="shared" si="16"/>
        <v>6514.701176865763</v>
      </c>
      <c r="CB17" s="29">
        <f t="shared" si="16"/>
        <v>6514.701176865763</v>
      </c>
      <c r="CC17" s="29">
        <f t="shared" si="16"/>
        <v>6921.8700004198736</v>
      </c>
      <c r="CD17" s="29">
        <f t="shared" si="16"/>
        <v>7736.2076475280919</v>
      </c>
      <c r="CE17" s="29">
        <f t="shared" si="16"/>
        <v>8550.5452946363148</v>
      </c>
      <c r="CF17" s="29">
        <f t="shared" si="16"/>
        <v>9364.882941744534</v>
      </c>
      <c r="CG17" s="29">
        <f t="shared" si="16"/>
        <v>11400.727059515084</v>
      </c>
      <c r="CH17" s="29">
        <f t="shared" si="16"/>
        <v>9982.9652158996705</v>
      </c>
      <c r="CI17" s="29">
        <f t="shared" si="16"/>
        <v>9548.9232499909904</v>
      </c>
      <c r="CJ17" s="29">
        <f t="shared" si="16"/>
        <v>8680.8393181736265</v>
      </c>
      <c r="CK17" s="29">
        <f t="shared" si="16"/>
        <v>7812.7553863562662</v>
      </c>
      <c r="CL17" s="29">
        <f t="shared" si="16"/>
        <v>7378.7134204475842</v>
      </c>
      <c r="CM17" s="29">
        <f t="shared" si="16"/>
        <v>6944.6714545389023</v>
      </c>
      <c r="CN17" s="29">
        <f t="shared" si="16"/>
        <v>6944.6714545389023</v>
      </c>
      <c r="CO17" s="29">
        <f t="shared" si="16"/>
        <v>7378.7134204475842</v>
      </c>
      <c r="CP17" s="29">
        <f t="shared" si="16"/>
        <v>8246.7973522649463</v>
      </c>
      <c r="CQ17" s="29">
        <f t="shared" si="16"/>
        <v>9114.8812840823084</v>
      </c>
      <c r="CR17" s="29">
        <f t="shared" si="16"/>
        <v>9982.9652158996705</v>
      </c>
      <c r="CS17" s="29">
        <f t="shared" si="16"/>
        <v>12153.175045443075</v>
      </c>
      <c r="CT17" s="29">
        <f t="shared" ref="CT17:DY17" si="17">CT15+CT16</f>
        <v>10641.84092014905</v>
      </c>
      <c r="CU17" s="29">
        <f t="shared" si="17"/>
        <v>10179.152184490396</v>
      </c>
      <c r="CV17" s="29">
        <f t="shared" si="17"/>
        <v>9253.7747131730866</v>
      </c>
      <c r="CW17" s="29">
        <f t="shared" si="17"/>
        <v>8328.3972418557787</v>
      </c>
      <c r="CX17" s="29">
        <f t="shared" si="17"/>
        <v>7865.7085061971229</v>
      </c>
      <c r="CY17" s="29">
        <f t="shared" si="17"/>
        <v>7403.0197705384699</v>
      </c>
      <c r="CZ17" s="29">
        <f t="shared" si="17"/>
        <v>7403.0197705384699</v>
      </c>
      <c r="DA17" s="29">
        <f t="shared" si="17"/>
        <v>7865.7085061971229</v>
      </c>
      <c r="DB17" s="29">
        <f t="shared" si="17"/>
        <v>8791.0859775144309</v>
      </c>
      <c r="DC17" s="29">
        <f t="shared" si="17"/>
        <v>9716.4634488317406</v>
      </c>
      <c r="DD17" s="29">
        <f t="shared" si="17"/>
        <v>10641.84092014905</v>
      </c>
      <c r="DE17" s="29">
        <f t="shared" si="17"/>
        <v>12955.284598442318</v>
      </c>
      <c r="DF17" s="29">
        <f t="shared" si="17"/>
        <v>11344.202420878883</v>
      </c>
      <c r="DG17" s="29">
        <f t="shared" si="17"/>
        <v>10850.976228666761</v>
      </c>
      <c r="DH17" s="29">
        <f t="shared" si="17"/>
        <v>9864.5238442425107</v>
      </c>
      <c r="DI17" s="29">
        <f t="shared" si="17"/>
        <v>8878.0714598182567</v>
      </c>
      <c r="DJ17" s="29">
        <f t="shared" si="17"/>
        <v>8384.8452676061333</v>
      </c>
      <c r="DK17" s="29">
        <f t="shared" si="17"/>
        <v>7891.6190753940091</v>
      </c>
      <c r="DL17" s="29">
        <f t="shared" si="17"/>
        <v>7891.6190753940091</v>
      </c>
      <c r="DM17" s="29">
        <f t="shared" si="17"/>
        <v>8384.8452676061333</v>
      </c>
      <c r="DN17" s="29">
        <f t="shared" si="17"/>
        <v>9371.2976520303837</v>
      </c>
      <c r="DO17" s="29">
        <f t="shared" si="17"/>
        <v>10357.750036454634</v>
      </c>
      <c r="DP17" s="29">
        <f t="shared" si="17"/>
        <v>11344.202420878883</v>
      </c>
      <c r="DQ17" s="29">
        <f t="shared" si="17"/>
        <v>13810.333381939512</v>
      </c>
    </row>
    <row r="19" spans="1:121" ht="15" customHeight="1">
      <c r="A19" s="5" t="s">
        <v>429</v>
      </c>
    </row>
    <row r="20" spans="1:121" ht="15" customHeight="1">
      <c r="A20" t="s">
        <v>430</v>
      </c>
      <c r="B20" s="22">
        <f>Calc_Volume!B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14494.011583333329</v>
      </c>
      <c r="C20" s="22">
        <f>Calc_Volume!C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13863.837166666668</v>
      </c>
      <c r="D20" s="22">
        <f>Calc_Volume!D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12603.488333333333</v>
      </c>
      <c r="E20" s="22">
        <f>Calc_Volume!E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11343.139499999999</v>
      </c>
      <c r="F20" s="22">
        <f>Calc_Volume!F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10712.965083333333</v>
      </c>
      <c r="G20" s="22">
        <f>Calc_Volume!G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10082.790666666668</v>
      </c>
      <c r="H20" s="22">
        <f>Calc_Volume!H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10082.790666666668</v>
      </c>
      <c r="I20" s="22">
        <f>Calc_Volume!I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10712.965083333333</v>
      </c>
      <c r="J20" s="22">
        <f>Calc_Volume!J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11973.313916666664</v>
      </c>
      <c r="K20" s="22">
        <f>Calc_Volume!K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13233.66275</v>
      </c>
      <c r="L20" s="22">
        <f>Calc_Volume!L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14494.011583333329</v>
      </c>
      <c r="M20" s="22">
        <f>Calc_Volume!M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17644.883666666665</v>
      </c>
      <c r="N20" s="22">
        <f>Calc_Volume!N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15653.532509999997</v>
      </c>
      <c r="O20" s="22">
        <f>Calc_Volume!O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14972.944140000003</v>
      </c>
      <c r="P20" s="22">
        <f>Calc_Volume!P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13611.767400000001</v>
      </c>
      <c r="Q20" s="22">
        <f>Calc_Volume!Q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12250.59066</v>
      </c>
      <c r="R20" s="22">
        <f>Calc_Volume!R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11570.002289999999</v>
      </c>
      <c r="S20" s="22">
        <f>Calc_Volume!S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10889.413920000003</v>
      </c>
      <c r="T20" s="22">
        <f>Calc_Volume!T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10889.413920000003</v>
      </c>
      <c r="U20" s="22">
        <f>Calc_Volume!U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11570.002289999999</v>
      </c>
      <c r="V20" s="22">
        <f>Calc_Volume!V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12931.179029999999</v>
      </c>
      <c r="W20" s="22">
        <f>Calc_Volume!W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14292.35577</v>
      </c>
      <c r="X20" s="22">
        <f>Calc_Volume!X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15653.532509999997</v>
      </c>
      <c r="Y20" s="22">
        <f>Calc_Volume!Y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19056.47436</v>
      </c>
      <c r="Z20" s="22">
        <f>Calc_Volume!Z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16905.815110799998</v>
      </c>
      <c r="AA20" s="22">
        <f>Calc_Volume!AA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16170.779671200005</v>
      </c>
      <c r="AB20" s="22">
        <f>Calc_Volume!AB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14700.708791999999</v>
      </c>
      <c r="AC20" s="22">
        <f>Calc_Volume!AC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13230.637912799999</v>
      </c>
      <c r="AD20" s="22">
        <f>Calc_Volume!AD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12495.602473200001</v>
      </c>
      <c r="AE20" s="22">
        <f>Calc_Volume!AE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11760.5670336</v>
      </c>
      <c r="AF20" s="22">
        <f>Calc_Volume!AF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11760.5670336</v>
      </c>
      <c r="AG20" s="22">
        <f>Calc_Volume!AG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12495.602473200001</v>
      </c>
      <c r="AH20" s="22">
        <f>Calc_Volume!AH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13965.673352399997</v>
      </c>
      <c r="AI20" s="22">
        <f>Calc_Volume!AI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15435.744231600002</v>
      </c>
      <c r="AJ20" s="22">
        <f>Calc_Volume!AJ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16905.815110799998</v>
      </c>
      <c r="AK20" s="22">
        <f>Calc_Volume!AK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20580.9923088</v>
      </c>
      <c r="AL20" s="22">
        <f>Calc_Volume!AL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17920.164017447998</v>
      </c>
      <c r="AM20" s="22">
        <f>Calc_Volume!AM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17141.026451472007</v>
      </c>
      <c r="AN20" s="22">
        <f>Calc_Volume!AN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15582.751319519999</v>
      </c>
      <c r="AO20" s="22">
        <f>Calc_Volume!AO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14024.476187568001</v>
      </c>
      <c r="AP20" s="22">
        <f>Calc_Volume!AP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13245.338621592</v>
      </c>
      <c r="AQ20" s="22">
        <f>Calc_Volume!AQ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12466.201055616</v>
      </c>
      <c r="AR20" s="22">
        <f>Calc_Volume!AR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12466.201055616</v>
      </c>
      <c r="AS20" s="22">
        <f>Calc_Volume!AS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13245.338621592</v>
      </c>
      <c r="AT20" s="22">
        <f>Calc_Volume!AT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14803.613753544001</v>
      </c>
      <c r="AU20" s="22">
        <f>Calc_Volume!AU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16361.888885496002</v>
      </c>
      <c r="AV20" s="22">
        <f>Calc_Volume!AV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17920.164017447998</v>
      </c>
      <c r="AW20" s="22">
        <f>Calc_Volume!AW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21815.851847327998</v>
      </c>
      <c r="AX20" s="22">
        <f>Calc_Volume!AX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18995.373858494877</v>
      </c>
      <c r="AY20" s="22">
        <f>Calc_Volume!AY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18169.488038560328</v>
      </c>
      <c r="AZ20" s="22">
        <f>Calc_Volume!AZ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16517.716398691202</v>
      </c>
      <c r="BA20" s="22">
        <f>Calc_Volume!BA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14865.944758822081</v>
      </c>
      <c r="BB20" s="22">
        <f>Calc_Volume!BB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14040.05893888752</v>
      </c>
      <c r="BC20" s="22">
        <f>Calc_Volume!BC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13214.173118952964</v>
      </c>
      <c r="BD20" s="22">
        <f>Calc_Volume!BD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13214.173118952964</v>
      </c>
      <c r="BE20" s="22">
        <f>Calc_Volume!BE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14040.05893888752</v>
      </c>
      <c r="BF20" s="22">
        <f>Calc_Volume!BF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15691.830578756642</v>
      </c>
      <c r="BG20" s="22">
        <f>Calc_Volume!BG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17343.602218625761</v>
      </c>
      <c r="BH20" s="22">
        <f>Calc_Volume!BH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18995.373858494877</v>
      </c>
      <c r="BI20" s="22">
        <f>Calc_Volume!BI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23124.802958167682</v>
      </c>
      <c r="BJ20" s="22">
        <f>Calc_Volume!BJ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19755.188812834676</v>
      </c>
      <c r="BK20" s="22">
        <f>Calc_Volume!BK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18896.267560102737</v>
      </c>
      <c r="BL20" s="22">
        <f>Calc_Volume!BL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17178.42505463885</v>
      </c>
      <c r="BM20" s="22">
        <f>Calc_Volume!BM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15460.582549174966</v>
      </c>
      <c r="BN20" s="22">
        <f>Calc_Volume!BN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14601.661296443022</v>
      </c>
      <c r="BO20" s="22">
        <f>Calc_Volume!BO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13742.740043711081</v>
      </c>
      <c r="BP20" s="22">
        <f>Calc_Volume!BP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13742.740043711081</v>
      </c>
      <c r="BQ20" s="22">
        <f>Calc_Volume!BQ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14601.661296443022</v>
      </c>
      <c r="BR20" s="22">
        <f>Calc_Volume!BR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16319.503801906905</v>
      </c>
      <c r="BS20" s="22">
        <f>Calc_Volume!BS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18037.346307370794</v>
      </c>
      <c r="BT20" s="22">
        <f>Calc_Volume!BT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19755.188812834676</v>
      </c>
      <c r="BU20" s="22">
        <f>Calc_Volume!BU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24049.795076494389</v>
      </c>
      <c r="BV20" s="22">
        <f>Calc_Volume!BV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20545.396365348064</v>
      </c>
      <c r="BW20" s="22">
        <f>Calc_Volume!BW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19652.118262506847</v>
      </c>
      <c r="BX20" s="22">
        <f>Calc_Volume!BX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17865.562056824405</v>
      </c>
      <c r="BY20" s="22">
        <f>Calc_Volume!BY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16079.005851141963</v>
      </c>
      <c r="BZ20" s="22">
        <f>Calc_Volume!BZ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15185.727748300742</v>
      </c>
      <c r="CA20" s="22">
        <f>Calc_Volume!CA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14292.449645459525</v>
      </c>
      <c r="CB20" s="22">
        <f>Calc_Volume!CB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14292.449645459525</v>
      </c>
      <c r="CC20" s="22">
        <f>Calc_Volume!CC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15185.727748300742</v>
      </c>
      <c r="CD20" s="22">
        <f>Calc_Volume!CD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16972.28395398318</v>
      </c>
      <c r="CE20" s="22">
        <f>Calc_Volume!CE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18758.840159665626</v>
      </c>
      <c r="CF20" s="22">
        <f>Calc_Volume!CF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20545.396365348064</v>
      </c>
      <c r="CG20" s="22">
        <f>Calc_Volume!CG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25011.786879554165</v>
      </c>
      <c r="CH20" s="22">
        <f>Calc_Volume!CH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21367.212219961981</v>
      </c>
      <c r="CI20" s="22">
        <f>Calc_Volume!CI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20438.202993007118</v>
      </c>
      <c r="CJ20" s="22">
        <f>Calc_Volume!CJ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18580.184539097376</v>
      </c>
      <c r="CK20" s="22">
        <f>Calc_Volume!CK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16722.16608518764</v>
      </c>
      <c r="CL20" s="22">
        <f>Calc_Volume!CL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15793.156858232775</v>
      </c>
      <c r="CM20" s="22">
        <f>Calc_Volume!CM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14864.147631277903</v>
      </c>
      <c r="CN20" s="22">
        <f>Calc_Volume!CN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14864.147631277903</v>
      </c>
      <c r="CO20" s="22">
        <f>Calc_Volume!CO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15793.156858232775</v>
      </c>
      <c r="CP20" s="22">
        <f>Calc_Volume!CP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17651.17531214251</v>
      </c>
      <c r="CQ20" s="22">
        <f>Calc_Volume!CQ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19509.193766052245</v>
      </c>
      <c r="CR20" s="22">
        <f>Calc_Volume!CR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21367.212219961981</v>
      </c>
      <c r="CS20" s="22">
        <f>Calc_Volume!CS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26012.258354736325</v>
      </c>
      <c r="CT20" s="22">
        <f>Calc_Volume!CT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22221.900708760462</v>
      </c>
      <c r="CU20" s="22">
        <f>Calc_Volume!CU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21255.731112727404</v>
      </c>
      <c r="CV20" s="22">
        <f>Calc_Volume!CV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19323.391920661274</v>
      </c>
      <c r="CW20" s="22">
        <f>Calc_Volume!CW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17391.05272859515</v>
      </c>
      <c r="CX20" s="22">
        <f>Calc_Volume!CX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16424.883132562081</v>
      </c>
      <c r="CY20" s="22">
        <f>Calc_Volume!CY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15458.713536529021</v>
      </c>
      <c r="CZ20" s="22">
        <f>Calc_Volume!CZ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15458.713536529021</v>
      </c>
      <c r="DA20" s="22">
        <f>Calc_Volume!DA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16424.883132562081</v>
      </c>
      <c r="DB20" s="22">
        <f>Calc_Volume!DB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18357.222324628208</v>
      </c>
      <c r="DC20" s="22">
        <f>Calc_Volume!DC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20289.561516694339</v>
      </c>
      <c r="DD20" s="22">
        <f>Calc_Volume!DD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22221.900708760462</v>
      </c>
      <c r="DE20" s="22">
        <f>Calc_Volume!DE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27052.748688925785</v>
      </c>
      <c r="DF20" s="22">
        <f>Calc_Volume!DF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23110.776737110886</v>
      </c>
      <c r="DG20" s="22">
        <f>Calc_Volume!DG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22105.960357236501</v>
      </c>
      <c r="DH20" s="22">
        <f>Calc_Volume!DH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20096.327597487725</v>
      </c>
      <c r="DI20" s="22">
        <f>Calc_Volume!DI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18086.694837738953</v>
      </c>
      <c r="DJ20" s="22">
        <f>Calc_Volume!DJ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17081.878457864568</v>
      </c>
      <c r="DK20" s="22">
        <f>Calc_Volume!DK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16077.062077990182</v>
      </c>
      <c r="DL20" s="22">
        <f>Calc_Volume!DL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16077.062077990182</v>
      </c>
      <c r="DM20" s="22">
        <f>Calc_Volume!DM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17081.878457864568</v>
      </c>
      <c r="DN20" s="22">
        <f>Calc_Volume!DN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19091.511217613341</v>
      </c>
      <c r="DO20" s="22">
        <f>Calc_Volume!DO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21101.143977362113</v>
      </c>
      <c r="DP20" s="22">
        <f>Calc_Volume!DP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23110.776737110886</v>
      </c>
      <c r="DQ20" s="22">
        <f>Calc_Volume!DQ17*((Assum_Volume!$C$8*(1-Assum_Volume!$C$16*Assum_Volume!$C$21)*Assum_Pricing!$C$27+Assum_Volume!$C$8*Assum_Volume!$C$16*Assum_Volume!$C$21*Assum_Pricing!$C$28)+(Assum_Volume!$C$9*(1-Assum_Volume!$C$16*Assum_Volume!$C$21)*Assum_Pricing!$C$29+Assum_Volume!$C$9*Assum_Volume!$C$16*Assum_Volume!$C$21*Assum_Pricing!$C$30))/1000</f>
        <v>28134.858636482815</v>
      </c>
    </row>
    <row r="21" spans="1:121" ht="15" customHeight="1">
      <c r="A21" t="s">
        <v>431</v>
      </c>
      <c r="B21" s="22">
        <f>Calc_Volume!B18*(Assum_Volume!$C$8*Assum_Pricing!$C$31+Assum_Volume!$C$9*Assum_Pricing!$C$32)/1000</f>
        <v>3900.8000000000006</v>
      </c>
      <c r="C21" s="22">
        <f>Calc_Volume!C18*(Assum_Volume!$C$8*Assum_Pricing!$C$31+Assum_Volume!$C$9*Assum_Pricing!$C$32)/1000</f>
        <v>3731.2000000000016</v>
      </c>
      <c r="D21" s="22">
        <f>Calc_Volume!D18*(Assum_Volume!$C$8*Assum_Pricing!$C$31+Assum_Volume!$C$9*Assum_Pricing!$C$32)/1000</f>
        <v>3392.0000000000009</v>
      </c>
      <c r="E21" s="22">
        <f>Calc_Volume!E18*(Assum_Volume!$C$8*Assum_Pricing!$C$31+Assum_Volume!$C$9*Assum_Pricing!$C$32)/1000</f>
        <v>3052.8000000000011</v>
      </c>
      <c r="F21" s="22">
        <f>Calc_Volume!F18*(Assum_Volume!$C$8*Assum_Pricing!$C$31+Assum_Volume!$C$9*Assum_Pricing!$C$32)/1000</f>
        <v>2883.2000000000007</v>
      </c>
      <c r="G21" s="22">
        <f>Calc_Volume!G18*(Assum_Volume!$C$8*Assum_Pricing!$C$31+Assum_Volume!$C$9*Assum_Pricing!$C$32)/1000</f>
        <v>2713.6000000000013</v>
      </c>
      <c r="H21" s="22">
        <f>Calc_Volume!H18*(Assum_Volume!$C$8*Assum_Pricing!$C$31+Assum_Volume!$C$9*Assum_Pricing!$C$32)/1000</f>
        <v>2713.6000000000013</v>
      </c>
      <c r="I21" s="22">
        <f>Calc_Volume!I18*(Assum_Volume!$C$8*Assum_Pricing!$C$31+Assum_Volume!$C$9*Assum_Pricing!$C$32)/1000</f>
        <v>2883.2000000000007</v>
      </c>
      <c r="J21" s="22">
        <f>Calc_Volume!J18*(Assum_Volume!$C$8*Assum_Pricing!$C$31+Assum_Volume!$C$9*Assum_Pricing!$C$32)/1000</f>
        <v>3222.4000000000005</v>
      </c>
      <c r="K21" s="22">
        <f>Calc_Volume!K18*(Assum_Volume!$C$8*Assum_Pricing!$C$31+Assum_Volume!$C$9*Assum_Pricing!$C$32)/1000</f>
        <v>3561.6000000000008</v>
      </c>
      <c r="L21" s="22">
        <f>Calc_Volume!L18*(Assum_Volume!$C$8*Assum_Pricing!$C$31+Assum_Volume!$C$9*Assum_Pricing!$C$32)/1000</f>
        <v>3900.8000000000006</v>
      </c>
      <c r="M21" s="22">
        <f>Calc_Volume!M18*(Assum_Volume!$C$8*Assum_Pricing!$C$31+Assum_Volume!$C$9*Assum_Pricing!$C$32)/1000</f>
        <v>4748.8000000000011</v>
      </c>
      <c r="N21" s="22">
        <f>Calc_Volume!N18*(Assum_Volume!$C$8*Assum_Pricing!$C$31+Assum_Volume!$C$9*Assum_Pricing!$C$32)/1000</f>
        <v>4212.8640000000005</v>
      </c>
      <c r="O21" s="22">
        <f>Calc_Volume!O18*(Assum_Volume!$C$8*Assum_Pricing!$C$31+Assum_Volume!$C$9*Assum_Pricing!$C$32)/1000</f>
        <v>4029.6960000000017</v>
      </c>
      <c r="P21" s="22">
        <f>Calc_Volume!P18*(Assum_Volume!$C$8*Assum_Pricing!$C$31+Assum_Volume!$C$9*Assum_Pricing!$C$32)/1000</f>
        <v>3663.360000000001</v>
      </c>
      <c r="Q21" s="22">
        <f>Calc_Volume!Q18*(Assum_Volume!$C$8*Assum_Pricing!$C$31+Assum_Volume!$C$9*Assum_Pricing!$C$32)/1000</f>
        <v>3297.0240000000008</v>
      </c>
      <c r="R21" s="22">
        <f>Calc_Volume!R18*(Assum_Volume!$C$8*Assum_Pricing!$C$31+Assum_Volume!$C$9*Assum_Pricing!$C$32)/1000</f>
        <v>3113.8560000000011</v>
      </c>
      <c r="S21" s="22">
        <f>Calc_Volume!S18*(Assum_Volume!$C$8*Assum_Pricing!$C$31+Assum_Volume!$C$9*Assum_Pricing!$C$32)/1000</f>
        <v>2930.6880000000015</v>
      </c>
      <c r="T21" s="22">
        <f>Calc_Volume!T18*(Assum_Volume!$C$8*Assum_Pricing!$C$31+Assum_Volume!$C$9*Assum_Pricing!$C$32)/1000</f>
        <v>2930.6880000000015</v>
      </c>
      <c r="U21" s="22">
        <f>Calc_Volume!U18*(Assum_Volume!$C$8*Assum_Pricing!$C$31+Assum_Volume!$C$9*Assum_Pricing!$C$32)/1000</f>
        <v>3113.8560000000011</v>
      </c>
      <c r="V21" s="22">
        <f>Calc_Volume!V18*(Assum_Volume!$C$8*Assum_Pricing!$C$31+Assum_Volume!$C$9*Assum_Pricing!$C$32)/1000</f>
        <v>3480.1920000000009</v>
      </c>
      <c r="W21" s="22">
        <f>Calc_Volume!W18*(Assum_Volume!$C$8*Assum_Pricing!$C$31+Assum_Volume!$C$9*Assum_Pricing!$C$32)/1000</f>
        <v>3846.5280000000012</v>
      </c>
      <c r="X21" s="22">
        <f>Calc_Volume!X18*(Assum_Volume!$C$8*Assum_Pricing!$C$31+Assum_Volume!$C$9*Assum_Pricing!$C$32)/1000</f>
        <v>4212.8640000000005</v>
      </c>
      <c r="Y21" s="22">
        <f>Calc_Volume!Y18*(Assum_Volume!$C$8*Assum_Pricing!$C$31+Assum_Volume!$C$9*Assum_Pricing!$C$32)/1000</f>
        <v>5128.7040000000006</v>
      </c>
      <c r="Z21" s="22">
        <f>Calc_Volume!Z18*(Assum_Volume!$C$8*Assum_Pricing!$C$31+Assum_Volume!$C$9*Assum_Pricing!$C$32)/1000</f>
        <v>4549.8931200000006</v>
      </c>
      <c r="AA21" s="22">
        <f>Calc_Volume!AA18*(Assum_Volume!$C$8*Assum_Pricing!$C$31+Assum_Volume!$C$9*Assum_Pricing!$C$32)/1000</f>
        <v>4352.0716800000027</v>
      </c>
      <c r="AB21" s="22">
        <f>Calc_Volume!AB18*(Assum_Volume!$C$8*Assum_Pricing!$C$31+Assum_Volume!$C$9*Assum_Pricing!$C$32)/1000</f>
        <v>3956.428800000001</v>
      </c>
      <c r="AC21" s="22">
        <f>Calc_Volume!AC18*(Assum_Volume!$C$8*Assum_Pricing!$C$31+Assum_Volume!$C$9*Assum_Pricing!$C$32)/1000</f>
        <v>3560.7859200000012</v>
      </c>
      <c r="AD21" s="22">
        <f>Calc_Volume!AD18*(Assum_Volume!$C$8*Assum_Pricing!$C$31+Assum_Volume!$C$9*Assum_Pricing!$C$32)/1000</f>
        <v>3362.9644800000015</v>
      </c>
      <c r="AE21" s="22">
        <f>Calc_Volume!AE18*(Assum_Volume!$C$8*Assum_Pricing!$C$31+Assum_Volume!$C$9*Assum_Pricing!$C$32)/1000</f>
        <v>3165.1430400000017</v>
      </c>
      <c r="AF21" s="22">
        <f>Calc_Volume!AF18*(Assum_Volume!$C$8*Assum_Pricing!$C$31+Assum_Volume!$C$9*Assum_Pricing!$C$32)/1000</f>
        <v>3165.1430400000017</v>
      </c>
      <c r="AG21" s="22">
        <f>Calc_Volume!AG18*(Assum_Volume!$C$8*Assum_Pricing!$C$31+Assum_Volume!$C$9*Assum_Pricing!$C$32)/1000</f>
        <v>3362.9644800000015</v>
      </c>
      <c r="AH21" s="22">
        <f>Calc_Volume!AH18*(Assum_Volume!$C$8*Assum_Pricing!$C$31+Assum_Volume!$C$9*Assum_Pricing!$C$32)/1000</f>
        <v>3758.6073600000009</v>
      </c>
      <c r="AI21" s="22">
        <f>Calc_Volume!AI18*(Assum_Volume!$C$8*Assum_Pricing!$C$31+Assum_Volume!$C$9*Assum_Pricing!$C$32)/1000</f>
        <v>4154.2502400000021</v>
      </c>
      <c r="AJ21" s="22">
        <f>Calc_Volume!AJ18*(Assum_Volume!$C$8*Assum_Pricing!$C$31+Assum_Volume!$C$9*Assum_Pricing!$C$32)/1000</f>
        <v>4549.8931200000006</v>
      </c>
      <c r="AK21" s="22">
        <f>Calc_Volume!AK18*(Assum_Volume!$C$8*Assum_Pricing!$C$31+Assum_Volume!$C$9*Assum_Pricing!$C$32)/1000</f>
        <v>5539.0003200000019</v>
      </c>
      <c r="AL21" s="22">
        <f>Calc_Volume!AL18*(Assum_Volume!$C$8*Assum_Pricing!$C$31+Assum_Volume!$C$9*Assum_Pricing!$C$32)/1000</f>
        <v>4822.8867072000021</v>
      </c>
      <c r="AM21" s="22">
        <f>Calc_Volume!AM18*(Assum_Volume!$C$8*Assum_Pricing!$C$31+Assum_Volume!$C$9*Assum_Pricing!$C$32)/1000</f>
        <v>4613.1959808000029</v>
      </c>
      <c r="AN21" s="22">
        <f>Calc_Volume!AN18*(Assum_Volume!$C$8*Assum_Pricing!$C$31+Assum_Volume!$C$9*Assum_Pricing!$C$32)/1000</f>
        <v>4193.8145280000017</v>
      </c>
      <c r="AO21" s="22">
        <f>Calc_Volume!AO18*(Assum_Volume!$C$8*Assum_Pricing!$C$31+Assum_Volume!$C$9*Assum_Pricing!$C$32)/1000</f>
        <v>3774.4330752000019</v>
      </c>
      <c r="AP21" s="22">
        <f>Calc_Volume!AP18*(Assum_Volume!$C$8*Assum_Pricing!$C$31+Assum_Volume!$C$9*Assum_Pricing!$C$32)/1000</f>
        <v>3564.7423488000018</v>
      </c>
      <c r="AQ21" s="22">
        <f>Calc_Volume!AQ18*(Assum_Volume!$C$8*Assum_Pricing!$C$31+Assum_Volume!$C$9*Assum_Pricing!$C$32)/1000</f>
        <v>3355.0516224000016</v>
      </c>
      <c r="AR21" s="22">
        <f>Calc_Volume!AR18*(Assum_Volume!$C$8*Assum_Pricing!$C$31+Assum_Volume!$C$9*Assum_Pricing!$C$32)/1000</f>
        <v>3355.0516224000016</v>
      </c>
      <c r="AS21" s="22">
        <f>Calc_Volume!AS18*(Assum_Volume!$C$8*Assum_Pricing!$C$31+Assum_Volume!$C$9*Assum_Pricing!$C$32)/1000</f>
        <v>3564.7423488000018</v>
      </c>
      <c r="AT21" s="22">
        <f>Calc_Volume!AT18*(Assum_Volume!$C$8*Assum_Pricing!$C$31+Assum_Volume!$C$9*Assum_Pricing!$C$32)/1000</f>
        <v>3984.1238016000011</v>
      </c>
      <c r="AU21" s="22">
        <f>Calc_Volume!AU18*(Assum_Volume!$C$8*Assum_Pricing!$C$31+Assum_Volume!$C$9*Assum_Pricing!$C$32)/1000</f>
        <v>4403.5052544000018</v>
      </c>
      <c r="AV21" s="22">
        <f>Calc_Volume!AV18*(Assum_Volume!$C$8*Assum_Pricing!$C$31+Assum_Volume!$C$9*Assum_Pricing!$C$32)/1000</f>
        <v>4822.8867072000021</v>
      </c>
      <c r="AW21" s="22">
        <f>Calc_Volume!AW18*(Assum_Volume!$C$8*Assum_Pricing!$C$31+Assum_Volume!$C$9*Assum_Pricing!$C$32)/1000</f>
        <v>5871.3403392000018</v>
      </c>
      <c r="AX21" s="22">
        <f>Calc_Volume!AX18*(Assum_Volume!$C$8*Assum_Pricing!$C$31+Assum_Volume!$C$9*Assum_Pricing!$C$32)/1000</f>
        <v>5112.2599096320009</v>
      </c>
      <c r="AY21" s="22">
        <f>Calc_Volume!AY18*(Assum_Volume!$C$8*Assum_Pricing!$C$31+Assum_Volume!$C$9*Assum_Pricing!$C$32)/1000</f>
        <v>4889.9877396480033</v>
      </c>
      <c r="AZ21" s="22">
        <f>Calc_Volume!AZ18*(Assum_Volume!$C$8*Assum_Pricing!$C$31+Assum_Volume!$C$9*Assum_Pricing!$C$32)/1000</f>
        <v>4445.4433996800026</v>
      </c>
      <c r="BA21" s="22">
        <f>Calc_Volume!BA18*(Assum_Volume!$C$8*Assum_Pricing!$C$31+Assum_Volume!$C$9*Assum_Pricing!$C$32)/1000</f>
        <v>4000.8990597120019</v>
      </c>
      <c r="BB21" s="22">
        <f>Calc_Volume!BB18*(Assum_Volume!$C$8*Assum_Pricing!$C$31+Assum_Volume!$C$9*Assum_Pricing!$C$32)/1000</f>
        <v>3778.626889728002</v>
      </c>
      <c r="BC21" s="22">
        <f>Calc_Volume!BC18*(Assum_Volume!$C$8*Assum_Pricing!$C$31+Assum_Volume!$C$9*Assum_Pricing!$C$32)/1000</f>
        <v>3556.3547197440021</v>
      </c>
      <c r="BD21" s="22">
        <f>Calc_Volume!BD18*(Assum_Volume!$C$8*Assum_Pricing!$C$31+Assum_Volume!$C$9*Assum_Pricing!$C$32)/1000</f>
        <v>3556.3547197440021</v>
      </c>
      <c r="BE21" s="22">
        <f>Calc_Volume!BE18*(Assum_Volume!$C$8*Assum_Pricing!$C$31+Assum_Volume!$C$9*Assum_Pricing!$C$32)/1000</f>
        <v>3778.626889728002</v>
      </c>
      <c r="BF21" s="22">
        <f>Calc_Volume!BF18*(Assum_Volume!$C$8*Assum_Pricing!$C$31+Assum_Volume!$C$9*Assum_Pricing!$C$32)/1000</f>
        <v>4223.1712296960022</v>
      </c>
      <c r="BG21" s="22">
        <f>Calc_Volume!BG18*(Assum_Volume!$C$8*Assum_Pricing!$C$31+Assum_Volume!$C$9*Assum_Pricing!$C$32)/1000</f>
        <v>4667.715569664002</v>
      </c>
      <c r="BH21" s="22">
        <f>Calc_Volume!BH18*(Assum_Volume!$C$8*Assum_Pricing!$C$31+Assum_Volume!$C$9*Assum_Pricing!$C$32)/1000</f>
        <v>5112.2599096320009</v>
      </c>
      <c r="BI21" s="22">
        <f>Calc_Volume!BI18*(Assum_Volume!$C$8*Assum_Pricing!$C$31+Assum_Volume!$C$9*Assum_Pricing!$C$32)/1000</f>
        <v>6223.6207595520027</v>
      </c>
      <c r="BJ21" s="22">
        <f>Calc_Volume!BJ18*(Assum_Volume!$C$8*Assum_Pricing!$C$31+Assum_Volume!$C$9*Assum_Pricing!$C$32)/1000</f>
        <v>5316.7503060172821</v>
      </c>
      <c r="BK21" s="22">
        <f>Calc_Volume!BK18*(Assum_Volume!$C$8*Assum_Pricing!$C$31+Assum_Volume!$C$9*Assum_Pricing!$C$32)/1000</f>
        <v>5085.5872492339231</v>
      </c>
      <c r="BL21" s="22">
        <f>Calc_Volume!BL18*(Assum_Volume!$C$8*Assum_Pricing!$C$31+Assum_Volume!$C$9*Assum_Pricing!$C$32)/1000</f>
        <v>4623.2611356672023</v>
      </c>
      <c r="BM21" s="22">
        <f>Calc_Volume!BM18*(Assum_Volume!$C$8*Assum_Pricing!$C$31+Assum_Volume!$C$9*Assum_Pricing!$C$32)/1000</f>
        <v>4160.9350221004825</v>
      </c>
      <c r="BN21" s="22">
        <f>Calc_Volume!BN18*(Assum_Volume!$C$8*Assum_Pricing!$C$31+Assum_Volume!$C$9*Assum_Pricing!$C$32)/1000</f>
        <v>3929.7719653171221</v>
      </c>
      <c r="BO21" s="22">
        <f>Calc_Volume!BO18*(Assum_Volume!$C$8*Assum_Pricing!$C$31+Assum_Volume!$C$9*Assum_Pricing!$C$32)/1000</f>
        <v>3698.6089085337621</v>
      </c>
      <c r="BP21" s="22">
        <f>Calc_Volume!BP18*(Assum_Volume!$C$8*Assum_Pricing!$C$31+Assum_Volume!$C$9*Assum_Pricing!$C$32)/1000</f>
        <v>3698.6089085337621</v>
      </c>
      <c r="BQ21" s="22">
        <f>Calc_Volume!BQ18*(Assum_Volume!$C$8*Assum_Pricing!$C$31+Assum_Volume!$C$9*Assum_Pricing!$C$32)/1000</f>
        <v>3929.7719653171221</v>
      </c>
      <c r="BR21" s="22">
        <f>Calc_Volume!BR18*(Assum_Volume!$C$8*Assum_Pricing!$C$31+Assum_Volume!$C$9*Assum_Pricing!$C$32)/1000</f>
        <v>4392.0980788838415</v>
      </c>
      <c r="BS21" s="22">
        <f>Calc_Volume!BS18*(Assum_Volume!$C$8*Assum_Pricing!$C$31+Assum_Volume!$C$9*Assum_Pricing!$C$32)/1000</f>
        <v>4854.4241924505623</v>
      </c>
      <c r="BT21" s="22">
        <f>Calc_Volume!BT18*(Assum_Volume!$C$8*Assum_Pricing!$C$31+Assum_Volume!$C$9*Assum_Pricing!$C$32)/1000</f>
        <v>5316.7503060172821</v>
      </c>
      <c r="BU21" s="22">
        <f>Calc_Volume!BU18*(Assum_Volume!$C$8*Assum_Pricing!$C$31+Assum_Volume!$C$9*Assum_Pricing!$C$32)/1000</f>
        <v>6472.5655899340827</v>
      </c>
      <c r="BV21" s="22">
        <f>Calc_Volume!BV18*(Assum_Volume!$C$8*Assum_Pricing!$C$31+Assum_Volume!$C$9*Assum_Pricing!$C$32)/1000</f>
        <v>5529.4203182579731</v>
      </c>
      <c r="BW21" s="22">
        <f>Calc_Volume!BW18*(Assum_Volume!$C$8*Assum_Pricing!$C$31+Assum_Volume!$C$9*Assum_Pricing!$C$32)/1000</f>
        <v>5289.0107392032796</v>
      </c>
      <c r="BX21" s="22">
        <f>Calc_Volume!BX18*(Assum_Volume!$C$8*Assum_Pricing!$C$31+Assum_Volume!$C$9*Assum_Pricing!$C$32)/1000</f>
        <v>4808.1915810938899</v>
      </c>
      <c r="BY21" s="22">
        <f>Calc_Volume!BY18*(Assum_Volume!$C$8*Assum_Pricing!$C$31+Assum_Volume!$C$9*Assum_Pricing!$C$32)/1000</f>
        <v>4327.3724229845011</v>
      </c>
      <c r="BZ21" s="22">
        <f>Calc_Volume!BZ18*(Assum_Volume!$C$8*Assum_Pricing!$C$31+Assum_Volume!$C$9*Assum_Pricing!$C$32)/1000</f>
        <v>4086.9628439298067</v>
      </c>
      <c r="CA21" s="22">
        <f>Calc_Volume!CA18*(Assum_Volume!$C$8*Assum_Pricing!$C$31+Assum_Volume!$C$9*Assum_Pricing!$C$32)/1000</f>
        <v>3846.5532648751127</v>
      </c>
      <c r="CB21" s="22">
        <f>Calc_Volume!CB18*(Assum_Volume!$C$8*Assum_Pricing!$C$31+Assum_Volume!$C$9*Assum_Pricing!$C$32)/1000</f>
        <v>3846.5532648751127</v>
      </c>
      <c r="CC21" s="22">
        <f>Calc_Volume!CC18*(Assum_Volume!$C$8*Assum_Pricing!$C$31+Assum_Volume!$C$9*Assum_Pricing!$C$32)/1000</f>
        <v>4086.9628439298067</v>
      </c>
      <c r="CD21" s="22">
        <f>Calc_Volume!CD18*(Assum_Volume!$C$8*Assum_Pricing!$C$31+Assum_Volume!$C$9*Assum_Pricing!$C$32)/1000</f>
        <v>4567.7820020391946</v>
      </c>
      <c r="CE21" s="22">
        <f>Calc_Volume!CE18*(Assum_Volume!$C$8*Assum_Pricing!$C$31+Assum_Volume!$C$9*Assum_Pricing!$C$32)/1000</f>
        <v>5048.6011601485852</v>
      </c>
      <c r="CF21" s="22">
        <f>Calc_Volume!CF18*(Assum_Volume!$C$8*Assum_Pricing!$C$31+Assum_Volume!$C$9*Assum_Pricing!$C$32)/1000</f>
        <v>5529.4203182579731</v>
      </c>
      <c r="CG21" s="22">
        <f>Calc_Volume!CG18*(Assum_Volume!$C$8*Assum_Pricing!$C$31+Assum_Volume!$C$9*Assum_Pricing!$C$32)/1000</f>
        <v>6731.468213531447</v>
      </c>
      <c r="CH21" s="22">
        <f>Calc_Volume!CH18*(Assum_Volume!$C$8*Assum_Pricing!$C$31+Assum_Volume!$C$9*Assum_Pricing!$C$32)/1000</f>
        <v>5750.5971309882925</v>
      </c>
      <c r="CI21" s="22">
        <f>Calc_Volume!CI18*(Assum_Volume!$C$8*Assum_Pricing!$C$31+Assum_Volume!$C$9*Assum_Pricing!$C$32)/1000</f>
        <v>5500.5711687714102</v>
      </c>
      <c r="CJ21" s="22">
        <f>Calc_Volume!CJ18*(Assum_Volume!$C$8*Assum_Pricing!$C$31+Assum_Volume!$C$9*Assum_Pricing!$C$32)/1000</f>
        <v>5000.5192443376454</v>
      </c>
      <c r="CK21" s="22">
        <f>Calc_Volume!CK18*(Assum_Volume!$C$8*Assum_Pricing!$C$31+Assum_Volume!$C$9*Assum_Pricing!$C$32)/1000</f>
        <v>4500.4673199038807</v>
      </c>
      <c r="CL21" s="22">
        <f>Calc_Volume!CL18*(Assum_Volume!$C$8*Assum_Pricing!$C$31+Assum_Volume!$C$9*Assum_Pricing!$C$32)/1000</f>
        <v>4250.4413576869993</v>
      </c>
      <c r="CM21" s="22">
        <f>Calc_Volume!CM18*(Assum_Volume!$C$8*Assum_Pricing!$C$31+Assum_Volume!$C$9*Assum_Pricing!$C$32)/1000</f>
        <v>4000.4153954701173</v>
      </c>
      <c r="CN21" s="22">
        <f>Calc_Volume!CN18*(Assum_Volume!$C$8*Assum_Pricing!$C$31+Assum_Volume!$C$9*Assum_Pricing!$C$32)/1000</f>
        <v>4000.4153954701173</v>
      </c>
      <c r="CO21" s="22">
        <f>Calc_Volume!CO18*(Assum_Volume!$C$8*Assum_Pricing!$C$31+Assum_Volume!$C$9*Assum_Pricing!$C$32)/1000</f>
        <v>4250.4413576869993</v>
      </c>
      <c r="CP21" s="22">
        <f>Calc_Volume!CP18*(Assum_Volume!$C$8*Assum_Pricing!$C$31+Assum_Volume!$C$9*Assum_Pricing!$C$32)/1000</f>
        <v>4750.4932821207631</v>
      </c>
      <c r="CQ21" s="22">
        <f>Calc_Volume!CQ18*(Assum_Volume!$C$8*Assum_Pricing!$C$31+Assum_Volume!$C$9*Assum_Pricing!$C$32)/1000</f>
        <v>5250.5452065545287</v>
      </c>
      <c r="CR21" s="22">
        <f>Calc_Volume!CR18*(Assum_Volume!$C$8*Assum_Pricing!$C$31+Assum_Volume!$C$9*Assum_Pricing!$C$32)/1000</f>
        <v>5750.5971309882925</v>
      </c>
      <c r="CS21" s="22">
        <f>Calc_Volume!CS18*(Assum_Volume!$C$8*Assum_Pricing!$C$31+Assum_Volume!$C$9*Assum_Pricing!$C$32)/1000</f>
        <v>7000.7269420727025</v>
      </c>
      <c r="CT21" s="22">
        <f>Calc_Volume!CT18*(Assum_Volume!$C$8*Assum_Pricing!$C$31+Assum_Volume!$C$9*Assum_Pricing!$C$32)/1000</f>
        <v>5980.621016227823</v>
      </c>
      <c r="CU21" s="22">
        <f>Calc_Volume!CU18*(Assum_Volume!$C$8*Assum_Pricing!$C$31+Assum_Volume!$C$9*Assum_Pricing!$C$32)/1000</f>
        <v>5720.5940155222679</v>
      </c>
      <c r="CV21" s="22">
        <f>Calc_Volume!CV18*(Assum_Volume!$C$8*Assum_Pricing!$C$31+Assum_Volume!$C$9*Assum_Pricing!$C$32)/1000</f>
        <v>5200.5400141111522</v>
      </c>
      <c r="CW21" s="22">
        <f>Calc_Volume!CW18*(Assum_Volume!$C$8*Assum_Pricing!$C$31+Assum_Volume!$C$9*Assum_Pricing!$C$32)/1000</f>
        <v>4680.4860127000366</v>
      </c>
      <c r="CX21" s="22">
        <f>Calc_Volume!CX18*(Assum_Volume!$C$8*Assum_Pricing!$C$31+Assum_Volume!$C$9*Assum_Pricing!$C$32)/1000</f>
        <v>4420.4590119944796</v>
      </c>
      <c r="CY21" s="22">
        <f>Calc_Volume!CY18*(Assum_Volume!$C$8*Assum_Pricing!$C$31+Assum_Volume!$C$9*Assum_Pricing!$C$32)/1000</f>
        <v>4160.4320112889218</v>
      </c>
      <c r="CZ21" s="22">
        <f>Calc_Volume!CZ18*(Assum_Volume!$C$8*Assum_Pricing!$C$31+Assum_Volume!$C$9*Assum_Pricing!$C$32)/1000</f>
        <v>4160.4320112889218</v>
      </c>
      <c r="DA21" s="22">
        <f>Calc_Volume!DA18*(Assum_Volume!$C$8*Assum_Pricing!$C$31+Assum_Volume!$C$9*Assum_Pricing!$C$32)/1000</f>
        <v>4420.4590119944796</v>
      </c>
      <c r="DB21" s="22">
        <f>Calc_Volume!DB18*(Assum_Volume!$C$8*Assum_Pricing!$C$31+Assum_Volume!$C$9*Assum_Pricing!$C$32)/1000</f>
        <v>4940.5130134055944</v>
      </c>
      <c r="DC21" s="22">
        <f>Calc_Volume!DC18*(Assum_Volume!$C$8*Assum_Pricing!$C$31+Assum_Volume!$C$9*Assum_Pricing!$C$32)/1000</f>
        <v>5460.5670148167101</v>
      </c>
      <c r="DD21" s="22">
        <f>Calc_Volume!DD18*(Assum_Volume!$C$8*Assum_Pricing!$C$31+Assum_Volume!$C$9*Assum_Pricing!$C$32)/1000</f>
        <v>5980.621016227823</v>
      </c>
      <c r="DE21" s="22">
        <f>Calc_Volume!DE18*(Assum_Volume!$C$8*Assum_Pricing!$C$31+Assum_Volume!$C$9*Assum_Pricing!$C$32)/1000</f>
        <v>7280.7560197556122</v>
      </c>
      <c r="DF21" s="22">
        <f>Calc_Volume!DF18*(Assum_Volume!$C$8*Assum_Pricing!$C$31+Assum_Volume!$C$9*Assum_Pricing!$C$32)/1000</f>
        <v>6219.8458568769374</v>
      </c>
      <c r="DG21" s="22">
        <f>Calc_Volume!DG18*(Assum_Volume!$C$8*Assum_Pricing!$C$31+Assum_Volume!$C$9*Assum_Pricing!$C$32)/1000</f>
        <v>5949.4177761431583</v>
      </c>
      <c r="DH21" s="22">
        <f>Calc_Volume!DH18*(Assum_Volume!$C$8*Assum_Pricing!$C$31+Assum_Volume!$C$9*Assum_Pricing!$C$32)/1000</f>
        <v>5408.5616146755983</v>
      </c>
      <c r="DI21" s="22">
        <f>Calc_Volume!DI18*(Assum_Volume!$C$8*Assum_Pricing!$C$31+Assum_Volume!$C$9*Assum_Pricing!$C$32)/1000</f>
        <v>4867.7054532080383</v>
      </c>
      <c r="DJ21" s="22">
        <f>Calc_Volume!DJ18*(Assum_Volume!$C$8*Assum_Pricing!$C$31+Assum_Volume!$C$9*Assum_Pricing!$C$32)/1000</f>
        <v>4597.2773724742574</v>
      </c>
      <c r="DK21" s="22">
        <f>Calc_Volume!DK18*(Assum_Volume!$C$8*Assum_Pricing!$C$31+Assum_Volume!$C$9*Assum_Pricing!$C$32)/1000</f>
        <v>4326.8492917404783</v>
      </c>
      <c r="DL21" s="22">
        <f>Calc_Volume!DL18*(Assum_Volume!$C$8*Assum_Pricing!$C$31+Assum_Volume!$C$9*Assum_Pricing!$C$32)/1000</f>
        <v>4326.8492917404783</v>
      </c>
      <c r="DM21" s="22">
        <f>Calc_Volume!DM18*(Assum_Volume!$C$8*Assum_Pricing!$C$31+Assum_Volume!$C$9*Assum_Pricing!$C$32)/1000</f>
        <v>4597.2773724742574</v>
      </c>
      <c r="DN21" s="22">
        <f>Calc_Volume!DN18*(Assum_Volume!$C$8*Assum_Pricing!$C$31+Assum_Volume!$C$9*Assum_Pricing!$C$32)/1000</f>
        <v>5138.1335339418183</v>
      </c>
      <c r="DO21" s="22">
        <f>Calc_Volume!DO18*(Assum_Volume!$C$8*Assum_Pricing!$C$31+Assum_Volume!$C$9*Assum_Pricing!$C$32)/1000</f>
        <v>5678.9896954093783</v>
      </c>
      <c r="DP21" s="22">
        <f>Calc_Volume!DP18*(Assum_Volume!$C$8*Assum_Pricing!$C$31+Assum_Volume!$C$9*Assum_Pricing!$C$32)/1000</f>
        <v>6219.8458568769374</v>
      </c>
      <c r="DQ21" s="22">
        <f>Calc_Volume!DQ18*(Assum_Volume!$C$8*Assum_Pricing!$C$31+Assum_Volume!$C$9*Assum_Pricing!$C$32)/1000</f>
        <v>7571.9862605458366</v>
      </c>
    </row>
    <row r="22" spans="1:121" ht="15" customHeight="1">
      <c r="A22" s="14" t="s">
        <v>432</v>
      </c>
      <c r="B22" s="29">
        <f t="shared" ref="B22:AG22" si="18">B20+B21</f>
        <v>18394.811583333329</v>
      </c>
      <c r="C22" s="29">
        <f t="shared" si="18"/>
        <v>17595.037166666669</v>
      </c>
      <c r="D22" s="29">
        <f t="shared" si="18"/>
        <v>15995.488333333335</v>
      </c>
      <c r="E22" s="29">
        <f t="shared" si="18"/>
        <v>14395.9395</v>
      </c>
      <c r="F22" s="29">
        <f t="shared" si="18"/>
        <v>13596.165083333333</v>
      </c>
      <c r="G22" s="29">
        <f t="shared" si="18"/>
        <v>12796.39066666667</v>
      </c>
      <c r="H22" s="29">
        <f t="shared" si="18"/>
        <v>12796.39066666667</v>
      </c>
      <c r="I22" s="29">
        <f t="shared" si="18"/>
        <v>13596.165083333333</v>
      </c>
      <c r="J22" s="29">
        <f t="shared" si="18"/>
        <v>15195.713916666664</v>
      </c>
      <c r="K22" s="29">
        <f t="shared" si="18"/>
        <v>16795.262750000002</v>
      </c>
      <c r="L22" s="29">
        <f t="shared" si="18"/>
        <v>18394.811583333329</v>
      </c>
      <c r="M22" s="29">
        <f t="shared" si="18"/>
        <v>22393.683666666664</v>
      </c>
      <c r="N22" s="29">
        <f t="shared" si="18"/>
        <v>19866.396509999999</v>
      </c>
      <c r="O22" s="29">
        <f t="shared" si="18"/>
        <v>19002.640140000003</v>
      </c>
      <c r="P22" s="29">
        <f t="shared" si="18"/>
        <v>17275.127400000001</v>
      </c>
      <c r="Q22" s="29">
        <f t="shared" si="18"/>
        <v>15547.614660000001</v>
      </c>
      <c r="R22" s="29">
        <f t="shared" si="18"/>
        <v>14683.85829</v>
      </c>
      <c r="S22" s="29">
        <f t="shared" si="18"/>
        <v>13820.101920000005</v>
      </c>
      <c r="T22" s="29">
        <f t="shared" si="18"/>
        <v>13820.101920000005</v>
      </c>
      <c r="U22" s="29">
        <f t="shared" si="18"/>
        <v>14683.85829</v>
      </c>
      <c r="V22" s="29">
        <f t="shared" si="18"/>
        <v>16411.371030000002</v>
      </c>
      <c r="W22" s="29">
        <f t="shared" si="18"/>
        <v>18138.88377</v>
      </c>
      <c r="X22" s="29">
        <f t="shared" si="18"/>
        <v>19866.396509999999</v>
      </c>
      <c r="Y22" s="29">
        <f t="shared" si="18"/>
        <v>24185.178360000002</v>
      </c>
      <c r="Z22" s="29">
        <f t="shared" si="18"/>
        <v>21455.708230799999</v>
      </c>
      <c r="AA22" s="29">
        <f t="shared" si="18"/>
        <v>20522.851351200006</v>
      </c>
      <c r="AB22" s="29">
        <f t="shared" si="18"/>
        <v>18657.137591999999</v>
      </c>
      <c r="AC22" s="29">
        <f t="shared" si="18"/>
        <v>16791.423832799999</v>
      </c>
      <c r="AD22" s="29">
        <f t="shared" si="18"/>
        <v>15858.566953200003</v>
      </c>
      <c r="AE22" s="29">
        <f t="shared" si="18"/>
        <v>14925.710073600003</v>
      </c>
      <c r="AF22" s="29">
        <f t="shared" si="18"/>
        <v>14925.710073600003</v>
      </c>
      <c r="AG22" s="29">
        <f t="shared" si="18"/>
        <v>15858.566953200003</v>
      </c>
      <c r="AH22" s="29">
        <f t="shared" ref="AH22:BM22" si="19">AH20+AH21</f>
        <v>17724.280712399999</v>
      </c>
      <c r="AI22" s="29">
        <f t="shared" si="19"/>
        <v>19589.994471600003</v>
      </c>
      <c r="AJ22" s="29">
        <f t="shared" si="19"/>
        <v>21455.708230799999</v>
      </c>
      <c r="AK22" s="29">
        <f t="shared" si="19"/>
        <v>26119.992628800002</v>
      </c>
      <c r="AL22" s="29">
        <f t="shared" si="19"/>
        <v>22743.050724648001</v>
      </c>
      <c r="AM22" s="29">
        <f t="shared" si="19"/>
        <v>21754.22243227201</v>
      </c>
      <c r="AN22" s="29">
        <f t="shared" si="19"/>
        <v>19776.56584752</v>
      </c>
      <c r="AO22" s="29">
        <f t="shared" si="19"/>
        <v>17798.909262768004</v>
      </c>
      <c r="AP22" s="29">
        <f t="shared" si="19"/>
        <v>16810.080970392002</v>
      </c>
      <c r="AQ22" s="29">
        <f t="shared" si="19"/>
        <v>15821.252678016002</v>
      </c>
      <c r="AR22" s="29">
        <f t="shared" si="19"/>
        <v>15821.252678016002</v>
      </c>
      <c r="AS22" s="29">
        <f t="shared" si="19"/>
        <v>16810.080970392002</v>
      </c>
      <c r="AT22" s="29">
        <f t="shared" si="19"/>
        <v>18787.737555144002</v>
      </c>
      <c r="AU22" s="29">
        <f t="shared" si="19"/>
        <v>20765.394139896005</v>
      </c>
      <c r="AV22" s="29">
        <f t="shared" si="19"/>
        <v>22743.050724648001</v>
      </c>
      <c r="AW22" s="29">
        <f t="shared" si="19"/>
        <v>27687.192186528002</v>
      </c>
      <c r="AX22" s="29">
        <f t="shared" si="19"/>
        <v>24107.633768126878</v>
      </c>
      <c r="AY22" s="29">
        <f t="shared" si="19"/>
        <v>23059.475778208332</v>
      </c>
      <c r="AZ22" s="29">
        <f t="shared" si="19"/>
        <v>20963.159798371205</v>
      </c>
      <c r="BA22" s="29">
        <f t="shared" si="19"/>
        <v>18866.843818534082</v>
      </c>
      <c r="BB22" s="29">
        <f t="shared" si="19"/>
        <v>17818.685828615522</v>
      </c>
      <c r="BC22" s="29">
        <f t="shared" si="19"/>
        <v>16770.527838696966</v>
      </c>
      <c r="BD22" s="29">
        <f t="shared" si="19"/>
        <v>16770.527838696966</v>
      </c>
      <c r="BE22" s="29">
        <f t="shared" si="19"/>
        <v>17818.685828615522</v>
      </c>
      <c r="BF22" s="29">
        <f t="shared" si="19"/>
        <v>19915.001808452645</v>
      </c>
      <c r="BG22" s="29">
        <f t="shared" si="19"/>
        <v>22011.317788289765</v>
      </c>
      <c r="BH22" s="29">
        <f t="shared" si="19"/>
        <v>24107.633768126878</v>
      </c>
      <c r="BI22" s="29">
        <f t="shared" si="19"/>
        <v>29348.423717719685</v>
      </c>
      <c r="BJ22" s="29">
        <f t="shared" si="19"/>
        <v>25071.939118851958</v>
      </c>
      <c r="BK22" s="29">
        <f t="shared" si="19"/>
        <v>23981.854809336659</v>
      </c>
      <c r="BL22" s="29">
        <f t="shared" si="19"/>
        <v>21801.686190306053</v>
      </c>
      <c r="BM22" s="29">
        <f t="shared" si="19"/>
        <v>19621.51757127545</v>
      </c>
      <c r="BN22" s="29">
        <f t="shared" ref="BN22:CS22" si="20">BN20+BN21</f>
        <v>18531.433261760143</v>
      </c>
      <c r="BO22" s="29">
        <f t="shared" si="20"/>
        <v>17441.348952244844</v>
      </c>
      <c r="BP22" s="29">
        <f t="shared" si="20"/>
        <v>17441.348952244844</v>
      </c>
      <c r="BQ22" s="29">
        <f t="shared" si="20"/>
        <v>18531.433261760143</v>
      </c>
      <c r="BR22" s="29">
        <f t="shared" si="20"/>
        <v>20711.601880790746</v>
      </c>
      <c r="BS22" s="29">
        <f t="shared" si="20"/>
        <v>22891.770499821356</v>
      </c>
      <c r="BT22" s="29">
        <f t="shared" si="20"/>
        <v>25071.939118851958</v>
      </c>
      <c r="BU22" s="29">
        <f t="shared" si="20"/>
        <v>30522.360666428471</v>
      </c>
      <c r="BV22" s="29">
        <f t="shared" si="20"/>
        <v>26074.816683606037</v>
      </c>
      <c r="BW22" s="29">
        <f t="shared" si="20"/>
        <v>24941.129001710127</v>
      </c>
      <c r="BX22" s="29">
        <f t="shared" si="20"/>
        <v>22673.753637918293</v>
      </c>
      <c r="BY22" s="29">
        <f t="shared" si="20"/>
        <v>20406.378274126466</v>
      </c>
      <c r="BZ22" s="29">
        <f t="shared" si="20"/>
        <v>19272.690592230549</v>
      </c>
      <c r="CA22" s="29">
        <f t="shared" si="20"/>
        <v>18139.002910334639</v>
      </c>
      <c r="CB22" s="29">
        <f t="shared" si="20"/>
        <v>18139.002910334639</v>
      </c>
      <c r="CC22" s="29">
        <f t="shared" si="20"/>
        <v>19272.690592230549</v>
      </c>
      <c r="CD22" s="29">
        <f t="shared" si="20"/>
        <v>21540.065956022376</v>
      </c>
      <c r="CE22" s="29">
        <f t="shared" si="20"/>
        <v>23807.44131981421</v>
      </c>
      <c r="CF22" s="29">
        <f t="shared" si="20"/>
        <v>26074.816683606037</v>
      </c>
      <c r="CG22" s="29">
        <f t="shared" si="20"/>
        <v>31743.255093085612</v>
      </c>
      <c r="CH22" s="29">
        <f t="shared" si="20"/>
        <v>27117.809350950272</v>
      </c>
      <c r="CI22" s="29">
        <f t="shared" si="20"/>
        <v>25938.774161778529</v>
      </c>
      <c r="CJ22" s="29">
        <f t="shared" si="20"/>
        <v>23580.703783435019</v>
      </c>
      <c r="CK22" s="29">
        <f t="shared" si="20"/>
        <v>21222.633405091521</v>
      </c>
      <c r="CL22" s="29">
        <f t="shared" si="20"/>
        <v>20043.598215919774</v>
      </c>
      <c r="CM22" s="29">
        <f t="shared" si="20"/>
        <v>18864.563026748019</v>
      </c>
      <c r="CN22" s="29">
        <f t="shared" si="20"/>
        <v>18864.563026748019</v>
      </c>
      <c r="CO22" s="29">
        <f t="shared" si="20"/>
        <v>20043.598215919774</v>
      </c>
      <c r="CP22" s="29">
        <f t="shared" si="20"/>
        <v>22401.668594263272</v>
      </c>
      <c r="CQ22" s="29">
        <f t="shared" si="20"/>
        <v>24759.738972606774</v>
      </c>
      <c r="CR22" s="29">
        <f t="shared" si="20"/>
        <v>27117.809350950272</v>
      </c>
      <c r="CS22" s="29">
        <f t="shared" si="20"/>
        <v>33012.985296809027</v>
      </c>
      <c r="CT22" s="29">
        <f t="shared" ref="CT22:DY22" si="21">CT20+CT21</f>
        <v>28202.521724988284</v>
      </c>
      <c r="CU22" s="29">
        <f t="shared" si="21"/>
        <v>26976.325128249671</v>
      </c>
      <c r="CV22" s="29">
        <f t="shared" si="21"/>
        <v>24523.931934772427</v>
      </c>
      <c r="CW22" s="29">
        <f t="shared" si="21"/>
        <v>22071.538741295186</v>
      </c>
      <c r="CX22" s="29">
        <f t="shared" si="21"/>
        <v>20845.342144556562</v>
      </c>
      <c r="CY22" s="29">
        <f t="shared" si="21"/>
        <v>19619.145547817941</v>
      </c>
      <c r="CZ22" s="29">
        <f t="shared" si="21"/>
        <v>19619.145547817941</v>
      </c>
      <c r="DA22" s="29">
        <f t="shared" si="21"/>
        <v>20845.342144556562</v>
      </c>
      <c r="DB22" s="29">
        <f t="shared" si="21"/>
        <v>23297.735338033803</v>
      </c>
      <c r="DC22" s="29">
        <f t="shared" si="21"/>
        <v>25750.128531511051</v>
      </c>
      <c r="DD22" s="29">
        <f t="shared" si="21"/>
        <v>28202.521724988284</v>
      </c>
      <c r="DE22" s="29">
        <f t="shared" si="21"/>
        <v>34333.504708681401</v>
      </c>
      <c r="DF22" s="29">
        <f t="shared" si="21"/>
        <v>29330.622593987824</v>
      </c>
      <c r="DG22" s="29">
        <f t="shared" si="21"/>
        <v>28055.378133379658</v>
      </c>
      <c r="DH22" s="29">
        <f t="shared" si="21"/>
        <v>25504.889212163325</v>
      </c>
      <c r="DI22" s="29">
        <f t="shared" si="21"/>
        <v>22954.400290946993</v>
      </c>
      <c r="DJ22" s="29">
        <f t="shared" si="21"/>
        <v>21679.155830338826</v>
      </c>
      <c r="DK22" s="29">
        <f t="shared" si="21"/>
        <v>20403.91136973066</v>
      </c>
      <c r="DL22" s="29">
        <f t="shared" si="21"/>
        <v>20403.91136973066</v>
      </c>
      <c r="DM22" s="29">
        <f t="shared" si="21"/>
        <v>21679.155830338826</v>
      </c>
      <c r="DN22" s="29">
        <f t="shared" si="21"/>
        <v>24229.644751555159</v>
      </c>
      <c r="DO22" s="29">
        <f t="shared" si="21"/>
        <v>26780.133672771492</v>
      </c>
      <c r="DP22" s="29">
        <f t="shared" si="21"/>
        <v>29330.622593987824</v>
      </c>
      <c r="DQ22" s="29">
        <f t="shared" si="21"/>
        <v>35706.844897028655</v>
      </c>
    </row>
    <row r="24" spans="1:121" ht="15" customHeight="1">
      <c r="A24" s="5" t="s">
        <v>433</v>
      </c>
    </row>
    <row r="25" spans="1:121" ht="15" customHeight="1">
      <c r="A25" s="14" t="s">
        <v>434</v>
      </c>
      <c r="B25" s="29">
        <f t="shared" ref="B25:AG25" si="22">B12-B17-B22</f>
        <v>23012.167000000009</v>
      </c>
      <c r="C25" s="29">
        <f t="shared" si="22"/>
        <v>22011.638000000006</v>
      </c>
      <c r="D25" s="29">
        <f t="shared" si="22"/>
        <v>20010.580000000002</v>
      </c>
      <c r="E25" s="29">
        <f t="shared" si="22"/>
        <v>18009.521999999997</v>
      </c>
      <c r="F25" s="29">
        <f t="shared" si="22"/>
        <v>17008.993000000002</v>
      </c>
      <c r="G25" s="29">
        <f t="shared" si="22"/>
        <v>16008.464000000004</v>
      </c>
      <c r="H25" s="29">
        <f t="shared" si="22"/>
        <v>16008.464000000004</v>
      </c>
      <c r="I25" s="29">
        <f t="shared" si="22"/>
        <v>17008.993000000002</v>
      </c>
      <c r="J25" s="29">
        <f t="shared" si="22"/>
        <v>19010.051000000003</v>
      </c>
      <c r="K25" s="29">
        <f t="shared" si="22"/>
        <v>21011.109000000004</v>
      </c>
      <c r="L25" s="29">
        <f t="shared" si="22"/>
        <v>23012.167000000009</v>
      </c>
      <c r="M25" s="29">
        <f t="shared" si="22"/>
        <v>28014.811999999998</v>
      </c>
      <c r="N25" s="29">
        <f t="shared" si="22"/>
        <v>25971.128781750005</v>
      </c>
      <c r="O25" s="29">
        <f t="shared" si="22"/>
        <v>24841.949269500001</v>
      </c>
      <c r="P25" s="29">
        <f t="shared" si="22"/>
        <v>22583.590244999996</v>
      </c>
      <c r="Q25" s="29">
        <f t="shared" si="22"/>
        <v>20325.231220499998</v>
      </c>
      <c r="R25" s="29">
        <f t="shared" si="22"/>
        <v>19196.051708249997</v>
      </c>
      <c r="S25" s="29">
        <f t="shared" si="22"/>
        <v>18066.872195999997</v>
      </c>
      <c r="T25" s="29">
        <f t="shared" si="22"/>
        <v>18066.872195999997</v>
      </c>
      <c r="U25" s="29">
        <f t="shared" si="22"/>
        <v>19196.051708249997</v>
      </c>
      <c r="V25" s="29">
        <f t="shared" si="22"/>
        <v>21454.410732749988</v>
      </c>
      <c r="W25" s="29">
        <f t="shared" si="22"/>
        <v>23712.769757250004</v>
      </c>
      <c r="X25" s="29">
        <f t="shared" si="22"/>
        <v>25971.128781750005</v>
      </c>
      <c r="Y25" s="29">
        <f t="shared" si="22"/>
        <v>31617.026342999994</v>
      </c>
      <c r="Z25" s="29">
        <f t="shared" si="22"/>
        <v>29286.432267167253</v>
      </c>
      <c r="AA25" s="29">
        <f t="shared" si="22"/>
        <v>28013.109125116505</v>
      </c>
      <c r="AB25" s="29">
        <f t="shared" si="22"/>
        <v>25466.462841015004</v>
      </c>
      <c r="AC25" s="29">
        <f t="shared" si="22"/>
        <v>22919.816556913494</v>
      </c>
      <c r="AD25" s="29">
        <f t="shared" si="22"/>
        <v>21646.493414862758</v>
      </c>
      <c r="AE25" s="29">
        <f t="shared" si="22"/>
        <v>20373.170272811996</v>
      </c>
      <c r="AF25" s="29">
        <f t="shared" si="22"/>
        <v>20373.170272811996</v>
      </c>
      <c r="AG25" s="29">
        <f t="shared" si="22"/>
        <v>21646.493414862758</v>
      </c>
      <c r="AH25" s="29">
        <f t="shared" ref="AH25:BM25" si="23">AH12-AH17-AH22</f>
        <v>24193.139698964249</v>
      </c>
      <c r="AI25" s="29">
        <f t="shared" si="23"/>
        <v>26739.785983065747</v>
      </c>
      <c r="AJ25" s="29">
        <f t="shared" si="23"/>
        <v>29286.432267167253</v>
      </c>
      <c r="AK25" s="29">
        <f t="shared" si="23"/>
        <v>35653.047977420996</v>
      </c>
      <c r="AL25" s="29">
        <f t="shared" si="23"/>
        <v>32388.284926393415</v>
      </c>
      <c r="AM25" s="29">
        <f t="shared" si="23"/>
        <v>30980.098625245886</v>
      </c>
      <c r="AN25" s="29">
        <f t="shared" si="23"/>
        <v>28163.726022950807</v>
      </c>
      <c r="AO25" s="29">
        <f t="shared" si="23"/>
        <v>25347.353420655712</v>
      </c>
      <c r="AP25" s="29">
        <f t="shared" si="23"/>
        <v>23939.16711950818</v>
      </c>
      <c r="AQ25" s="29">
        <f t="shared" si="23"/>
        <v>22530.980818360636</v>
      </c>
      <c r="AR25" s="29">
        <f t="shared" si="23"/>
        <v>22530.980818360636</v>
      </c>
      <c r="AS25" s="29">
        <f t="shared" si="23"/>
        <v>23939.16711950818</v>
      </c>
      <c r="AT25" s="29">
        <f t="shared" si="23"/>
        <v>26755.539721803249</v>
      </c>
      <c r="AU25" s="29">
        <f t="shared" si="23"/>
        <v>29571.912324098343</v>
      </c>
      <c r="AV25" s="29">
        <f t="shared" si="23"/>
        <v>32388.284926393415</v>
      </c>
      <c r="AW25" s="29">
        <f t="shared" si="23"/>
        <v>39429.216432131114</v>
      </c>
      <c r="AX25" s="29">
        <f t="shared" si="23"/>
        <v>35792.562416729619</v>
      </c>
      <c r="AY25" s="29">
        <f t="shared" si="23"/>
        <v>34236.364050784854</v>
      </c>
      <c r="AZ25" s="29">
        <f t="shared" si="23"/>
        <v>31123.967318895317</v>
      </c>
      <c r="BA25" s="29">
        <f t="shared" si="23"/>
        <v>28011.570587005783</v>
      </c>
      <c r="BB25" s="29">
        <f t="shared" si="23"/>
        <v>26455.372221061025</v>
      </c>
      <c r="BC25" s="29">
        <f t="shared" si="23"/>
        <v>24899.173855116256</v>
      </c>
      <c r="BD25" s="29">
        <f t="shared" si="23"/>
        <v>24899.173855116256</v>
      </c>
      <c r="BE25" s="29">
        <f t="shared" si="23"/>
        <v>26455.372221061025</v>
      </c>
      <c r="BF25" s="29">
        <f t="shared" si="23"/>
        <v>29567.768952950551</v>
      </c>
      <c r="BG25" s="29">
        <f t="shared" si="23"/>
        <v>32680.165684840089</v>
      </c>
      <c r="BH25" s="29">
        <f t="shared" si="23"/>
        <v>35792.562416729619</v>
      </c>
      <c r="BI25" s="29">
        <f t="shared" si="23"/>
        <v>43573.554246453445</v>
      </c>
      <c r="BJ25" s="29">
        <f t="shared" si="23"/>
        <v>38781.670014205047</v>
      </c>
      <c r="BK25" s="29">
        <f t="shared" si="23"/>
        <v>37095.510448370085</v>
      </c>
      <c r="BL25" s="29">
        <f t="shared" si="23"/>
        <v>33723.19131670006</v>
      </c>
      <c r="BM25" s="29">
        <f t="shared" si="23"/>
        <v>30350.872185030043</v>
      </c>
      <c r="BN25" s="29">
        <f t="shared" ref="BN25:CS25" si="24">BN12-BN17-BN22</f>
        <v>28664.712619195048</v>
      </c>
      <c r="BO25" s="29">
        <f t="shared" si="24"/>
        <v>26978.553053360054</v>
      </c>
      <c r="BP25" s="29">
        <f t="shared" si="24"/>
        <v>26978.553053360054</v>
      </c>
      <c r="BQ25" s="29">
        <f t="shared" si="24"/>
        <v>28664.712619195048</v>
      </c>
      <c r="BR25" s="29">
        <f t="shared" si="24"/>
        <v>32037.031750865041</v>
      </c>
      <c r="BS25" s="29">
        <f t="shared" si="24"/>
        <v>35409.350882535058</v>
      </c>
      <c r="BT25" s="29">
        <f t="shared" si="24"/>
        <v>38781.670014205047</v>
      </c>
      <c r="BU25" s="29">
        <f t="shared" si="24"/>
        <v>47212.467843380058</v>
      </c>
      <c r="BV25" s="29">
        <f t="shared" si="24"/>
        <v>41993.130652232736</v>
      </c>
      <c r="BW25" s="29">
        <f t="shared" si="24"/>
        <v>40167.342363005235</v>
      </c>
      <c r="BX25" s="29">
        <f t="shared" si="24"/>
        <v>36515.765784550218</v>
      </c>
      <c r="BY25" s="29">
        <f t="shared" si="24"/>
        <v>32864.189206095187</v>
      </c>
      <c r="BZ25" s="29">
        <f t="shared" si="24"/>
        <v>31038.400916867675</v>
      </c>
      <c r="CA25" s="29">
        <f t="shared" si="24"/>
        <v>29212.61262764017</v>
      </c>
      <c r="CB25" s="29">
        <f t="shared" si="24"/>
        <v>29212.61262764017</v>
      </c>
      <c r="CC25" s="29">
        <f t="shared" si="24"/>
        <v>31038.400916867675</v>
      </c>
      <c r="CD25" s="29">
        <f t="shared" si="24"/>
        <v>34689.977495322702</v>
      </c>
      <c r="CE25" s="29">
        <f t="shared" si="24"/>
        <v>38341.554073777719</v>
      </c>
      <c r="CF25" s="29">
        <f t="shared" si="24"/>
        <v>41993.130652232736</v>
      </c>
      <c r="CG25" s="29">
        <f t="shared" si="24"/>
        <v>51122.072098370292</v>
      </c>
      <c r="CH25" s="29">
        <f t="shared" si="24"/>
        <v>45442.622509053843</v>
      </c>
      <c r="CI25" s="29">
        <f t="shared" si="24"/>
        <v>43466.856313008037</v>
      </c>
      <c r="CJ25" s="29">
        <f t="shared" si="24"/>
        <v>39515.32392091638</v>
      </c>
      <c r="CK25" s="29">
        <f t="shared" si="24"/>
        <v>35563.79152882476</v>
      </c>
      <c r="CL25" s="29">
        <f t="shared" si="24"/>
        <v>33588.02533277894</v>
      </c>
      <c r="CM25" s="29">
        <f t="shared" si="24"/>
        <v>31612.259136733108</v>
      </c>
      <c r="CN25" s="29">
        <f t="shared" si="24"/>
        <v>31612.259136733108</v>
      </c>
      <c r="CO25" s="29">
        <f t="shared" si="24"/>
        <v>33588.02533277894</v>
      </c>
      <c r="CP25" s="29">
        <f t="shared" si="24"/>
        <v>37539.557724870567</v>
      </c>
      <c r="CQ25" s="29">
        <f t="shared" si="24"/>
        <v>41491.090116962194</v>
      </c>
      <c r="CR25" s="29">
        <f t="shared" si="24"/>
        <v>45442.622509053843</v>
      </c>
      <c r="CS25" s="29">
        <f t="shared" si="24"/>
        <v>55321.45348928294</v>
      </c>
      <c r="CT25" s="29">
        <f t="shared" ref="CT25:DQ25" si="25">CT12-CT17-CT22</f>
        <v>49146.898637776103</v>
      </c>
      <c r="CU25" s="29">
        <f t="shared" si="25"/>
        <v>47010.0769578728</v>
      </c>
      <c r="CV25" s="29">
        <f t="shared" si="25"/>
        <v>42736.433598066171</v>
      </c>
      <c r="CW25" s="29">
        <f t="shared" si="25"/>
        <v>38462.790238259564</v>
      </c>
      <c r="CX25" s="29">
        <f t="shared" si="25"/>
        <v>36325.968558356253</v>
      </c>
      <c r="CY25" s="29">
        <f t="shared" si="25"/>
        <v>34189.146878452935</v>
      </c>
      <c r="CZ25" s="29">
        <f t="shared" si="25"/>
        <v>34189.146878452935</v>
      </c>
      <c r="DA25" s="29">
        <f t="shared" si="25"/>
        <v>36325.968558356253</v>
      </c>
      <c r="DB25" s="29">
        <f t="shared" si="25"/>
        <v>40599.61191816286</v>
      </c>
      <c r="DC25" s="29">
        <f t="shared" si="25"/>
        <v>44873.255277969474</v>
      </c>
      <c r="DD25" s="29">
        <f t="shared" si="25"/>
        <v>49146.898637776103</v>
      </c>
      <c r="DE25" s="29">
        <f t="shared" si="25"/>
        <v>59831.007037292628</v>
      </c>
      <c r="DF25" s="29">
        <f t="shared" si="25"/>
        <v>53123.859512718991</v>
      </c>
      <c r="DG25" s="29">
        <f t="shared" si="25"/>
        <v>50814.126490426883</v>
      </c>
      <c r="DH25" s="29">
        <f t="shared" si="25"/>
        <v>46194.660445842615</v>
      </c>
      <c r="DI25" s="29">
        <f t="shared" si="25"/>
        <v>41575.194401258363</v>
      </c>
      <c r="DJ25" s="29">
        <f t="shared" si="25"/>
        <v>39265.461378966225</v>
      </c>
      <c r="DK25" s="29">
        <f t="shared" si="25"/>
        <v>36955.728356674103</v>
      </c>
      <c r="DL25" s="29">
        <f t="shared" si="25"/>
        <v>36955.728356674103</v>
      </c>
      <c r="DM25" s="29">
        <f t="shared" si="25"/>
        <v>39265.461378966225</v>
      </c>
      <c r="DN25" s="29">
        <f t="shared" si="25"/>
        <v>43884.9274235505</v>
      </c>
      <c r="DO25" s="29">
        <f t="shared" si="25"/>
        <v>48504.393468134745</v>
      </c>
      <c r="DP25" s="29">
        <f t="shared" si="25"/>
        <v>53123.859512718991</v>
      </c>
      <c r="DQ25" s="29">
        <f t="shared" si="25"/>
        <v>64672.524624179685</v>
      </c>
    </row>
    <row r="27" spans="1:121" ht="15" customHeight="1">
      <c r="A27" s="5" t="s">
        <v>435</v>
      </c>
    </row>
    <row r="28" spans="1:121" ht="15" customHeight="1">
      <c r="A28" t="s">
        <v>436</v>
      </c>
      <c r="B28" s="20">
        <f>IF(Calc_Volume!B14&gt;0,B12*1000/Calc_Volume!B14,0)</f>
        <v>614.39750000000015</v>
      </c>
      <c r="C28" s="20">
        <f>IF(Calc_Volume!C14&gt;0,C12*1000/Calc_Volume!C14,0)</f>
        <v>614.39750000000004</v>
      </c>
      <c r="D28" s="20">
        <f>IF(Calc_Volume!D14&gt;0,D12*1000/Calc_Volume!D14,0)</f>
        <v>614.39750000000004</v>
      </c>
      <c r="E28" s="20">
        <f>IF(Calc_Volume!E14&gt;0,E12*1000/Calc_Volume!E14,0)</f>
        <v>614.39750000000004</v>
      </c>
      <c r="F28" s="20">
        <f>IF(Calc_Volume!F14&gt;0,F12*1000/Calc_Volume!F14,0)</f>
        <v>614.39750000000004</v>
      </c>
      <c r="G28" s="20">
        <f>IF(Calc_Volume!G14&gt;0,G12*1000/Calc_Volume!G14,0)</f>
        <v>614.39750000000004</v>
      </c>
      <c r="H28" s="20">
        <f>IF(Calc_Volume!H14&gt;0,H12*1000/Calc_Volume!H14,0)</f>
        <v>614.39750000000004</v>
      </c>
      <c r="I28" s="20">
        <f>IF(Calc_Volume!I14&gt;0,I12*1000/Calc_Volume!I14,0)</f>
        <v>614.39750000000004</v>
      </c>
      <c r="J28" s="20">
        <f>IF(Calc_Volume!J14&gt;0,J12*1000/Calc_Volume!J14,0)</f>
        <v>614.39750000000004</v>
      </c>
      <c r="K28" s="20">
        <f>IF(Calc_Volume!K14&gt;0,K12*1000/Calc_Volume!K14,0)</f>
        <v>614.39750000000015</v>
      </c>
      <c r="L28" s="20">
        <f>IF(Calc_Volume!L14&gt;0,L12*1000/Calc_Volume!L14,0)</f>
        <v>614.39750000000015</v>
      </c>
      <c r="M28" s="20">
        <f>IF(Calc_Volume!M14&gt;0,M12*1000/Calc_Volume!M14,0)</f>
        <v>614.39750000000004</v>
      </c>
      <c r="N28" s="20">
        <f>IF(Calc_Volume!N14&gt;0,N12*1000/Calc_Volume!N14,0)</f>
        <v>629.75743750000004</v>
      </c>
      <c r="O28" s="20">
        <f>IF(Calc_Volume!O14&gt;0,O12*1000/Calc_Volume!O14,0)</f>
        <v>629.75743749999992</v>
      </c>
      <c r="P28" s="20">
        <f>IF(Calc_Volume!P14&gt;0,P12*1000/Calc_Volume!P14,0)</f>
        <v>629.75743750000004</v>
      </c>
      <c r="Q28" s="20">
        <f>IF(Calc_Volume!Q14&gt;0,Q12*1000/Calc_Volume!Q14,0)</f>
        <v>629.75743749999992</v>
      </c>
      <c r="R28" s="20">
        <f>IF(Calc_Volume!R14&gt;0,R12*1000/Calc_Volume!R14,0)</f>
        <v>629.75743749999992</v>
      </c>
      <c r="S28" s="20">
        <f>IF(Calc_Volume!S14&gt;0,S12*1000/Calc_Volume!S14,0)</f>
        <v>629.75743749999992</v>
      </c>
      <c r="T28" s="20">
        <f>IF(Calc_Volume!T14&gt;0,T12*1000/Calc_Volume!T14,0)</f>
        <v>629.75743749999992</v>
      </c>
      <c r="U28" s="20">
        <f>IF(Calc_Volume!U14&gt;0,U12*1000/Calc_Volume!U14,0)</f>
        <v>629.75743749999992</v>
      </c>
      <c r="V28" s="20">
        <f>IF(Calc_Volume!V14&gt;0,V12*1000/Calc_Volume!V14,0)</f>
        <v>629.75743749999992</v>
      </c>
      <c r="W28" s="20">
        <f>IF(Calc_Volume!W14&gt;0,W12*1000/Calc_Volume!W14,0)</f>
        <v>629.75743750000004</v>
      </c>
      <c r="X28" s="20">
        <f>IF(Calc_Volume!X14&gt;0,X12*1000/Calc_Volume!X14,0)</f>
        <v>629.75743750000004</v>
      </c>
      <c r="Y28" s="20">
        <f>IF(Calc_Volume!Y14&gt;0,Y12*1000/Calc_Volume!Y14,0)</f>
        <v>629.75743749999992</v>
      </c>
      <c r="Z28" s="20">
        <f>IF(Calc_Volume!Z14&gt;0,Z12*1000/Calc_Volume!Z14,0)</f>
        <v>645.50137343750009</v>
      </c>
      <c r="AA28" s="20">
        <f>IF(Calc_Volume!AA14&gt;0,AA12*1000/Calc_Volume!AA14,0)</f>
        <v>645.50137343749998</v>
      </c>
      <c r="AB28" s="20">
        <f>IF(Calc_Volume!AB14&gt;0,AB12*1000/Calc_Volume!AB14,0)</f>
        <v>645.50137343749998</v>
      </c>
      <c r="AC28" s="20">
        <f>IF(Calc_Volume!AC14&gt;0,AC12*1000/Calc_Volume!AC14,0)</f>
        <v>645.50137343749998</v>
      </c>
      <c r="AD28" s="20">
        <f>IF(Calc_Volume!AD14&gt;0,AD12*1000/Calc_Volume!AD14,0)</f>
        <v>645.50137343750009</v>
      </c>
      <c r="AE28" s="20">
        <f>IF(Calc_Volume!AE14&gt;0,AE12*1000/Calc_Volume!AE14,0)</f>
        <v>645.50137343749998</v>
      </c>
      <c r="AF28" s="20">
        <f>IF(Calc_Volume!AF14&gt;0,AF12*1000/Calc_Volume!AF14,0)</f>
        <v>645.50137343749998</v>
      </c>
      <c r="AG28" s="20">
        <f>IF(Calc_Volume!AG14&gt;0,AG12*1000/Calc_Volume!AG14,0)</f>
        <v>645.50137343750009</v>
      </c>
      <c r="AH28" s="20">
        <f>IF(Calc_Volume!AH14&gt;0,AH12*1000/Calc_Volume!AH14,0)</f>
        <v>645.50137343749998</v>
      </c>
      <c r="AI28" s="20">
        <f>IF(Calc_Volume!AI14&gt;0,AI12*1000/Calc_Volume!AI14,0)</f>
        <v>645.50137343749986</v>
      </c>
      <c r="AJ28" s="20">
        <f>IF(Calc_Volume!AJ14&gt;0,AJ12*1000/Calc_Volume!AJ14,0)</f>
        <v>645.50137343750009</v>
      </c>
      <c r="AK28" s="20">
        <f>IF(Calc_Volume!AK14&gt;0,AK12*1000/Calc_Volume!AK14,0)</f>
        <v>645.50137343749986</v>
      </c>
      <c r="AL28" s="20">
        <f>IF(Calc_Volume!AL14&gt;0,AL12*1000/Calc_Volume!AL14,0)</f>
        <v>661.63890777343738</v>
      </c>
      <c r="AM28" s="20">
        <f>IF(Calc_Volume!AM14&gt;0,AM12*1000/Calc_Volume!AM14,0)</f>
        <v>661.6389077734375</v>
      </c>
      <c r="AN28" s="20">
        <f>IF(Calc_Volume!AN14&gt;0,AN12*1000/Calc_Volume!AN14,0)</f>
        <v>661.63890777343761</v>
      </c>
      <c r="AO28" s="20">
        <f>IF(Calc_Volume!AO14&gt;0,AO12*1000/Calc_Volume!AO14,0)</f>
        <v>661.63890777343738</v>
      </c>
      <c r="AP28" s="20">
        <f>IF(Calc_Volume!AP14&gt;0,AP12*1000/Calc_Volume!AP14,0)</f>
        <v>661.6389077734375</v>
      </c>
      <c r="AQ28" s="20">
        <f>IF(Calc_Volume!AQ14&gt;0,AQ12*1000/Calc_Volume!AQ14,0)</f>
        <v>661.63890777343738</v>
      </c>
      <c r="AR28" s="20">
        <f>IF(Calc_Volume!AR14&gt;0,AR12*1000/Calc_Volume!AR14,0)</f>
        <v>661.63890777343738</v>
      </c>
      <c r="AS28" s="20">
        <f>IF(Calc_Volume!AS14&gt;0,AS12*1000/Calc_Volume!AS14,0)</f>
        <v>661.6389077734375</v>
      </c>
      <c r="AT28" s="20">
        <f>IF(Calc_Volume!AT14&gt;0,AT12*1000/Calc_Volume!AT14,0)</f>
        <v>661.63890777343738</v>
      </c>
      <c r="AU28" s="20">
        <f>IF(Calc_Volume!AU14&gt;0,AU12*1000/Calc_Volume!AU14,0)</f>
        <v>661.63890777343738</v>
      </c>
      <c r="AV28" s="20">
        <f>IF(Calc_Volume!AV14&gt;0,AV12*1000/Calc_Volume!AV14,0)</f>
        <v>661.63890777343738</v>
      </c>
      <c r="AW28" s="20">
        <f>IF(Calc_Volume!AW14&gt;0,AW12*1000/Calc_Volume!AW14,0)</f>
        <v>661.6389077734375</v>
      </c>
      <c r="AX28" s="20">
        <f>IF(Calc_Volume!AX14&gt;0,AX12*1000/Calc_Volume!AX14,0)</f>
        <v>678.17988046777339</v>
      </c>
      <c r="AY28" s="20">
        <f>IF(Calc_Volume!AY14&gt;0,AY12*1000/Calc_Volume!AY14,0)</f>
        <v>678.17988046777327</v>
      </c>
      <c r="AZ28" s="20">
        <f>IF(Calc_Volume!AZ14&gt;0,AZ12*1000/Calc_Volume!AZ14,0)</f>
        <v>678.17988046777339</v>
      </c>
      <c r="BA28" s="20">
        <f>IF(Calc_Volume!BA14&gt;0,BA12*1000/Calc_Volume!BA14,0)</f>
        <v>678.17988046777327</v>
      </c>
      <c r="BB28" s="20">
        <f>IF(Calc_Volume!BB14&gt;0,BB12*1000/Calc_Volume!BB14,0)</f>
        <v>678.17988046777339</v>
      </c>
      <c r="BC28" s="20">
        <f>IF(Calc_Volume!BC14&gt;0,BC12*1000/Calc_Volume!BC14,0)</f>
        <v>678.17988046777339</v>
      </c>
      <c r="BD28" s="20">
        <f>IF(Calc_Volume!BD14&gt;0,BD12*1000/Calc_Volume!BD14,0)</f>
        <v>678.17988046777339</v>
      </c>
      <c r="BE28" s="20">
        <f>IF(Calc_Volume!BE14&gt;0,BE12*1000/Calc_Volume!BE14,0)</f>
        <v>678.17988046777339</v>
      </c>
      <c r="BF28" s="20">
        <f>IF(Calc_Volume!BF14&gt;0,BF12*1000/Calc_Volume!BF14,0)</f>
        <v>678.17988046777339</v>
      </c>
      <c r="BG28" s="20">
        <f>IF(Calc_Volume!BG14&gt;0,BG12*1000/Calc_Volume!BG14,0)</f>
        <v>678.17988046777339</v>
      </c>
      <c r="BH28" s="20">
        <f>IF(Calc_Volume!BH14&gt;0,BH12*1000/Calc_Volume!BH14,0)</f>
        <v>678.17988046777339</v>
      </c>
      <c r="BI28" s="20">
        <f>IF(Calc_Volume!BI14&gt;0,BI12*1000/Calc_Volume!BI14,0)</f>
        <v>678.17988046777339</v>
      </c>
      <c r="BJ28" s="20">
        <f>IF(Calc_Volume!BJ14&gt;0,BJ12*1000/Calc_Volume!BJ14,0)</f>
        <v>695.1343774794675</v>
      </c>
      <c r="BK28" s="20">
        <f>IF(Calc_Volume!BK14&gt;0,BK12*1000/Calc_Volume!BK14,0)</f>
        <v>695.13437747946773</v>
      </c>
      <c r="BL28" s="20">
        <f>IF(Calc_Volume!BL14&gt;0,BL12*1000/Calc_Volume!BL14,0)</f>
        <v>695.13437747946762</v>
      </c>
      <c r="BM28" s="20">
        <f>IF(Calc_Volume!BM14&gt;0,BM12*1000/Calc_Volume!BM14,0)</f>
        <v>695.1343774794675</v>
      </c>
      <c r="BN28" s="20">
        <f>IF(Calc_Volume!BN14&gt;0,BN12*1000/Calc_Volume!BN14,0)</f>
        <v>695.1343774794675</v>
      </c>
      <c r="BO28" s="20">
        <f>IF(Calc_Volume!BO14&gt;0,BO12*1000/Calc_Volume!BO14,0)</f>
        <v>695.13437747946762</v>
      </c>
      <c r="BP28" s="20">
        <f>IF(Calc_Volume!BP14&gt;0,BP12*1000/Calc_Volume!BP14,0)</f>
        <v>695.13437747946762</v>
      </c>
      <c r="BQ28" s="20">
        <f>IF(Calc_Volume!BQ14&gt;0,BQ12*1000/Calc_Volume!BQ14,0)</f>
        <v>695.1343774794675</v>
      </c>
      <c r="BR28" s="20">
        <f>IF(Calc_Volume!BR14&gt;0,BR12*1000/Calc_Volume!BR14,0)</f>
        <v>695.1343774794675</v>
      </c>
      <c r="BS28" s="20">
        <f>IF(Calc_Volume!BS14&gt;0,BS12*1000/Calc_Volume!BS14,0)</f>
        <v>695.13437747946762</v>
      </c>
      <c r="BT28" s="20">
        <f>IF(Calc_Volume!BT14&gt;0,BT12*1000/Calc_Volume!BT14,0)</f>
        <v>695.1343774794675</v>
      </c>
      <c r="BU28" s="20">
        <f>IF(Calc_Volume!BU14&gt;0,BU12*1000/Calc_Volume!BU14,0)</f>
        <v>695.13437747946762</v>
      </c>
      <c r="BV28" s="20">
        <f>IF(Calc_Volume!BV14&gt;0,BV12*1000/Calc_Volume!BV14,0)</f>
        <v>712.51273691645429</v>
      </c>
      <c r="BW28" s="20">
        <f>IF(Calc_Volume!BW14&gt;0,BW12*1000/Calc_Volume!BW14,0)</f>
        <v>712.51273691645417</v>
      </c>
      <c r="BX28" s="20">
        <f>IF(Calc_Volume!BX14&gt;0,BX12*1000/Calc_Volume!BX14,0)</f>
        <v>712.51273691645429</v>
      </c>
      <c r="BY28" s="20">
        <f>IF(Calc_Volume!BY14&gt;0,BY12*1000/Calc_Volume!BY14,0)</f>
        <v>712.51273691645417</v>
      </c>
      <c r="BZ28" s="20">
        <f>IF(Calc_Volume!BZ14&gt;0,BZ12*1000/Calc_Volume!BZ14,0)</f>
        <v>712.51273691645417</v>
      </c>
      <c r="CA28" s="20">
        <f>IF(Calc_Volume!CA14&gt;0,CA12*1000/Calc_Volume!CA14,0)</f>
        <v>712.51273691645417</v>
      </c>
      <c r="CB28" s="20">
        <f>IF(Calc_Volume!CB14&gt;0,CB12*1000/Calc_Volume!CB14,0)</f>
        <v>712.51273691645417</v>
      </c>
      <c r="CC28" s="20">
        <f>IF(Calc_Volume!CC14&gt;0,CC12*1000/Calc_Volume!CC14,0)</f>
        <v>712.51273691645417</v>
      </c>
      <c r="CD28" s="20">
        <f>IF(Calc_Volume!CD14&gt;0,CD12*1000/Calc_Volume!CD14,0)</f>
        <v>712.51273691645417</v>
      </c>
      <c r="CE28" s="20">
        <f>IF(Calc_Volume!CE14&gt;0,CE12*1000/Calc_Volume!CE14,0)</f>
        <v>712.51273691645406</v>
      </c>
      <c r="CF28" s="20">
        <f>IF(Calc_Volume!CF14&gt;0,CF12*1000/Calc_Volume!CF14,0)</f>
        <v>712.51273691645429</v>
      </c>
      <c r="CG28" s="20">
        <f>IF(Calc_Volume!CG14&gt;0,CG12*1000/Calc_Volume!CG14,0)</f>
        <v>712.51273691645406</v>
      </c>
      <c r="CH28" s="20">
        <f>IF(Calc_Volume!CH14&gt;0,CH12*1000/Calc_Volume!CH14,0)</f>
        <v>730.32555533936545</v>
      </c>
      <c r="CI28" s="20">
        <f>IF(Calc_Volume!CI14&gt;0,CI12*1000/Calc_Volume!CI14,0)</f>
        <v>730.32555533936545</v>
      </c>
      <c r="CJ28" s="20">
        <f>IF(Calc_Volume!CJ14&gt;0,CJ12*1000/Calc_Volume!CJ14,0)</f>
        <v>730.32555533936534</v>
      </c>
      <c r="CK28" s="20">
        <f>IF(Calc_Volume!CK14&gt;0,CK12*1000/Calc_Volume!CK14,0)</f>
        <v>730.32555533936556</v>
      </c>
      <c r="CL28" s="20">
        <f>IF(Calc_Volume!CL14&gt;0,CL12*1000/Calc_Volume!CL14,0)</f>
        <v>730.32555533936545</v>
      </c>
      <c r="CM28" s="20">
        <f>IF(Calc_Volume!CM14&gt;0,CM12*1000/Calc_Volume!CM14,0)</f>
        <v>730.32555533936534</v>
      </c>
      <c r="CN28" s="20">
        <f>IF(Calc_Volume!CN14&gt;0,CN12*1000/Calc_Volume!CN14,0)</f>
        <v>730.32555533936534</v>
      </c>
      <c r="CO28" s="20">
        <f>IF(Calc_Volume!CO14&gt;0,CO12*1000/Calc_Volume!CO14,0)</f>
        <v>730.32555533936545</v>
      </c>
      <c r="CP28" s="20">
        <f>IF(Calc_Volume!CP14&gt;0,CP12*1000/Calc_Volume!CP14,0)</f>
        <v>730.32555533936556</v>
      </c>
      <c r="CQ28" s="20">
        <f>IF(Calc_Volume!CQ14&gt;0,CQ12*1000/Calc_Volume!CQ14,0)</f>
        <v>730.32555533936534</v>
      </c>
      <c r="CR28" s="20">
        <f>IF(Calc_Volume!CR14&gt;0,CR12*1000/Calc_Volume!CR14,0)</f>
        <v>730.32555533936545</v>
      </c>
      <c r="CS28" s="20">
        <f>IF(Calc_Volume!CS14&gt;0,CS12*1000/Calc_Volume!CS14,0)</f>
        <v>730.32555533936545</v>
      </c>
      <c r="CT28" s="20">
        <f>IF(Calc_Volume!CT14&gt;0,CT12*1000/Calc_Volume!CT14,0)</f>
        <v>748.58369422284966</v>
      </c>
      <c r="CU28" s="20">
        <f>IF(Calc_Volume!CU14&gt;0,CU12*1000/Calc_Volume!CU14,0)</f>
        <v>748.58369422284943</v>
      </c>
      <c r="CV28" s="20">
        <f>IF(Calc_Volume!CV14&gt;0,CV12*1000/Calc_Volume!CV14,0)</f>
        <v>748.58369422284943</v>
      </c>
      <c r="CW28" s="20">
        <f>IF(Calc_Volume!CW14&gt;0,CW12*1000/Calc_Volume!CW14,0)</f>
        <v>748.58369422284954</v>
      </c>
      <c r="CX28" s="20">
        <f>IF(Calc_Volume!CX14&gt;0,CX12*1000/Calc_Volume!CX14,0)</f>
        <v>748.58369422284954</v>
      </c>
      <c r="CY28" s="20">
        <f>IF(Calc_Volume!CY14&gt;0,CY12*1000/Calc_Volume!CY14,0)</f>
        <v>748.58369422284932</v>
      </c>
      <c r="CZ28" s="20">
        <f>IF(Calc_Volume!CZ14&gt;0,CZ12*1000/Calc_Volume!CZ14,0)</f>
        <v>748.58369422284932</v>
      </c>
      <c r="DA28" s="20">
        <f>IF(Calc_Volume!DA14&gt;0,DA12*1000/Calc_Volume!DA14,0)</f>
        <v>748.58369422284954</v>
      </c>
      <c r="DB28" s="20">
        <f>IF(Calc_Volume!DB14&gt;0,DB12*1000/Calc_Volume!DB14,0)</f>
        <v>748.58369422284943</v>
      </c>
      <c r="DC28" s="20">
        <f>IF(Calc_Volume!DC14&gt;0,DC12*1000/Calc_Volume!DC14,0)</f>
        <v>748.58369422284943</v>
      </c>
      <c r="DD28" s="20">
        <f>IF(Calc_Volume!DD14&gt;0,DD12*1000/Calc_Volume!DD14,0)</f>
        <v>748.58369422284966</v>
      </c>
      <c r="DE28" s="20">
        <f>IF(Calc_Volume!DE14&gt;0,DE12*1000/Calc_Volume!DE14,0)</f>
        <v>748.58369422284943</v>
      </c>
      <c r="DF28" s="20">
        <f>IF(Calc_Volume!DF14&gt;0,DF12*1000/Calc_Volume!DF14,0)</f>
        <v>767.2982865784204</v>
      </c>
      <c r="DG28" s="20">
        <f>IF(Calc_Volume!DG14&gt;0,DG12*1000/Calc_Volume!DG14,0)</f>
        <v>767.29828657842063</v>
      </c>
      <c r="DH28" s="20">
        <f>IF(Calc_Volume!DH14&gt;0,DH12*1000/Calc_Volume!DH14,0)</f>
        <v>767.29828657842086</v>
      </c>
      <c r="DI28" s="20">
        <f>IF(Calc_Volume!DI14&gt;0,DI12*1000/Calc_Volume!DI14,0)</f>
        <v>767.29828657842074</v>
      </c>
      <c r="DJ28" s="20">
        <f>IF(Calc_Volume!DJ14&gt;0,DJ12*1000/Calc_Volume!DJ14,0)</f>
        <v>767.29828657842074</v>
      </c>
      <c r="DK28" s="20">
        <f>IF(Calc_Volume!DK14&gt;0,DK12*1000/Calc_Volume!DK14,0)</f>
        <v>767.29828657842074</v>
      </c>
      <c r="DL28" s="20">
        <f>IF(Calc_Volume!DL14&gt;0,DL12*1000/Calc_Volume!DL14,0)</f>
        <v>767.29828657842074</v>
      </c>
      <c r="DM28" s="20">
        <f>IF(Calc_Volume!DM14&gt;0,DM12*1000/Calc_Volume!DM14,0)</f>
        <v>767.29828657842074</v>
      </c>
      <c r="DN28" s="20">
        <f>IF(Calc_Volume!DN14&gt;0,DN12*1000/Calc_Volume!DN14,0)</f>
        <v>767.29828657842074</v>
      </c>
      <c r="DO28" s="20">
        <f>IF(Calc_Volume!DO14&gt;0,DO12*1000/Calc_Volume!DO14,0)</f>
        <v>767.29828657842052</v>
      </c>
      <c r="DP28" s="20">
        <f>IF(Calc_Volume!DP14&gt;0,DP12*1000/Calc_Volume!DP14,0)</f>
        <v>767.2982865784204</v>
      </c>
      <c r="DQ28" s="20">
        <f>IF(Calc_Volume!DQ14&gt;0,DQ12*1000/Calc_Volume!DQ14,0)</f>
        <v>767.29828657842074</v>
      </c>
    </row>
    <row r="29" spans="1:121" ht="15" customHeight="1">
      <c r="A29" t="s">
        <v>437</v>
      </c>
      <c r="B29" s="20">
        <f>IF(Calc_Volume!B14&gt;0,B25*1000/Calc_Volume!B14,0)</f>
        <v>300.15870000000012</v>
      </c>
      <c r="C29" s="20">
        <f>IF(Calc_Volume!C14&gt;0,C25*1000/Calc_Volume!C14,0)</f>
        <v>300.15870000000007</v>
      </c>
      <c r="D29" s="20">
        <f>IF(Calc_Volume!D14&gt;0,D25*1000/Calc_Volume!D14,0)</f>
        <v>300.15869999999995</v>
      </c>
      <c r="E29" s="20">
        <f>IF(Calc_Volume!E14&gt;0,E25*1000/Calc_Volume!E14,0)</f>
        <v>300.15869999999995</v>
      </c>
      <c r="F29" s="20">
        <f>IF(Calc_Volume!F14&gt;0,F25*1000/Calc_Volume!F14,0)</f>
        <v>300.15870000000007</v>
      </c>
      <c r="G29" s="20">
        <f>IF(Calc_Volume!G14&gt;0,G25*1000/Calc_Volume!G14,0)</f>
        <v>300.15870000000001</v>
      </c>
      <c r="H29" s="20">
        <f>IF(Calc_Volume!H14&gt;0,H25*1000/Calc_Volume!H14,0)</f>
        <v>300.15870000000001</v>
      </c>
      <c r="I29" s="20">
        <f>IF(Calc_Volume!I14&gt;0,I25*1000/Calc_Volume!I14,0)</f>
        <v>300.15870000000007</v>
      </c>
      <c r="J29" s="20">
        <f>IF(Calc_Volume!J14&gt;0,J25*1000/Calc_Volume!J14,0)</f>
        <v>300.15870000000007</v>
      </c>
      <c r="K29" s="20">
        <f>IF(Calc_Volume!K14&gt;0,K25*1000/Calc_Volume!K14,0)</f>
        <v>300.15870000000007</v>
      </c>
      <c r="L29" s="20">
        <f>IF(Calc_Volume!L14&gt;0,L25*1000/Calc_Volume!L14,0)</f>
        <v>300.15870000000012</v>
      </c>
      <c r="M29" s="20">
        <f>IF(Calc_Volume!M14&gt;0,M25*1000/Calc_Volume!M14,0)</f>
        <v>300.15869999999995</v>
      </c>
      <c r="N29" s="20">
        <f>IF(Calc_Volume!N14&gt;0,N25*1000/Calc_Volume!N14,0)</f>
        <v>313.66097562500005</v>
      </c>
      <c r="O29" s="20">
        <f>IF(Calc_Volume!O14&gt;0,O25*1000/Calc_Volume!O14,0)</f>
        <v>313.66097562499999</v>
      </c>
      <c r="P29" s="20">
        <f>IF(Calc_Volume!P14&gt;0,P25*1000/Calc_Volume!P14,0)</f>
        <v>313.66097562499994</v>
      </c>
      <c r="Q29" s="20">
        <f>IF(Calc_Volume!Q14&gt;0,Q25*1000/Calc_Volume!Q14,0)</f>
        <v>313.66097562499999</v>
      </c>
      <c r="R29" s="20">
        <f>IF(Calc_Volume!R14&gt;0,R25*1000/Calc_Volume!R14,0)</f>
        <v>313.66097562499994</v>
      </c>
      <c r="S29" s="20">
        <f>IF(Calc_Volume!S14&gt;0,S25*1000/Calc_Volume!S14,0)</f>
        <v>313.66097562499982</v>
      </c>
      <c r="T29" s="20">
        <f>IF(Calc_Volume!T14&gt;0,T25*1000/Calc_Volume!T14,0)</f>
        <v>313.66097562499982</v>
      </c>
      <c r="U29" s="20">
        <f>IF(Calc_Volume!U14&gt;0,U25*1000/Calc_Volume!U14,0)</f>
        <v>313.66097562499994</v>
      </c>
      <c r="V29" s="20">
        <f>IF(Calc_Volume!V14&gt;0,V25*1000/Calc_Volume!V14,0)</f>
        <v>313.66097562499982</v>
      </c>
      <c r="W29" s="20">
        <f>IF(Calc_Volume!W14&gt;0,W25*1000/Calc_Volume!W14,0)</f>
        <v>313.66097562500005</v>
      </c>
      <c r="X29" s="20">
        <f>IF(Calc_Volume!X14&gt;0,X25*1000/Calc_Volume!X14,0)</f>
        <v>313.66097562500005</v>
      </c>
      <c r="Y29" s="20">
        <f>IF(Calc_Volume!Y14&gt;0,Y25*1000/Calc_Volume!Y14,0)</f>
        <v>313.66097562499994</v>
      </c>
      <c r="Z29" s="20">
        <f>IF(Calc_Volume!Z14&gt;0,Z25*1000/Calc_Volume!Z14,0)</f>
        <v>327.500808140625</v>
      </c>
      <c r="AA29" s="20">
        <f>IF(Calc_Volume!AA14&gt;0,AA25*1000/Calc_Volume!AA14,0)</f>
        <v>327.50080814062494</v>
      </c>
      <c r="AB29" s="20">
        <f>IF(Calc_Volume!AB14&gt;0,AB25*1000/Calc_Volume!AB14,0)</f>
        <v>327.50080814062505</v>
      </c>
      <c r="AC29" s="20">
        <f>IF(Calc_Volume!AC14&gt;0,AC25*1000/Calc_Volume!AC14,0)</f>
        <v>327.50080814062494</v>
      </c>
      <c r="AD29" s="20">
        <f>IF(Calc_Volume!AD14&gt;0,AD25*1000/Calc_Volume!AD14,0)</f>
        <v>327.50080814062505</v>
      </c>
      <c r="AE29" s="20">
        <f>IF(Calc_Volume!AE14&gt;0,AE25*1000/Calc_Volume!AE14,0)</f>
        <v>327.50080814062488</v>
      </c>
      <c r="AF29" s="20">
        <f>IF(Calc_Volume!AF14&gt;0,AF25*1000/Calc_Volume!AF14,0)</f>
        <v>327.50080814062488</v>
      </c>
      <c r="AG29" s="20">
        <f>IF(Calc_Volume!AG14&gt;0,AG25*1000/Calc_Volume!AG14,0)</f>
        <v>327.50080814062505</v>
      </c>
      <c r="AH29" s="20">
        <f>IF(Calc_Volume!AH14&gt;0,AH25*1000/Calc_Volume!AH14,0)</f>
        <v>327.500808140625</v>
      </c>
      <c r="AI29" s="20">
        <f>IF(Calc_Volume!AI14&gt;0,AI25*1000/Calc_Volume!AI14,0)</f>
        <v>327.50080814062488</v>
      </c>
      <c r="AJ29" s="20">
        <f>IF(Calc_Volume!AJ14&gt;0,AJ25*1000/Calc_Volume!AJ14,0)</f>
        <v>327.500808140625</v>
      </c>
      <c r="AK29" s="20">
        <f>IF(Calc_Volume!AK14&gt;0,AK25*1000/Calc_Volume!AK14,0)</f>
        <v>327.50080814062488</v>
      </c>
      <c r="AL29" s="20">
        <f>IF(Calc_Volume!AL14&gt;0,AL25*1000/Calc_Volume!AL14,0)</f>
        <v>341.68663646914058</v>
      </c>
      <c r="AM29" s="20">
        <f>IF(Calc_Volume!AM14&gt;0,AM25*1000/Calc_Volume!AM14,0)</f>
        <v>341.68663646914064</v>
      </c>
      <c r="AN29" s="20">
        <f>IF(Calc_Volume!AN14&gt;0,AN25*1000/Calc_Volume!AN14,0)</f>
        <v>341.68663646914069</v>
      </c>
      <c r="AO29" s="20">
        <f>IF(Calc_Volume!AO14&gt;0,AO25*1000/Calc_Volume!AO14,0)</f>
        <v>341.68663646914052</v>
      </c>
      <c r="AP29" s="20">
        <f>IF(Calc_Volume!AP14&gt;0,AP25*1000/Calc_Volume!AP14,0)</f>
        <v>341.68663646914064</v>
      </c>
      <c r="AQ29" s="20">
        <f>IF(Calc_Volume!AQ14&gt;0,AQ25*1000/Calc_Volume!AQ14,0)</f>
        <v>341.68663646914058</v>
      </c>
      <c r="AR29" s="20">
        <f>IF(Calc_Volume!AR14&gt;0,AR25*1000/Calc_Volume!AR14,0)</f>
        <v>341.68663646914058</v>
      </c>
      <c r="AS29" s="20">
        <f>IF(Calc_Volume!AS14&gt;0,AS25*1000/Calc_Volume!AS14,0)</f>
        <v>341.68663646914064</v>
      </c>
      <c r="AT29" s="20">
        <f>IF(Calc_Volume!AT14&gt;0,AT25*1000/Calc_Volume!AT14,0)</f>
        <v>341.68663646914047</v>
      </c>
      <c r="AU29" s="20">
        <f>IF(Calc_Volume!AU14&gt;0,AU25*1000/Calc_Volume!AU14,0)</f>
        <v>341.68663646914058</v>
      </c>
      <c r="AV29" s="20">
        <f>IF(Calc_Volume!AV14&gt;0,AV25*1000/Calc_Volume!AV14,0)</f>
        <v>341.68663646914058</v>
      </c>
      <c r="AW29" s="20">
        <f>IF(Calc_Volume!AW14&gt;0,AW25*1000/Calc_Volume!AW14,0)</f>
        <v>341.68663646914052</v>
      </c>
      <c r="AX29" s="20">
        <f>IF(Calc_Volume!AX14&gt;0,AX25*1000/Calc_Volume!AX14,0)</f>
        <v>356.22711050586918</v>
      </c>
      <c r="AY29" s="20">
        <f>IF(Calc_Volume!AY14&gt;0,AY25*1000/Calc_Volume!AY14,0)</f>
        <v>356.22711050586901</v>
      </c>
      <c r="AZ29" s="20">
        <f>IF(Calc_Volume!AZ14&gt;0,AZ25*1000/Calc_Volume!AZ14,0)</f>
        <v>356.22711050586906</v>
      </c>
      <c r="BA29" s="20">
        <f>IF(Calc_Volume!BA14&gt;0,BA25*1000/Calc_Volume!BA14,0)</f>
        <v>356.22711050586901</v>
      </c>
      <c r="BB29" s="20">
        <f>IF(Calc_Volume!BB14&gt;0,BB25*1000/Calc_Volume!BB14,0)</f>
        <v>356.22711050586912</v>
      </c>
      <c r="BC29" s="20">
        <f>IF(Calc_Volume!BC14&gt;0,BC25*1000/Calc_Volume!BC14,0)</f>
        <v>356.22711050586901</v>
      </c>
      <c r="BD29" s="20">
        <f>IF(Calc_Volume!BD14&gt;0,BD25*1000/Calc_Volume!BD14,0)</f>
        <v>356.22711050586901</v>
      </c>
      <c r="BE29" s="20">
        <f>IF(Calc_Volume!BE14&gt;0,BE25*1000/Calc_Volume!BE14,0)</f>
        <v>356.22711050586912</v>
      </c>
      <c r="BF29" s="20">
        <f>IF(Calc_Volume!BF14&gt;0,BF25*1000/Calc_Volume!BF14,0)</f>
        <v>356.22711050586906</v>
      </c>
      <c r="BG29" s="20">
        <f>IF(Calc_Volume!BG14&gt;0,BG25*1000/Calc_Volume!BG14,0)</f>
        <v>356.22711050586912</v>
      </c>
      <c r="BH29" s="20">
        <f>IF(Calc_Volume!BH14&gt;0,BH25*1000/Calc_Volume!BH14,0)</f>
        <v>356.22711050586918</v>
      </c>
      <c r="BI29" s="20">
        <f>IF(Calc_Volume!BI14&gt;0,BI25*1000/Calc_Volume!BI14,0)</f>
        <v>356.22711050586901</v>
      </c>
      <c r="BJ29" s="20">
        <f>IF(Calc_Volume!BJ14&gt;0,BJ25*1000/Calc_Volume!BJ14,0)</f>
        <v>371.13109639351558</v>
      </c>
      <c r="BK29" s="20">
        <f>IF(Calc_Volume!BK14&gt;0,BK25*1000/Calc_Volume!BK14,0)</f>
        <v>371.13109639351586</v>
      </c>
      <c r="BL29" s="20">
        <f>IF(Calc_Volume!BL14&gt;0,BL25*1000/Calc_Volume!BL14,0)</f>
        <v>371.1310963935158</v>
      </c>
      <c r="BM29" s="20">
        <f>IF(Calc_Volume!BM14&gt;0,BM25*1000/Calc_Volume!BM14,0)</f>
        <v>371.13109639351563</v>
      </c>
      <c r="BN29" s="20">
        <f>IF(Calc_Volume!BN14&gt;0,BN25*1000/Calc_Volume!BN14,0)</f>
        <v>371.13109639351569</v>
      </c>
      <c r="BO29" s="20">
        <f>IF(Calc_Volume!BO14&gt;0,BO25*1000/Calc_Volume!BO14,0)</f>
        <v>371.13109639351575</v>
      </c>
      <c r="BP29" s="20">
        <f>IF(Calc_Volume!BP14&gt;0,BP25*1000/Calc_Volume!BP14,0)</f>
        <v>371.13109639351575</v>
      </c>
      <c r="BQ29" s="20">
        <f>IF(Calc_Volume!BQ14&gt;0,BQ25*1000/Calc_Volume!BQ14,0)</f>
        <v>371.13109639351569</v>
      </c>
      <c r="BR29" s="20">
        <f>IF(Calc_Volume!BR14&gt;0,BR25*1000/Calc_Volume!BR14,0)</f>
        <v>371.13109639351563</v>
      </c>
      <c r="BS29" s="20">
        <f>IF(Calc_Volume!BS14&gt;0,BS25*1000/Calc_Volume!BS14,0)</f>
        <v>371.13109639351569</v>
      </c>
      <c r="BT29" s="20">
        <f>IF(Calc_Volume!BT14&gt;0,BT25*1000/Calc_Volume!BT14,0)</f>
        <v>371.13109639351558</v>
      </c>
      <c r="BU29" s="20">
        <f>IF(Calc_Volume!BU14&gt;0,BU25*1000/Calc_Volume!BU14,0)</f>
        <v>371.13109639351558</v>
      </c>
      <c r="BV29" s="20">
        <f>IF(Calc_Volume!BV14&gt;0,BV25*1000/Calc_Volume!BV14,0)</f>
        <v>386.40768192835355</v>
      </c>
      <c r="BW29" s="20">
        <f>IF(Calc_Volume!BW14&gt;0,BW25*1000/Calc_Volume!BW14,0)</f>
        <v>386.4076819283535</v>
      </c>
      <c r="BX29" s="20">
        <f>IF(Calc_Volume!BX14&gt;0,BX25*1000/Calc_Volume!BX14,0)</f>
        <v>386.40768192835367</v>
      </c>
      <c r="BY29" s="20">
        <f>IF(Calc_Volume!BY14&gt;0,BY25*1000/Calc_Volume!BY14,0)</f>
        <v>386.4076819283535</v>
      </c>
      <c r="BZ29" s="20">
        <f>IF(Calc_Volume!BZ14&gt;0,BZ25*1000/Calc_Volume!BZ14,0)</f>
        <v>386.40768192835344</v>
      </c>
      <c r="CA29" s="20">
        <f>IF(Calc_Volume!CA14&gt;0,CA25*1000/Calc_Volume!CA14,0)</f>
        <v>386.4076819283535</v>
      </c>
      <c r="CB29" s="20">
        <f>IF(Calc_Volume!CB14&gt;0,CB25*1000/Calc_Volume!CB14,0)</f>
        <v>386.4076819283535</v>
      </c>
      <c r="CC29" s="20">
        <f>IF(Calc_Volume!CC14&gt;0,CC25*1000/Calc_Volume!CC14,0)</f>
        <v>386.40768192835344</v>
      </c>
      <c r="CD29" s="20">
        <f>IF(Calc_Volume!CD14&gt;0,CD25*1000/Calc_Volume!CD14,0)</f>
        <v>386.40768192835361</v>
      </c>
      <c r="CE29" s="20">
        <f>IF(Calc_Volume!CE14&gt;0,CE25*1000/Calc_Volume!CE14,0)</f>
        <v>386.4076819283535</v>
      </c>
      <c r="CF29" s="20">
        <f>IF(Calc_Volume!CF14&gt;0,CF25*1000/Calc_Volume!CF14,0)</f>
        <v>386.40768192835355</v>
      </c>
      <c r="CG29" s="20">
        <f>IF(Calc_Volume!CG14&gt;0,CG25*1000/Calc_Volume!CG14,0)</f>
        <v>386.4076819283535</v>
      </c>
      <c r="CH29" s="20">
        <f>IF(Calc_Volume!CH14&gt;0,CH25*1000/Calc_Volume!CH14,0)</f>
        <v>402.06618210156228</v>
      </c>
      <c r="CI29" s="20">
        <f>IF(Calc_Volume!CI14&gt;0,CI25*1000/Calc_Volume!CI14,0)</f>
        <v>402.06618210156233</v>
      </c>
      <c r="CJ29" s="20">
        <f>IF(Calc_Volume!CJ14&gt;0,CJ25*1000/Calc_Volume!CJ14,0)</f>
        <v>402.06618210156222</v>
      </c>
      <c r="CK29" s="20">
        <f>IF(Calc_Volume!CK14&gt;0,CK25*1000/Calc_Volume!CK14,0)</f>
        <v>402.06618210156239</v>
      </c>
      <c r="CL29" s="20">
        <f>IF(Calc_Volume!CL14&gt;0,CL25*1000/Calc_Volume!CL14,0)</f>
        <v>402.06618210156233</v>
      </c>
      <c r="CM29" s="20">
        <f>IF(Calc_Volume!CM14&gt;0,CM25*1000/Calc_Volume!CM14,0)</f>
        <v>402.06618210156216</v>
      </c>
      <c r="CN29" s="20">
        <f>IF(Calc_Volume!CN14&gt;0,CN25*1000/Calc_Volume!CN14,0)</f>
        <v>402.06618210156216</v>
      </c>
      <c r="CO29" s="20">
        <f>IF(Calc_Volume!CO14&gt;0,CO25*1000/Calc_Volume!CO14,0)</f>
        <v>402.06618210156233</v>
      </c>
      <c r="CP29" s="20">
        <f>IF(Calc_Volume!CP14&gt;0,CP25*1000/Calc_Volume!CP14,0)</f>
        <v>402.06618210156233</v>
      </c>
      <c r="CQ29" s="20">
        <f>IF(Calc_Volume!CQ14&gt;0,CQ25*1000/Calc_Volume!CQ14,0)</f>
        <v>402.06618210156216</v>
      </c>
      <c r="CR29" s="20">
        <f>IF(Calc_Volume!CR14&gt;0,CR25*1000/Calc_Volume!CR14,0)</f>
        <v>402.06618210156228</v>
      </c>
      <c r="CS29" s="20">
        <f>IF(Calc_Volume!CS14&gt;0,CS25*1000/Calc_Volume!CS14,0)</f>
        <v>402.06618210156233</v>
      </c>
      <c r="CT29" s="20">
        <f>IF(Calc_Volume!CT14&gt;0,CT25*1000/Calc_Volume!CT14,0)</f>
        <v>418.11614477910138</v>
      </c>
      <c r="CU29" s="20">
        <f>IF(Calc_Volume!CU14&gt;0,CU25*1000/Calc_Volume!CU14,0)</f>
        <v>418.11614477910126</v>
      </c>
      <c r="CV29" s="20">
        <f>IF(Calc_Volume!CV14&gt;0,CV25*1000/Calc_Volume!CV14,0)</f>
        <v>418.11614477910126</v>
      </c>
      <c r="CW29" s="20">
        <f>IF(Calc_Volume!CW14&gt;0,CW25*1000/Calc_Volume!CW14,0)</f>
        <v>418.11614477910132</v>
      </c>
      <c r="CX29" s="20">
        <f>IF(Calc_Volume!CX14&gt;0,CX25*1000/Calc_Volume!CX14,0)</f>
        <v>418.11614477910138</v>
      </c>
      <c r="CY29" s="20">
        <f>IF(Calc_Volume!CY14&gt;0,CY25*1000/Calc_Volume!CY14,0)</f>
        <v>418.11614477910115</v>
      </c>
      <c r="CZ29" s="20">
        <f>IF(Calc_Volume!CZ14&gt;0,CZ25*1000/Calc_Volume!CZ14,0)</f>
        <v>418.11614477910115</v>
      </c>
      <c r="DA29" s="20">
        <f>IF(Calc_Volume!DA14&gt;0,DA25*1000/Calc_Volume!DA14,0)</f>
        <v>418.11614477910138</v>
      </c>
      <c r="DB29" s="20">
        <f>IF(Calc_Volume!DB14&gt;0,DB25*1000/Calc_Volume!DB14,0)</f>
        <v>418.11614477910121</v>
      </c>
      <c r="DC29" s="20">
        <f>IF(Calc_Volume!DC14&gt;0,DC25*1000/Calc_Volume!DC14,0)</f>
        <v>418.11614477910115</v>
      </c>
      <c r="DD29" s="20">
        <f>IF(Calc_Volume!DD14&gt;0,DD25*1000/Calc_Volume!DD14,0)</f>
        <v>418.11614477910138</v>
      </c>
      <c r="DE29" s="20">
        <f>IF(Calc_Volume!DE14&gt;0,DE25*1000/Calc_Volume!DE14,0)</f>
        <v>418.11614477910115</v>
      </c>
      <c r="DF29" s="20">
        <f>IF(Calc_Volume!DF14&gt;0,DF25*1000/Calc_Volume!DF14,0)</f>
        <v>434.56735652357855</v>
      </c>
      <c r="DG29" s="20">
        <f>IF(Calc_Volume!DG14&gt;0,DG25*1000/Calc_Volume!DG14,0)</f>
        <v>434.56735652357872</v>
      </c>
      <c r="DH29" s="20">
        <f>IF(Calc_Volume!DH14&gt;0,DH25*1000/Calc_Volume!DH14,0)</f>
        <v>434.56735652357872</v>
      </c>
      <c r="DI29" s="20">
        <f>IF(Calc_Volume!DI14&gt;0,DI25*1000/Calc_Volume!DI14,0)</f>
        <v>434.56735652357878</v>
      </c>
      <c r="DJ29" s="20">
        <f>IF(Calc_Volume!DJ14&gt;0,DJ25*1000/Calc_Volume!DJ14,0)</f>
        <v>434.56735652357872</v>
      </c>
      <c r="DK29" s="20">
        <f>IF(Calc_Volume!DK14&gt;0,DK25*1000/Calc_Volume!DK14,0)</f>
        <v>434.56735652357878</v>
      </c>
      <c r="DL29" s="20">
        <f>IF(Calc_Volume!DL14&gt;0,DL25*1000/Calc_Volume!DL14,0)</f>
        <v>434.56735652357878</v>
      </c>
      <c r="DM29" s="20">
        <f>IF(Calc_Volume!DM14&gt;0,DM25*1000/Calc_Volume!DM14,0)</f>
        <v>434.56735652357872</v>
      </c>
      <c r="DN29" s="20">
        <f>IF(Calc_Volume!DN14&gt;0,DN25*1000/Calc_Volume!DN14,0)</f>
        <v>434.56735652357884</v>
      </c>
      <c r="DO29" s="20">
        <f>IF(Calc_Volume!DO14&gt;0,DO25*1000/Calc_Volume!DO14,0)</f>
        <v>434.56735652357867</v>
      </c>
      <c r="DP29" s="20">
        <f>IF(Calc_Volume!DP14&gt;0,DP25*1000/Calc_Volume!DP14,0)</f>
        <v>434.56735652357855</v>
      </c>
      <c r="DQ29" s="20">
        <f>IF(Calc_Volume!DQ14&gt;0,DQ25*1000/Calc_Volume!DQ14,0)</f>
        <v>434.56735652357884</v>
      </c>
    </row>
    <row r="30" spans="1:121" ht="15" customHeight="1">
      <c r="A30" t="s">
        <v>438</v>
      </c>
      <c r="B30" s="20">
        <f>IF(Calc_Volume!B14&gt;0,B22*1000/Calc_Volume!B14,0)</f>
        <v>239.93232499999996</v>
      </c>
      <c r="C30" s="20">
        <f>IF(Calc_Volume!C14&gt;0,C22*1000/Calc_Volume!C14,0)</f>
        <v>239.93232499999999</v>
      </c>
      <c r="D30" s="20">
        <f>IF(Calc_Volume!D14&gt;0,D22*1000/Calc_Volume!D14,0)</f>
        <v>239.93232499999999</v>
      </c>
      <c r="E30" s="20">
        <f>IF(Calc_Volume!E14&gt;0,E22*1000/Calc_Volume!E14,0)</f>
        <v>239.93232499999999</v>
      </c>
      <c r="F30" s="20">
        <f>IF(Calc_Volume!F14&gt;0,F22*1000/Calc_Volume!F14,0)</f>
        <v>239.93232499999999</v>
      </c>
      <c r="G30" s="20">
        <f>IF(Calc_Volume!G14&gt;0,G22*1000/Calc_Volume!G14,0)</f>
        <v>239.93232500000002</v>
      </c>
      <c r="H30" s="20">
        <f>IF(Calc_Volume!H14&gt;0,H22*1000/Calc_Volume!H14,0)</f>
        <v>239.93232500000002</v>
      </c>
      <c r="I30" s="20">
        <f>IF(Calc_Volume!I14&gt;0,I22*1000/Calc_Volume!I14,0)</f>
        <v>239.93232499999999</v>
      </c>
      <c r="J30" s="20">
        <f>IF(Calc_Volume!J14&gt;0,J22*1000/Calc_Volume!J14,0)</f>
        <v>239.93232499999999</v>
      </c>
      <c r="K30" s="20">
        <f>IF(Calc_Volume!K14&gt;0,K22*1000/Calc_Volume!K14,0)</f>
        <v>239.93232499999999</v>
      </c>
      <c r="L30" s="20">
        <f>IF(Calc_Volume!L14&gt;0,L22*1000/Calc_Volume!L14,0)</f>
        <v>239.93232499999996</v>
      </c>
      <c r="M30" s="20">
        <f>IF(Calc_Volume!M14&gt;0,M22*1000/Calc_Volume!M14,0)</f>
        <v>239.93232499999999</v>
      </c>
      <c r="N30" s="20">
        <f>IF(Calc_Volume!N14&gt;0,N22*1000/Calc_Volume!N14,0)</f>
        <v>239.93232499999996</v>
      </c>
      <c r="O30" s="20">
        <f>IF(Calc_Volume!O14&gt;0,O22*1000/Calc_Volume!O14,0)</f>
        <v>239.93232500000002</v>
      </c>
      <c r="P30" s="20">
        <f>IF(Calc_Volume!P14&gt;0,P22*1000/Calc_Volume!P14,0)</f>
        <v>239.93232500000002</v>
      </c>
      <c r="Q30" s="20">
        <f>IF(Calc_Volume!Q14&gt;0,Q22*1000/Calc_Volume!Q14,0)</f>
        <v>239.93232500000002</v>
      </c>
      <c r="R30" s="20">
        <f>IF(Calc_Volume!R14&gt;0,R22*1000/Calc_Volume!R14,0)</f>
        <v>239.93232500000002</v>
      </c>
      <c r="S30" s="20">
        <f>IF(Calc_Volume!S14&gt;0,S22*1000/Calc_Volume!S14,0)</f>
        <v>239.93232500000005</v>
      </c>
      <c r="T30" s="20">
        <f>IF(Calc_Volume!T14&gt;0,T22*1000/Calc_Volume!T14,0)</f>
        <v>239.93232500000005</v>
      </c>
      <c r="U30" s="20">
        <f>IF(Calc_Volume!U14&gt;0,U22*1000/Calc_Volume!U14,0)</f>
        <v>239.93232500000002</v>
      </c>
      <c r="V30" s="20">
        <f>IF(Calc_Volume!V14&gt;0,V22*1000/Calc_Volume!V14,0)</f>
        <v>239.93232500000002</v>
      </c>
      <c r="W30" s="20">
        <f>IF(Calc_Volume!W14&gt;0,W22*1000/Calc_Volume!W14,0)</f>
        <v>239.93232499999999</v>
      </c>
      <c r="X30" s="20">
        <f>IF(Calc_Volume!X14&gt;0,X22*1000/Calc_Volume!X14,0)</f>
        <v>239.93232499999996</v>
      </c>
      <c r="Y30" s="20">
        <f>IF(Calc_Volume!Y14&gt;0,Y22*1000/Calc_Volume!Y14,0)</f>
        <v>239.93232500000002</v>
      </c>
      <c r="Z30" s="20">
        <f>IF(Calc_Volume!Z14&gt;0,Z22*1000/Calc_Volume!Z14,0)</f>
        <v>239.93232499999999</v>
      </c>
      <c r="AA30" s="20">
        <f>IF(Calc_Volume!AA14&gt;0,AA22*1000/Calc_Volume!AA14,0)</f>
        <v>239.93232499999999</v>
      </c>
      <c r="AB30" s="20">
        <f>IF(Calc_Volume!AB14&gt;0,AB22*1000/Calc_Volume!AB14,0)</f>
        <v>239.93232499999999</v>
      </c>
      <c r="AC30" s="20">
        <f>IF(Calc_Volume!AC14&gt;0,AC22*1000/Calc_Volume!AC14,0)</f>
        <v>239.93232500000002</v>
      </c>
      <c r="AD30" s="20">
        <f>IF(Calc_Volume!AD14&gt;0,AD22*1000/Calc_Volume!AD14,0)</f>
        <v>239.93232499999999</v>
      </c>
      <c r="AE30" s="20">
        <f>IF(Calc_Volume!AE14&gt;0,AE22*1000/Calc_Volume!AE14,0)</f>
        <v>239.93232499999999</v>
      </c>
      <c r="AF30" s="20">
        <f>IF(Calc_Volume!AF14&gt;0,AF22*1000/Calc_Volume!AF14,0)</f>
        <v>239.93232499999999</v>
      </c>
      <c r="AG30" s="20">
        <f>IF(Calc_Volume!AG14&gt;0,AG22*1000/Calc_Volume!AG14,0)</f>
        <v>239.93232499999999</v>
      </c>
      <c r="AH30" s="20">
        <f>IF(Calc_Volume!AH14&gt;0,AH22*1000/Calc_Volume!AH14,0)</f>
        <v>239.93232500000002</v>
      </c>
      <c r="AI30" s="20">
        <f>IF(Calc_Volume!AI14&gt;0,AI22*1000/Calc_Volume!AI14,0)</f>
        <v>239.93232499999999</v>
      </c>
      <c r="AJ30" s="20">
        <f>IF(Calc_Volume!AJ14&gt;0,AJ22*1000/Calc_Volume!AJ14,0)</f>
        <v>239.93232499999999</v>
      </c>
      <c r="AK30" s="20">
        <f>IF(Calc_Volume!AK14&gt;0,AK22*1000/Calc_Volume!AK14,0)</f>
        <v>239.93232499999996</v>
      </c>
      <c r="AL30" s="20">
        <f>IF(Calc_Volume!AL14&gt;0,AL22*1000/Calc_Volume!AL14,0)</f>
        <v>239.93232500000002</v>
      </c>
      <c r="AM30" s="20">
        <f>IF(Calc_Volume!AM14&gt;0,AM22*1000/Calc_Volume!AM14,0)</f>
        <v>239.93232500000002</v>
      </c>
      <c r="AN30" s="20">
        <f>IF(Calc_Volume!AN14&gt;0,AN22*1000/Calc_Volume!AN14,0)</f>
        <v>239.93232499999999</v>
      </c>
      <c r="AO30" s="20">
        <f>IF(Calc_Volume!AO14&gt;0,AO22*1000/Calc_Volume!AO14,0)</f>
        <v>239.93232500000002</v>
      </c>
      <c r="AP30" s="20">
        <f>IF(Calc_Volume!AP14&gt;0,AP22*1000/Calc_Volume!AP14,0)</f>
        <v>239.93232500000002</v>
      </c>
      <c r="AQ30" s="20">
        <f>IF(Calc_Volume!AQ14&gt;0,AQ22*1000/Calc_Volume!AQ14,0)</f>
        <v>239.93232500000002</v>
      </c>
      <c r="AR30" s="20">
        <f>IF(Calc_Volume!AR14&gt;0,AR22*1000/Calc_Volume!AR14,0)</f>
        <v>239.93232500000002</v>
      </c>
      <c r="AS30" s="20">
        <f>IF(Calc_Volume!AS14&gt;0,AS22*1000/Calc_Volume!AS14,0)</f>
        <v>239.93232500000002</v>
      </c>
      <c r="AT30" s="20">
        <f>IF(Calc_Volume!AT14&gt;0,AT22*1000/Calc_Volume!AT14,0)</f>
        <v>239.93232499999999</v>
      </c>
      <c r="AU30" s="20">
        <f>IF(Calc_Volume!AU14&gt;0,AU22*1000/Calc_Volume!AU14,0)</f>
        <v>239.93232500000002</v>
      </c>
      <c r="AV30" s="20">
        <f>IF(Calc_Volume!AV14&gt;0,AV22*1000/Calc_Volume!AV14,0)</f>
        <v>239.93232500000002</v>
      </c>
      <c r="AW30" s="20">
        <f>IF(Calc_Volume!AW14&gt;0,AW22*1000/Calc_Volume!AW14,0)</f>
        <v>239.93232499999999</v>
      </c>
      <c r="AX30" s="20">
        <f>IF(Calc_Volume!AX14&gt;0,AX22*1000/Calc_Volume!AX14,0)</f>
        <v>239.93232499999999</v>
      </c>
      <c r="AY30" s="20">
        <f>IF(Calc_Volume!AY14&gt;0,AY22*1000/Calc_Volume!AY14,0)</f>
        <v>239.93232500000005</v>
      </c>
      <c r="AZ30" s="20">
        <f>IF(Calc_Volume!AZ14&gt;0,AZ22*1000/Calc_Volume!AZ14,0)</f>
        <v>239.93232500000005</v>
      </c>
      <c r="BA30" s="20">
        <f>IF(Calc_Volume!BA14&gt;0,BA22*1000/Calc_Volume!BA14,0)</f>
        <v>239.93232499999999</v>
      </c>
      <c r="BB30" s="20">
        <f>IF(Calc_Volume!BB14&gt;0,BB22*1000/Calc_Volume!BB14,0)</f>
        <v>239.93232500000002</v>
      </c>
      <c r="BC30" s="20">
        <f>IF(Calc_Volume!BC14&gt;0,BC22*1000/Calc_Volume!BC14,0)</f>
        <v>239.93232500000002</v>
      </c>
      <c r="BD30" s="20">
        <f>IF(Calc_Volume!BD14&gt;0,BD22*1000/Calc_Volume!BD14,0)</f>
        <v>239.93232500000002</v>
      </c>
      <c r="BE30" s="20">
        <f>IF(Calc_Volume!BE14&gt;0,BE22*1000/Calc_Volume!BE14,0)</f>
        <v>239.93232500000002</v>
      </c>
      <c r="BF30" s="20">
        <f>IF(Calc_Volume!BF14&gt;0,BF22*1000/Calc_Volume!BF14,0)</f>
        <v>239.93232500000008</v>
      </c>
      <c r="BG30" s="20">
        <f>IF(Calc_Volume!BG14&gt;0,BG22*1000/Calc_Volume!BG14,0)</f>
        <v>239.93232500000002</v>
      </c>
      <c r="BH30" s="20">
        <f>IF(Calc_Volume!BH14&gt;0,BH22*1000/Calc_Volume!BH14,0)</f>
        <v>239.93232499999999</v>
      </c>
      <c r="BI30" s="20">
        <f>IF(Calc_Volume!BI14&gt;0,BI22*1000/Calc_Volume!BI14,0)</f>
        <v>239.93232500000002</v>
      </c>
      <c r="BJ30" s="20">
        <f>IF(Calc_Volume!BJ14&gt;0,BJ22*1000/Calc_Volume!BJ14,0)</f>
        <v>239.93232500000002</v>
      </c>
      <c r="BK30" s="20">
        <f>IF(Calc_Volume!BK14&gt;0,BK22*1000/Calc_Volume!BK14,0)</f>
        <v>239.93232499999996</v>
      </c>
      <c r="BL30" s="20">
        <f>IF(Calc_Volume!BL14&gt;0,BL22*1000/Calc_Volume!BL14,0)</f>
        <v>239.93232499999999</v>
      </c>
      <c r="BM30" s="20">
        <f>IF(Calc_Volume!BM14&gt;0,BM22*1000/Calc_Volume!BM14,0)</f>
        <v>239.93232500000005</v>
      </c>
      <c r="BN30" s="20">
        <f>IF(Calc_Volume!BN14&gt;0,BN22*1000/Calc_Volume!BN14,0)</f>
        <v>239.93232499999993</v>
      </c>
      <c r="BO30" s="20">
        <f>IF(Calc_Volume!BO14&gt;0,BO22*1000/Calc_Volume!BO14,0)</f>
        <v>239.93232499999999</v>
      </c>
      <c r="BP30" s="20">
        <f>IF(Calc_Volume!BP14&gt;0,BP22*1000/Calc_Volume!BP14,0)</f>
        <v>239.93232499999999</v>
      </c>
      <c r="BQ30" s="20">
        <f>IF(Calc_Volume!BQ14&gt;0,BQ22*1000/Calc_Volume!BQ14,0)</f>
        <v>239.93232499999993</v>
      </c>
      <c r="BR30" s="20">
        <f>IF(Calc_Volume!BR14&gt;0,BR22*1000/Calc_Volume!BR14,0)</f>
        <v>239.93232499999996</v>
      </c>
      <c r="BS30" s="20">
        <f>IF(Calc_Volume!BS14&gt;0,BS22*1000/Calc_Volume!BS14,0)</f>
        <v>239.93232500000005</v>
      </c>
      <c r="BT30" s="20">
        <f>IF(Calc_Volume!BT14&gt;0,BT22*1000/Calc_Volume!BT14,0)</f>
        <v>239.93232500000002</v>
      </c>
      <c r="BU30" s="20">
        <f>IF(Calc_Volume!BU14&gt;0,BU22*1000/Calc_Volume!BU14,0)</f>
        <v>239.93232499999999</v>
      </c>
      <c r="BV30" s="20">
        <f>IF(Calc_Volume!BV14&gt;0,BV22*1000/Calc_Volume!BV14,0)</f>
        <v>239.93232500000002</v>
      </c>
      <c r="BW30" s="20">
        <f>IF(Calc_Volume!BW14&gt;0,BW22*1000/Calc_Volume!BW14,0)</f>
        <v>239.93232500000002</v>
      </c>
      <c r="BX30" s="20">
        <f>IF(Calc_Volume!BX14&gt;0,BX22*1000/Calc_Volume!BX14,0)</f>
        <v>239.93232500000002</v>
      </c>
      <c r="BY30" s="20">
        <f>IF(Calc_Volume!BY14&gt;0,BY22*1000/Calc_Volume!BY14,0)</f>
        <v>239.93232500000002</v>
      </c>
      <c r="BZ30" s="20">
        <f>IF(Calc_Volume!BZ14&gt;0,BZ22*1000/Calc_Volume!BZ14,0)</f>
        <v>239.93232499999996</v>
      </c>
      <c r="CA30" s="20">
        <f>IF(Calc_Volume!CA14&gt;0,CA22*1000/Calc_Volume!CA14,0)</f>
        <v>239.93232500000002</v>
      </c>
      <c r="CB30" s="20">
        <f>IF(Calc_Volume!CB14&gt;0,CB22*1000/Calc_Volume!CB14,0)</f>
        <v>239.93232500000002</v>
      </c>
      <c r="CC30" s="20">
        <f>IF(Calc_Volume!CC14&gt;0,CC22*1000/Calc_Volume!CC14,0)</f>
        <v>239.93232499999996</v>
      </c>
      <c r="CD30" s="20">
        <f>IF(Calc_Volume!CD14&gt;0,CD22*1000/Calc_Volume!CD14,0)</f>
        <v>239.93232499999996</v>
      </c>
      <c r="CE30" s="20">
        <f>IF(Calc_Volume!CE14&gt;0,CE22*1000/Calc_Volume!CE14,0)</f>
        <v>239.93232499999999</v>
      </c>
      <c r="CF30" s="20">
        <f>IF(Calc_Volume!CF14&gt;0,CF22*1000/Calc_Volume!CF14,0)</f>
        <v>239.93232500000002</v>
      </c>
      <c r="CG30" s="20">
        <f>IF(Calc_Volume!CG14&gt;0,CG22*1000/Calc_Volume!CG14,0)</f>
        <v>239.93232500000002</v>
      </c>
      <c r="CH30" s="20">
        <f>IF(Calc_Volume!CH14&gt;0,CH22*1000/Calc_Volume!CH14,0)</f>
        <v>239.93232499999996</v>
      </c>
      <c r="CI30" s="20">
        <f>IF(Calc_Volume!CI14&gt;0,CI22*1000/Calc_Volume!CI14,0)</f>
        <v>239.93232499999999</v>
      </c>
      <c r="CJ30" s="20">
        <f>IF(Calc_Volume!CJ14&gt;0,CJ22*1000/Calc_Volume!CJ14,0)</f>
        <v>239.93232499999996</v>
      </c>
      <c r="CK30" s="20">
        <f>IF(Calc_Volume!CK14&gt;0,CK22*1000/Calc_Volume!CK14,0)</f>
        <v>239.93232499999999</v>
      </c>
      <c r="CL30" s="20">
        <f>IF(Calc_Volume!CL14&gt;0,CL22*1000/Calc_Volume!CL14,0)</f>
        <v>239.93232499999999</v>
      </c>
      <c r="CM30" s="20">
        <f>IF(Calc_Volume!CM14&gt;0,CM22*1000/Calc_Volume!CM14,0)</f>
        <v>239.93232499999999</v>
      </c>
      <c r="CN30" s="20">
        <f>IF(Calc_Volume!CN14&gt;0,CN22*1000/Calc_Volume!CN14,0)</f>
        <v>239.93232499999999</v>
      </c>
      <c r="CO30" s="20">
        <f>IF(Calc_Volume!CO14&gt;0,CO22*1000/Calc_Volume!CO14,0)</f>
        <v>239.93232499999999</v>
      </c>
      <c r="CP30" s="20">
        <f>IF(Calc_Volume!CP14&gt;0,CP22*1000/Calc_Volume!CP14,0)</f>
        <v>239.93232499999999</v>
      </c>
      <c r="CQ30" s="20">
        <f>IF(Calc_Volume!CQ14&gt;0,CQ22*1000/Calc_Volume!CQ14,0)</f>
        <v>239.93232499999999</v>
      </c>
      <c r="CR30" s="20">
        <f>IF(Calc_Volume!CR14&gt;0,CR22*1000/Calc_Volume!CR14,0)</f>
        <v>239.93232499999996</v>
      </c>
      <c r="CS30" s="20">
        <f>IF(Calc_Volume!CS14&gt;0,CS22*1000/Calc_Volume!CS14,0)</f>
        <v>239.93232499999999</v>
      </c>
      <c r="CT30" s="20">
        <f>IF(Calc_Volume!CT14&gt;0,CT22*1000/Calc_Volume!CT14,0)</f>
        <v>239.93232499999999</v>
      </c>
      <c r="CU30" s="20">
        <f>IF(Calc_Volume!CU14&gt;0,CU22*1000/Calc_Volume!CU14,0)</f>
        <v>239.93232499999996</v>
      </c>
      <c r="CV30" s="20">
        <f>IF(Calc_Volume!CV14&gt;0,CV22*1000/Calc_Volume!CV14,0)</f>
        <v>239.93232500000002</v>
      </c>
      <c r="CW30" s="20">
        <f>IF(Calc_Volume!CW14&gt;0,CW22*1000/Calc_Volume!CW14,0)</f>
        <v>239.93232500000002</v>
      </c>
      <c r="CX30" s="20">
        <f>IF(Calc_Volume!CX14&gt;0,CX22*1000/Calc_Volume!CX14,0)</f>
        <v>239.93232500000002</v>
      </c>
      <c r="CY30" s="20">
        <f>IF(Calc_Volume!CY14&gt;0,CY22*1000/Calc_Volume!CY14,0)</f>
        <v>239.93232499999999</v>
      </c>
      <c r="CZ30" s="20">
        <f>IF(Calc_Volume!CZ14&gt;0,CZ22*1000/Calc_Volume!CZ14,0)</f>
        <v>239.93232499999999</v>
      </c>
      <c r="DA30" s="20">
        <f>IF(Calc_Volume!DA14&gt;0,DA22*1000/Calc_Volume!DA14,0)</f>
        <v>239.93232500000002</v>
      </c>
      <c r="DB30" s="20">
        <f>IF(Calc_Volume!DB14&gt;0,DB22*1000/Calc_Volume!DB14,0)</f>
        <v>239.93232499999999</v>
      </c>
      <c r="DC30" s="20">
        <f>IF(Calc_Volume!DC14&gt;0,DC22*1000/Calc_Volume!DC14,0)</f>
        <v>239.93232500000002</v>
      </c>
      <c r="DD30" s="20">
        <f>IF(Calc_Volume!DD14&gt;0,DD22*1000/Calc_Volume!DD14,0)</f>
        <v>239.93232499999999</v>
      </c>
      <c r="DE30" s="20">
        <f>IF(Calc_Volume!DE14&gt;0,DE22*1000/Calc_Volume!DE14,0)</f>
        <v>239.93232500000008</v>
      </c>
      <c r="DF30" s="20">
        <f>IF(Calc_Volume!DF14&gt;0,DF22*1000/Calc_Volume!DF14,0)</f>
        <v>239.93232499999999</v>
      </c>
      <c r="DG30" s="20">
        <f>IF(Calc_Volume!DG14&gt;0,DG22*1000/Calc_Volume!DG14,0)</f>
        <v>239.93232499999999</v>
      </c>
      <c r="DH30" s="20">
        <f>IF(Calc_Volume!DH14&gt;0,DH22*1000/Calc_Volume!DH14,0)</f>
        <v>239.93232500000002</v>
      </c>
      <c r="DI30" s="20">
        <f>IF(Calc_Volume!DI14&gt;0,DI22*1000/Calc_Volume!DI14,0)</f>
        <v>239.93232500000002</v>
      </c>
      <c r="DJ30" s="20">
        <f>IF(Calc_Volume!DJ14&gt;0,DJ22*1000/Calc_Volume!DJ14,0)</f>
        <v>239.93232500000005</v>
      </c>
      <c r="DK30" s="20">
        <f>IF(Calc_Volume!DK14&gt;0,DK22*1000/Calc_Volume!DK14,0)</f>
        <v>239.93232499999996</v>
      </c>
      <c r="DL30" s="20">
        <f>IF(Calc_Volume!DL14&gt;0,DL22*1000/Calc_Volume!DL14,0)</f>
        <v>239.93232499999996</v>
      </c>
      <c r="DM30" s="20">
        <f>IF(Calc_Volume!DM14&gt;0,DM22*1000/Calc_Volume!DM14,0)</f>
        <v>239.93232500000005</v>
      </c>
      <c r="DN30" s="20">
        <f>IF(Calc_Volume!DN14&gt;0,DN22*1000/Calc_Volume!DN14,0)</f>
        <v>239.93232499999999</v>
      </c>
      <c r="DO30" s="20">
        <f>IF(Calc_Volume!DO14&gt;0,DO22*1000/Calc_Volume!DO14,0)</f>
        <v>239.93232499999999</v>
      </c>
      <c r="DP30" s="20">
        <f>IF(Calc_Volume!DP14&gt;0,DP22*1000/Calc_Volume!DP14,0)</f>
        <v>239.93232499999999</v>
      </c>
      <c r="DQ30" s="20">
        <f>IF(Calc_Volume!DQ14&gt;0,DQ22*1000/Calc_Volume!DQ14,0)</f>
        <v>239.93232500000002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Q32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439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5" spans="1:121" ht="15" customHeight="1">
      <c r="A5" t="s">
        <v>440</v>
      </c>
      <c r="B5" s="28">
        <v>1</v>
      </c>
      <c r="C5" s="28">
        <f t="shared" ref="C5:M5" si="0">B5</f>
        <v>1</v>
      </c>
      <c r="D5" s="28">
        <f t="shared" si="0"/>
        <v>1</v>
      </c>
      <c r="E5" s="28">
        <f t="shared" si="0"/>
        <v>1</v>
      </c>
      <c r="F5" s="28">
        <f t="shared" si="0"/>
        <v>1</v>
      </c>
      <c r="G5" s="28">
        <f t="shared" si="0"/>
        <v>1</v>
      </c>
      <c r="H5" s="28">
        <f t="shared" si="0"/>
        <v>1</v>
      </c>
      <c r="I5" s="28">
        <f t="shared" si="0"/>
        <v>1</v>
      </c>
      <c r="J5" s="28">
        <f t="shared" si="0"/>
        <v>1</v>
      </c>
      <c r="K5" s="28">
        <f t="shared" si="0"/>
        <v>1</v>
      </c>
      <c r="L5" s="28">
        <f t="shared" si="0"/>
        <v>1</v>
      </c>
      <c r="M5" s="28">
        <f t="shared" si="0"/>
        <v>1</v>
      </c>
      <c r="N5" s="28">
        <f>M5*(1+INDEX(Assum_Costs!$C$47:$C$49,Control!$D$5,1))</f>
        <v>1.0249999999999999</v>
      </c>
      <c r="O5" s="28">
        <f t="shared" ref="O5:Y5" si="1">N5</f>
        <v>1.0249999999999999</v>
      </c>
      <c r="P5" s="28">
        <f t="shared" si="1"/>
        <v>1.0249999999999999</v>
      </c>
      <c r="Q5" s="28">
        <f t="shared" si="1"/>
        <v>1.0249999999999999</v>
      </c>
      <c r="R5" s="28">
        <f t="shared" si="1"/>
        <v>1.0249999999999999</v>
      </c>
      <c r="S5" s="28">
        <f t="shared" si="1"/>
        <v>1.0249999999999999</v>
      </c>
      <c r="T5" s="28">
        <f t="shared" si="1"/>
        <v>1.0249999999999999</v>
      </c>
      <c r="U5" s="28">
        <f t="shared" si="1"/>
        <v>1.0249999999999999</v>
      </c>
      <c r="V5" s="28">
        <f t="shared" si="1"/>
        <v>1.0249999999999999</v>
      </c>
      <c r="W5" s="28">
        <f t="shared" si="1"/>
        <v>1.0249999999999999</v>
      </c>
      <c r="X5" s="28">
        <f t="shared" si="1"/>
        <v>1.0249999999999999</v>
      </c>
      <c r="Y5" s="28">
        <f t="shared" si="1"/>
        <v>1.0249999999999999</v>
      </c>
      <c r="Z5" s="28">
        <f>Y5*(1+INDEX(Assum_Costs!$C$47:$C$49,Control!$D$5,1))</f>
        <v>1.0506249999999999</v>
      </c>
      <c r="AA5" s="28">
        <f t="shared" ref="AA5:AK5" si="2">Z5</f>
        <v>1.0506249999999999</v>
      </c>
      <c r="AB5" s="28">
        <f t="shared" si="2"/>
        <v>1.0506249999999999</v>
      </c>
      <c r="AC5" s="28">
        <f t="shared" si="2"/>
        <v>1.0506249999999999</v>
      </c>
      <c r="AD5" s="28">
        <f t="shared" si="2"/>
        <v>1.0506249999999999</v>
      </c>
      <c r="AE5" s="28">
        <f t="shared" si="2"/>
        <v>1.0506249999999999</v>
      </c>
      <c r="AF5" s="28">
        <f t="shared" si="2"/>
        <v>1.0506249999999999</v>
      </c>
      <c r="AG5" s="28">
        <f t="shared" si="2"/>
        <v>1.0506249999999999</v>
      </c>
      <c r="AH5" s="28">
        <f t="shared" si="2"/>
        <v>1.0506249999999999</v>
      </c>
      <c r="AI5" s="28">
        <f t="shared" si="2"/>
        <v>1.0506249999999999</v>
      </c>
      <c r="AJ5" s="28">
        <f t="shared" si="2"/>
        <v>1.0506249999999999</v>
      </c>
      <c r="AK5" s="28">
        <f t="shared" si="2"/>
        <v>1.0506249999999999</v>
      </c>
      <c r="AL5" s="28">
        <f>AK5*(1+INDEX(Assum_Costs!$C$47:$C$49,Control!$D$5,1))</f>
        <v>1.0768906249999999</v>
      </c>
      <c r="AM5" s="28">
        <f t="shared" ref="AM5:AW5" si="3">AL5</f>
        <v>1.0768906249999999</v>
      </c>
      <c r="AN5" s="28">
        <f t="shared" si="3"/>
        <v>1.0768906249999999</v>
      </c>
      <c r="AO5" s="28">
        <f t="shared" si="3"/>
        <v>1.0768906249999999</v>
      </c>
      <c r="AP5" s="28">
        <f t="shared" si="3"/>
        <v>1.0768906249999999</v>
      </c>
      <c r="AQ5" s="28">
        <f t="shared" si="3"/>
        <v>1.0768906249999999</v>
      </c>
      <c r="AR5" s="28">
        <f t="shared" si="3"/>
        <v>1.0768906249999999</v>
      </c>
      <c r="AS5" s="28">
        <f t="shared" si="3"/>
        <v>1.0768906249999999</v>
      </c>
      <c r="AT5" s="28">
        <f t="shared" si="3"/>
        <v>1.0768906249999999</v>
      </c>
      <c r="AU5" s="28">
        <f t="shared" si="3"/>
        <v>1.0768906249999999</v>
      </c>
      <c r="AV5" s="28">
        <f t="shared" si="3"/>
        <v>1.0768906249999999</v>
      </c>
      <c r="AW5" s="28">
        <f t="shared" si="3"/>
        <v>1.0768906249999999</v>
      </c>
      <c r="AX5" s="28">
        <f>AW5*(1+INDEX(Assum_Costs!$C$47:$C$49,Control!$D$5,1))</f>
        <v>1.1038128906249998</v>
      </c>
      <c r="AY5" s="28">
        <f t="shared" ref="AY5:BI5" si="4">AX5</f>
        <v>1.1038128906249998</v>
      </c>
      <c r="AZ5" s="28">
        <f t="shared" si="4"/>
        <v>1.1038128906249998</v>
      </c>
      <c r="BA5" s="28">
        <f t="shared" si="4"/>
        <v>1.1038128906249998</v>
      </c>
      <c r="BB5" s="28">
        <f t="shared" si="4"/>
        <v>1.1038128906249998</v>
      </c>
      <c r="BC5" s="28">
        <f t="shared" si="4"/>
        <v>1.1038128906249998</v>
      </c>
      <c r="BD5" s="28">
        <f t="shared" si="4"/>
        <v>1.1038128906249998</v>
      </c>
      <c r="BE5" s="28">
        <f t="shared" si="4"/>
        <v>1.1038128906249998</v>
      </c>
      <c r="BF5" s="28">
        <f t="shared" si="4"/>
        <v>1.1038128906249998</v>
      </c>
      <c r="BG5" s="28">
        <f t="shared" si="4"/>
        <v>1.1038128906249998</v>
      </c>
      <c r="BH5" s="28">
        <f t="shared" si="4"/>
        <v>1.1038128906249998</v>
      </c>
      <c r="BI5" s="28">
        <f t="shared" si="4"/>
        <v>1.1038128906249998</v>
      </c>
      <c r="BJ5" s="28">
        <f>BI5*(1+INDEX(Assum_Costs!$C$47:$C$49,Control!$D$5,1))</f>
        <v>1.1314082128906247</v>
      </c>
      <c r="BK5" s="28">
        <f t="shared" ref="BK5:BU5" si="5">BJ5</f>
        <v>1.1314082128906247</v>
      </c>
      <c r="BL5" s="28">
        <f t="shared" si="5"/>
        <v>1.1314082128906247</v>
      </c>
      <c r="BM5" s="28">
        <f t="shared" si="5"/>
        <v>1.1314082128906247</v>
      </c>
      <c r="BN5" s="28">
        <f t="shared" si="5"/>
        <v>1.1314082128906247</v>
      </c>
      <c r="BO5" s="28">
        <f t="shared" si="5"/>
        <v>1.1314082128906247</v>
      </c>
      <c r="BP5" s="28">
        <f t="shared" si="5"/>
        <v>1.1314082128906247</v>
      </c>
      <c r="BQ5" s="28">
        <f t="shared" si="5"/>
        <v>1.1314082128906247</v>
      </c>
      <c r="BR5" s="28">
        <f t="shared" si="5"/>
        <v>1.1314082128906247</v>
      </c>
      <c r="BS5" s="28">
        <f t="shared" si="5"/>
        <v>1.1314082128906247</v>
      </c>
      <c r="BT5" s="28">
        <f t="shared" si="5"/>
        <v>1.1314082128906247</v>
      </c>
      <c r="BU5" s="28">
        <f t="shared" si="5"/>
        <v>1.1314082128906247</v>
      </c>
      <c r="BV5" s="28">
        <f>BU5*(1+INDEX(Assum_Costs!$C$47:$C$49,Control!$D$5,1))</f>
        <v>1.1596934182128902</v>
      </c>
      <c r="BW5" s="28">
        <f t="shared" ref="BW5:CG5" si="6">BV5</f>
        <v>1.1596934182128902</v>
      </c>
      <c r="BX5" s="28">
        <f t="shared" si="6"/>
        <v>1.1596934182128902</v>
      </c>
      <c r="BY5" s="28">
        <f t="shared" si="6"/>
        <v>1.1596934182128902</v>
      </c>
      <c r="BZ5" s="28">
        <f t="shared" si="6"/>
        <v>1.1596934182128902</v>
      </c>
      <c r="CA5" s="28">
        <f t="shared" si="6"/>
        <v>1.1596934182128902</v>
      </c>
      <c r="CB5" s="28">
        <f t="shared" si="6"/>
        <v>1.1596934182128902</v>
      </c>
      <c r="CC5" s="28">
        <f t="shared" si="6"/>
        <v>1.1596934182128902</v>
      </c>
      <c r="CD5" s="28">
        <f t="shared" si="6"/>
        <v>1.1596934182128902</v>
      </c>
      <c r="CE5" s="28">
        <f t="shared" si="6"/>
        <v>1.1596934182128902</v>
      </c>
      <c r="CF5" s="28">
        <f t="shared" si="6"/>
        <v>1.1596934182128902</v>
      </c>
      <c r="CG5" s="28">
        <f t="shared" si="6"/>
        <v>1.1596934182128902</v>
      </c>
      <c r="CH5" s="28">
        <f>CG5*(1+INDEX(Assum_Costs!$C$47:$C$49,Control!$D$5,1))</f>
        <v>1.1886857536682123</v>
      </c>
      <c r="CI5" s="28">
        <f t="shared" ref="CI5:CS5" si="7">CH5</f>
        <v>1.1886857536682123</v>
      </c>
      <c r="CJ5" s="28">
        <f t="shared" si="7"/>
        <v>1.1886857536682123</v>
      </c>
      <c r="CK5" s="28">
        <f t="shared" si="7"/>
        <v>1.1886857536682123</v>
      </c>
      <c r="CL5" s="28">
        <f t="shared" si="7"/>
        <v>1.1886857536682123</v>
      </c>
      <c r="CM5" s="28">
        <f t="shared" si="7"/>
        <v>1.1886857536682123</v>
      </c>
      <c r="CN5" s="28">
        <f t="shared" si="7"/>
        <v>1.1886857536682123</v>
      </c>
      <c r="CO5" s="28">
        <f t="shared" si="7"/>
        <v>1.1886857536682123</v>
      </c>
      <c r="CP5" s="28">
        <f t="shared" si="7"/>
        <v>1.1886857536682123</v>
      </c>
      <c r="CQ5" s="28">
        <f t="shared" si="7"/>
        <v>1.1886857536682123</v>
      </c>
      <c r="CR5" s="28">
        <f t="shared" si="7"/>
        <v>1.1886857536682123</v>
      </c>
      <c r="CS5" s="28">
        <f t="shared" si="7"/>
        <v>1.1886857536682123</v>
      </c>
      <c r="CT5" s="28">
        <f>CS5*(1+INDEX(Assum_Costs!$C$47:$C$49,Control!$D$5,1))</f>
        <v>1.2184028975099175</v>
      </c>
      <c r="CU5" s="28">
        <f t="shared" ref="CU5:DE5" si="8">CT5</f>
        <v>1.2184028975099175</v>
      </c>
      <c r="CV5" s="28">
        <f t="shared" si="8"/>
        <v>1.2184028975099175</v>
      </c>
      <c r="CW5" s="28">
        <f t="shared" si="8"/>
        <v>1.2184028975099175</v>
      </c>
      <c r="CX5" s="28">
        <f t="shared" si="8"/>
        <v>1.2184028975099175</v>
      </c>
      <c r="CY5" s="28">
        <f t="shared" si="8"/>
        <v>1.2184028975099175</v>
      </c>
      <c r="CZ5" s="28">
        <f t="shared" si="8"/>
        <v>1.2184028975099175</v>
      </c>
      <c r="DA5" s="28">
        <f t="shared" si="8"/>
        <v>1.2184028975099175</v>
      </c>
      <c r="DB5" s="28">
        <f t="shared" si="8"/>
        <v>1.2184028975099175</v>
      </c>
      <c r="DC5" s="28">
        <f t="shared" si="8"/>
        <v>1.2184028975099175</v>
      </c>
      <c r="DD5" s="28">
        <f t="shared" si="8"/>
        <v>1.2184028975099175</v>
      </c>
      <c r="DE5" s="28">
        <f t="shared" si="8"/>
        <v>1.2184028975099175</v>
      </c>
      <c r="DF5" s="28">
        <f>DE5*(1+INDEX(Assum_Costs!$C$47:$C$49,Control!$D$5,1))</f>
        <v>1.2488629699476652</v>
      </c>
      <c r="DG5" s="28">
        <f t="shared" ref="DG5:DQ5" si="9">DF5</f>
        <v>1.2488629699476652</v>
      </c>
      <c r="DH5" s="28">
        <f t="shared" si="9"/>
        <v>1.2488629699476652</v>
      </c>
      <c r="DI5" s="28">
        <f t="shared" si="9"/>
        <v>1.2488629699476652</v>
      </c>
      <c r="DJ5" s="28">
        <f t="shared" si="9"/>
        <v>1.2488629699476652</v>
      </c>
      <c r="DK5" s="28">
        <f t="shared" si="9"/>
        <v>1.2488629699476652</v>
      </c>
      <c r="DL5" s="28">
        <f t="shared" si="9"/>
        <v>1.2488629699476652</v>
      </c>
      <c r="DM5" s="28">
        <f t="shared" si="9"/>
        <v>1.2488629699476652</v>
      </c>
      <c r="DN5" s="28">
        <f t="shared" si="9"/>
        <v>1.2488629699476652</v>
      </c>
      <c r="DO5" s="28">
        <f t="shared" si="9"/>
        <v>1.2488629699476652</v>
      </c>
      <c r="DP5" s="28">
        <f t="shared" si="9"/>
        <v>1.2488629699476652</v>
      </c>
      <c r="DQ5" s="28">
        <f t="shared" si="9"/>
        <v>1.2488629699476652</v>
      </c>
    </row>
    <row r="7" spans="1:121" ht="15" customHeight="1">
      <c r="A7" s="5" t="s">
        <v>441</v>
      </c>
    </row>
    <row r="8" spans="1:121" ht="15" customHeight="1">
      <c r="A8" t="s">
        <v>298</v>
      </c>
      <c r="B8" s="22">
        <f>Calc_Volume!B14*Assum_Costs!$C$6*B5/1000</f>
        <v>919.99999999999989</v>
      </c>
      <c r="C8" s="22">
        <f>Calc_Volume!C14*Assum_Costs!$C$6*C5/1000</f>
        <v>880.00000000000011</v>
      </c>
      <c r="D8" s="22">
        <f>Calc_Volume!D14*Assum_Costs!$C$6*D5/1000</f>
        <v>800</v>
      </c>
      <c r="E8" s="22">
        <f>Calc_Volume!E14*Assum_Costs!$C$6*E5/1000</f>
        <v>720</v>
      </c>
      <c r="F8" s="22">
        <f>Calc_Volume!F14*Assum_Costs!$C$6*F5/1000</f>
        <v>680</v>
      </c>
      <c r="G8" s="22">
        <f>Calc_Volume!G14*Assum_Costs!$C$6*G5/1000</f>
        <v>640.00000000000011</v>
      </c>
      <c r="H8" s="22">
        <f>Calc_Volume!H14*Assum_Costs!$C$6*H5/1000</f>
        <v>640.00000000000011</v>
      </c>
      <c r="I8" s="22">
        <f>Calc_Volume!I14*Assum_Costs!$C$6*I5/1000</f>
        <v>680</v>
      </c>
      <c r="J8" s="22">
        <f>Calc_Volume!J14*Assum_Costs!$C$6*J5/1000</f>
        <v>760</v>
      </c>
      <c r="K8" s="22">
        <f>Calc_Volume!K14*Assum_Costs!$C$6*K5/1000</f>
        <v>840</v>
      </c>
      <c r="L8" s="22">
        <f>Calc_Volume!L14*Assum_Costs!$C$6*L5/1000</f>
        <v>919.99999999999989</v>
      </c>
      <c r="M8" s="22">
        <f>Calc_Volume!M14*Assum_Costs!$C$6*M5/1000</f>
        <v>1120</v>
      </c>
      <c r="N8" s="22">
        <f>Calc_Volume!N14*Assum_Costs!$C$6*N5/1000</f>
        <v>1018.4399999999998</v>
      </c>
      <c r="O8" s="22">
        <f>Calc_Volume!O14*Assum_Costs!$C$6*O5/1000</f>
        <v>974.16000000000008</v>
      </c>
      <c r="P8" s="22">
        <f>Calc_Volume!P14*Assum_Costs!$C$6*P5/1000</f>
        <v>885.59999999999991</v>
      </c>
      <c r="Q8" s="22">
        <f>Calc_Volume!Q14*Assum_Costs!$C$6*Q5/1000</f>
        <v>797.03999999999985</v>
      </c>
      <c r="R8" s="22">
        <f>Calc_Volume!R14*Assum_Costs!$C$6*R5/1000</f>
        <v>752.75999999999988</v>
      </c>
      <c r="S8" s="22">
        <f>Calc_Volume!S14*Assum_Costs!$C$6*S5/1000</f>
        <v>708.48000000000025</v>
      </c>
      <c r="T8" s="22">
        <f>Calc_Volume!T14*Assum_Costs!$C$6*T5/1000</f>
        <v>708.48000000000025</v>
      </c>
      <c r="U8" s="22">
        <f>Calc_Volume!U14*Assum_Costs!$C$6*U5/1000</f>
        <v>752.75999999999988</v>
      </c>
      <c r="V8" s="22">
        <f>Calc_Volume!V14*Assum_Costs!$C$6*V5/1000</f>
        <v>841.31999999999994</v>
      </c>
      <c r="W8" s="22">
        <f>Calc_Volume!W14*Assum_Costs!$C$6*W5/1000</f>
        <v>929.87999999999988</v>
      </c>
      <c r="X8" s="22">
        <f>Calc_Volume!X14*Assum_Costs!$C$6*X5/1000</f>
        <v>1018.4399999999998</v>
      </c>
      <c r="Y8" s="22">
        <f>Calc_Volume!Y14*Assum_Costs!$C$6*Y5/1000</f>
        <v>1239.8399999999999</v>
      </c>
      <c r="Z8" s="22">
        <f>Calc_Volume!Z14*Assum_Costs!$C$6*Z5/1000</f>
        <v>1127.4130799999998</v>
      </c>
      <c r="AA8" s="22">
        <f>Calc_Volume!AA14*Assum_Costs!$C$6*AA5/1000</f>
        <v>1078.3951200000004</v>
      </c>
      <c r="AB8" s="22">
        <f>Calc_Volume!AB14*Assum_Costs!$C$6*AB5/1000</f>
        <v>980.35919999999999</v>
      </c>
      <c r="AC8" s="22">
        <f>Calc_Volume!AC14*Assum_Costs!$C$6*AC5/1000</f>
        <v>882.32327999999995</v>
      </c>
      <c r="AD8" s="22">
        <f>Calc_Volume!AD14*Assum_Costs!$C$6*AD5/1000</f>
        <v>833.30532000000017</v>
      </c>
      <c r="AE8" s="22">
        <f>Calc_Volume!AE14*Assum_Costs!$C$6*AE5/1000</f>
        <v>784.28736000000026</v>
      </c>
      <c r="AF8" s="22">
        <f>Calc_Volume!AF14*Assum_Costs!$C$6*AF5/1000</f>
        <v>784.28736000000026</v>
      </c>
      <c r="AG8" s="22">
        <f>Calc_Volume!AG14*Assum_Costs!$C$6*AG5/1000</f>
        <v>833.30532000000017</v>
      </c>
      <c r="AH8" s="22">
        <f>Calc_Volume!AH14*Assum_Costs!$C$6*AH5/1000</f>
        <v>931.34123999999986</v>
      </c>
      <c r="AI8" s="22">
        <f>Calc_Volume!AI14*Assum_Costs!$C$6*AI5/1000</f>
        <v>1029.3771600000002</v>
      </c>
      <c r="AJ8" s="22">
        <f>Calc_Volume!AJ14*Assum_Costs!$C$6*AJ5/1000</f>
        <v>1127.4130799999998</v>
      </c>
      <c r="AK8" s="22">
        <f>Calc_Volume!AK14*Assum_Costs!$C$6*AK5/1000</f>
        <v>1372.5028800000002</v>
      </c>
      <c r="AL8" s="22">
        <f>Calc_Volume!AL14*Assum_Costs!$C$6*AL5/1000</f>
        <v>1224.9343114199999</v>
      </c>
      <c r="AM8" s="22">
        <f>Calc_Volume!AM14*Assum_Costs!$C$6*AM5/1000</f>
        <v>1171.6762978800002</v>
      </c>
      <c r="AN8" s="22">
        <f>Calc_Volume!AN14*Assum_Costs!$C$6*AN5/1000</f>
        <v>1065.1602708</v>
      </c>
      <c r="AO8" s="22">
        <f>Calc_Volume!AO14*Assum_Costs!$C$6*AO5/1000</f>
        <v>958.64424372000008</v>
      </c>
      <c r="AP8" s="22">
        <f>Calc_Volume!AP14*Assum_Costs!$C$6*AP5/1000</f>
        <v>905.3862301800001</v>
      </c>
      <c r="AQ8" s="22">
        <f>Calc_Volume!AQ14*Assum_Costs!$C$6*AQ5/1000</f>
        <v>852.12821664000001</v>
      </c>
      <c r="AR8" s="22">
        <f>Calc_Volume!AR14*Assum_Costs!$C$6*AR5/1000</f>
        <v>852.12821664000001</v>
      </c>
      <c r="AS8" s="22">
        <f>Calc_Volume!AS14*Assum_Costs!$C$6*AS5/1000</f>
        <v>905.3862301800001</v>
      </c>
      <c r="AT8" s="22">
        <f>Calc_Volume!AT14*Assum_Costs!$C$6*AT5/1000</f>
        <v>1011.9022572599999</v>
      </c>
      <c r="AU8" s="22">
        <f>Calc_Volume!AU14*Assum_Costs!$C$6*AU5/1000</f>
        <v>1118.4182843400004</v>
      </c>
      <c r="AV8" s="22">
        <f>Calc_Volume!AV14*Assum_Costs!$C$6*AV5/1000</f>
        <v>1224.9343114199999</v>
      </c>
      <c r="AW8" s="22">
        <f>Calc_Volume!AW14*Assum_Costs!$C$6*AW5/1000</f>
        <v>1491.2243791199999</v>
      </c>
      <c r="AX8" s="22">
        <f>Calc_Volume!AX14*Assum_Costs!$C$6*AX5/1000</f>
        <v>1330.8911293578296</v>
      </c>
      <c r="AY8" s="22">
        <f>Calc_Volume!AY14*Assum_Costs!$C$6*AY5/1000</f>
        <v>1273.0262976466204</v>
      </c>
      <c r="AZ8" s="22">
        <f>Calc_Volume!AZ14*Assum_Costs!$C$6*AZ5/1000</f>
        <v>1157.2966342242</v>
      </c>
      <c r="BA8" s="22">
        <f>Calc_Volume!BA14*Assum_Costs!$C$6*BA5/1000</f>
        <v>1041.5669708017799</v>
      </c>
      <c r="BB8" s="22">
        <f>Calc_Volume!BB14*Assum_Costs!$C$6*BB5/1000</f>
        <v>983.70213909057009</v>
      </c>
      <c r="BC8" s="22">
        <f>Calc_Volume!BC14*Assum_Costs!$C$6*BC5/1000</f>
        <v>925.83730737935991</v>
      </c>
      <c r="BD8" s="22">
        <f>Calc_Volume!BD14*Assum_Costs!$C$6*BD5/1000</f>
        <v>925.83730737935991</v>
      </c>
      <c r="BE8" s="22">
        <f>Calc_Volume!BE14*Assum_Costs!$C$6*BE5/1000</f>
        <v>983.70213909057009</v>
      </c>
      <c r="BF8" s="22">
        <f>Calc_Volume!BF14*Assum_Costs!$C$6*BF5/1000</f>
        <v>1099.4318025129899</v>
      </c>
      <c r="BG8" s="22">
        <f>Calc_Volume!BG14*Assum_Costs!$C$6*BG5/1000</f>
        <v>1215.16146593541</v>
      </c>
      <c r="BH8" s="22">
        <f>Calc_Volume!BH14*Assum_Costs!$C$6*BH5/1000</f>
        <v>1330.8911293578296</v>
      </c>
      <c r="BI8" s="22">
        <f>Calc_Volume!BI14*Assum_Costs!$C$6*BI5/1000</f>
        <v>1620.21528791388</v>
      </c>
      <c r="BJ8" s="22">
        <f>Calc_Volume!BJ14*Assum_Costs!$C$6*BJ5/1000</f>
        <v>1418.7299438954467</v>
      </c>
      <c r="BK8" s="22">
        <f>Calc_Volume!BK14*Assum_Costs!$C$6*BK5/1000</f>
        <v>1357.0460332912971</v>
      </c>
      <c r="BL8" s="22">
        <f>Calc_Volume!BL14*Assum_Costs!$C$6*BL5/1000</f>
        <v>1233.6782120829971</v>
      </c>
      <c r="BM8" s="22">
        <f>Calc_Volume!BM14*Assum_Costs!$C$6*BM5/1000</f>
        <v>1110.3103908746973</v>
      </c>
      <c r="BN8" s="22">
        <f>Calc_Volume!BN14*Assum_Costs!$C$6*BN5/1000</f>
        <v>1048.6264802705475</v>
      </c>
      <c r="BO8" s="22">
        <f>Calc_Volume!BO14*Assum_Costs!$C$6*BO5/1000</f>
        <v>986.94256966639773</v>
      </c>
      <c r="BP8" s="22">
        <f>Calc_Volume!BP14*Assum_Costs!$C$6*BP5/1000</f>
        <v>986.94256966639773</v>
      </c>
      <c r="BQ8" s="22">
        <f>Calc_Volume!BQ14*Assum_Costs!$C$6*BQ5/1000</f>
        <v>1048.6264802705475</v>
      </c>
      <c r="BR8" s="22">
        <f>Calc_Volume!BR14*Assum_Costs!$C$6*BR5/1000</f>
        <v>1171.9943014788471</v>
      </c>
      <c r="BS8" s="22">
        <f>Calc_Volume!BS14*Assum_Costs!$C$6*BS5/1000</f>
        <v>1295.3621226871467</v>
      </c>
      <c r="BT8" s="22">
        <f>Calc_Volume!BT14*Assum_Costs!$C$6*BT5/1000</f>
        <v>1418.7299438954467</v>
      </c>
      <c r="BU8" s="22">
        <f>Calc_Volume!BU14*Assum_Costs!$C$6*BU5/1000</f>
        <v>1727.1494969161959</v>
      </c>
      <c r="BV8" s="22">
        <f>Calc_Volume!BV14*Assum_Costs!$C$6*BV5/1000</f>
        <v>1512.3661201925458</v>
      </c>
      <c r="BW8" s="22">
        <f>Calc_Volume!BW14*Assum_Costs!$C$6*BW5/1000</f>
        <v>1446.6110714885226</v>
      </c>
      <c r="BX8" s="22">
        <f>Calc_Volume!BX14*Assum_Costs!$C$6*BX5/1000</f>
        <v>1315.1009740804745</v>
      </c>
      <c r="BY8" s="22">
        <f>Calc_Volume!BY14*Assum_Costs!$C$6*BY5/1000</f>
        <v>1183.5908766724272</v>
      </c>
      <c r="BZ8" s="22">
        <f>Calc_Volume!BZ14*Assum_Costs!$C$6*BZ5/1000</f>
        <v>1117.8358279684035</v>
      </c>
      <c r="CA8" s="22">
        <f>Calc_Volume!CA14*Assum_Costs!$C$6*CA5/1000</f>
        <v>1052.08077926438</v>
      </c>
      <c r="CB8" s="22">
        <f>Calc_Volume!CB14*Assum_Costs!$C$6*CB5/1000</f>
        <v>1052.08077926438</v>
      </c>
      <c r="CC8" s="22">
        <f>Calc_Volume!CC14*Assum_Costs!$C$6*CC5/1000</f>
        <v>1117.8358279684035</v>
      </c>
      <c r="CD8" s="22">
        <f>Calc_Volume!CD14*Assum_Costs!$C$6*CD5/1000</f>
        <v>1249.3459253764511</v>
      </c>
      <c r="CE8" s="22">
        <f>Calc_Volume!CE14*Assum_Costs!$C$6*CE5/1000</f>
        <v>1380.8560227844985</v>
      </c>
      <c r="CF8" s="22">
        <f>Calc_Volume!CF14*Assum_Costs!$C$6*CF5/1000</f>
        <v>1512.3661201925458</v>
      </c>
      <c r="CG8" s="22">
        <f>Calc_Volume!CG14*Assum_Costs!$C$6*CG5/1000</f>
        <v>1841.1413637126645</v>
      </c>
      <c r="CH8" s="22">
        <f>Calc_Volume!CH14*Assum_Costs!$C$6*CH5/1000</f>
        <v>1612.1822841252535</v>
      </c>
      <c r="CI8" s="22">
        <f>Calc_Volume!CI14*Assum_Costs!$C$6*CI5/1000</f>
        <v>1542.0874022067646</v>
      </c>
      <c r="CJ8" s="22">
        <f>Calc_Volume!CJ14*Assum_Costs!$C$6*CJ5/1000</f>
        <v>1401.8976383697857</v>
      </c>
      <c r="CK8" s="22">
        <f>Calc_Volume!CK14*Assum_Costs!$C$6*CK5/1000</f>
        <v>1261.7078745328074</v>
      </c>
      <c r="CL8" s="22">
        <f>Calc_Volume!CL14*Assum_Costs!$C$6*CL5/1000</f>
        <v>1191.612992614318</v>
      </c>
      <c r="CM8" s="22">
        <f>Calc_Volume!CM14*Assum_Costs!$C$6*CM5/1000</f>
        <v>1121.5181106958289</v>
      </c>
      <c r="CN8" s="22">
        <f>Calc_Volume!CN14*Assum_Costs!$C$6*CN5/1000</f>
        <v>1121.5181106958289</v>
      </c>
      <c r="CO8" s="22">
        <f>Calc_Volume!CO14*Assum_Costs!$C$6*CO5/1000</f>
        <v>1191.612992614318</v>
      </c>
      <c r="CP8" s="22">
        <f>Calc_Volume!CP14*Assum_Costs!$C$6*CP5/1000</f>
        <v>1331.8027564512963</v>
      </c>
      <c r="CQ8" s="22">
        <f>Calc_Volume!CQ14*Assum_Costs!$C$6*CQ5/1000</f>
        <v>1471.9925202882748</v>
      </c>
      <c r="CR8" s="22">
        <f>Calc_Volume!CR14*Assum_Costs!$C$6*CR5/1000</f>
        <v>1612.1822841252535</v>
      </c>
      <c r="CS8" s="22">
        <f>Calc_Volume!CS14*Assum_Costs!$C$6*CS5/1000</f>
        <v>1962.6566937176997</v>
      </c>
      <c r="CT8" s="22">
        <f>Calc_Volume!CT14*Assum_Costs!$C$6*CT5/1000</f>
        <v>1718.5863148775202</v>
      </c>
      <c r="CU8" s="22">
        <f>Calc_Volume!CU14*Assum_Costs!$C$6*CU5/1000</f>
        <v>1643.8651707524109</v>
      </c>
      <c r="CV8" s="22">
        <f>Calc_Volume!CV14*Assum_Costs!$C$6*CV5/1000</f>
        <v>1494.4228825021917</v>
      </c>
      <c r="CW8" s="22">
        <f>Calc_Volume!CW14*Assum_Costs!$C$6*CW5/1000</f>
        <v>1344.9805942519724</v>
      </c>
      <c r="CX8" s="22">
        <f>Calc_Volume!CX14*Assum_Costs!$C$6*CX5/1000</f>
        <v>1270.2594501268629</v>
      </c>
      <c r="CY8" s="22">
        <f>Calc_Volume!CY14*Assum_Costs!$C$6*CY5/1000</f>
        <v>1195.5383060017534</v>
      </c>
      <c r="CZ8" s="22">
        <f>Calc_Volume!CZ14*Assum_Costs!$C$6*CZ5/1000</f>
        <v>1195.5383060017534</v>
      </c>
      <c r="DA8" s="22">
        <f>Calc_Volume!DA14*Assum_Costs!$C$6*DA5/1000</f>
        <v>1270.2594501268629</v>
      </c>
      <c r="DB8" s="22">
        <f>Calc_Volume!DB14*Assum_Costs!$C$6*DB5/1000</f>
        <v>1419.7017383770819</v>
      </c>
      <c r="DC8" s="22">
        <f>Calc_Volume!DC14*Assum_Costs!$C$6*DC5/1000</f>
        <v>1569.1440266273009</v>
      </c>
      <c r="DD8" s="22">
        <f>Calc_Volume!DD14*Assum_Costs!$C$6*DD5/1000</f>
        <v>1718.5863148775202</v>
      </c>
      <c r="DE8" s="22">
        <f>Calc_Volume!DE14*Assum_Costs!$C$6*DE5/1000</f>
        <v>2092.1920355030684</v>
      </c>
      <c r="DF8" s="22">
        <f>Calc_Volume!DF14*Assum_Costs!$C$6*DF5/1000</f>
        <v>1832.0130116594364</v>
      </c>
      <c r="DG8" s="22">
        <f>Calc_Volume!DG14*Assum_Costs!$C$6*DG5/1000</f>
        <v>1752.3602720220699</v>
      </c>
      <c r="DH8" s="22">
        <f>Calc_Volume!DH14*Assum_Costs!$C$6*DH5/1000</f>
        <v>1593.0547927473363</v>
      </c>
      <c r="DI8" s="22">
        <f>Calc_Volume!DI14*Assum_Costs!$C$6*DI5/1000</f>
        <v>1433.7493134726024</v>
      </c>
      <c r="DJ8" s="22">
        <f>Calc_Volume!DJ14*Assum_Costs!$C$6*DJ5/1000</f>
        <v>1354.0965738352356</v>
      </c>
      <c r="DK8" s="22">
        <f>Calc_Volume!DK14*Assum_Costs!$C$6*DK5/1000</f>
        <v>1274.4438341978689</v>
      </c>
      <c r="DL8" s="22">
        <f>Calc_Volume!DL14*Assum_Costs!$C$6*DL5/1000</f>
        <v>1274.4438341978689</v>
      </c>
      <c r="DM8" s="22">
        <f>Calc_Volume!DM14*Assum_Costs!$C$6*DM5/1000</f>
        <v>1354.0965738352356</v>
      </c>
      <c r="DN8" s="22">
        <f>Calc_Volume!DN14*Assum_Costs!$C$6*DN5/1000</f>
        <v>1513.4020531099695</v>
      </c>
      <c r="DO8" s="22">
        <f>Calc_Volume!DO14*Assum_Costs!$C$6*DO5/1000</f>
        <v>1672.707532384703</v>
      </c>
      <c r="DP8" s="22">
        <f>Calc_Volume!DP14*Assum_Costs!$C$6*DP5/1000</f>
        <v>1832.0130116594364</v>
      </c>
      <c r="DQ8" s="22">
        <f>Calc_Volume!DQ14*Assum_Costs!$C$6*DQ5/1000</f>
        <v>2230.2767098462705</v>
      </c>
    </row>
    <row r="9" spans="1:121" ht="15" customHeight="1">
      <c r="A9" t="s">
        <v>299</v>
      </c>
      <c r="B9" s="22">
        <f>Calc_Volume!B14*Assum_Costs!$C$7*B5/1000</f>
        <v>383.33333333333326</v>
      </c>
      <c r="C9" s="22">
        <f>Calc_Volume!C14*Assum_Costs!$C$7*C5/1000</f>
        <v>366.66666666666674</v>
      </c>
      <c r="D9" s="22">
        <f>Calc_Volume!D14*Assum_Costs!$C$7*D5/1000</f>
        <v>333.33333333333337</v>
      </c>
      <c r="E9" s="22">
        <f>Calc_Volume!E14*Assum_Costs!$C$7*E5/1000</f>
        <v>300</v>
      </c>
      <c r="F9" s="22">
        <f>Calc_Volume!F14*Assum_Costs!$C$7*F5/1000</f>
        <v>283.33333333333337</v>
      </c>
      <c r="G9" s="22">
        <f>Calc_Volume!G14*Assum_Costs!$C$7*G5/1000</f>
        <v>266.66666666666674</v>
      </c>
      <c r="H9" s="22">
        <f>Calc_Volume!H14*Assum_Costs!$C$7*H5/1000</f>
        <v>266.66666666666674</v>
      </c>
      <c r="I9" s="22">
        <f>Calc_Volume!I14*Assum_Costs!$C$7*I5/1000</f>
        <v>283.33333333333337</v>
      </c>
      <c r="J9" s="22">
        <f>Calc_Volume!J14*Assum_Costs!$C$7*J5/1000</f>
        <v>316.66666666666663</v>
      </c>
      <c r="K9" s="22">
        <f>Calc_Volume!K14*Assum_Costs!$C$7*K5/1000</f>
        <v>350</v>
      </c>
      <c r="L9" s="22">
        <f>Calc_Volume!L14*Assum_Costs!$C$7*L5/1000</f>
        <v>383.33333333333326</v>
      </c>
      <c r="M9" s="22">
        <f>Calc_Volume!M14*Assum_Costs!$C$7*M5/1000</f>
        <v>466.66666666666663</v>
      </c>
      <c r="N9" s="22">
        <f>Calc_Volume!N14*Assum_Costs!$C$7*N5/1000</f>
        <v>424.34999999999997</v>
      </c>
      <c r="O9" s="22">
        <f>Calc_Volume!O14*Assum_Costs!$C$7*O5/1000</f>
        <v>405.9</v>
      </c>
      <c r="P9" s="22">
        <f>Calc_Volume!P14*Assum_Costs!$C$7*P5/1000</f>
        <v>368.99999999999994</v>
      </c>
      <c r="Q9" s="22">
        <f>Calc_Volume!Q14*Assum_Costs!$C$7*Q5/1000</f>
        <v>332.1</v>
      </c>
      <c r="R9" s="22">
        <f>Calc_Volume!R14*Assum_Costs!$C$7*R5/1000</f>
        <v>313.64999999999998</v>
      </c>
      <c r="S9" s="22">
        <f>Calc_Volume!S14*Assum_Costs!$C$7*S5/1000</f>
        <v>295.20000000000005</v>
      </c>
      <c r="T9" s="22">
        <f>Calc_Volume!T14*Assum_Costs!$C$7*T5/1000</f>
        <v>295.20000000000005</v>
      </c>
      <c r="U9" s="22">
        <f>Calc_Volume!U14*Assum_Costs!$C$7*U5/1000</f>
        <v>313.64999999999998</v>
      </c>
      <c r="V9" s="22">
        <f>Calc_Volume!V14*Assum_Costs!$C$7*V5/1000</f>
        <v>350.54999999999995</v>
      </c>
      <c r="W9" s="22">
        <f>Calc_Volume!W14*Assum_Costs!$C$7*W5/1000</f>
        <v>387.44999999999993</v>
      </c>
      <c r="X9" s="22">
        <f>Calc_Volume!X14*Assum_Costs!$C$7*X5/1000</f>
        <v>424.34999999999997</v>
      </c>
      <c r="Y9" s="22">
        <f>Calc_Volume!Y14*Assum_Costs!$C$7*Y5/1000</f>
        <v>516.59999999999991</v>
      </c>
      <c r="Z9" s="22">
        <f>Calc_Volume!Z14*Assum_Costs!$C$7*Z5/1000</f>
        <v>469.75544999999994</v>
      </c>
      <c r="AA9" s="22">
        <f>Calc_Volume!AA14*Assum_Costs!$C$7*AA5/1000</f>
        <v>449.33130000000011</v>
      </c>
      <c r="AB9" s="22">
        <f>Calc_Volume!AB14*Assum_Costs!$C$7*AB5/1000</f>
        <v>408.48299999999995</v>
      </c>
      <c r="AC9" s="22">
        <f>Calc_Volume!AC14*Assum_Costs!$C$7*AC5/1000</f>
        <v>367.63469999999995</v>
      </c>
      <c r="AD9" s="22">
        <f>Calc_Volume!AD14*Assum_Costs!$C$7*AD5/1000</f>
        <v>347.21055000000007</v>
      </c>
      <c r="AE9" s="22">
        <f>Calc_Volume!AE14*Assum_Costs!$C$7*AE5/1000</f>
        <v>326.78640000000001</v>
      </c>
      <c r="AF9" s="22">
        <f>Calc_Volume!AF14*Assum_Costs!$C$7*AF5/1000</f>
        <v>326.78640000000001</v>
      </c>
      <c r="AG9" s="22">
        <f>Calc_Volume!AG14*Assum_Costs!$C$7*AG5/1000</f>
        <v>347.21055000000007</v>
      </c>
      <c r="AH9" s="22">
        <f>Calc_Volume!AH14*Assum_Costs!$C$7*AH5/1000</f>
        <v>388.05884999999995</v>
      </c>
      <c r="AI9" s="22">
        <f>Calc_Volume!AI14*Assum_Costs!$C$7*AI5/1000</f>
        <v>428.90715</v>
      </c>
      <c r="AJ9" s="22">
        <f>Calc_Volume!AJ14*Assum_Costs!$C$7*AJ5/1000</f>
        <v>469.75544999999994</v>
      </c>
      <c r="AK9" s="22">
        <f>Calc_Volume!AK14*Assum_Costs!$C$7*AK5/1000</f>
        <v>571.87620000000004</v>
      </c>
      <c r="AL9" s="22">
        <f>Calc_Volume!AL14*Assum_Costs!$C$7*AL5/1000</f>
        <v>510.38929642499994</v>
      </c>
      <c r="AM9" s="22">
        <f>Calc_Volume!AM14*Assum_Costs!$C$7*AM5/1000</f>
        <v>488.19845745000009</v>
      </c>
      <c r="AN9" s="22">
        <f>Calc_Volume!AN14*Assum_Costs!$C$7*AN5/1000</f>
        <v>443.81677949999994</v>
      </c>
      <c r="AO9" s="22">
        <f>Calc_Volume!AO14*Assum_Costs!$C$7*AO5/1000</f>
        <v>399.43510155000001</v>
      </c>
      <c r="AP9" s="22">
        <f>Calc_Volume!AP14*Assum_Costs!$C$7*AP5/1000</f>
        <v>377.24426257499999</v>
      </c>
      <c r="AQ9" s="22">
        <f>Calc_Volume!AQ14*Assum_Costs!$C$7*AQ5/1000</f>
        <v>355.05342359999997</v>
      </c>
      <c r="AR9" s="22">
        <f>Calc_Volume!AR14*Assum_Costs!$C$7*AR5/1000</f>
        <v>355.05342359999997</v>
      </c>
      <c r="AS9" s="22">
        <f>Calc_Volume!AS14*Assum_Costs!$C$7*AS5/1000</f>
        <v>377.24426257499999</v>
      </c>
      <c r="AT9" s="22">
        <f>Calc_Volume!AT14*Assum_Costs!$C$7*AT5/1000</f>
        <v>421.62594052499998</v>
      </c>
      <c r="AU9" s="22">
        <f>Calc_Volume!AU14*Assum_Costs!$C$7*AU5/1000</f>
        <v>466.00761847500002</v>
      </c>
      <c r="AV9" s="22">
        <f>Calc_Volume!AV14*Assum_Costs!$C$7*AV5/1000</f>
        <v>510.38929642499994</v>
      </c>
      <c r="AW9" s="22">
        <f>Calc_Volume!AW14*Assum_Costs!$C$7*AW5/1000</f>
        <v>621.34349129999998</v>
      </c>
      <c r="AX9" s="22">
        <f>Calc_Volume!AX14*Assum_Costs!$C$7*AX5/1000</f>
        <v>554.53797056576241</v>
      </c>
      <c r="AY9" s="22">
        <f>Calc_Volume!AY14*Assum_Costs!$C$7*AY5/1000</f>
        <v>530.42762401942514</v>
      </c>
      <c r="AZ9" s="22">
        <f>Calc_Volume!AZ14*Assum_Costs!$C$7*AZ5/1000</f>
        <v>482.20693092674998</v>
      </c>
      <c r="BA9" s="22">
        <f>Calc_Volume!BA14*Assum_Costs!$C$7*BA5/1000</f>
        <v>433.98623783407498</v>
      </c>
      <c r="BB9" s="22">
        <f>Calc_Volume!BB14*Assum_Costs!$C$7*BB5/1000</f>
        <v>409.87589128773749</v>
      </c>
      <c r="BC9" s="22">
        <f>Calc_Volume!BC14*Assum_Costs!$C$7*BC5/1000</f>
        <v>385.76554474140005</v>
      </c>
      <c r="BD9" s="22">
        <f>Calc_Volume!BD14*Assum_Costs!$C$7*BD5/1000</f>
        <v>385.76554474140005</v>
      </c>
      <c r="BE9" s="22">
        <f>Calc_Volume!BE14*Assum_Costs!$C$7*BE5/1000</f>
        <v>409.87589128773749</v>
      </c>
      <c r="BF9" s="22">
        <f>Calc_Volume!BF14*Assum_Costs!$C$7*BF5/1000</f>
        <v>458.09658438041248</v>
      </c>
      <c r="BG9" s="22">
        <f>Calc_Volume!BG14*Assum_Costs!$C$7*BG5/1000</f>
        <v>506.31727747308747</v>
      </c>
      <c r="BH9" s="22">
        <f>Calc_Volume!BH14*Assum_Costs!$C$7*BH5/1000</f>
        <v>554.53797056576241</v>
      </c>
      <c r="BI9" s="22">
        <f>Calc_Volume!BI14*Assum_Costs!$C$7*BI5/1000</f>
        <v>675.08970329744989</v>
      </c>
      <c r="BJ9" s="22">
        <f>Calc_Volume!BJ14*Assum_Costs!$C$7*BJ5/1000</f>
        <v>591.13747662310266</v>
      </c>
      <c r="BK9" s="22">
        <f>Calc_Volume!BK14*Assum_Costs!$C$7*BK5/1000</f>
        <v>565.4358472047071</v>
      </c>
      <c r="BL9" s="22">
        <f>Calc_Volume!BL14*Assum_Costs!$C$7*BL5/1000</f>
        <v>514.03258836791542</v>
      </c>
      <c r="BM9" s="22">
        <f>Calc_Volume!BM14*Assum_Costs!$C$7*BM5/1000</f>
        <v>462.62932953112386</v>
      </c>
      <c r="BN9" s="22">
        <f>Calc_Volume!BN14*Assum_Costs!$C$7*BN5/1000</f>
        <v>436.92770011272813</v>
      </c>
      <c r="BO9" s="22">
        <f>Calc_Volume!BO14*Assum_Costs!$C$7*BO5/1000</f>
        <v>411.22607069433241</v>
      </c>
      <c r="BP9" s="22">
        <f>Calc_Volume!BP14*Assum_Costs!$C$7*BP5/1000</f>
        <v>411.22607069433241</v>
      </c>
      <c r="BQ9" s="22">
        <f>Calc_Volume!BQ14*Assum_Costs!$C$7*BQ5/1000</f>
        <v>436.92770011272813</v>
      </c>
      <c r="BR9" s="22">
        <f>Calc_Volume!BR14*Assum_Costs!$C$7*BR5/1000</f>
        <v>488.3309589495197</v>
      </c>
      <c r="BS9" s="22">
        <f>Calc_Volume!BS14*Assum_Costs!$C$7*BS5/1000</f>
        <v>539.73421778631121</v>
      </c>
      <c r="BT9" s="22">
        <f>Calc_Volume!BT14*Assum_Costs!$C$7*BT5/1000</f>
        <v>591.13747662310266</v>
      </c>
      <c r="BU9" s="22">
        <f>Calc_Volume!BU14*Assum_Costs!$C$7*BU5/1000</f>
        <v>719.64562371508146</v>
      </c>
      <c r="BV9" s="22">
        <f>Calc_Volume!BV14*Assum_Costs!$C$7*BV5/1000</f>
        <v>630.15255008022734</v>
      </c>
      <c r="BW9" s="22">
        <f>Calc_Volume!BW14*Assum_Costs!$C$7*BW5/1000</f>
        <v>602.75461312021764</v>
      </c>
      <c r="BX9" s="22">
        <f>Calc_Volume!BX14*Assum_Costs!$C$7*BX5/1000</f>
        <v>547.95873920019778</v>
      </c>
      <c r="BY9" s="22">
        <f>Calc_Volume!BY14*Assum_Costs!$C$7*BY5/1000</f>
        <v>493.16286528017804</v>
      </c>
      <c r="BZ9" s="22">
        <f>Calc_Volume!BZ14*Assum_Costs!$C$7*BZ5/1000</f>
        <v>465.76492832016817</v>
      </c>
      <c r="CA9" s="22">
        <f>Calc_Volume!CA14*Assum_Costs!$C$7*CA5/1000</f>
        <v>438.36699136015829</v>
      </c>
      <c r="CB9" s="22">
        <f>Calc_Volume!CB14*Assum_Costs!$C$7*CB5/1000</f>
        <v>438.36699136015829</v>
      </c>
      <c r="CC9" s="22">
        <f>Calc_Volume!CC14*Assum_Costs!$C$7*CC5/1000</f>
        <v>465.76492832016817</v>
      </c>
      <c r="CD9" s="22">
        <f>Calc_Volume!CD14*Assum_Costs!$C$7*CD5/1000</f>
        <v>520.56080224018785</v>
      </c>
      <c r="CE9" s="22">
        <f>Calc_Volume!CE14*Assum_Costs!$C$7*CE5/1000</f>
        <v>575.35667616020771</v>
      </c>
      <c r="CF9" s="22">
        <f>Calc_Volume!CF14*Assum_Costs!$C$7*CF5/1000</f>
        <v>630.15255008022734</v>
      </c>
      <c r="CG9" s="22">
        <f>Calc_Volume!CG14*Assum_Costs!$C$7*CG5/1000</f>
        <v>767.14223488027699</v>
      </c>
      <c r="CH9" s="22">
        <f>Calc_Volume!CH14*Assum_Costs!$C$7*CH5/1000</f>
        <v>671.74261838552229</v>
      </c>
      <c r="CI9" s="22">
        <f>Calc_Volume!CI14*Assum_Costs!$C$7*CI5/1000</f>
        <v>642.53641758615197</v>
      </c>
      <c r="CJ9" s="22">
        <f>Calc_Volume!CJ14*Assum_Costs!$C$7*CJ5/1000</f>
        <v>584.12401598741064</v>
      </c>
      <c r="CK9" s="22">
        <f>Calc_Volume!CK14*Assum_Costs!$C$7*CK5/1000</f>
        <v>525.71161438866966</v>
      </c>
      <c r="CL9" s="22">
        <f>Calc_Volume!CL14*Assum_Costs!$C$7*CL5/1000</f>
        <v>496.50541358929917</v>
      </c>
      <c r="CM9" s="22">
        <f>Calc_Volume!CM14*Assum_Costs!$C$7*CM5/1000</f>
        <v>467.29921278992867</v>
      </c>
      <c r="CN9" s="22">
        <f>Calc_Volume!CN14*Assum_Costs!$C$7*CN5/1000</f>
        <v>467.29921278992867</v>
      </c>
      <c r="CO9" s="22">
        <f>Calc_Volume!CO14*Assum_Costs!$C$7*CO5/1000</f>
        <v>496.50541358929917</v>
      </c>
      <c r="CP9" s="22">
        <f>Calc_Volume!CP14*Assum_Costs!$C$7*CP5/1000</f>
        <v>554.91781518804009</v>
      </c>
      <c r="CQ9" s="22">
        <f>Calc_Volume!CQ14*Assum_Costs!$C$7*CQ5/1000</f>
        <v>613.33021678678131</v>
      </c>
      <c r="CR9" s="22">
        <f>Calc_Volume!CR14*Assum_Costs!$C$7*CR5/1000</f>
        <v>671.74261838552229</v>
      </c>
      <c r="CS9" s="22">
        <f>Calc_Volume!CS14*Assum_Costs!$C$7*CS5/1000</f>
        <v>817.77362238237492</v>
      </c>
      <c r="CT9" s="22">
        <f>Calc_Volume!CT14*Assum_Costs!$C$7*CT5/1000</f>
        <v>716.07763119896674</v>
      </c>
      <c r="CU9" s="22">
        <f>Calc_Volume!CU14*Assum_Costs!$C$7*CU5/1000</f>
        <v>684.94382114683788</v>
      </c>
      <c r="CV9" s="22">
        <f>Calc_Volume!CV14*Assum_Costs!$C$7*CV5/1000</f>
        <v>622.67620104257981</v>
      </c>
      <c r="CW9" s="22">
        <f>Calc_Volume!CW14*Assum_Costs!$C$7*CW5/1000</f>
        <v>560.40858093832185</v>
      </c>
      <c r="CX9" s="22">
        <f>Calc_Volume!CX14*Assum_Costs!$C$7*CX5/1000</f>
        <v>529.27477088619287</v>
      </c>
      <c r="CY9" s="22">
        <f>Calc_Volume!CY14*Assum_Costs!$C$7*CY5/1000</f>
        <v>498.14096083406395</v>
      </c>
      <c r="CZ9" s="22">
        <f>Calc_Volume!CZ14*Assum_Costs!$C$7*CZ5/1000</f>
        <v>498.14096083406395</v>
      </c>
      <c r="DA9" s="22">
        <f>Calc_Volume!DA14*Assum_Costs!$C$7*DA5/1000</f>
        <v>529.27477088619287</v>
      </c>
      <c r="DB9" s="22">
        <f>Calc_Volume!DB14*Assum_Costs!$C$7*DB5/1000</f>
        <v>591.54239099045071</v>
      </c>
      <c r="DC9" s="22">
        <f>Calc_Volume!DC14*Assum_Costs!$C$7*DC5/1000</f>
        <v>653.8100110947089</v>
      </c>
      <c r="DD9" s="22">
        <f>Calc_Volume!DD14*Assum_Costs!$C$7*DD5/1000</f>
        <v>716.07763119896674</v>
      </c>
      <c r="DE9" s="22">
        <f>Calc_Volume!DE14*Assum_Costs!$C$7*DE5/1000</f>
        <v>871.74668145961175</v>
      </c>
      <c r="DF9" s="22">
        <f>Calc_Volume!DF14*Assum_Costs!$C$7*DF5/1000</f>
        <v>763.33875485809858</v>
      </c>
      <c r="DG9" s="22">
        <f>Calc_Volume!DG14*Assum_Costs!$C$7*DG5/1000</f>
        <v>730.15011334252904</v>
      </c>
      <c r="DH9" s="22">
        <f>Calc_Volume!DH14*Assum_Costs!$C$7*DH5/1000</f>
        <v>663.77283031139007</v>
      </c>
      <c r="DI9" s="22">
        <f>Calc_Volume!DI14*Assum_Costs!$C$7*DI5/1000</f>
        <v>597.39554728025109</v>
      </c>
      <c r="DJ9" s="22">
        <f>Calc_Volume!DJ14*Assum_Costs!$C$7*DJ5/1000</f>
        <v>564.20690576468155</v>
      </c>
      <c r="DK9" s="22">
        <f>Calc_Volume!DK14*Assum_Costs!$C$7*DK5/1000</f>
        <v>531.01826424911212</v>
      </c>
      <c r="DL9" s="22">
        <f>Calc_Volume!DL14*Assum_Costs!$C$7*DL5/1000</f>
        <v>531.01826424911212</v>
      </c>
      <c r="DM9" s="22">
        <f>Calc_Volume!DM14*Assum_Costs!$C$7*DM5/1000</f>
        <v>564.20690576468155</v>
      </c>
      <c r="DN9" s="22">
        <f>Calc_Volume!DN14*Assum_Costs!$C$7*DN5/1000</f>
        <v>630.58418879582052</v>
      </c>
      <c r="DO9" s="22">
        <f>Calc_Volume!DO14*Assum_Costs!$C$7*DO5/1000</f>
        <v>696.9614718269595</v>
      </c>
      <c r="DP9" s="22">
        <f>Calc_Volume!DP14*Assum_Costs!$C$7*DP5/1000</f>
        <v>763.33875485809858</v>
      </c>
      <c r="DQ9" s="22">
        <f>Calc_Volume!DQ14*Assum_Costs!$C$7*DQ5/1000</f>
        <v>929.28196243594596</v>
      </c>
    </row>
    <row r="10" spans="1:121" ht="15" customHeight="1">
      <c r="A10" t="s">
        <v>300</v>
      </c>
      <c r="B10" s="22">
        <f>Calc_Volume!B14*Assum_Costs!$C$8*B5/1000</f>
        <v>114.99999999999999</v>
      </c>
      <c r="C10" s="22">
        <f>Calc_Volume!C14*Assum_Costs!$C$8*C5/1000</f>
        <v>110.00000000000001</v>
      </c>
      <c r="D10" s="22">
        <f>Calc_Volume!D14*Assum_Costs!$C$8*D5/1000</f>
        <v>100</v>
      </c>
      <c r="E10" s="22">
        <f>Calc_Volume!E14*Assum_Costs!$C$8*E5/1000</f>
        <v>90</v>
      </c>
      <c r="F10" s="22">
        <f>Calc_Volume!F14*Assum_Costs!$C$8*F5/1000</f>
        <v>85</v>
      </c>
      <c r="G10" s="22">
        <f>Calc_Volume!G14*Assum_Costs!$C$8*G5/1000</f>
        <v>80.000000000000014</v>
      </c>
      <c r="H10" s="22">
        <f>Calc_Volume!H14*Assum_Costs!$C$8*H5/1000</f>
        <v>80.000000000000014</v>
      </c>
      <c r="I10" s="22">
        <f>Calc_Volume!I14*Assum_Costs!$C$8*I5/1000</f>
        <v>85</v>
      </c>
      <c r="J10" s="22">
        <f>Calc_Volume!J14*Assum_Costs!$C$8*J5/1000</f>
        <v>95</v>
      </c>
      <c r="K10" s="22">
        <f>Calc_Volume!K14*Assum_Costs!$C$8*K5/1000</f>
        <v>105</v>
      </c>
      <c r="L10" s="22">
        <f>Calc_Volume!L14*Assum_Costs!$C$8*L5/1000</f>
        <v>114.99999999999999</v>
      </c>
      <c r="M10" s="22">
        <f>Calc_Volume!M14*Assum_Costs!$C$8*M5/1000</f>
        <v>140</v>
      </c>
      <c r="N10" s="22">
        <f>Calc_Volume!N14*Assum_Costs!$C$8*N5/1000</f>
        <v>127.30499999999998</v>
      </c>
      <c r="O10" s="22">
        <f>Calc_Volume!O14*Assum_Costs!$C$8*O5/1000</f>
        <v>121.77000000000001</v>
      </c>
      <c r="P10" s="22">
        <f>Calc_Volume!P14*Assum_Costs!$C$8*P5/1000</f>
        <v>110.69999999999999</v>
      </c>
      <c r="Q10" s="22">
        <f>Calc_Volume!Q14*Assum_Costs!$C$8*Q5/1000</f>
        <v>99.629999999999981</v>
      </c>
      <c r="R10" s="22">
        <f>Calc_Volume!R14*Assum_Costs!$C$8*R5/1000</f>
        <v>94.094999999999985</v>
      </c>
      <c r="S10" s="22">
        <f>Calc_Volume!S14*Assum_Costs!$C$8*S5/1000</f>
        <v>88.560000000000031</v>
      </c>
      <c r="T10" s="22">
        <f>Calc_Volume!T14*Assum_Costs!$C$8*T5/1000</f>
        <v>88.560000000000031</v>
      </c>
      <c r="U10" s="22">
        <f>Calc_Volume!U14*Assum_Costs!$C$8*U5/1000</f>
        <v>94.094999999999985</v>
      </c>
      <c r="V10" s="22">
        <f>Calc_Volume!V14*Assum_Costs!$C$8*V5/1000</f>
        <v>105.16499999999999</v>
      </c>
      <c r="W10" s="22">
        <f>Calc_Volume!W14*Assum_Costs!$C$8*W5/1000</f>
        <v>116.23499999999999</v>
      </c>
      <c r="X10" s="22">
        <f>Calc_Volume!X14*Assum_Costs!$C$8*X5/1000</f>
        <v>127.30499999999998</v>
      </c>
      <c r="Y10" s="22">
        <f>Calc_Volume!Y14*Assum_Costs!$C$8*Y5/1000</f>
        <v>154.97999999999999</v>
      </c>
      <c r="Z10" s="22">
        <f>Calc_Volume!Z14*Assum_Costs!$C$8*Z5/1000</f>
        <v>140.92663499999998</v>
      </c>
      <c r="AA10" s="22">
        <f>Calc_Volume!AA14*Assum_Costs!$C$8*AA5/1000</f>
        <v>134.79939000000005</v>
      </c>
      <c r="AB10" s="22">
        <f>Calc_Volume!AB14*Assum_Costs!$C$8*AB5/1000</f>
        <v>122.5449</v>
      </c>
      <c r="AC10" s="22">
        <f>Calc_Volume!AC14*Assum_Costs!$C$8*AC5/1000</f>
        <v>110.29040999999999</v>
      </c>
      <c r="AD10" s="22">
        <f>Calc_Volume!AD14*Assum_Costs!$C$8*AD5/1000</f>
        <v>104.16316500000002</v>
      </c>
      <c r="AE10" s="22">
        <f>Calc_Volume!AE14*Assum_Costs!$C$8*AE5/1000</f>
        <v>98.035920000000033</v>
      </c>
      <c r="AF10" s="22">
        <f>Calc_Volume!AF14*Assum_Costs!$C$8*AF5/1000</f>
        <v>98.035920000000033</v>
      </c>
      <c r="AG10" s="22">
        <f>Calc_Volume!AG14*Assum_Costs!$C$8*AG5/1000</f>
        <v>104.16316500000002</v>
      </c>
      <c r="AH10" s="22">
        <f>Calc_Volume!AH14*Assum_Costs!$C$8*AH5/1000</f>
        <v>116.41765499999998</v>
      </c>
      <c r="AI10" s="22">
        <f>Calc_Volume!AI14*Assum_Costs!$C$8*AI5/1000</f>
        <v>128.67214500000003</v>
      </c>
      <c r="AJ10" s="22">
        <f>Calc_Volume!AJ14*Assum_Costs!$C$8*AJ5/1000</f>
        <v>140.92663499999998</v>
      </c>
      <c r="AK10" s="22">
        <f>Calc_Volume!AK14*Assum_Costs!$C$8*AK5/1000</f>
        <v>171.56286000000003</v>
      </c>
      <c r="AL10" s="22">
        <f>Calc_Volume!AL14*Assum_Costs!$C$8*AL5/1000</f>
        <v>153.11678892749998</v>
      </c>
      <c r="AM10" s="22">
        <f>Calc_Volume!AM14*Assum_Costs!$C$8*AM5/1000</f>
        <v>146.45953723500003</v>
      </c>
      <c r="AN10" s="22">
        <f>Calc_Volume!AN14*Assum_Costs!$C$8*AN5/1000</f>
        <v>133.14503385</v>
      </c>
      <c r="AO10" s="22">
        <f>Calc_Volume!AO14*Assum_Costs!$C$8*AO5/1000</f>
        <v>119.83053046500001</v>
      </c>
      <c r="AP10" s="22">
        <f>Calc_Volume!AP14*Assum_Costs!$C$8*AP5/1000</f>
        <v>113.17327877250001</v>
      </c>
      <c r="AQ10" s="22">
        <f>Calc_Volume!AQ14*Assum_Costs!$C$8*AQ5/1000</f>
        <v>106.51602708</v>
      </c>
      <c r="AR10" s="22">
        <f>Calc_Volume!AR14*Assum_Costs!$C$8*AR5/1000</f>
        <v>106.51602708</v>
      </c>
      <c r="AS10" s="22">
        <f>Calc_Volume!AS14*Assum_Costs!$C$8*AS5/1000</f>
        <v>113.17327877250001</v>
      </c>
      <c r="AT10" s="22">
        <f>Calc_Volume!AT14*Assum_Costs!$C$8*AT5/1000</f>
        <v>126.48778215749999</v>
      </c>
      <c r="AU10" s="22">
        <f>Calc_Volume!AU14*Assum_Costs!$C$8*AU5/1000</f>
        <v>139.80228554250004</v>
      </c>
      <c r="AV10" s="22">
        <f>Calc_Volume!AV14*Assum_Costs!$C$8*AV5/1000</f>
        <v>153.11678892749998</v>
      </c>
      <c r="AW10" s="22">
        <f>Calc_Volume!AW14*Assum_Costs!$C$8*AW5/1000</f>
        <v>186.40304738999998</v>
      </c>
      <c r="AX10" s="22">
        <f>Calc_Volume!AX14*Assum_Costs!$C$8*AX5/1000</f>
        <v>166.36139116972871</v>
      </c>
      <c r="AY10" s="22">
        <f>Calc_Volume!AY14*Assum_Costs!$C$8*AY5/1000</f>
        <v>159.12828720582755</v>
      </c>
      <c r="AZ10" s="22">
        <f>Calc_Volume!AZ14*Assum_Costs!$C$8*AZ5/1000</f>
        <v>144.662079278025</v>
      </c>
      <c r="BA10" s="22">
        <f>Calc_Volume!BA14*Assum_Costs!$C$8*BA5/1000</f>
        <v>130.19587135022249</v>
      </c>
      <c r="BB10" s="22">
        <f>Calc_Volume!BB14*Assum_Costs!$C$8*BB5/1000</f>
        <v>122.96276738632126</v>
      </c>
      <c r="BC10" s="22">
        <f>Calc_Volume!BC14*Assum_Costs!$C$8*BC5/1000</f>
        <v>115.72966342241999</v>
      </c>
      <c r="BD10" s="22">
        <f>Calc_Volume!BD14*Assum_Costs!$C$8*BD5/1000</f>
        <v>115.72966342241999</v>
      </c>
      <c r="BE10" s="22">
        <f>Calc_Volume!BE14*Assum_Costs!$C$8*BE5/1000</f>
        <v>122.96276738632126</v>
      </c>
      <c r="BF10" s="22">
        <f>Calc_Volume!BF14*Assum_Costs!$C$8*BF5/1000</f>
        <v>137.42897531412373</v>
      </c>
      <c r="BG10" s="22">
        <f>Calc_Volume!BG14*Assum_Costs!$C$8*BG5/1000</f>
        <v>151.89518324192625</v>
      </c>
      <c r="BH10" s="22">
        <f>Calc_Volume!BH14*Assum_Costs!$C$8*BH5/1000</f>
        <v>166.36139116972871</v>
      </c>
      <c r="BI10" s="22">
        <f>Calc_Volume!BI14*Assum_Costs!$C$8*BI5/1000</f>
        <v>202.52691098923501</v>
      </c>
      <c r="BJ10" s="22">
        <f>Calc_Volume!BJ14*Assum_Costs!$C$8*BJ5/1000</f>
        <v>177.34124298693084</v>
      </c>
      <c r="BK10" s="22">
        <f>Calc_Volume!BK14*Assum_Costs!$C$8*BK5/1000</f>
        <v>169.63075416141214</v>
      </c>
      <c r="BL10" s="22">
        <f>Calc_Volume!BL14*Assum_Costs!$C$8*BL5/1000</f>
        <v>154.20977651037464</v>
      </c>
      <c r="BM10" s="22">
        <f>Calc_Volume!BM14*Assum_Costs!$C$8*BM5/1000</f>
        <v>138.78879885933716</v>
      </c>
      <c r="BN10" s="22">
        <f>Calc_Volume!BN14*Assum_Costs!$C$8*BN5/1000</f>
        <v>131.07831003381844</v>
      </c>
      <c r="BO10" s="22">
        <f>Calc_Volume!BO14*Assum_Costs!$C$8*BO5/1000</f>
        <v>123.36782120829972</v>
      </c>
      <c r="BP10" s="22">
        <f>Calc_Volume!BP14*Assum_Costs!$C$8*BP5/1000</f>
        <v>123.36782120829972</v>
      </c>
      <c r="BQ10" s="22">
        <f>Calc_Volume!BQ14*Assum_Costs!$C$8*BQ5/1000</f>
        <v>131.07831003381844</v>
      </c>
      <c r="BR10" s="22">
        <f>Calc_Volume!BR14*Assum_Costs!$C$8*BR5/1000</f>
        <v>146.49928768485589</v>
      </c>
      <c r="BS10" s="22">
        <f>Calc_Volume!BS14*Assum_Costs!$C$8*BS5/1000</f>
        <v>161.92026533589333</v>
      </c>
      <c r="BT10" s="22">
        <f>Calc_Volume!BT14*Assum_Costs!$C$8*BT5/1000</f>
        <v>177.34124298693084</v>
      </c>
      <c r="BU10" s="22">
        <f>Calc_Volume!BU14*Assum_Costs!$C$8*BU5/1000</f>
        <v>215.89368711452448</v>
      </c>
      <c r="BV10" s="22">
        <f>Calc_Volume!BV14*Assum_Costs!$C$8*BV5/1000</f>
        <v>189.04576502406823</v>
      </c>
      <c r="BW10" s="22">
        <f>Calc_Volume!BW14*Assum_Costs!$C$8*BW5/1000</f>
        <v>180.82638393606533</v>
      </c>
      <c r="BX10" s="22">
        <f>Calc_Volume!BX14*Assum_Costs!$C$8*BX5/1000</f>
        <v>164.38762176005932</v>
      </c>
      <c r="BY10" s="22">
        <f>Calc_Volume!BY14*Assum_Costs!$C$8*BY5/1000</f>
        <v>147.94885958405339</v>
      </c>
      <c r="BZ10" s="22">
        <f>Calc_Volume!BZ14*Assum_Costs!$C$8*BZ5/1000</f>
        <v>139.72947849605043</v>
      </c>
      <c r="CA10" s="22">
        <f>Calc_Volume!CA14*Assum_Costs!$C$8*CA5/1000</f>
        <v>131.5100974080475</v>
      </c>
      <c r="CB10" s="22">
        <f>Calc_Volume!CB14*Assum_Costs!$C$8*CB5/1000</f>
        <v>131.5100974080475</v>
      </c>
      <c r="CC10" s="22">
        <f>Calc_Volume!CC14*Assum_Costs!$C$8*CC5/1000</f>
        <v>139.72947849605043</v>
      </c>
      <c r="CD10" s="22">
        <f>Calc_Volume!CD14*Assum_Costs!$C$8*CD5/1000</f>
        <v>156.16824067205638</v>
      </c>
      <c r="CE10" s="22">
        <f>Calc_Volume!CE14*Assum_Costs!$C$8*CE5/1000</f>
        <v>172.60700284806231</v>
      </c>
      <c r="CF10" s="22">
        <f>Calc_Volume!CF14*Assum_Costs!$C$8*CF5/1000</f>
        <v>189.04576502406823</v>
      </c>
      <c r="CG10" s="22">
        <f>Calc_Volume!CG14*Assum_Costs!$C$8*CG5/1000</f>
        <v>230.14267046408307</v>
      </c>
      <c r="CH10" s="22">
        <f>Calc_Volume!CH14*Assum_Costs!$C$8*CH5/1000</f>
        <v>201.52278551565669</v>
      </c>
      <c r="CI10" s="22">
        <f>Calc_Volume!CI14*Assum_Costs!$C$8*CI5/1000</f>
        <v>192.76092527584558</v>
      </c>
      <c r="CJ10" s="22">
        <f>Calc_Volume!CJ14*Assum_Costs!$C$8*CJ5/1000</f>
        <v>175.23720479622321</v>
      </c>
      <c r="CK10" s="22">
        <f>Calc_Volume!CK14*Assum_Costs!$C$8*CK5/1000</f>
        <v>157.71348431660093</v>
      </c>
      <c r="CL10" s="22">
        <f>Calc_Volume!CL14*Assum_Costs!$C$8*CL5/1000</f>
        <v>148.95162407678976</v>
      </c>
      <c r="CM10" s="22">
        <f>Calc_Volume!CM14*Assum_Costs!$C$8*CM5/1000</f>
        <v>140.18976383697861</v>
      </c>
      <c r="CN10" s="22">
        <f>Calc_Volume!CN14*Assum_Costs!$C$8*CN5/1000</f>
        <v>140.18976383697861</v>
      </c>
      <c r="CO10" s="22">
        <f>Calc_Volume!CO14*Assum_Costs!$C$8*CO5/1000</f>
        <v>148.95162407678976</v>
      </c>
      <c r="CP10" s="22">
        <f>Calc_Volume!CP14*Assum_Costs!$C$8*CP5/1000</f>
        <v>166.47534455641204</v>
      </c>
      <c r="CQ10" s="22">
        <f>Calc_Volume!CQ14*Assum_Costs!$C$8*CQ5/1000</f>
        <v>183.99906503603435</v>
      </c>
      <c r="CR10" s="22">
        <f>Calc_Volume!CR14*Assum_Costs!$C$8*CR5/1000</f>
        <v>201.52278551565669</v>
      </c>
      <c r="CS10" s="22">
        <f>Calc_Volume!CS14*Assum_Costs!$C$8*CS5/1000</f>
        <v>245.33208671471246</v>
      </c>
      <c r="CT10" s="22">
        <f>Calc_Volume!CT14*Assum_Costs!$C$8*CT5/1000</f>
        <v>214.82328935969002</v>
      </c>
      <c r="CU10" s="22">
        <f>Calc_Volume!CU14*Assum_Costs!$C$8*CU5/1000</f>
        <v>205.48314634405136</v>
      </c>
      <c r="CV10" s="22">
        <f>Calc_Volume!CV14*Assum_Costs!$C$8*CV5/1000</f>
        <v>186.80286031277396</v>
      </c>
      <c r="CW10" s="22">
        <f>Calc_Volume!CW14*Assum_Costs!$C$8*CW5/1000</f>
        <v>168.12257428149655</v>
      </c>
      <c r="CX10" s="22">
        <f>Calc_Volume!CX14*Assum_Costs!$C$8*CX5/1000</f>
        <v>158.78243126585787</v>
      </c>
      <c r="CY10" s="22">
        <f>Calc_Volume!CY14*Assum_Costs!$C$8*CY5/1000</f>
        <v>149.44228825021918</v>
      </c>
      <c r="CZ10" s="22">
        <f>Calc_Volume!CZ14*Assum_Costs!$C$8*CZ5/1000</f>
        <v>149.44228825021918</v>
      </c>
      <c r="DA10" s="22">
        <f>Calc_Volume!DA14*Assum_Costs!$C$8*DA5/1000</f>
        <v>158.78243126585787</v>
      </c>
      <c r="DB10" s="22">
        <f>Calc_Volume!DB14*Assum_Costs!$C$8*DB5/1000</f>
        <v>177.46271729713524</v>
      </c>
      <c r="DC10" s="22">
        <f>Calc_Volume!DC14*Assum_Costs!$C$8*DC5/1000</f>
        <v>196.14300332841262</v>
      </c>
      <c r="DD10" s="22">
        <f>Calc_Volume!DD14*Assum_Costs!$C$8*DD5/1000</f>
        <v>214.82328935969002</v>
      </c>
      <c r="DE10" s="22">
        <f>Calc_Volume!DE14*Assum_Costs!$C$8*DE5/1000</f>
        <v>261.52400443788355</v>
      </c>
      <c r="DF10" s="22">
        <f>Calc_Volume!DF14*Assum_Costs!$C$8*DF5/1000</f>
        <v>229.00162645742955</v>
      </c>
      <c r="DG10" s="22">
        <f>Calc_Volume!DG14*Assum_Costs!$C$8*DG5/1000</f>
        <v>219.04503400275874</v>
      </c>
      <c r="DH10" s="22">
        <f>Calc_Volume!DH14*Assum_Costs!$C$8*DH5/1000</f>
        <v>199.13184909341703</v>
      </c>
      <c r="DI10" s="22">
        <f>Calc_Volume!DI14*Assum_Costs!$C$8*DI5/1000</f>
        <v>179.21866418407529</v>
      </c>
      <c r="DJ10" s="22">
        <f>Calc_Volume!DJ14*Assum_Costs!$C$8*DJ5/1000</f>
        <v>169.26207172940445</v>
      </c>
      <c r="DK10" s="22">
        <f>Calc_Volume!DK14*Assum_Costs!$C$8*DK5/1000</f>
        <v>159.30547927473361</v>
      </c>
      <c r="DL10" s="22">
        <f>Calc_Volume!DL14*Assum_Costs!$C$8*DL5/1000</f>
        <v>159.30547927473361</v>
      </c>
      <c r="DM10" s="22">
        <f>Calc_Volume!DM14*Assum_Costs!$C$8*DM5/1000</f>
        <v>169.26207172940445</v>
      </c>
      <c r="DN10" s="22">
        <f>Calc_Volume!DN14*Assum_Costs!$C$8*DN5/1000</f>
        <v>189.17525663874619</v>
      </c>
      <c r="DO10" s="22">
        <f>Calc_Volume!DO14*Assum_Costs!$C$8*DO5/1000</f>
        <v>209.08844154808787</v>
      </c>
      <c r="DP10" s="22">
        <f>Calc_Volume!DP14*Assum_Costs!$C$8*DP5/1000</f>
        <v>229.00162645742955</v>
      </c>
      <c r="DQ10" s="22">
        <f>Calc_Volume!DQ14*Assum_Costs!$C$8*DQ5/1000</f>
        <v>278.78458873078381</v>
      </c>
    </row>
    <row r="11" spans="1:121" ht="15" customHeight="1">
      <c r="A11" t="s">
        <v>301</v>
      </c>
      <c r="B11" s="22">
        <f>Calc_Volume!B14*Assum_Costs!$C$9*B5/1000</f>
        <v>114.99999999999999</v>
      </c>
      <c r="C11" s="22">
        <f>Calc_Volume!C14*Assum_Costs!$C$9*C5/1000</f>
        <v>110.00000000000001</v>
      </c>
      <c r="D11" s="22">
        <f>Calc_Volume!D14*Assum_Costs!$C$9*D5/1000</f>
        <v>100</v>
      </c>
      <c r="E11" s="22">
        <f>Calc_Volume!E14*Assum_Costs!$C$9*E5/1000</f>
        <v>90</v>
      </c>
      <c r="F11" s="22">
        <f>Calc_Volume!F14*Assum_Costs!$C$9*F5/1000</f>
        <v>85</v>
      </c>
      <c r="G11" s="22">
        <f>Calc_Volume!G14*Assum_Costs!$C$9*G5/1000</f>
        <v>80.000000000000014</v>
      </c>
      <c r="H11" s="22">
        <f>Calc_Volume!H14*Assum_Costs!$C$9*H5/1000</f>
        <v>80.000000000000014</v>
      </c>
      <c r="I11" s="22">
        <f>Calc_Volume!I14*Assum_Costs!$C$9*I5/1000</f>
        <v>85</v>
      </c>
      <c r="J11" s="22">
        <f>Calc_Volume!J14*Assum_Costs!$C$9*J5/1000</f>
        <v>95</v>
      </c>
      <c r="K11" s="22">
        <f>Calc_Volume!K14*Assum_Costs!$C$9*K5/1000</f>
        <v>105</v>
      </c>
      <c r="L11" s="22">
        <f>Calc_Volume!L14*Assum_Costs!$C$9*L5/1000</f>
        <v>114.99999999999999</v>
      </c>
      <c r="M11" s="22">
        <f>Calc_Volume!M14*Assum_Costs!$C$9*M5/1000</f>
        <v>140</v>
      </c>
      <c r="N11" s="22">
        <f>Calc_Volume!N14*Assum_Costs!$C$9*N5/1000</f>
        <v>127.30499999999998</v>
      </c>
      <c r="O11" s="22">
        <f>Calc_Volume!O14*Assum_Costs!$C$9*O5/1000</f>
        <v>121.77000000000001</v>
      </c>
      <c r="P11" s="22">
        <f>Calc_Volume!P14*Assum_Costs!$C$9*P5/1000</f>
        <v>110.69999999999999</v>
      </c>
      <c r="Q11" s="22">
        <f>Calc_Volume!Q14*Assum_Costs!$C$9*Q5/1000</f>
        <v>99.629999999999981</v>
      </c>
      <c r="R11" s="22">
        <f>Calc_Volume!R14*Assum_Costs!$C$9*R5/1000</f>
        <v>94.094999999999985</v>
      </c>
      <c r="S11" s="22">
        <f>Calc_Volume!S14*Assum_Costs!$C$9*S5/1000</f>
        <v>88.560000000000031</v>
      </c>
      <c r="T11" s="22">
        <f>Calc_Volume!T14*Assum_Costs!$C$9*T5/1000</f>
        <v>88.560000000000031</v>
      </c>
      <c r="U11" s="22">
        <f>Calc_Volume!U14*Assum_Costs!$C$9*U5/1000</f>
        <v>94.094999999999985</v>
      </c>
      <c r="V11" s="22">
        <f>Calc_Volume!V14*Assum_Costs!$C$9*V5/1000</f>
        <v>105.16499999999999</v>
      </c>
      <c r="W11" s="22">
        <f>Calc_Volume!W14*Assum_Costs!$C$9*W5/1000</f>
        <v>116.23499999999999</v>
      </c>
      <c r="X11" s="22">
        <f>Calc_Volume!X14*Assum_Costs!$C$9*X5/1000</f>
        <v>127.30499999999998</v>
      </c>
      <c r="Y11" s="22">
        <f>Calc_Volume!Y14*Assum_Costs!$C$9*Y5/1000</f>
        <v>154.97999999999999</v>
      </c>
      <c r="Z11" s="22">
        <f>Calc_Volume!Z14*Assum_Costs!$C$9*Z5/1000</f>
        <v>140.92663499999998</v>
      </c>
      <c r="AA11" s="22">
        <f>Calc_Volume!AA14*Assum_Costs!$C$9*AA5/1000</f>
        <v>134.79939000000005</v>
      </c>
      <c r="AB11" s="22">
        <f>Calc_Volume!AB14*Assum_Costs!$C$9*AB5/1000</f>
        <v>122.5449</v>
      </c>
      <c r="AC11" s="22">
        <f>Calc_Volume!AC14*Assum_Costs!$C$9*AC5/1000</f>
        <v>110.29040999999999</v>
      </c>
      <c r="AD11" s="22">
        <f>Calc_Volume!AD14*Assum_Costs!$C$9*AD5/1000</f>
        <v>104.16316500000002</v>
      </c>
      <c r="AE11" s="22">
        <f>Calc_Volume!AE14*Assum_Costs!$C$9*AE5/1000</f>
        <v>98.035920000000033</v>
      </c>
      <c r="AF11" s="22">
        <f>Calc_Volume!AF14*Assum_Costs!$C$9*AF5/1000</f>
        <v>98.035920000000033</v>
      </c>
      <c r="AG11" s="22">
        <f>Calc_Volume!AG14*Assum_Costs!$C$9*AG5/1000</f>
        <v>104.16316500000002</v>
      </c>
      <c r="AH11" s="22">
        <f>Calc_Volume!AH14*Assum_Costs!$C$9*AH5/1000</f>
        <v>116.41765499999998</v>
      </c>
      <c r="AI11" s="22">
        <f>Calc_Volume!AI14*Assum_Costs!$C$9*AI5/1000</f>
        <v>128.67214500000003</v>
      </c>
      <c r="AJ11" s="22">
        <f>Calc_Volume!AJ14*Assum_Costs!$C$9*AJ5/1000</f>
        <v>140.92663499999998</v>
      </c>
      <c r="AK11" s="22">
        <f>Calc_Volume!AK14*Assum_Costs!$C$9*AK5/1000</f>
        <v>171.56286000000003</v>
      </c>
      <c r="AL11" s="22">
        <f>Calc_Volume!AL14*Assum_Costs!$C$9*AL5/1000</f>
        <v>153.11678892749998</v>
      </c>
      <c r="AM11" s="22">
        <f>Calc_Volume!AM14*Assum_Costs!$C$9*AM5/1000</f>
        <v>146.45953723500003</v>
      </c>
      <c r="AN11" s="22">
        <f>Calc_Volume!AN14*Assum_Costs!$C$9*AN5/1000</f>
        <v>133.14503385</v>
      </c>
      <c r="AO11" s="22">
        <f>Calc_Volume!AO14*Assum_Costs!$C$9*AO5/1000</f>
        <v>119.83053046500001</v>
      </c>
      <c r="AP11" s="22">
        <f>Calc_Volume!AP14*Assum_Costs!$C$9*AP5/1000</f>
        <v>113.17327877250001</v>
      </c>
      <c r="AQ11" s="22">
        <f>Calc_Volume!AQ14*Assum_Costs!$C$9*AQ5/1000</f>
        <v>106.51602708</v>
      </c>
      <c r="AR11" s="22">
        <f>Calc_Volume!AR14*Assum_Costs!$C$9*AR5/1000</f>
        <v>106.51602708</v>
      </c>
      <c r="AS11" s="22">
        <f>Calc_Volume!AS14*Assum_Costs!$C$9*AS5/1000</f>
        <v>113.17327877250001</v>
      </c>
      <c r="AT11" s="22">
        <f>Calc_Volume!AT14*Assum_Costs!$C$9*AT5/1000</f>
        <v>126.48778215749999</v>
      </c>
      <c r="AU11" s="22">
        <f>Calc_Volume!AU14*Assum_Costs!$C$9*AU5/1000</f>
        <v>139.80228554250004</v>
      </c>
      <c r="AV11" s="22">
        <f>Calc_Volume!AV14*Assum_Costs!$C$9*AV5/1000</f>
        <v>153.11678892749998</v>
      </c>
      <c r="AW11" s="22">
        <f>Calc_Volume!AW14*Assum_Costs!$C$9*AW5/1000</f>
        <v>186.40304738999998</v>
      </c>
      <c r="AX11" s="22">
        <f>Calc_Volume!AX14*Assum_Costs!$C$9*AX5/1000</f>
        <v>166.36139116972871</v>
      </c>
      <c r="AY11" s="22">
        <f>Calc_Volume!AY14*Assum_Costs!$C$9*AY5/1000</f>
        <v>159.12828720582755</v>
      </c>
      <c r="AZ11" s="22">
        <f>Calc_Volume!AZ14*Assum_Costs!$C$9*AZ5/1000</f>
        <v>144.662079278025</v>
      </c>
      <c r="BA11" s="22">
        <f>Calc_Volume!BA14*Assum_Costs!$C$9*BA5/1000</f>
        <v>130.19587135022249</v>
      </c>
      <c r="BB11" s="22">
        <f>Calc_Volume!BB14*Assum_Costs!$C$9*BB5/1000</f>
        <v>122.96276738632126</v>
      </c>
      <c r="BC11" s="22">
        <f>Calc_Volume!BC14*Assum_Costs!$C$9*BC5/1000</f>
        <v>115.72966342241999</v>
      </c>
      <c r="BD11" s="22">
        <f>Calc_Volume!BD14*Assum_Costs!$C$9*BD5/1000</f>
        <v>115.72966342241999</v>
      </c>
      <c r="BE11" s="22">
        <f>Calc_Volume!BE14*Assum_Costs!$C$9*BE5/1000</f>
        <v>122.96276738632126</v>
      </c>
      <c r="BF11" s="22">
        <f>Calc_Volume!BF14*Assum_Costs!$C$9*BF5/1000</f>
        <v>137.42897531412373</v>
      </c>
      <c r="BG11" s="22">
        <f>Calc_Volume!BG14*Assum_Costs!$C$9*BG5/1000</f>
        <v>151.89518324192625</v>
      </c>
      <c r="BH11" s="22">
        <f>Calc_Volume!BH14*Assum_Costs!$C$9*BH5/1000</f>
        <v>166.36139116972871</v>
      </c>
      <c r="BI11" s="22">
        <f>Calc_Volume!BI14*Assum_Costs!$C$9*BI5/1000</f>
        <v>202.52691098923501</v>
      </c>
      <c r="BJ11" s="22">
        <f>Calc_Volume!BJ14*Assum_Costs!$C$9*BJ5/1000</f>
        <v>177.34124298693084</v>
      </c>
      <c r="BK11" s="22">
        <f>Calc_Volume!BK14*Assum_Costs!$C$9*BK5/1000</f>
        <v>169.63075416141214</v>
      </c>
      <c r="BL11" s="22">
        <f>Calc_Volume!BL14*Assum_Costs!$C$9*BL5/1000</f>
        <v>154.20977651037464</v>
      </c>
      <c r="BM11" s="22">
        <f>Calc_Volume!BM14*Assum_Costs!$C$9*BM5/1000</f>
        <v>138.78879885933716</v>
      </c>
      <c r="BN11" s="22">
        <f>Calc_Volume!BN14*Assum_Costs!$C$9*BN5/1000</f>
        <v>131.07831003381844</v>
      </c>
      <c r="BO11" s="22">
        <f>Calc_Volume!BO14*Assum_Costs!$C$9*BO5/1000</f>
        <v>123.36782120829972</v>
      </c>
      <c r="BP11" s="22">
        <f>Calc_Volume!BP14*Assum_Costs!$C$9*BP5/1000</f>
        <v>123.36782120829972</v>
      </c>
      <c r="BQ11" s="22">
        <f>Calc_Volume!BQ14*Assum_Costs!$C$9*BQ5/1000</f>
        <v>131.07831003381844</v>
      </c>
      <c r="BR11" s="22">
        <f>Calc_Volume!BR14*Assum_Costs!$C$9*BR5/1000</f>
        <v>146.49928768485589</v>
      </c>
      <c r="BS11" s="22">
        <f>Calc_Volume!BS14*Assum_Costs!$C$9*BS5/1000</f>
        <v>161.92026533589333</v>
      </c>
      <c r="BT11" s="22">
        <f>Calc_Volume!BT14*Assum_Costs!$C$9*BT5/1000</f>
        <v>177.34124298693084</v>
      </c>
      <c r="BU11" s="22">
        <f>Calc_Volume!BU14*Assum_Costs!$C$9*BU5/1000</f>
        <v>215.89368711452448</v>
      </c>
      <c r="BV11" s="22">
        <f>Calc_Volume!BV14*Assum_Costs!$C$9*BV5/1000</f>
        <v>189.04576502406823</v>
      </c>
      <c r="BW11" s="22">
        <f>Calc_Volume!BW14*Assum_Costs!$C$9*BW5/1000</f>
        <v>180.82638393606533</v>
      </c>
      <c r="BX11" s="22">
        <f>Calc_Volume!BX14*Assum_Costs!$C$9*BX5/1000</f>
        <v>164.38762176005932</v>
      </c>
      <c r="BY11" s="22">
        <f>Calc_Volume!BY14*Assum_Costs!$C$9*BY5/1000</f>
        <v>147.94885958405339</v>
      </c>
      <c r="BZ11" s="22">
        <f>Calc_Volume!BZ14*Assum_Costs!$C$9*BZ5/1000</f>
        <v>139.72947849605043</v>
      </c>
      <c r="CA11" s="22">
        <f>Calc_Volume!CA14*Assum_Costs!$C$9*CA5/1000</f>
        <v>131.5100974080475</v>
      </c>
      <c r="CB11" s="22">
        <f>Calc_Volume!CB14*Assum_Costs!$C$9*CB5/1000</f>
        <v>131.5100974080475</v>
      </c>
      <c r="CC11" s="22">
        <f>Calc_Volume!CC14*Assum_Costs!$C$9*CC5/1000</f>
        <v>139.72947849605043</v>
      </c>
      <c r="CD11" s="22">
        <f>Calc_Volume!CD14*Assum_Costs!$C$9*CD5/1000</f>
        <v>156.16824067205638</v>
      </c>
      <c r="CE11" s="22">
        <f>Calc_Volume!CE14*Assum_Costs!$C$9*CE5/1000</f>
        <v>172.60700284806231</v>
      </c>
      <c r="CF11" s="22">
        <f>Calc_Volume!CF14*Assum_Costs!$C$9*CF5/1000</f>
        <v>189.04576502406823</v>
      </c>
      <c r="CG11" s="22">
        <f>Calc_Volume!CG14*Assum_Costs!$C$9*CG5/1000</f>
        <v>230.14267046408307</v>
      </c>
      <c r="CH11" s="22">
        <f>Calc_Volume!CH14*Assum_Costs!$C$9*CH5/1000</f>
        <v>201.52278551565669</v>
      </c>
      <c r="CI11" s="22">
        <f>Calc_Volume!CI14*Assum_Costs!$C$9*CI5/1000</f>
        <v>192.76092527584558</v>
      </c>
      <c r="CJ11" s="22">
        <f>Calc_Volume!CJ14*Assum_Costs!$C$9*CJ5/1000</f>
        <v>175.23720479622321</v>
      </c>
      <c r="CK11" s="22">
        <f>Calc_Volume!CK14*Assum_Costs!$C$9*CK5/1000</f>
        <v>157.71348431660093</v>
      </c>
      <c r="CL11" s="22">
        <f>Calc_Volume!CL14*Assum_Costs!$C$9*CL5/1000</f>
        <v>148.95162407678976</v>
      </c>
      <c r="CM11" s="22">
        <f>Calc_Volume!CM14*Assum_Costs!$C$9*CM5/1000</f>
        <v>140.18976383697861</v>
      </c>
      <c r="CN11" s="22">
        <f>Calc_Volume!CN14*Assum_Costs!$C$9*CN5/1000</f>
        <v>140.18976383697861</v>
      </c>
      <c r="CO11" s="22">
        <f>Calc_Volume!CO14*Assum_Costs!$C$9*CO5/1000</f>
        <v>148.95162407678976</v>
      </c>
      <c r="CP11" s="22">
        <f>Calc_Volume!CP14*Assum_Costs!$C$9*CP5/1000</f>
        <v>166.47534455641204</v>
      </c>
      <c r="CQ11" s="22">
        <f>Calc_Volume!CQ14*Assum_Costs!$C$9*CQ5/1000</f>
        <v>183.99906503603435</v>
      </c>
      <c r="CR11" s="22">
        <f>Calc_Volume!CR14*Assum_Costs!$C$9*CR5/1000</f>
        <v>201.52278551565669</v>
      </c>
      <c r="CS11" s="22">
        <f>Calc_Volume!CS14*Assum_Costs!$C$9*CS5/1000</f>
        <v>245.33208671471246</v>
      </c>
      <c r="CT11" s="22">
        <f>Calc_Volume!CT14*Assum_Costs!$C$9*CT5/1000</f>
        <v>214.82328935969002</v>
      </c>
      <c r="CU11" s="22">
        <f>Calc_Volume!CU14*Assum_Costs!$C$9*CU5/1000</f>
        <v>205.48314634405136</v>
      </c>
      <c r="CV11" s="22">
        <f>Calc_Volume!CV14*Assum_Costs!$C$9*CV5/1000</f>
        <v>186.80286031277396</v>
      </c>
      <c r="CW11" s="22">
        <f>Calc_Volume!CW14*Assum_Costs!$C$9*CW5/1000</f>
        <v>168.12257428149655</v>
      </c>
      <c r="CX11" s="22">
        <f>Calc_Volume!CX14*Assum_Costs!$C$9*CX5/1000</f>
        <v>158.78243126585787</v>
      </c>
      <c r="CY11" s="22">
        <f>Calc_Volume!CY14*Assum_Costs!$C$9*CY5/1000</f>
        <v>149.44228825021918</v>
      </c>
      <c r="CZ11" s="22">
        <f>Calc_Volume!CZ14*Assum_Costs!$C$9*CZ5/1000</f>
        <v>149.44228825021918</v>
      </c>
      <c r="DA11" s="22">
        <f>Calc_Volume!DA14*Assum_Costs!$C$9*DA5/1000</f>
        <v>158.78243126585787</v>
      </c>
      <c r="DB11" s="22">
        <f>Calc_Volume!DB14*Assum_Costs!$C$9*DB5/1000</f>
        <v>177.46271729713524</v>
      </c>
      <c r="DC11" s="22">
        <f>Calc_Volume!DC14*Assum_Costs!$C$9*DC5/1000</f>
        <v>196.14300332841262</v>
      </c>
      <c r="DD11" s="22">
        <f>Calc_Volume!DD14*Assum_Costs!$C$9*DD5/1000</f>
        <v>214.82328935969002</v>
      </c>
      <c r="DE11" s="22">
        <f>Calc_Volume!DE14*Assum_Costs!$C$9*DE5/1000</f>
        <v>261.52400443788355</v>
      </c>
      <c r="DF11" s="22">
        <f>Calc_Volume!DF14*Assum_Costs!$C$9*DF5/1000</f>
        <v>229.00162645742955</v>
      </c>
      <c r="DG11" s="22">
        <f>Calc_Volume!DG14*Assum_Costs!$C$9*DG5/1000</f>
        <v>219.04503400275874</v>
      </c>
      <c r="DH11" s="22">
        <f>Calc_Volume!DH14*Assum_Costs!$C$9*DH5/1000</f>
        <v>199.13184909341703</v>
      </c>
      <c r="DI11" s="22">
        <f>Calc_Volume!DI14*Assum_Costs!$C$9*DI5/1000</f>
        <v>179.21866418407529</v>
      </c>
      <c r="DJ11" s="22">
        <f>Calc_Volume!DJ14*Assum_Costs!$C$9*DJ5/1000</f>
        <v>169.26207172940445</v>
      </c>
      <c r="DK11" s="22">
        <f>Calc_Volume!DK14*Assum_Costs!$C$9*DK5/1000</f>
        <v>159.30547927473361</v>
      </c>
      <c r="DL11" s="22">
        <f>Calc_Volume!DL14*Assum_Costs!$C$9*DL5/1000</f>
        <v>159.30547927473361</v>
      </c>
      <c r="DM11" s="22">
        <f>Calc_Volume!DM14*Assum_Costs!$C$9*DM5/1000</f>
        <v>169.26207172940445</v>
      </c>
      <c r="DN11" s="22">
        <f>Calc_Volume!DN14*Assum_Costs!$C$9*DN5/1000</f>
        <v>189.17525663874619</v>
      </c>
      <c r="DO11" s="22">
        <f>Calc_Volume!DO14*Assum_Costs!$C$9*DO5/1000</f>
        <v>209.08844154808787</v>
      </c>
      <c r="DP11" s="22">
        <f>Calc_Volume!DP14*Assum_Costs!$C$9*DP5/1000</f>
        <v>229.00162645742955</v>
      </c>
      <c r="DQ11" s="22">
        <f>Calc_Volume!DQ14*Assum_Costs!$C$9*DQ5/1000</f>
        <v>278.78458873078381</v>
      </c>
    </row>
    <row r="12" spans="1:121" ht="15" customHeight="1">
      <c r="A12" s="14" t="s">
        <v>302</v>
      </c>
      <c r="B12" s="29">
        <f t="shared" ref="B12:AG12" si="10">SUM(B8:B11)</f>
        <v>1533.333333333333</v>
      </c>
      <c r="C12" s="29">
        <f t="shared" si="10"/>
        <v>1466.666666666667</v>
      </c>
      <c r="D12" s="29">
        <f t="shared" si="10"/>
        <v>1333.3333333333335</v>
      </c>
      <c r="E12" s="29">
        <f t="shared" si="10"/>
        <v>1200</v>
      </c>
      <c r="F12" s="29">
        <f t="shared" si="10"/>
        <v>1133.3333333333335</v>
      </c>
      <c r="G12" s="29">
        <f t="shared" si="10"/>
        <v>1066.666666666667</v>
      </c>
      <c r="H12" s="29">
        <f t="shared" si="10"/>
        <v>1066.666666666667</v>
      </c>
      <c r="I12" s="29">
        <f t="shared" si="10"/>
        <v>1133.3333333333335</v>
      </c>
      <c r="J12" s="29">
        <f t="shared" si="10"/>
        <v>1266.6666666666665</v>
      </c>
      <c r="K12" s="29">
        <f t="shared" si="10"/>
        <v>1400</v>
      </c>
      <c r="L12" s="29">
        <f t="shared" si="10"/>
        <v>1533.333333333333</v>
      </c>
      <c r="M12" s="29">
        <f t="shared" si="10"/>
        <v>1866.6666666666665</v>
      </c>
      <c r="N12" s="29">
        <f t="shared" si="10"/>
        <v>1697.3999999999999</v>
      </c>
      <c r="O12" s="29">
        <f t="shared" si="10"/>
        <v>1623.6</v>
      </c>
      <c r="P12" s="29">
        <f t="shared" si="10"/>
        <v>1476</v>
      </c>
      <c r="Q12" s="29">
        <f t="shared" si="10"/>
        <v>1328.3999999999996</v>
      </c>
      <c r="R12" s="29">
        <f t="shared" si="10"/>
        <v>1254.5999999999999</v>
      </c>
      <c r="S12" s="29">
        <f t="shared" si="10"/>
        <v>1180.8000000000002</v>
      </c>
      <c r="T12" s="29">
        <f t="shared" si="10"/>
        <v>1180.8000000000002</v>
      </c>
      <c r="U12" s="29">
        <f t="shared" si="10"/>
        <v>1254.5999999999999</v>
      </c>
      <c r="V12" s="29">
        <f t="shared" si="10"/>
        <v>1402.1999999999998</v>
      </c>
      <c r="W12" s="29">
        <f t="shared" si="10"/>
        <v>1549.7999999999997</v>
      </c>
      <c r="X12" s="29">
        <f t="shared" si="10"/>
        <v>1697.3999999999999</v>
      </c>
      <c r="Y12" s="29">
        <f t="shared" si="10"/>
        <v>2066.3999999999996</v>
      </c>
      <c r="Z12" s="29">
        <f t="shared" si="10"/>
        <v>1879.0217999999998</v>
      </c>
      <c r="AA12" s="29">
        <f t="shared" si="10"/>
        <v>1797.3252000000007</v>
      </c>
      <c r="AB12" s="29">
        <f t="shared" si="10"/>
        <v>1633.9320000000002</v>
      </c>
      <c r="AC12" s="29">
        <f t="shared" si="10"/>
        <v>1470.5388</v>
      </c>
      <c r="AD12" s="29">
        <f t="shared" si="10"/>
        <v>1388.8422</v>
      </c>
      <c r="AE12" s="29">
        <f t="shared" si="10"/>
        <v>1307.1456000000003</v>
      </c>
      <c r="AF12" s="29">
        <f t="shared" si="10"/>
        <v>1307.1456000000003</v>
      </c>
      <c r="AG12" s="29">
        <f t="shared" si="10"/>
        <v>1388.8422</v>
      </c>
      <c r="AH12" s="29">
        <f t="shared" ref="AH12:BM12" si="11">SUM(AH8:AH11)</f>
        <v>1552.2353999999998</v>
      </c>
      <c r="AI12" s="29">
        <f t="shared" si="11"/>
        <v>1715.6286000000002</v>
      </c>
      <c r="AJ12" s="29">
        <f t="shared" si="11"/>
        <v>1879.0217999999998</v>
      </c>
      <c r="AK12" s="29">
        <f t="shared" si="11"/>
        <v>2287.5048000000002</v>
      </c>
      <c r="AL12" s="29">
        <f t="shared" si="11"/>
        <v>2041.5571856999998</v>
      </c>
      <c r="AM12" s="29">
        <f t="shared" si="11"/>
        <v>1952.7938298000004</v>
      </c>
      <c r="AN12" s="29">
        <f t="shared" si="11"/>
        <v>1775.2671179999998</v>
      </c>
      <c r="AO12" s="29">
        <f t="shared" si="11"/>
        <v>1597.7404062000001</v>
      </c>
      <c r="AP12" s="29">
        <f t="shared" si="11"/>
        <v>1508.9770503</v>
      </c>
      <c r="AQ12" s="29">
        <f t="shared" si="11"/>
        <v>1420.2136943999999</v>
      </c>
      <c r="AR12" s="29">
        <f t="shared" si="11"/>
        <v>1420.2136943999999</v>
      </c>
      <c r="AS12" s="29">
        <f t="shared" si="11"/>
        <v>1508.9770503</v>
      </c>
      <c r="AT12" s="29">
        <f t="shared" si="11"/>
        <v>1686.5037621000001</v>
      </c>
      <c r="AU12" s="29">
        <f t="shared" si="11"/>
        <v>1864.0304739000007</v>
      </c>
      <c r="AV12" s="29">
        <f t="shared" si="11"/>
        <v>2041.5571856999998</v>
      </c>
      <c r="AW12" s="29">
        <f t="shared" si="11"/>
        <v>2485.3739652000004</v>
      </c>
      <c r="AX12" s="29">
        <f t="shared" si="11"/>
        <v>2218.1518822630496</v>
      </c>
      <c r="AY12" s="29">
        <f t="shared" si="11"/>
        <v>2121.7104960777006</v>
      </c>
      <c r="AZ12" s="29">
        <f t="shared" si="11"/>
        <v>1928.8277237069999</v>
      </c>
      <c r="BA12" s="29">
        <f t="shared" si="11"/>
        <v>1735.9449513362997</v>
      </c>
      <c r="BB12" s="29">
        <f t="shared" si="11"/>
        <v>1639.5035651509502</v>
      </c>
      <c r="BC12" s="29">
        <f t="shared" si="11"/>
        <v>1543.0621789655997</v>
      </c>
      <c r="BD12" s="29">
        <f t="shared" si="11"/>
        <v>1543.0621789655997</v>
      </c>
      <c r="BE12" s="29">
        <f t="shared" si="11"/>
        <v>1639.5035651509502</v>
      </c>
      <c r="BF12" s="29">
        <f t="shared" si="11"/>
        <v>1832.3863375216499</v>
      </c>
      <c r="BG12" s="29">
        <f t="shared" si="11"/>
        <v>2025.2691098923497</v>
      </c>
      <c r="BH12" s="29">
        <f t="shared" si="11"/>
        <v>2218.1518822630496</v>
      </c>
      <c r="BI12" s="29">
        <f t="shared" si="11"/>
        <v>2700.3588131898005</v>
      </c>
      <c r="BJ12" s="29">
        <f t="shared" si="11"/>
        <v>2364.5499064924111</v>
      </c>
      <c r="BK12" s="29">
        <f t="shared" si="11"/>
        <v>2261.7433888188289</v>
      </c>
      <c r="BL12" s="29">
        <f t="shared" si="11"/>
        <v>2056.1303534716617</v>
      </c>
      <c r="BM12" s="29">
        <f t="shared" si="11"/>
        <v>1850.5173181244957</v>
      </c>
      <c r="BN12" s="29">
        <f t="shared" ref="BN12:CS12" si="12">SUM(BN8:BN11)</f>
        <v>1747.7108004509128</v>
      </c>
      <c r="BO12" s="29">
        <f t="shared" si="12"/>
        <v>1644.9042827773296</v>
      </c>
      <c r="BP12" s="29">
        <f t="shared" si="12"/>
        <v>1644.9042827773296</v>
      </c>
      <c r="BQ12" s="29">
        <f t="shared" si="12"/>
        <v>1747.7108004509128</v>
      </c>
      <c r="BR12" s="29">
        <f t="shared" si="12"/>
        <v>1953.3238357980788</v>
      </c>
      <c r="BS12" s="29">
        <f t="shared" si="12"/>
        <v>2158.9368711452448</v>
      </c>
      <c r="BT12" s="29">
        <f t="shared" si="12"/>
        <v>2364.5499064924111</v>
      </c>
      <c r="BU12" s="29">
        <f t="shared" si="12"/>
        <v>2878.5824948603258</v>
      </c>
      <c r="BV12" s="29">
        <f t="shared" si="12"/>
        <v>2520.6102003209098</v>
      </c>
      <c r="BW12" s="29">
        <f t="shared" si="12"/>
        <v>2411.0184524808706</v>
      </c>
      <c r="BX12" s="29">
        <f t="shared" si="12"/>
        <v>2191.8349568007911</v>
      </c>
      <c r="BY12" s="29">
        <f t="shared" si="12"/>
        <v>1972.6514611207122</v>
      </c>
      <c r="BZ12" s="29">
        <f t="shared" si="12"/>
        <v>1863.0597132806724</v>
      </c>
      <c r="CA12" s="29">
        <f t="shared" si="12"/>
        <v>1753.4679654406332</v>
      </c>
      <c r="CB12" s="29">
        <f t="shared" si="12"/>
        <v>1753.4679654406332</v>
      </c>
      <c r="CC12" s="29">
        <f t="shared" si="12"/>
        <v>1863.0597132806724</v>
      </c>
      <c r="CD12" s="29">
        <f t="shared" si="12"/>
        <v>2082.2432089607514</v>
      </c>
      <c r="CE12" s="29">
        <f t="shared" si="12"/>
        <v>2301.4267046408304</v>
      </c>
      <c r="CF12" s="29">
        <f t="shared" si="12"/>
        <v>2520.6102003209098</v>
      </c>
      <c r="CG12" s="29">
        <f t="shared" si="12"/>
        <v>3068.5689395211075</v>
      </c>
      <c r="CH12" s="29">
        <f t="shared" si="12"/>
        <v>2686.9704735420892</v>
      </c>
      <c r="CI12" s="29">
        <f t="shared" si="12"/>
        <v>2570.1456703446079</v>
      </c>
      <c r="CJ12" s="29">
        <f t="shared" si="12"/>
        <v>2336.4960639496426</v>
      </c>
      <c r="CK12" s="29">
        <f t="shared" si="12"/>
        <v>2102.8464575546791</v>
      </c>
      <c r="CL12" s="29">
        <f t="shared" si="12"/>
        <v>1986.0216543571969</v>
      </c>
      <c r="CM12" s="29">
        <f t="shared" si="12"/>
        <v>1869.1968511597152</v>
      </c>
      <c r="CN12" s="29">
        <f t="shared" si="12"/>
        <v>1869.1968511597152</v>
      </c>
      <c r="CO12" s="29">
        <f t="shared" si="12"/>
        <v>1986.0216543571969</v>
      </c>
      <c r="CP12" s="29">
        <f t="shared" si="12"/>
        <v>2219.6712607521604</v>
      </c>
      <c r="CQ12" s="29">
        <f t="shared" si="12"/>
        <v>2453.3208671471243</v>
      </c>
      <c r="CR12" s="29">
        <f t="shared" si="12"/>
        <v>2686.9704735420892</v>
      </c>
      <c r="CS12" s="29">
        <f t="shared" si="12"/>
        <v>3271.0944895294997</v>
      </c>
      <c r="CT12" s="29">
        <f t="shared" ref="CT12:DY12" si="13">SUM(CT8:CT11)</f>
        <v>2864.310524795867</v>
      </c>
      <c r="CU12" s="29">
        <f t="shared" si="13"/>
        <v>2739.7752845873515</v>
      </c>
      <c r="CV12" s="29">
        <f t="shared" si="13"/>
        <v>2490.7048041703197</v>
      </c>
      <c r="CW12" s="29">
        <f t="shared" si="13"/>
        <v>2241.6343237532874</v>
      </c>
      <c r="CX12" s="29">
        <f t="shared" si="13"/>
        <v>2117.0990835447715</v>
      </c>
      <c r="CY12" s="29">
        <f t="shared" si="13"/>
        <v>1992.5638433362558</v>
      </c>
      <c r="CZ12" s="29">
        <f t="shared" si="13"/>
        <v>1992.5638433362558</v>
      </c>
      <c r="DA12" s="29">
        <f t="shared" si="13"/>
        <v>2117.0990835447715</v>
      </c>
      <c r="DB12" s="29">
        <f t="shared" si="13"/>
        <v>2366.1695639618033</v>
      </c>
      <c r="DC12" s="29">
        <f t="shared" si="13"/>
        <v>2615.2400443788356</v>
      </c>
      <c r="DD12" s="29">
        <f t="shared" si="13"/>
        <v>2864.310524795867</v>
      </c>
      <c r="DE12" s="29">
        <f t="shared" si="13"/>
        <v>3486.986725838447</v>
      </c>
      <c r="DF12" s="29">
        <f t="shared" si="13"/>
        <v>3053.3550194323943</v>
      </c>
      <c r="DG12" s="29">
        <f t="shared" si="13"/>
        <v>2920.6004533701162</v>
      </c>
      <c r="DH12" s="29">
        <f t="shared" si="13"/>
        <v>2655.0913212455607</v>
      </c>
      <c r="DI12" s="29">
        <f t="shared" si="13"/>
        <v>2389.5821891210039</v>
      </c>
      <c r="DJ12" s="29">
        <f t="shared" si="13"/>
        <v>2256.8276230587262</v>
      </c>
      <c r="DK12" s="29">
        <f t="shared" si="13"/>
        <v>2124.0730569964485</v>
      </c>
      <c r="DL12" s="29">
        <f t="shared" si="13"/>
        <v>2124.0730569964485</v>
      </c>
      <c r="DM12" s="29">
        <f t="shared" si="13"/>
        <v>2256.8276230587262</v>
      </c>
      <c r="DN12" s="29">
        <f t="shared" si="13"/>
        <v>2522.3367551832825</v>
      </c>
      <c r="DO12" s="29">
        <f t="shared" si="13"/>
        <v>2787.845887307838</v>
      </c>
      <c r="DP12" s="29">
        <f t="shared" si="13"/>
        <v>3053.3550194323943</v>
      </c>
      <c r="DQ12" s="29">
        <f t="shared" si="13"/>
        <v>3717.1278497437843</v>
      </c>
    </row>
    <row r="14" spans="1:121" ht="15" customHeight="1">
      <c r="A14" s="5" t="s">
        <v>442</v>
      </c>
    </row>
    <row r="15" spans="1:121" ht="15" customHeight="1">
      <c r="A15" t="s">
        <v>414</v>
      </c>
      <c r="B15" s="22">
        <f>Calc_Volume!B25*Assum_Costs!$C$13*B5/1000</f>
        <v>972.70833333333326</v>
      </c>
      <c r="C15" s="22">
        <f>Calc_Volume!C25*Assum_Costs!$C$13*C5/1000</f>
        <v>930.41666666666674</v>
      </c>
      <c r="D15" s="22">
        <f>Calc_Volume!D25*Assum_Costs!$C$13*D5/1000</f>
        <v>845.83333333333337</v>
      </c>
      <c r="E15" s="22">
        <f>Calc_Volume!E25*Assum_Costs!$C$13*E5/1000</f>
        <v>761.25</v>
      </c>
      <c r="F15" s="22">
        <f>Calc_Volume!F25*Assum_Costs!$C$13*F5/1000</f>
        <v>718.95833333333337</v>
      </c>
      <c r="G15" s="22">
        <f>Calc_Volume!G25*Assum_Costs!$C$13*G5/1000</f>
        <v>676.66666666666674</v>
      </c>
      <c r="H15" s="22">
        <f>Calc_Volume!H25*Assum_Costs!$C$13*H5/1000</f>
        <v>676.66666666666674</v>
      </c>
      <c r="I15" s="22">
        <f>Calc_Volume!I25*Assum_Costs!$C$13*I5/1000</f>
        <v>718.95833333333337</v>
      </c>
      <c r="J15" s="22">
        <f>Calc_Volume!J25*Assum_Costs!$C$13*J5/1000</f>
        <v>803.54166666666663</v>
      </c>
      <c r="K15" s="22">
        <f>Calc_Volume!K25*Assum_Costs!$C$13*K5/1000</f>
        <v>888.125</v>
      </c>
      <c r="L15" s="22">
        <f>Calc_Volume!L25*Assum_Costs!$C$13*L5/1000</f>
        <v>972.70833333333326</v>
      </c>
      <c r="M15" s="22">
        <f>Calc_Volume!M25*Assum_Costs!$C$13*M5/1000</f>
        <v>1184.1666666666667</v>
      </c>
      <c r="N15" s="22">
        <f>Calc_Volume!N25*Assum_Costs!$C$13*N5/1000</f>
        <v>1076.788125</v>
      </c>
      <c r="O15" s="22">
        <f>Calc_Volume!O25*Assum_Costs!$C$13*O5/1000</f>
        <v>1029.9712500000001</v>
      </c>
      <c r="P15" s="22">
        <f>Calc_Volume!P25*Assum_Costs!$C$13*P5/1000</f>
        <v>936.33749999999986</v>
      </c>
      <c r="Q15" s="22">
        <f>Calc_Volume!Q25*Assum_Costs!$C$13*Q5/1000</f>
        <v>842.7037499999999</v>
      </c>
      <c r="R15" s="22">
        <f>Calc_Volume!R25*Assum_Costs!$C$13*R5/1000</f>
        <v>795.88687499999992</v>
      </c>
      <c r="S15" s="22">
        <f>Calc_Volume!S25*Assum_Costs!$C$13*S5/1000</f>
        <v>749.07</v>
      </c>
      <c r="T15" s="22">
        <f>Calc_Volume!T25*Assum_Costs!$C$13*T5/1000</f>
        <v>749.07</v>
      </c>
      <c r="U15" s="22">
        <f>Calc_Volume!U25*Assum_Costs!$C$13*U5/1000</f>
        <v>795.88687499999992</v>
      </c>
      <c r="V15" s="22">
        <f>Calc_Volume!V25*Assum_Costs!$C$13*V5/1000</f>
        <v>889.52062499999988</v>
      </c>
      <c r="W15" s="22">
        <f>Calc_Volume!W25*Assum_Costs!$C$13*W5/1000</f>
        <v>983.15437499999985</v>
      </c>
      <c r="X15" s="22">
        <f>Calc_Volume!X25*Assum_Costs!$C$13*X5/1000</f>
        <v>1076.788125</v>
      </c>
      <c r="Y15" s="22">
        <f>Calc_Volume!Y25*Assum_Costs!$C$13*Y5/1000</f>
        <v>1310.8724999999999</v>
      </c>
      <c r="Z15" s="22">
        <f>Calc_Volume!Z25*Assum_Costs!$C$13*Z5/1000</f>
        <v>1192.004454375</v>
      </c>
      <c r="AA15" s="22">
        <f>Calc_Volume!AA25*Assum_Costs!$C$13*AA5/1000</f>
        <v>1140.1781737500003</v>
      </c>
      <c r="AB15" s="22">
        <f>Calc_Volume!AB25*Assum_Costs!$C$13*AB5/1000</f>
        <v>1036.5256124999999</v>
      </c>
      <c r="AC15" s="22">
        <f>Calc_Volume!AC25*Assum_Costs!$C$13*AC5/1000</f>
        <v>932.87305124999989</v>
      </c>
      <c r="AD15" s="22">
        <f>Calc_Volume!AD25*Assum_Costs!$C$13*AD5/1000</f>
        <v>881.04677062500014</v>
      </c>
      <c r="AE15" s="22">
        <f>Calc_Volume!AE25*Assum_Costs!$C$13*AE5/1000</f>
        <v>829.22049000000038</v>
      </c>
      <c r="AF15" s="22">
        <f>Calc_Volume!AF25*Assum_Costs!$C$13*AF5/1000</f>
        <v>829.22049000000038</v>
      </c>
      <c r="AG15" s="22">
        <f>Calc_Volume!AG25*Assum_Costs!$C$13*AG5/1000</f>
        <v>881.04677062500014</v>
      </c>
      <c r="AH15" s="22">
        <f>Calc_Volume!AH25*Assum_Costs!$C$13*AH5/1000</f>
        <v>984.69933187499998</v>
      </c>
      <c r="AI15" s="22">
        <f>Calc_Volume!AI25*Assum_Costs!$C$13*AI5/1000</f>
        <v>1088.3518931250003</v>
      </c>
      <c r="AJ15" s="22">
        <f>Calc_Volume!AJ25*Assum_Costs!$C$13*AJ5/1000</f>
        <v>1192.004454375</v>
      </c>
      <c r="AK15" s="22">
        <f>Calc_Volume!AK25*Assum_Costs!$C$13*AK5/1000</f>
        <v>1451.1358575000002</v>
      </c>
      <c r="AL15" s="22">
        <f>Calc_Volume!AL25*Assum_Costs!$C$13*AL5/1000</f>
        <v>1295.1128396784377</v>
      </c>
      <c r="AM15" s="22">
        <f>Calc_Volume!AM25*Assum_Costs!$C$13*AM5/1000</f>
        <v>1238.8035857793755</v>
      </c>
      <c r="AN15" s="22">
        <f>Calc_Volume!AN25*Assum_Costs!$C$13*AN5/1000</f>
        <v>1126.1850779812501</v>
      </c>
      <c r="AO15" s="22">
        <f>Calc_Volume!AO25*Assum_Costs!$C$13*AO5/1000</f>
        <v>1013.5665701831251</v>
      </c>
      <c r="AP15" s="22">
        <f>Calc_Volume!AP25*Assum_Costs!$C$13*AP5/1000</f>
        <v>957.25731628406254</v>
      </c>
      <c r="AQ15" s="22">
        <f>Calc_Volume!AQ25*Assum_Costs!$C$13*AQ5/1000</f>
        <v>900.94806238500018</v>
      </c>
      <c r="AR15" s="22">
        <f>Calc_Volume!AR25*Assum_Costs!$C$13*AR5/1000</f>
        <v>900.94806238500018</v>
      </c>
      <c r="AS15" s="22">
        <f>Calc_Volume!AS25*Assum_Costs!$C$13*AS5/1000</f>
        <v>957.25731628406254</v>
      </c>
      <c r="AT15" s="22">
        <f>Calc_Volume!AT25*Assum_Costs!$C$13*AT5/1000</f>
        <v>1069.8758240821874</v>
      </c>
      <c r="AU15" s="22">
        <f>Calc_Volume!AU25*Assum_Costs!$C$13*AU5/1000</f>
        <v>1182.4943318803128</v>
      </c>
      <c r="AV15" s="22">
        <f>Calc_Volume!AV25*Assum_Costs!$C$13*AV5/1000</f>
        <v>1295.1128396784377</v>
      </c>
      <c r="AW15" s="22">
        <f>Calc_Volume!AW25*Assum_Costs!$C$13*AW5/1000</f>
        <v>1576.65910917375</v>
      </c>
      <c r="AX15" s="22">
        <f>Calc_Volume!AX25*Assum_Costs!$C$13*AX5/1000</f>
        <v>1407.1401003106221</v>
      </c>
      <c r="AY15" s="22">
        <f>Calc_Volume!AY25*Assum_Costs!$C$13*AY5/1000</f>
        <v>1345.9600959492911</v>
      </c>
      <c r="AZ15" s="22">
        <f>Calc_Volume!AZ25*Assum_Costs!$C$13*AZ5/1000</f>
        <v>1223.6000872266281</v>
      </c>
      <c r="BA15" s="22">
        <f>Calc_Volume!BA25*Assum_Costs!$C$13*BA5/1000</f>
        <v>1101.2400785039654</v>
      </c>
      <c r="BB15" s="22">
        <f>Calc_Volume!BB25*Assum_Costs!$C$13*BB5/1000</f>
        <v>1040.060074142634</v>
      </c>
      <c r="BC15" s="22">
        <f>Calc_Volume!BC25*Assum_Costs!$C$13*BC5/1000</f>
        <v>978.88006978130261</v>
      </c>
      <c r="BD15" s="22">
        <f>Calc_Volume!BD25*Assum_Costs!$C$13*BD5/1000</f>
        <v>978.88006978130261</v>
      </c>
      <c r="BE15" s="22">
        <f>Calc_Volume!BE25*Assum_Costs!$C$13*BE5/1000</f>
        <v>1040.060074142634</v>
      </c>
      <c r="BF15" s="22">
        <f>Calc_Volume!BF25*Assum_Costs!$C$13*BF5/1000</f>
        <v>1162.4200828652965</v>
      </c>
      <c r="BG15" s="22">
        <f>Calc_Volume!BG25*Assum_Costs!$C$13*BG5/1000</f>
        <v>1284.7800915879598</v>
      </c>
      <c r="BH15" s="22">
        <f>Calc_Volume!BH25*Assum_Costs!$C$13*BH5/1000</f>
        <v>1407.1401003106221</v>
      </c>
      <c r="BI15" s="22">
        <f>Calc_Volume!BI25*Assum_Costs!$C$13*BI5/1000</f>
        <v>1713.0401221172795</v>
      </c>
      <c r="BJ15" s="22">
        <f>Calc_Volume!BJ25*Assum_Costs!$C$13*BJ5/1000</f>
        <v>1500.0113469311232</v>
      </c>
      <c r="BK15" s="22">
        <f>Calc_Volume!BK25*Assum_Costs!$C$13*BK5/1000</f>
        <v>1434.7934622819441</v>
      </c>
      <c r="BL15" s="22">
        <f>Calc_Volume!BL25*Assum_Costs!$C$13*BL5/1000</f>
        <v>1304.3576929835856</v>
      </c>
      <c r="BM15" s="22">
        <f>Calc_Volume!BM25*Assum_Costs!$C$13*BM5/1000</f>
        <v>1173.9219236852268</v>
      </c>
      <c r="BN15" s="22">
        <f>Calc_Volume!BN25*Assum_Costs!$C$13*BN5/1000</f>
        <v>1108.7040390360476</v>
      </c>
      <c r="BO15" s="22">
        <f>Calc_Volume!BO25*Assum_Costs!$C$13*BO5/1000</f>
        <v>1043.4861543868685</v>
      </c>
      <c r="BP15" s="22">
        <f>Calc_Volume!BP25*Assum_Costs!$C$13*BP5/1000</f>
        <v>1043.4861543868685</v>
      </c>
      <c r="BQ15" s="22">
        <f>Calc_Volume!BQ25*Assum_Costs!$C$13*BQ5/1000</f>
        <v>1108.7040390360476</v>
      </c>
      <c r="BR15" s="22">
        <f>Calc_Volume!BR25*Assum_Costs!$C$13*BR5/1000</f>
        <v>1239.1398083344061</v>
      </c>
      <c r="BS15" s="22">
        <f>Calc_Volume!BS25*Assum_Costs!$C$13*BS5/1000</f>
        <v>1369.5755776327646</v>
      </c>
      <c r="BT15" s="22">
        <f>Calc_Volume!BT25*Assum_Costs!$C$13*BT5/1000</f>
        <v>1500.0113469311232</v>
      </c>
      <c r="BU15" s="22">
        <f>Calc_Volume!BU25*Assum_Costs!$C$13*BU5/1000</f>
        <v>1826.1007701770195</v>
      </c>
      <c r="BV15" s="22">
        <f>Calc_Volume!BV25*Assum_Costs!$C$13*BV5/1000</f>
        <v>1599.012095828577</v>
      </c>
      <c r="BW15" s="22">
        <f>Calc_Volume!BW25*Assum_Costs!$C$13*BW5/1000</f>
        <v>1529.4898307925523</v>
      </c>
      <c r="BX15" s="22">
        <f>Calc_Volume!BX25*Assum_Costs!$C$13*BX5/1000</f>
        <v>1390.4453007205018</v>
      </c>
      <c r="BY15" s="22">
        <f>Calc_Volume!BY25*Assum_Costs!$C$13*BY5/1000</f>
        <v>1251.4007706484517</v>
      </c>
      <c r="BZ15" s="22">
        <f>Calc_Volume!BZ25*Assum_Costs!$C$13*BZ5/1000</f>
        <v>1181.8785056124268</v>
      </c>
      <c r="CA15" s="22">
        <f>Calc_Volume!CA25*Assum_Costs!$C$13*CA5/1000</f>
        <v>1112.3562405764019</v>
      </c>
      <c r="CB15" s="22">
        <f>Calc_Volume!CB25*Assum_Costs!$C$13*CB5/1000</f>
        <v>1112.3562405764019</v>
      </c>
      <c r="CC15" s="22">
        <f>Calc_Volume!CC25*Assum_Costs!$C$13*CC5/1000</f>
        <v>1181.8785056124268</v>
      </c>
      <c r="CD15" s="22">
        <f>Calc_Volume!CD25*Assum_Costs!$C$13*CD5/1000</f>
        <v>1320.9230356844769</v>
      </c>
      <c r="CE15" s="22">
        <f>Calc_Volume!CE25*Assum_Costs!$C$13*CE5/1000</f>
        <v>1459.9675657565269</v>
      </c>
      <c r="CF15" s="22">
        <f>Calc_Volume!CF25*Assum_Costs!$C$13*CF5/1000</f>
        <v>1599.012095828577</v>
      </c>
      <c r="CG15" s="22">
        <f>Calc_Volume!CG25*Assum_Costs!$C$13*CG5/1000</f>
        <v>1946.6234210087027</v>
      </c>
      <c r="CH15" s="22">
        <f>Calc_Volume!CH25*Assum_Costs!$C$13*CH5/1000</f>
        <v>1704.5468941532627</v>
      </c>
      <c r="CI15" s="22">
        <f>Calc_Volume!CI25*Assum_Costs!$C$13*CI5/1000</f>
        <v>1630.4361596248605</v>
      </c>
      <c r="CJ15" s="22">
        <f>Calc_Volume!CJ25*Assum_Costs!$C$13*CJ5/1000</f>
        <v>1482.2146905680547</v>
      </c>
      <c r="CK15" s="22">
        <f>Calc_Volume!CK25*Assum_Costs!$C$13*CK5/1000</f>
        <v>1333.9932215112494</v>
      </c>
      <c r="CL15" s="22">
        <f>Calc_Volume!CL25*Assum_Costs!$C$13*CL5/1000</f>
        <v>1259.8824869828468</v>
      </c>
      <c r="CM15" s="22">
        <f>Calc_Volume!CM25*Assum_Costs!$C$13*CM5/1000</f>
        <v>1185.7717524544441</v>
      </c>
      <c r="CN15" s="22">
        <f>Calc_Volume!CN25*Assum_Costs!$C$13*CN5/1000</f>
        <v>1185.7717524544441</v>
      </c>
      <c r="CO15" s="22">
        <f>Calc_Volume!CO25*Assum_Costs!$C$13*CO5/1000</f>
        <v>1259.8824869828468</v>
      </c>
      <c r="CP15" s="22">
        <f>Calc_Volume!CP25*Assum_Costs!$C$13*CP5/1000</f>
        <v>1408.1039560396518</v>
      </c>
      <c r="CQ15" s="22">
        <f>Calc_Volume!CQ25*Assum_Costs!$C$13*CQ5/1000</f>
        <v>1556.3254250964576</v>
      </c>
      <c r="CR15" s="22">
        <f>Calc_Volume!CR25*Assum_Costs!$C$13*CR5/1000</f>
        <v>1704.5468941532627</v>
      </c>
      <c r="CS15" s="22">
        <f>Calc_Volume!CS25*Assum_Costs!$C$13*CS5/1000</f>
        <v>2075.1005667952763</v>
      </c>
      <c r="CT15" s="22">
        <f>Calc_Volume!CT25*Assum_Costs!$C$13*CT5/1000</f>
        <v>1817.0469891673779</v>
      </c>
      <c r="CU15" s="22">
        <f>Calc_Volume!CU25*Assum_Costs!$C$13*CU5/1000</f>
        <v>1738.0449461601015</v>
      </c>
      <c r="CV15" s="22">
        <f>Calc_Volume!CV25*Assum_Costs!$C$13*CV5/1000</f>
        <v>1580.0408601455463</v>
      </c>
      <c r="CW15" s="22">
        <f>Calc_Volume!CW25*Assum_Costs!$C$13*CW5/1000</f>
        <v>1422.0367741309919</v>
      </c>
      <c r="CX15" s="22">
        <f>Calc_Volume!CX25*Assum_Costs!$C$13*CX5/1000</f>
        <v>1343.0347311237144</v>
      </c>
      <c r="CY15" s="22">
        <f>Calc_Volume!CY25*Assum_Costs!$C$13*CY5/1000</f>
        <v>1264.0326881164374</v>
      </c>
      <c r="CZ15" s="22">
        <f>Calc_Volume!CZ25*Assum_Costs!$C$13*CZ5/1000</f>
        <v>1264.0326881164374</v>
      </c>
      <c r="DA15" s="22">
        <f>Calc_Volume!DA25*Assum_Costs!$C$13*DA5/1000</f>
        <v>1343.0347311237144</v>
      </c>
      <c r="DB15" s="22">
        <f>Calc_Volume!DB25*Assum_Costs!$C$13*DB5/1000</f>
        <v>1501.0388171382688</v>
      </c>
      <c r="DC15" s="22">
        <f>Calc_Volume!DC25*Assum_Costs!$C$13*DC5/1000</f>
        <v>1659.042903152824</v>
      </c>
      <c r="DD15" s="22">
        <f>Calc_Volume!DD25*Assum_Costs!$C$13*DD5/1000</f>
        <v>1817.0469891673779</v>
      </c>
      <c r="DE15" s="22">
        <f>Calc_Volume!DE25*Assum_Costs!$C$13*DE5/1000</f>
        <v>2212.0572042037647</v>
      </c>
      <c r="DF15" s="22">
        <f>Calc_Volume!DF25*Assum_Costs!$C$13*DF5/1000</f>
        <v>1936.9720904524252</v>
      </c>
      <c r="DG15" s="22">
        <f>Calc_Volume!DG25*Assum_Costs!$C$13*DG5/1000</f>
        <v>1852.7559126066678</v>
      </c>
      <c r="DH15" s="22">
        <f>Calc_Volume!DH25*Assum_Costs!$C$13*DH5/1000</f>
        <v>1684.3235569151523</v>
      </c>
      <c r="DI15" s="22">
        <f>Calc_Volume!DI25*Assum_Costs!$C$13*DI5/1000</f>
        <v>1515.8912012236369</v>
      </c>
      <c r="DJ15" s="22">
        <f>Calc_Volume!DJ25*Assum_Costs!$C$13*DJ5/1000</f>
        <v>1431.6750233778796</v>
      </c>
      <c r="DK15" s="22">
        <f>Calc_Volume!DK25*Assum_Costs!$C$13*DK5/1000</f>
        <v>1347.4588455321218</v>
      </c>
      <c r="DL15" s="22">
        <f>Calc_Volume!DL25*Assum_Costs!$C$13*DL5/1000</f>
        <v>1347.4588455321218</v>
      </c>
      <c r="DM15" s="22">
        <f>Calc_Volume!DM25*Assum_Costs!$C$13*DM5/1000</f>
        <v>1431.6750233778796</v>
      </c>
      <c r="DN15" s="22">
        <f>Calc_Volume!DN25*Assum_Costs!$C$13*DN5/1000</f>
        <v>1600.1073790693947</v>
      </c>
      <c r="DO15" s="22">
        <f>Calc_Volume!DO25*Assum_Costs!$C$13*DO5/1000</f>
        <v>1768.5397347609101</v>
      </c>
      <c r="DP15" s="22">
        <f>Calc_Volume!DP25*Assum_Costs!$C$13*DP5/1000</f>
        <v>1936.9720904524252</v>
      </c>
      <c r="DQ15" s="22">
        <f>Calc_Volume!DQ25*Assum_Costs!$C$13*DQ5/1000</f>
        <v>2358.0529796812129</v>
      </c>
    </row>
    <row r="16" spans="1:121" ht="15" customHeight="1">
      <c r="A16" t="s">
        <v>415</v>
      </c>
      <c r="B16" s="22">
        <f>Calc_Volume!B26*Assum_Costs!$C$14*B5/1000</f>
        <v>902.74999999999989</v>
      </c>
      <c r="C16" s="22">
        <f>Calc_Volume!C26*Assum_Costs!$C$14*C5/1000</f>
        <v>863.50000000000023</v>
      </c>
      <c r="D16" s="22">
        <f>Calc_Volume!D26*Assum_Costs!$C$14*D5/1000</f>
        <v>785.00000000000011</v>
      </c>
      <c r="E16" s="22">
        <f>Calc_Volume!E26*Assum_Costs!$C$14*E5/1000</f>
        <v>706.5</v>
      </c>
      <c r="F16" s="22">
        <f>Calc_Volume!F26*Assum_Costs!$C$14*F5/1000</f>
        <v>667.25000000000011</v>
      </c>
      <c r="G16" s="22">
        <f>Calc_Volume!G26*Assum_Costs!$C$14*G5/1000</f>
        <v>628.00000000000023</v>
      </c>
      <c r="H16" s="22">
        <f>Calc_Volume!H26*Assum_Costs!$C$14*H5/1000</f>
        <v>628.00000000000023</v>
      </c>
      <c r="I16" s="22">
        <f>Calc_Volume!I26*Assum_Costs!$C$14*I5/1000</f>
        <v>667.25000000000011</v>
      </c>
      <c r="J16" s="22">
        <f>Calc_Volume!J26*Assum_Costs!$C$14*J5/1000</f>
        <v>745.75000000000011</v>
      </c>
      <c r="K16" s="22">
        <f>Calc_Volume!K26*Assum_Costs!$C$14*K5/1000</f>
        <v>824.25000000000011</v>
      </c>
      <c r="L16" s="22">
        <f>Calc_Volume!L26*Assum_Costs!$C$14*L5/1000</f>
        <v>902.74999999999989</v>
      </c>
      <c r="M16" s="22">
        <f>Calc_Volume!M26*Assum_Costs!$C$14*M5/1000</f>
        <v>1099</v>
      </c>
      <c r="N16" s="22">
        <f>Calc_Volume!N26*Assum_Costs!$C$14*N5/1000</f>
        <v>999.34424999999999</v>
      </c>
      <c r="O16" s="22">
        <f>Calc_Volume!O26*Assum_Costs!$C$14*O5/1000</f>
        <v>955.89450000000022</v>
      </c>
      <c r="P16" s="22">
        <f>Calc_Volume!P26*Assum_Costs!$C$14*P5/1000</f>
        <v>868.995</v>
      </c>
      <c r="Q16" s="22">
        <f>Calc_Volume!Q26*Assum_Costs!$C$14*Q5/1000</f>
        <v>782.09550000000002</v>
      </c>
      <c r="R16" s="22">
        <f>Calc_Volume!R26*Assum_Costs!$C$14*R5/1000</f>
        <v>738.64574999999991</v>
      </c>
      <c r="S16" s="22">
        <f>Calc_Volume!S26*Assum_Costs!$C$14*S5/1000</f>
        <v>695.19600000000025</v>
      </c>
      <c r="T16" s="22">
        <f>Calc_Volume!T26*Assum_Costs!$C$14*T5/1000</f>
        <v>695.19600000000025</v>
      </c>
      <c r="U16" s="22">
        <f>Calc_Volume!U26*Assum_Costs!$C$14*U5/1000</f>
        <v>738.64574999999991</v>
      </c>
      <c r="V16" s="22">
        <f>Calc_Volume!V26*Assum_Costs!$C$14*V5/1000</f>
        <v>825.54525000000001</v>
      </c>
      <c r="W16" s="22">
        <f>Calc_Volume!W26*Assum_Costs!$C$14*W5/1000</f>
        <v>912.44475</v>
      </c>
      <c r="X16" s="22">
        <f>Calc_Volume!X26*Assum_Costs!$C$14*X5/1000</f>
        <v>999.34424999999999</v>
      </c>
      <c r="Y16" s="22">
        <f>Calc_Volume!Y26*Assum_Costs!$C$14*Y5/1000</f>
        <v>1216.5930000000001</v>
      </c>
      <c r="Z16" s="22">
        <f>Calc_Volume!Z26*Assum_Costs!$C$14*Z5/1000</f>
        <v>1106.2740847499999</v>
      </c>
      <c r="AA16" s="22">
        <f>Calc_Volume!AA26*Assum_Costs!$C$14*AA5/1000</f>
        <v>1058.1752115000004</v>
      </c>
      <c r="AB16" s="22">
        <f>Calc_Volume!AB26*Assum_Costs!$C$14*AB5/1000</f>
        <v>961.97746500000005</v>
      </c>
      <c r="AC16" s="22">
        <f>Calc_Volume!AC26*Assum_Costs!$C$14*AC5/1000</f>
        <v>865.77971850000006</v>
      </c>
      <c r="AD16" s="22">
        <f>Calc_Volume!AD26*Assum_Costs!$C$14*AD5/1000</f>
        <v>817.68084525000029</v>
      </c>
      <c r="AE16" s="22">
        <f>Calc_Volume!AE26*Assum_Costs!$C$14*AE5/1000</f>
        <v>769.58197200000029</v>
      </c>
      <c r="AF16" s="22">
        <f>Calc_Volume!AF26*Assum_Costs!$C$14*AF5/1000</f>
        <v>769.58197200000029</v>
      </c>
      <c r="AG16" s="22">
        <f>Calc_Volume!AG26*Assum_Costs!$C$14*AG5/1000</f>
        <v>817.68084525000029</v>
      </c>
      <c r="AH16" s="22">
        <f>Calc_Volume!AH26*Assum_Costs!$C$14*AH5/1000</f>
        <v>913.87859175000017</v>
      </c>
      <c r="AI16" s="22">
        <f>Calc_Volume!AI26*Assum_Costs!$C$14*AI5/1000</f>
        <v>1010.0763382500002</v>
      </c>
      <c r="AJ16" s="22">
        <f>Calc_Volume!AJ26*Assum_Costs!$C$14*AJ5/1000</f>
        <v>1106.2740847499999</v>
      </c>
      <c r="AK16" s="22">
        <f>Calc_Volume!AK26*Assum_Costs!$C$14*AK5/1000</f>
        <v>1346.7684510000004</v>
      </c>
      <c r="AL16" s="22">
        <f>Calc_Volume!AL26*Assum_Costs!$C$14*AL5/1000</f>
        <v>1201.9667930808753</v>
      </c>
      <c r="AM16" s="22">
        <f>Calc_Volume!AM26*Assum_Costs!$C$14*AM5/1000</f>
        <v>1149.7073672947504</v>
      </c>
      <c r="AN16" s="22">
        <f>Calc_Volume!AN26*Assum_Costs!$C$14*AN5/1000</f>
        <v>1045.1885157225001</v>
      </c>
      <c r="AO16" s="22">
        <f>Calc_Volume!AO26*Assum_Costs!$C$14*AO5/1000</f>
        <v>940.66966415025013</v>
      </c>
      <c r="AP16" s="22">
        <f>Calc_Volume!AP26*Assum_Costs!$C$14*AP5/1000</f>
        <v>888.41023836412501</v>
      </c>
      <c r="AQ16" s="22">
        <f>Calc_Volume!AQ26*Assum_Costs!$C$14*AQ5/1000</f>
        <v>836.150812578</v>
      </c>
      <c r="AR16" s="22">
        <f>Calc_Volume!AR26*Assum_Costs!$C$14*AR5/1000</f>
        <v>836.150812578</v>
      </c>
      <c r="AS16" s="22">
        <f>Calc_Volume!AS26*Assum_Costs!$C$14*AS5/1000</f>
        <v>888.41023836412501</v>
      </c>
      <c r="AT16" s="22">
        <f>Calc_Volume!AT26*Assum_Costs!$C$14*AT5/1000</f>
        <v>992.92908993637514</v>
      </c>
      <c r="AU16" s="22">
        <f>Calc_Volume!AU26*Assum_Costs!$C$14*AU5/1000</f>
        <v>1097.4479415086253</v>
      </c>
      <c r="AV16" s="22">
        <f>Calc_Volume!AV26*Assum_Costs!$C$14*AV5/1000</f>
        <v>1201.9667930808753</v>
      </c>
      <c r="AW16" s="22">
        <f>Calc_Volume!AW26*Assum_Costs!$C$14*AW5/1000</f>
        <v>1463.2639220115004</v>
      </c>
      <c r="AX16" s="22">
        <f>Calc_Volume!AX26*Assum_Costs!$C$14*AX5/1000</f>
        <v>1305.9369206823703</v>
      </c>
      <c r="AY16" s="22">
        <f>Calc_Volume!AY26*Assum_Costs!$C$14*AY5/1000</f>
        <v>1249.1570545657462</v>
      </c>
      <c r="AZ16" s="22">
        <f>Calc_Volume!AZ26*Assum_Costs!$C$14*AZ5/1000</f>
        <v>1135.5973223324966</v>
      </c>
      <c r="BA16" s="22">
        <f>Calc_Volume!BA26*Assum_Costs!$C$14*BA5/1000</f>
        <v>1022.0375900992468</v>
      </c>
      <c r="BB16" s="22">
        <f>Calc_Volume!BB26*Assum_Costs!$C$14*BB5/1000</f>
        <v>965.25772398262188</v>
      </c>
      <c r="BC16" s="22">
        <f>Calc_Volume!BC26*Assum_Costs!$C$14*BC5/1000</f>
        <v>908.47785786599729</v>
      </c>
      <c r="BD16" s="22">
        <f>Calc_Volume!BD26*Assum_Costs!$C$14*BD5/1000</f>
        <v>908.47785786599729</v>
      </c>
      <c r="BE16" s="22">
        <f>Calc_Volume!BE26*Assum_Costs!$C$14*BE5/1000</f>
        <v>965.25772398262188</v>
      </c>
      <c r="BF16" s="22">
        <f>Calc_Volume!BF26*Assum_Costs!$C$14*BF5/1000</f>
        <v>1078.8174562158715</v>
      </c>
      <c r="BG16" s="22">
        <f>Calc_Volume!BG26*Assum_Costs!$C$14*BG5/1000</f>
        <v>1192.3771884491211</v>
      </c>
      <c r="BH16" s="22">
        <f>Calc_Volume!BH26*Assum_Costs!$C$14*BH5/1000</f>
        <v>1305.9369206823703</v>
      </c>
      <c r="BI16" s="22">
        <f>Calc_Volume!BI26*Assum_Costs!$C$14*BI5/1000</f>
        <v>1589.8362512654951</v>
      </c>
      <c r="BJ16" s="22">
        <f>Calc_Volume!BJ26*Assum_Costs!$C$14*BJ5/1000</f>
        <v>1392.1287574474072</v>
      </c>
      <c r="BK16" s="22">
        <f>Calc_Volume!BK26*Assum_Costs!$C$14*BK5/1000</f>
        <v>1331.6014201670855</v>
      </c>
      <c r="BL16" s="22">
        <f>Calc_Volume!BL26*Assum_Costs!$C$14*BL5/1000</f>
        <v>1210.5467456064412</v>
      </c>
      <c r="BM16" s="22">
        <f>Calc_Volume!BM26*Assum_Costs!$C$14*BM5/1000</f>
        <v>1089.4920710457968</v>
      </c>
      <c r="BN16" s="22">
        <f>Calc_Volume!BN26*Assum_Costs!$C$14*BN5/1000</f>
        <v>1028.9647337654749</v>
      </c>
      <c r="BO16" s="22">
        <f>Calc_Volume!BO26*Assum_Costs!$C$14*BO5/1000</f>
        <v>968.43739648515304</v>
      </c>
      <c r="BP16" s="22">
        <f>Calc_Volume!BP26*Assum_Costs!$C$14*BP5/1000</f>
        <v>968.43739648515304</v>
      </c>
      <c r="BQ16" s="22">
        <f>Calc_Volume!BQ26*Assum_Costs!$C$14*BQ5/1000</f>
        <v>1028.9647337654749</v>
      </c>
      <c r="BR16" s="22">
        <f>Calc_Volume!BR26*Assum_Costs!$C$14*BR5/1000</f>
        <v>1150.0194083261188</v>
      </c>
      <c r="BS16" s="22">
        <f>Calc_Volume!BS26*Assum_Costs!$C$14*BS5/1000</f>
        <v>1271.0740828867631</v>
      </c>
      <c r="BT16" s="22">
        <f>Calc_Volume!BT26*Assum_Costs!$C$14*BT5/1000</f>
        <v>1392.1287574474072</v>
      </c>
      <c r="BU16" s="22">
        <f>Calc_Volume!BU26*Assum_Costs!$C$14*BU5/1000</f>
        <v>1694.7654438490172</v>
      </c>
      <c r="BV16" s="22">
        <f>Calc_Volume!BV26*Assum_Costs!$C$14*BV5/1000</f>
        <v>1484.0092554389357</v>
      </c>
      <c r="BW16" s="22">
        <f>Calc_Volume!BW26*Assum_Costs!$C$14*BW5/1000</f>
        <v>1419.4871138981127</v>
      </c>
      <c r="BX16" s="22">
        <f>Calc_Volume!BX26*Assum_Costs!$C$14*BX5/1000</f>
        <v>1290.4428308164656</v>
      </c>
      <c r="BY16" s="22">
        <f>Calc_Volume!BY26*Assum_Costs!$C$14*BY5/1000</f>
        <v>1161.3985477348197</v>
      </c>
      <c r="BZ16" s="22">
        <f>Calc_Volume!BZ26*Assum_Costs!$C$14*BZ5/1000</f>
        <v>1096.876406193996</v>
      </c>
      <c r="CA16" s="22">
        <f>Calc_Volume!CA26*Assum_Costs!$C$14*CA5/1000</f>
        <v>1032.354264653173</v>
      </c>
      <c r="CB16" s="22">
        <f>Calc_Volume!CB26*Assum_Costs!$C$14*CB5/1000</f>
        <v>1032.354264653173</v>
      </c>
      <c r="CC16" s="22">
        <f>Calc_Volume!CC26*Assum_Costs!$C$14*CC5/1000</f>
        <v>1096.876406193996</v>
      </c>
      <c r="CD16" s="22">
        <f>Calc_Volume!CD26*Assum_Costs!$C$14*CD5/1000</f>
        <v>1225.9206892756426</v>
      </c>
      <c r="CE16" s="22">
        <f>Calc_Volume!CE26*Assum_Costs!$C$14*CE5/1000</f>
        <v>1354.9649723572893</v>
      </c>
      <c r="CF16" s="22">
        <f>Calc_Volume!CF26*Assum_Costs!$C$14*CF5/1000</f>
        <v>1484.0092554389357</v>
      </c>
      <c r="CG16" s="22">
        <f>Calc_Volume!CG26*Assum_Costs!$C$14*CG5/1000</f>
        <v>1806.6199631430522</v>
      </c>
      <c r="CH16" s="22">
        <f>Calc_Volume!CH26*Assum_Costs!$C$14*CH5/1000</f>
        <v>1581.9538662979048</v>
      </c>
      <c r="CI16" s="22">
        <f>Calc_Volume!CI26*Assum_Costs!$C$14*CI5/1000</f>
        <v>1513.1732634153877</v>
      </c>
      <c r="CJ16" s="22">
        <f>Calc_Volume!CJ26*Assum_Costs!$C$14*CJ5/1000</f>
        <v>1375.6120576503524</v>
      </c>
      <c r="CK16" s="22">
        <f>Calc_Volume!CK26*Assum_Costs!$C$14*CK5/1000</f>
        <v>1238.0508518853173</v>
      </c>
      <c r="CL16" s="22">
        <f>Calc_Volume!CL26*Assum_Costs!$C$14*CL5/1000</f>
        <v>1169.2702490027996</v>
      </c>
      <c r="CM16" s="22">
        <f>Calc_Volume!CM26*Assum_Costs!$C$14*CM5/1000</f>
        <v>1100.489646120282</v>
      </c>
      <c r="CN16" s="22">
        <f>Calc_Volume!CN26*Assum_Costs!$C$14*CN5/1000</f>
        <v>1100.489646120282</v>
      </c>
      <c r="CO16" s="22">
        <f>Calc_Volume!CO26*Assum_Costs!$C$14*CO5/1000</f>
        <v>1169.2702490027996</v>
      </c>
      <c r="CP16" s="22">
        <f>Calc_Volume!CP26*Assum_Costs!$C$14*CP5/1000</f>
        <v>1306.8314547678347</v>
      </c>
      <c r="CQ16" s="22">
        <f>Calc_Volume!CQ26*Assum_Costs!$C$14*CQ5/1000</f>
        <v>1444.39266053287</v>
      </c>
      <c r="CR16" s="22">
        <f>Calc_Volume!CR26*Assum_Costs!$C$14*CR5/1000</f>
        <v>1581.9538662979048</v>
      </c>
      <c r="CS16" s="22">
        <f>Calc_Volume!CS26*Assum_Costs!$C$14*CS5/1000</f>
        <v>1925.856880710493</v>
      </c>
      <c r="CT16" s="22">
        <f>Calc_Volume!CT26*Assum_Costs!$C$14*CT5/1000</f>
        <v>1686.3628214735666</v>
      </c>
      <c r="CU16" s="22">
        <f>Calc_Volume!CU26*Assum_Costs!$C$14*CU5/1000</f>
        <v>1613.0426988008037</v>
      </c>
      <c r="CV16" s="22">
        <f>Calc_Volume!CV26*Assum_Costs!$C$14*CV5/1000</f>
        <v>1466.4024534552759</v>
      </c>
      <c r="CW16" s="22">
        <f>Calc_Volume!CW26*Assum_Costs!$C$14*CW5/1000</f>
        <v>1319.7622081097484</v>
      </c>
      <c r="CX16" s="22">
        <f>Calc_Volume!CX26*Assum_Costs!$C$14*CX5/1000</f>
        <v>1246.4420854369841</v>
      </c>
      <c r="CY16" s="22">
        <f>Calc_Volume!CY26*Assum_Costs!$C$14*CY5/1000</f>
        <v>1173.1219627642208</v>
      </c>
      <c r="CZ16" s="22">
        <f>Calc_Volume!CZ26*Assum_Costs!$C$14*CZ5/1000</f>
        <v>1173.1219627642208</v>
      </c>
      <c r="DA16" s="22">
        <f>Calc_Volume!DA26*Assum_Costs!$C$14*DA5/1000</f>
        <v>1246.4420854369841</v>
      </c>
      <c r="DB16" s="22">
        <f>Calc_Volume!DB26*Assum_Costs!$C$14*DB5/1000</f>
        <v>1393.0823307825119</v>
      </c>
      <c r="DC16" s="22">
        <f>Calc_Volume!DC26*Assum_Costs!$C$14*DC5/1000</f>
        <v>1539.7225761280392</v>
      </c>
      <c r="DD16" s="22">
        <f>Calc_Volume!DD26*Assum_Costs!$C$14*DD5/1000</f>
        <v>1686.3628214735666</v>
      </c>
      <c r="DE16" s="22">
        <f>Calc_Volume!DE26*Assum_Costs!$C$14*DE5/1000</f>
        <v>2052.9634348373856</v>
      </c>
      <c r="DF16" s="22">
        <f>Calc_Volume!DF26*Assum_Costs!$C$14*DF5/1000</f>
        <v>1797.6627676908222</v>
      </c>
      <c r="DG16" s="22">
        <f>Calc_Volume!DG26*Assum_Costs!$C$14*DG5/1000</f>
        <v>1719.5035169216562</v>
      </c>
      <c r="DH16" s="22">
        <f>Calc_Volume!DH26*Assum_Costs!$C$14*DH5/1000</f>
        <v>1563.1850153833236</v>
      </c>
      <c r="DI16" s="22">
        <f>Calc_Volume!DI26*Assum_Costs!$C$14*DI5/1000</f>
        <v>1406.8665138449915</v>
      </c>
      <c r="DJ16" s="22">
        <f>Calc_Volume!DJ26*Assum_Costs!$C$14*DJ5/1000</f>
        <v>1328.707263075825</v>
      </c>
      <c r="DK16" s="22">
        <f>Calc_Volume!DK26*Assum_Costs!$C$14*DK5/1000</f>
        <v>1250.5480123066591</v>
      </c>
      <c r="DL16" s="22">
        <f>Calc_Volume!DL26*Assum_Costs!$C$14*DL5/1000</f>
        <v>1250.5480123066591</v>
      </c>
      <c r="DM16" s="22">
        <f>Calc_Volume!DM26*Assum_Costs!$C$14*DM5/1000</f>
        <v>1328.707263075825</v>
      </c>
      <c r="DN16" s="22">
        <f>Calc_Volume!DN26*Assum_Costs!$C$14*DN5/1000</f>
        <v>1485.0257646141577</v>
      </c>
      <c r="DO16" s="22">
        <f>Calc_Volume!DO26*Assum_Costs!$C$14*DO5/1000</f>
        <v>1641.3442661524905</v>
      </c>
      <c r="DP16" s="22">
        <f>Calc_Volume!DP26*Assum_Costs!$C$14*DP5/1000</f>
        <v>1797.6627676908222</v>
      </c>
      <c r="DQ16" s="22">
        <f>Calc_Volume!DQ26*Assum_Costs!$C$14*DQ5/1000</f>
        <v>2188.4590215366529</v>
      </c>
    </row>
    <row r="17" spans="1:121" ht="15" customHeight="1">
      <c r="A17" t="s">
        <v>416</v>
      </c>
      <c r="B17" s="22">
        <f>Calc_Volume!B27*Assum_Costs!$C$15*B5/1000</f>
        <v>150.26666666666662</v>
      </c>
      <c r="C17" s="22">
        <f>Calc_Volume!C27*Assum_Costs!$C$15*C5/1000</f>
        <v>143.73333333333335</v>
      </c>
      <c r="D17" s="22">
        <f>Calc_Volume!D27*Assum_Costs!$C$15*D5/1000</f>
        <v>130.66666666666666</v>
      </c>
      <c r="E17" s="22">
        <f>Calc_Volume!E27*Assum_Costs!$C$15*E5/1000</f>
        <v>117.59999999999998</v>
      </c>
      <c r="F17" s="22">
        <f>Calc_Volume!F27*Assum_Costs!$C$15*F5/1000</f>
        <v>111.06666666666666</v>
      </c>
      <c r="G17" s="22">
        <f>Calc_Volume!G27*Assum_Costs!$C$15*G5/1000</f>
        <v>104.53333333333333</v>
      </c>
      <c r="H17" s="22">
        <f>Calc_Volume!H27*Assum_Costs!$C$15*H5/1000</f>
        <v>104.53333333333333</v>
      </c>
      <c r="I17" s="22">
        <f>Calc_Volume!I27*Assum_Costs!$C$15*I5/1000</f>
        <v>111.06666666666666</v>
      </c>
      <c r="J17" s="22">
        <f>Calc_Volume!J27*Assum_Costs!$C$15*J5/1000</f>
        <v>124.13333333333331</v>
      </c>
      <c r="K17" s="22">
        <f>Calc_Volume!K27*Assum_Costs!$C$15*K5/1000</f>
        <v>137.19999999999999</v>
      </c>
      <c r="L17" s="22">
        <f>Calc_Volume!L27*Assum_Costs!$C$15*L5/1000</f>
        <v>150.26666666666662</v>
      </c>
      <c r="M17" s="22">
        <f>Calc_Volume!M27*Assum_Costs!$C$15*M5/1000</f>
        <v>182.93333333333331</v>
      </c>
      <c r="N17" s="22">
        <f>Calc_Volume!N27*Assum_Costs!$C$15*N5/1000</f>
        <v>166.34519999999995</v>
      </c>
      <c r="O17" s="22">
        <f>Calc_Volume!O27*Assum_Costs!$C$15*O5/1000</f>
        <v>159.11279999999999</v>
      </c>
      <c r="P17" s="22">
        <f>Calc_Volume!P27*Assum_Costs!$C$15*P5/1000</f>
        <v>144.648</v>
      </c>
      <c r="Q17" s="22">
        <f>Calc_Volume!Q27*Assum_Costs!$C$15*Q5/1000</f>
        <v>130.18319999999997</v>
      </c>
      <c r="R17" s="22">
        <f>Calc_Volume!R27*Assum_Costs!$C$15*R5/1000</f>
        <v>122.95079999999997</v>
      </c>
      <c r="S17" s="22">
        <f>Calc_Volume!S27*Assum_Costs!$C$15*S5/1000</f>
        <v>115.7184</v>
      </c>
      <c r="T17" s="22">
        <f>Calc_Volume!T27*Assum_Costs!$C$15*T5/1000</f>
        <v>115.7184</v>
      </c>
      <c r="U17" s="22">
        <f>Calc_Volume!U27*Assum_Costs!$C$15*U5/1000</f>
        <v>122.95079999999997</v>
      </c>
      <c r="V17" s="22">
        <f>Calc_Volume!V27*Assum_Costs!$C$15*V5/1000</f>
        <v>137.41559999999998</v>
      </c>
      <c r="W17" s="22">
        <f>Calc_Volume!W27*Assum_Costs!$C$15*W5/1000</f>
        <v>151.88039999999998</v>
      </c>
      <c r="X17" s="22">
        <f>Calc_Volume!X27*Assum_Costs!$C$15*X5/1000</f>
        <v>166.34519999999995</v>
      </c>
      <c r="Y17" s="22">
        <f>Calc_Volume!Y27*Assum_Costs!$C$15*Y5/1000</f>
        <v>202.50719999999998</v>
      </c>
      <c r="Z17" s="22">
        <f>Calc_Volume!Z27*Assum_Costs!$C$15*Z5/1000</f>
        <v>184.14413639999995</v>
      </c>
      <c r="AA17" s="22">
        <f>Calc_Volume!AA27*Assum_Costs!$C$15*AA5/1000</f>
        <v>176.13786960000004</v>
      </c>
      <c r="AB17" s="22">
        <f>Calc_Volume!AB27*Assum_Costs!$C$15*AB5/1000</f>
        <v>160.12533599999995</v>
      </c>
      <c r="AC17" s="22">
        <f>Calc_Volume!AC27*Assum_Costs!$C$15*AC5/1000</f>
        <v>144.11280239999999</v>
      </c>
      <c r="AD17" s="22">
        <f>Calc_Volume!AD27*Assum_Costs!$C$15*AD5/1000</f>
        <v>136.1065356</v>
      </c>
      <c r="AE17" s="22">
        <f>Calc_Volume!AE27*Assum_Costs!$C$15*AE5/1000</f>
        <v>128.10026880000001</v>
      </c>
      <c r="AF17" s="22">
        <f>Calc_Volume!AF27*Assum_Costs!$C$15*AF5/1000</f>
        <v>128.10026880000001</v>
      </c>
      <c r="AG17" s="22">
        <f>Calc_Volume!AG27*Assum_Costs!$C$15*AG5/1000</f>
        <v>136.1065356</v>
      </c>
      <c r="AH17" s="22">
        <f>Calc_Volume!AH27*Assum_Costs!$C$15*AH5/1000</f>
        <v>152.11906919999993</v>
      </c>
      <c r="AI17" s="22">
        <f>Calc_Volume!AI27*Assum_Costs!$C$15*AI5/1000</f>
        <v>168.1316028</v>
      </c>
      <c r="AJ17" s="22">
        <f>Calc_Volume!AJ27*Assum_Costs!$C$15*AJ5/1000</f>
        <v>184.14413639999995</v>
      </c>
      <c r="AK17" s="22">
        <f>Calc_Volume!AK27*Assum_Costs!$C$15*AK5/1000</f>
        <v>224.17547039999999</v>
      </c>
      <c r="AL17" s="22">
        <f>Calc_Volume!AL27*Assum_Costs!$C$15*AL5/1000</f>
        <v>200.07260419859992</v>
      </c>
      <c r="AM17" s="22">
        <f>Calc_Volume!AM27*Assum_Costs!$C$15*AM5/1000</f>
        <v>191.37379532040003</v>
      </c>
      <c r="AN17" s="22">
        <f>Calc_Volume!AN27*Assum_Costs!$C$15*AN5/1000</f>
        <v>173.97617756399995</v>
      </c>
      <c r="AO17" s="22">
        <f>Calc_Volume!AO27*Assum_Costs!$C$15*AO5/1000</f>
        <v>156.57855980759999</v>
      </c>
      <c r="AP17" s="22">
        <f>Calc_Volume!AP27*Assum_Costs!$C$15*AP5/1000</f>
        <v>147.87975092939999</v>
      </c>
      <c r="AQ17" s="22">
        <f>Calc_Volume!AQ27*Assum_Costs!$C$15*AQ5/1000</f>
        <v>139.18094205119999</v>
      </c>
      <c r="AR17" s="22">
        <f>Calc_Volume!AR27*Assum_Costs!$C$15*AR5/1000</f>
        <v>139.18094205119999</v>
      </c>
      <c r="AS17" s="22">
        <f>Calc_Volume!AS27*Assum_Costs!$C$15*AS5/1000</f>
        <v>147.87975092939999</v>
      </c>
      <c r="AT17" s="22">
        <f>Calc_Volume!AT27*Assum_Costs!$C$15*AT5/1000</f>
        <v>165.27736868580001</v>
      </c>
      <c r="AU17" s="22">
        <f>Calc_Volume!AU27*Assum_Costs!$C$15*AU5/1000</f>
        <v>182.67498644219998</v>
      </c>
      <c r="AV17" s="22">
        <f>Calc_Volume!AV27*Assum_Costs!$C$15*AV5/1000</f>
        <v>200.07260419859992</v>
      </c>
      <c r="AW17" s="22">
        <f>Calc_Volume!AW27*Assum_Costs!$C$15*AW5/1000</f>
        <v>243.56664858959999</v>
      </c>
      <c r="AX17" s="22">
        <f>Calc_Volume!AX27*Assum_Costs!$C$15*AX5/1000</f>
        <v>217.37888446177882</v>
      </c>
      <c r="AY17" s="22">
        <f>Calc_Volume!AY27*Assum_Costs!$C$15*AY5/1000</f>
        <v>207.92762861561465</v>
      </c>
      <c r="AZ17" s="22">
        <f>Calc_Volume!AZ27*Assum_Costs!$C$15*AZ5/1000</f>
        <v>189.02511692328599</v>
      </c>
      <c r="BA17" s="22">
        <f>Calc_Volume!BA27*Assum_Costs!$C$15*BA5/1000</f>
        <v>170.12260523095736</v>
      </c>
      <c r="BB17" s="22">
        <f>Calc_Volume!BB27*Assum_Costs!$C$15*BB5/1000</f>
        <v>160.67134938479305</v>
      </c>
      <c r="BC17" s="22">
        <f>Calc_Volume!BC27*Assum_Costs!$C$15*BC5/1000</f>
        <v>151.22009353862879</v>
      </c>
      <c r="BD17" s="22">
        <f>Calc_Volume!BD27*Assum_Costs!$C$15*BD5/1000</f>
        <v>151.22009353862879</v>
      </c>
      <c r="BE17" s="22">
        <f>Calc_Volume!BE27*Assum_Costs!$C$15*BE5/1000</f>
        <v>160.67134938479305</v>
      </c>
      <c r="BF17" s="22">
        <f>Calc_Volume!BF27*Assum_Costs!$C$15*BF5/1000</f>
        <v>179.57386107712165</v>
      </c>
      <c r="BG17" s="22">
        <f>Calc_Volume!BG27*Assum_Costs!$C$15*BG5/1000</f>
        <v>198.47637276945031</v>
      </c>
      <c r="BH17" s="22">
        <f>Calc_Volume!BH27*Assum_Costs!$C$15*BH5/1000</f>
        <v>217.37888446177882</v>
      </c>
      <c r="BI17" s="22">
        <f>Calc_Volume!BI27*Assum_Costs!$C$15*BI5/1000</f>
        <v>264.63516369260032</v>
      </c>
      <c r="BJ17" s="22">
        <f>Calc_Volume!BJ27*Assum_Costs!$C$15*BJ5/1000</f>
        <v>231.72589083625627</v>
      </c>
      <c r="BK17" s="22">
        <f>Calc_Volume!BK27*Assum_Costs!$C$15*BK5/1000</f>
        <v>221.65085210424516</v>
      </c>
      <c r="BL17" s="22">
        <f>Calc_Volume!BL27*Assum_Costs!$C$15*BL5/1000</f>
        <v>201.5007746402228</v>
      </c>
      <c r="BM17" s="22">
        <f>Calc_Volume!BM27*Assum_Costs!$C$15*BM5/1000</f>
        <v>181.35069717620058</v>
      </c>
      <c r="BN17" s="22">
        <f>Calc_Volume!BN27*Assum_Costs!$C$15*BN5/1000</f>
        <v>171.27565844418942</v>
      </c>
      <c r="BO17" s="22">
        <f>Calc_Volume!BO27*Assum_Costs!$C$15*BO5/1000</f>
        <v>161.20061971217828</v>
      </c>
      <c r="BP17" s="22">
        <f>Calc_Volume!BP27*Assum_Costs!$C$15*BP5/1000</f>
        <v>161.20061971217828</v>
      </c>
      <c r="BQ17" s="22">
        <f>Calc_Volume!BQ27*Assum_Costs!$C$15*BQ5/1000</f>
        <v>171.27565844418942</v>
      </c>
      <c r="BR17" s="22">
        <f>Calc_Volume!BR27*Assum_Costs!$C$15*BR5/1000</f>
        <v>191.42573590821164</v>
      </c>
      <c r="BS17" s="22">
        <f>Calc_Volume!BS27*Assum_Costs!$C$15*BS5/1000</f>
        <v>211.57581337223397</v>
      </c>
      <c r="BT17" s="22">
        <f>Calc_Volume!BT27*Assum_Costs!$C$15*BT5/1000</f>
        <v>231.72589083625627</v>
      </c>
      <c r="BU17" s="22">
        <f>Calc_Volume!BU27*Assum_Costs!$C$15*BU5/1000</f>
        <v>282.1010844963119</v>
      </c>
      <c r="BV17" s="22">
        <f>Calc_Volume!BV27*Assum_Costs!$C$15*BV5/1000</f>
        <v>247.01979963144913</v>
      </c>
      <c r="BW17" s="22">
        <f>Calc_Volume!BW27*Assum_Costs!$C$15*BW5/1000</f>
        <v>236.27980834312527</v>
      </c>
      <c r="BX17" s="22">
        <f>Calc_Volume!BX27*Assum_Costs!$C$15*BX5/1000</f>
        <v>214.79982576647754</v>
      </c>
      <c r="BY17" s="22">
        <f>Calc_Volume!BY27*Assum_Costs!$C$15*BY5/1000</f>
        <v>193.31984318982975</v>
      </c>
      <c r="BZ17" s="22">
        <f>Calc_Volume!BZ27*Assum_Costs!$C$15*BZ5/1000</f>
        <v>182.57985190150586</v>
      </c>
      <c r="CA17" s="22">
        <f>Calc_Volume!CA27*Assum_Costs!$C$15*CA5/1000</f>
        <v>171.83986061318205</v>
      </c>
      <c r="CB17" s="22">
        <f>Calc_Volume!CB27*Assum_Costs!$C$15*CB5/1000</f>
        <v>171.83986061318205</v>
      </c>
      <c r="CC17" s="22">
        <f>Calc_Volume!CC27*Assum_Costs!$C$15*CC5/1000</f>
        <v>182.57985190150586</v>
      </c>
      <c r="CD17" s="22">
        <f>Calc_Volume!CD27*Assum_Costs!$C$15*CD5/1000</f>
        <v>204.05983447815365</v>
      </c>
      <c r="CE17" s="22">
        <f>Calc_Volume!CE27*Assum_Costs!$C$15*CE5/1000</f>
        <v>225.53981705480138</v>
      </c>
      <c r="CF17" s="22">
        <f>Calc_Volume!CF27*Assum_Costs!$C$15*CF5/1000</f>
        <v>247.01979963144913</v>
      </c>
      <c r="CG17" s="22">
        <f>Calc_Volume!CG27*Assum_Costs!$C$15*CG5/1000</f>
        <v>300.71975607306854</v>
      </c>
      <c r="CH17" s="22">
        <f>Calc_Volume!CH27*Assum_Costs!$C$15*CH5/1000</f>
        <v>263.32310640712467</v>
      </c>
      <c r="CI17" s="22">
        <f>Calc_Volume!CI27*Assum_Costs!$C$15*CI5/1000</f>
        <v>251.87427569377155</v>
      </c>
      <c r="CJ17" s="22">
        <f>Calc_Volume!CJ27*Assum_Costs!$C$15*CJ5/1000</f>
        <v>228.97661426706495</v>
      </c>
      <c r="CK17" s="22">
        <f>Calc_Volume!CK27*Assum_Costs!$C$15*CK5/1000</f>
        <v>206.07895284035848</v>
      </c>
      <c r="CL17" s="22">
        <f>Calc_Volume!CL27*Assum_Costs!$C$15*CL5/1000</f>
        <v>194.63012212700525</v>
      </c>
      <c r="CM17" s="22">
        <f>Calc_Volume!CM27*Assum_Costs!$C$15*CM5/1000</f>
        <v>183.18129141365202</v>
      </c>
      <c r="CN17" s="22">
        <f>Calc_Volume!CN27*Assum_Costs!$C$15*CN5/1000</f>
        <v>183.18129141365202</v>
      </c>
      <c r="CO17" s="22">
        <f>Calc_Volume!CO27*Assum_Costs!$C$15*CO5/1000</f>
        <v>194.63012212700525</v>
      </c>
      <c r="CP17" s="22">
        <f>Calc_Volume!CP27*Assum_Costs!$C$15*CP5/1000</f>
        <v>217.52778355371171</v>
      </c>
      <c r="CQ17" s="22">
        <f>Calc_Volume!CQ27*Assum_Costs!$C$15*CQ5/1000</f>
        <v>240.42544498041823</v>
      </c>
      <c r="CR17" s="22">
        <f>Calc_Volume!CR27*Assum_Costs!$C$15*CR5/1000</f>
        <v>263.32310640712467</v>
      </c>
      <c r="CS17" s="22">
        <f>Calc_Volume!CS27*Assum_Costs!$C$15*CS5/1000</f>
        <v>320.56725997389088</v>
      </c>
      <c r="CT17" s="22">
        <f>Calc_Volume!CT27*Assum_Costs!$C$15*CT5/1000</f>
        <v>280.70243142999493</v>
      </c>
      <c r="CU17" s="22">
        <f>Calc_Volume!CU27*Assum_Costs!$C$15*CU5/1000</f>
        <v>268.49797788956045</v>
      </c>
      <c r="CV17" s="22">
        <f>Calc_Volume!CV27*Assum_Costs!$C$15*CV5/1000</f>
        <v>244.0890708086913</v>
      </c>
      <c r="CW17" s="22">
        <f>Calc_Volume!CW27*Assum_Costs!$C$15*CW5/1000</f>
        <v>219.68016372782213</v>
      </c>
      <c r="CX17" s="22">
        <f>Calc_Volume!CX27*Assum_Costs!$C$15*CX5/1000</f>
        <v>207.47571018738756</v>
      </c>
      <c r="CY17" s="22">
        <f>Calc_Volume!CY27*Assum_Costs!$C$15*CY5/1000</f>
        <v>195.27125664695305</v>
      </c>
      <c r="CZ17" s="22">
        <f>Calc_Volume!CZ27*Assum_Costs!$C$15*CZ5/1000</f>
        <v>195.27125664695305</v>
      </c>
      <c r="DA17" s="22">
        <f>Calc_Volume!DA27*Assum_Costs!$C$15*DA5/1000</f>
        <v>207.47571018738756</v>
      </c>
      <c r="DB17" s="22">
        <f>Calc_Volume!DB27*Assum_Costs!$C$15*DB5/1000</f>
        <v>231.88461726825668</v>
      </c>
      <c r="DC17" s="22">
        <f>Calc_Volume!DC27*Assum_Costs!$C$15*DC5/1000</f>
        <v>256.29352434912579</v>
      </c>
      <c r="DD17" s="22">
        <f>Calc_Volume!DD27*Assum_Costs!$C$15*DD5/1000</f>
        <v>280.70243142999493</v>
      </c>
      <c r="DE17" s="22">
        <f>Calc_Volume!DE27*Assum_Costs!$C$15*DE5/1000</f>
        <v>341.72469913216781</v>
      </c>
      <c r="DF17" s="22">
        <f>Calc_Volume!DF27*Assum_Costs!$C$15*DF5/1000</f>
        <v>299.22879190437459</v>
      </c>
      <c r="DG17" s="22">
        <f>Calc_Volume!DG27*Assum_Costs!$C$15*DG5/1000</f>
        <v>286.21884443027136</v>
      </c>
      <c r="DH17" s="22">
        <f>Calc_Volume!DH27*Assum_Costs!$C$15*DH5/1000</f>
        <v>260.19894948206485</v>
      </c>
      <c r="DI17" s="22">
        <f>Calc_Volume!DI27*Assum_Costs!$C$15*DI5/1000</f>
        <v>234.17905453385836</v>
      </c>
      <c r="DJ17" s="22">
        <f>Calc_Volume!DJ27*Assum_Costs!$C$15*DJ5/1000</f>
        <v>221.16910705975511</v>
      </c>
      <c r="DK17" s="22">
        <f>Calc_Volume!DK27*Assum_Costs!$C$15*DK5/1000</f>
        <v>208.15915958565191</v>
      </c>
      <c r="DL17" s="22">
        <f>Calc_Volume!DL27*Assum_Costs!$C$15*DL5/1000</f>
        <v>208.15915958565191</v>
      </c>
      <c r="DM17" s="22">
        <f>Calc_Volume!DM27*Assum_Costs!$C$15*DM5/1000</f>
        <v>221.16910705975511</v>
      </c>
      <c r="DN17" s="22">
        <f>Calc_Volume!DN27*Assum_Costs!$C$15*DN5/1000</f>
        <v>247.18900200796162</v>
      </c>
      <c r="DO17" s="22">
        <f>Calc_Volume!DO27*Assum_Costs!$C$15*DO5/1000</f>
        <v>273.20889695616813</v>
      </c>
      <c r="DP17" s="22">
        <f>Calc_Volume!DP27*Assum_Costs!$C$15*DP5/1000</f>
        <v>299.22879190437459</v>
      </c>
      <c r="DQ17" s="22">
        <f>Calc_Volume!DQ27*Assum_Costs!$C$15*DQ5/1000</f>
        <v>364.27852927489079</v>
      </c>
    </row>
    <row r="18" spans="1:121" ht="15" customHeight="1">
      <c r="A18" s="14" t="s">
        <v>443</v>
      </c>
      <c r="B18" s="29">
        <f t="shared" ref="B18:AG18" si="14">SUM(B15:B17)</f>
        <v>2025.7249999999997</v>
      </c>
      <c r="C18" s="29">
        <f t="shared" si="14"/>
        <v>1937.6500000000003</v>
      </c>
      <c r="D18" s="29">
        <f t="shared" si="14"/>
        <v>1761.5000000000002</v>
      </c>
      <c r="E18" s="29">
        <f t="shared" si="14"/>
        <v>1585.35</v>
      </c>
      <c r="F18" s="29">
        <f t="shared" si="14"/>
        <v>1497.2750000000001</v>
      </c>
      <c r="G18" s="29">
        <f t="shared" si="14"/>
        <v>1409.2000000000003</v>
      </c>
      <c r="H18" s="29">
        <f t="shared" si="14"/>
        <v>1409.2000000000003</v>
      </c>
      <c r="I18" s="29">
        <f t="shared" si="14"/>
        <v>1497.2750000000001</v>
      </c>
      <c r="J18" s="29">
        <f t="shared" si="14"/>
        <v>1673.425</v>
      </c>
      <c r="K18" s="29">
        <f t="shared" si="14"/>
        <v>1849.575</v>
      </c>
      <c r="L18" s="29">
        <f t="shared" si="14"/>
        <v>2025.7249999999997</v>
      </c>
      <c r="M18" s="29">
        <f t="shared" si="14"/>
        <v>2466.1000000000004</v>
      </c>
      <c r="N18" s="29">
        <f t="shared" si="14"/>
        <v>2242.4775749999999</v>
      </c>
      <c r="O18" s="29">
        <f t="shared" si="14"/>
        <v>2144.9785500000003</v>
      </c>
      <c r="P18" s="29">
        <f t="shared" si="14"/>
        <v>1949.9804999999999</v>
      </c>
      <c r="Q18" s="29">
        <f t="shared" si="14"/>
        <v>1754.98245</v>
      </c>
      <c r="R18" s="29">
        <f t="shared" si="14"/>
        <v>1657.4834249999999</v>
      </c>
      <c r="S18" s="29">
        <f t="shared" si="14"/>
        <v>1559.9844000000003</v>
      </c>
      <c r="T18" s="29">
        <f t="shared" si="14"/>
        <v>1559.9844000000003</v>
      </c>
      <c r="U18" s="29">
        <f t="shared" si="14"/>
        <v>1657.4834249999999</v>
      </c>
      <c r="V18" s="29">
        <f t="shared" si="14"/>
        <v>1852.4814749999998</v>
      </c>
      <c r="W18" s="29">
        <f t="shared" si="14"/>
        <v>2047.4795249999997</v>
      </c>
      <c r="X18" s="29">
        <f t="shared" si="14"/>
        <v>2242.4775749999999</v>
      </c>
      <c r="Y18" s="29">
        <f t="shared" si="14"/>
        <v>2729.9727000000003</v>
      </c>
      <c r="Z18" s="29">
        <f t="shared" si="14"/>
        <v>2482.4226755249997</v>
      </c>
      <c r="AA18" s="29">
        <f t="shared" si="14"/>
        <v>2374.4912548500006</v>
      </c>
      <c r="AB18" s="29">
        <f t="shared" si="14"/>
        <v>2158.6284135000001</v>
      </c>
      <c r="AC18" s="29">
        <f t="shared" si="14"/>
        <v>1942.76557215</v>
      </c>
      <c r="AD18" s="29">
        <f t="shared" si="14"/>
        <v>1834.8341514750005</v>
      </c>
      <c r="AE18" s="29">
        <f t="shared" si="14"/>
        <v>1726.9027308000007</v>
      </c>
      <c r="AF18" s="29">
        <f t="shared" si="14"/>
        <v>1726.9027308000007</v>
      </c>
      <c r="AG18" s="29">
        <f t="shared" si="14"/>
        <v>1834.8341514750005</v>
      </c>
      <c r="AH18" s="29">
        <f t="shared" ref="AH18:BM18" si="15">SUM(AH15:AH17)</f>
        <v>2050.6969928250001</v>
      </c>
      <c r="AI18" s="29">
        <f t="shared" si="15"/>
        <v>2266.5598341750006</v>
      </c>
      <c r="AJ18" s="29">
        <f t="shared" si="15"/>
        <v>2482.4226755249997</v>
      </c>
      <c r="AK18" s="29">
        <f t="shared" si="15"/>
        <v>3022.0797789000003</v>
      </c>
      <c r="AL18" s="29">
        <f t="shared" si="15"/>
        <v>2697.1522369579129</v>
      </c>
      <c r="AM18" s="29">
        <f t="shared" si="15"/>
        <v>2579.8847483945256</v>
      </c>
      <c r="AN18" s="29">
        <f t="shared" si="15"/>
        <v>2345.3497712677499</v>
      </c>
      <c r="AO18" s="29">
        <f t="shared" si="15"/>
        <v>2110.8147941409752</v>
      </c>
      <c r="AP18" s="29">
        <f t="shared" si="15"/>
        <v>1993.5473055775874</v>
      </c>
      <c r="AQ18" s="29">
        <f t="shared" si="15"/>
        <v>1876.2798170142</v>
      </c>
      <c r="AR18" s="29">
        <f t="shared" si="15"/>
        <v>1876.2798170142</v>
      </c>
      <c r="AS18" s="29">
        <f t="shared" si="15"/>
        <v>1993.5473055775874</v>
      </c>
      <c r="AT18" s="29">
        <f t="shared" si="15"/>
        <v>2228.0822827043626</v>
      </c>
      <c r="AU18" s="29">
        <f t="shared" si="15"/>
        <v>2462.6172598311377</v>
      </c>
      <c r="AV18" s="29">
        <f t="shared" si="15"/>
        <v>2697.1522369579129</v>
      </c>
      <c r="AW18" s="29">
        <f t="shared" si="15"/>
        <v>3283.4896797748506</v>
      </c>
      <c r="AX18" s="29">
        <f t="shared" si="15"/>
        <v>2930.4559054547713</v>
      </c>
      <c r="AY18" s="29">
        <f t="shared" si="15"/>
        <v>2803.0447791306519</v>
      </c>
      <c r="AZ18" s="29">
        <f t="shared" si="15"/>
        <v>2548.222526482411</v>
      </c>
      <c r="BA18" s="29">
        <f t="shared" si="15"/>
        <v>2293.4002738341696</v>
      </c>
      <c r="BB18" s="29">
        <f t="shared" si="15"/>
        <v>2165.989147510049</v>
      </c>
      <c r="BC18" s="29">
        <f t="shared" si="15"/>
        <v>2038.5780211859287</v>
      </c>
      <c r="BD18" s="29">
        <f t="shared" si="15"/>
        <v>2038.5780211859287</v>
      </c>
      <c r="BE18" s="29">
        <f t="shared" si="15"/>
        <v>2165.989147510049</v>
      </c>
      <c r="BF18" s="29">
        <f t="shared" si="15"/>
        <v>2420.8114001582899</v>
      </c>
      <c r="BG18" s="29">
        <f t="shared" si="15"/>
        <v>2675.6336528065312</v>
      </c>
      <c r="BH18" s="29">
        <f t="shared" si="15"/>
        <v>2930.4559054547713</v>
      </c>
      <c r="BI18" s="29">
        <f t="shared" si="15"/>
        <v>3567.5115370753747</v>
      </c>
      <c r="BJ18" s="29">
        <f t="shared" si="15"/>
        <v>3123.8659952147868</v>
      </c>
      <c r="BK18" s="29">
        <f t="shared" si="15"/>
        <v>2988.045734553275</v>
      </c>
      <c r="BL18" s="29">
        <f t="shared" si="15"/>
        <v>2716.40521323025</v>
      </c>
      <c r="BM18" s="29">
        <f t="shared" si="15"/>
        <v>2444.764691907224</v>
      </c>
      <c r="BN18" s="29">
        <f t="shared" ref="BN18:CS18" si="16">SUM(BN15:BN17)</f>
        <v>2308.9444312457117</v>
      </c>
      <c r="BO18" s="29">
        <f t="shared" si="16"/>
        <v>2173.1241705841999</v>
      </c>
      <c r="BP18" s="29">
        <f t="shared" si="16"/>
        <v>2173.1241705841999</v>
      </c>
      <c r="BQ18" s="29">
        <f t="shared" si="16"/>
        <v>2308.9444312457117</v>
      </c>
      <c r="BR18" s="29">
        <f t="shared" si="16"/>
        <v>2580.5849525687368</v>
      </c>
      <c r="BS18" s="29">
        <f t="shared" si="16"/>
        <v>2852.2254738917618</v>
      </c>
      <c r="BT18" s="29">
        <f t="shared" si="16"/>
        <v>3123.8659952147868</v>
      </c>
      <c r="BU18" s="29">
        <f t="shared" si="16"/>
        <v>3802.9672985223488</v>
      </c>
      <c r="BV18" s="29">
        <f t="shared" si="16"/>
        <v>3330.0411508989619</v>
      </c>
      <c r="BW18" s="29">
        <f t="shared" si="16"/>
        <v>3185.2567530337901</v>
      </c>
      <c r="BX18" s="29">
        <f t="shared" si="16"/>
        <v>2895.6879573034448</v>
      </c>
      <c r="BY18" s="29">
        <f t="shared" si="16"/>
        <v>2606.1191615731013</v>
      </c>
      <c r="BZ18" s="29">
        <f t="shared" si="16"/>
        <v>2461.3347637079282</v>
      </c>
      <c r="CA18" s="29">
        <f t="shared" si="16"/>
        <v>2316.5503658427569</v>
      </c>
      <c r="CB18" s="29">
        <f t="shared" si="16"/>
        <v>2316.5503658427569</v>
      </c>
      <c r="CC18" s="29">
        <f t="shared" si="16"/>
        <v>2461.3347637079282</v>
      </c>
      <c r="CD18" s="29">
        <f t="shared" si="16"/>
        <v>2750.9035594382731</v>
      </c>
      <c r="CE18" s="29">
        <f t="shared" si="16"/>
        <v>3040.4723551686175</v>
      </c>
      <c r="CF18" s="29">
        <f t="shared" si="16"/>
        <v>3330.0411508989619</v>
      </c>
      <c r="CG18" s="29">
        <f t="shared" si="16"/>
        <v>4053.9631402248233</v>
      </c>
      <c r="CH18" s="29">
        <f t="shared" si="16"/>
        <v>3549.8238668582921</v>
      </c>
      <c r="CI18" s="29">
        <f t="shared" si="16"/>
        <v>3395.4836987340195</v>
      </c>
      <c r="CJ18" s="29">
        <f t="shared" si="16"/>
        <v>3086.8033624854725</v>
      </c>
      <c r="CK18" s="29">
        <f t="shared" si="16"/>
        <v>2778.1230262369254</v>
      </c>
      <c r="CL18" s="29">
        <f t="shared" si="16"/>
        <v>2623.7828581126514</v>
      </c>
      <c r="CM18" s="29">
        <f t="shared" si="16"/>
        <v>2469.4426899883783</v>
      </c>
      <c r="CN18" s="29">
        <f t="shared" si="16"/>
        <v>2469.4426899883783</v>
      </c>
      <c r="CO18" s="29">
        <f t="shared" si="16"/>
        <v>2623.7828581126514</v>
      </c>
      <c r="CP18" s="29">
        <f t="shared" si="16"/>
        <v>2932.4631943611985</v>
      </c>
      <c r="CQ18" s="29">
        <f t="shared" si="16"/>
        <v>3241.143530609746</v>
      </c>
      <c r="CR18" s="29">
        <f t="shared" si="16"/>
        <v>3549.8238668582921</v>
      </c>
      <c r="CS18" s="29">
        <f t="shared" si="16"/>
        <v>4321.5247074796598</v>
      </c>
      <c r="CT18" s="29">
        <f t="shared" ref="CT18:DY18" si="17">SUM(CT15:CT17)</f>
        <v>3784.1122420709398</v>
      </c>
      <c r="CU18" s="29">
        <f t="shared" si="17"/>
        <v>3619.5856228504654</v>
      </c>
      <c r="CV18" s="29">
        <f t="shared" si="17"/>
        <v>3290.5323844095133</v>
      </c>
      <c r="CW18" s="29">
        <f t="shared" si="17"/>
        <v>2961.4791459685625</v>
      </c>
      <c r="CX18" s="29">
        <f t="shared" si="17"/>
        <v>2796.9525267480858</v>
      </c>
      <c r="CY18" s="29">
        <f t="shared" si="17"/>
        <v>2632.4259075276113</v>
      </c>
      <c r="CZ18" s="29">
        <f t="shared" si="17"/>
        <v>2632.4259075276113</v>
      </c>
      <c r="DA18" s="29">
        <f t="shared" si="17"/>
        <v>2796.9525267480858</v>
      </c>
      <c r="DB18" s="29">
        <f t="shared" si="17"/>
        <v>3126.005765189037</v>
      </c>
      <c r="DC18" s="29">
        <f t="shared" si="17"/>
        <v>3455.0590036299891</v>
      </c>
      <c r="DD18" s="29">
        <f t="shared" si="17"/>
        <v>3784.1122420709398</v>
      </c>
      <c r="DE18" s="29">
        <f t="shared" si="17"/>
        <v>4606.7453381733185</v>
      </c>
      <c r="DF18" s="29">
        <f t="shared" si="17"/>
        <v>4033.8636500476223</v>
      </c>
      <c r="DG18" s="29">
        <f t="shared" si="17"/>
        <v>3858.4782739585958</v>
      </c>
      <c r="DH18" s="29">
        <f t="shared" si="17"/>
        <v>3507.7075217805409</v>
      </c>
      <c r="DI18" s="29">
        <f t="shared" si="17"/>
        <v>3156.9367696024869</v>
      </c>
      <c r="DJ18" s="29">
        <f t="shared" si="17"/>
        <v>2981.5513935134595</v>
      </c>
      <c r="DK18" s="29">
        <f t="shared" si="17"/>
        <v>2806.166017424433</v>
      </c>
      <c r="DL18" s="29">
        <f t="shared" si="17"/>
        <v>2806.166017424433</v>
      </c>
      <c r="DM18" s="29">
        <f t="shared" si="17"/>
        <v>2981.5513935134595</v>
      </c>
      <c r="DN18" s="29">
        <f t="shared" si="17"/>
        <v>3332.3221456915144</v>
      </c>
      <c r="DO18" s="29">
        <f t="shared" si="17"/>
        <v>3683.0928978695688</v>
      </c>
      <c r="DP18" s="29">
        <f t="shared" si="17"/>
        <v>4033.8636500476223</v>
      </c>
      <c r="DQ18" s="29">
        <f t="shared" si="17"/>
        <v>4910.7905304927563</v>
      </c>
    </row>
    <row r="20" spans="1:121" ht="15" customHeight="1">
      <c r="A20" s="5" t="s">
        <v>444</v>
      </c>
    </row>
    <row r="21" spans="1:121" ht="15" customHeight="1">
      <c r="A21" t="s">
        <v>308</v>
      </c>
      <c r="B21" s="22">
        <f>Calc_Volume!B14*Assum_Costs!$C$18*B5/1000</f>
        <v>919.99999999999989</v>
      </c>
      <c r="C21" s="22">
        <f>Calc_Volume!C14*Assum_Costs!$C$18*C5/1000</f>
        <v>880.00000000000011</v>
      </c>
      <c r="D21" s="22">
        <f>Calc_Volume!D14*Assum_Costs!$C$18*D5/1000</f>
        <v>800</v>
      </c>
      <c r="E21" s="22">
        <f>Calc_Volume!E14*Assum_Costs!$C$18*E5/1000</f>
        <v>720</v>
      </c>
      <c r="F21" s="22">
        <f>Calc_Volume!F14*Assum_Costs!$C$18*F5/1000</f>
        <v>680</v>
      </c>
      <c r="G21" s="22">
        <f>Calc_Volume!G14*Assum_Costs!$C$18*G5/1000</f>
        <v>640.00000000000011</v>
      </c>
      <c r="H21" s="22">
        <f>Calc_Volume!H14*Assum_Costs!$C$18*H5/1000</f>
        <v>640.00000000000011</v>
      </c>
      <c r="I21" s="22">
        <f>Calc_Volume!I14*Assum_Costs!$C$18*I5/1000</f>
        <v>680</v>
      </c>
      <c r="J21" s="22">
        <f>Calc_Volume!J14*Assum_Costs!$C$18*J5/1000</f>
        <v>760</v>
      </c>
      <c r="K21" s="22">
        <f>Calc_Volume!K14*Assum_Costs!$C$18*K5/1000</f>
        <v>840</v>
      </c>
      <c r="L21" s="22">
        <f>Calc_Volume!L14*Assum_Costs!$C$18*L5/1000</f>
        <v>919.99999999999989</v>
      </c>
      <c r="M21" s="22">
        <f>Calc_Volume!M14*Assum_Costs!$C$18*M5/1000</f>
        <v>1120</v>
      </c>
      <c r="N21" s="22">
        <f>Calc_Volume!N14*Assum_Costs!$C$18*N5/1000</f>
        <v>1018.4399999999998</v>
      </c>
      <c r="O21" s="22">
        <f>Calc_Volume!O14*Assum_Costs!$C$18*O5/1000</f>
        <v>974.16000000000008</v>
      </c>
      <c r="P21" s="22">
        <f>Calc_Volume!P14*Assum_Costs!$C$18*P5/1000</f>
        <v>885.59999999999991</v>
      </c>
      <c r="Q21" s="22">
        <f>Calc_Volume!Q14*Assum_Costs!$C$18*Q5/1000</f>
        <v>797.03999999999985</v>
      </c>
      <c r="R21" s="22">
        <f>Calc_Volume!R14*Assum_Costs!$C$18*R5/1000</f>
        <v>752.75999999999988</v>
      </c>
      <c r="S21" s="22">
        <f>Calc_Volume!S14*Assum_Costs!$C$18*S5/1000</f>
        <v>708.48000000000025</v>
      </c>
      <c r="T21" s="22">
        <f>Calc_Volume!T14*Assum_Costs!$C$18*T5/1000</f>
        <v>708.48000000000025</v>
      </c>
      <c r="U21" s="22">
        <f>Calc_Volume!U14*Assum_Costs!$C$18*U5/1000</f>
        <v>752.75999999999988</v>
      </c>
      <c r="V21" s="22">
        <f>Calc_Volume!V14*Assum_Costs!$C$18*V5/1000</f>
        <v>841.31999999999994</v>
      </c>
      <c r="W21" s="22">
        <f>Calc_Volume!W14*Assum_Costs!$C$18*W5/1000</f>
        <v>929.87999999999988</v>
      </c>
      <c r="X21" s="22">
        <f>Calc_Volume!X14*Assum_Costs!$C$18*X5/1000</f>
        <v>1018.4399999999998</v>
      </c>
      <c r="Y21" s="22">
        <f>Calc_Volume!Y14*Assum_Costs!$C$18*Y5/1000</f>
        <v>1239.8399999999999</v>
      </c>
      <c r="Z21" s="22">
        <f>Calc_Volume!Z14*Assum_Costs!$C$18*Z5/1000</f>
        <v>1127.4130799999998</v>
      </c>
      <c r="AA21" s="22">
        <f>Calc_Volume!AA14*Assum_Costs!$C$18*AA5/1000</f>
        <v>1078.3951200000004</v>
      </c>
      <c r="AB21" s="22">
        <f>Calc_Volume!AB14*Assum_Costs!$C$18*AB5/1000</f>
        <v>980.35919999999999</v>
      </c>
      <c r="AC21" s="22">
        <f>Calc_Volume!AC14*Assum_Costs!$C$18*AC5/1000</f>
        <v>882.32327999999995</v>
      </c>
      <c r="AD21" s="22">
        <f>Calc_Volume!AD14*Assum_Costs!$C$18*AD5/1000</f>
        <v>833.30532000000017</v>
      </c>
      <c r="AE21" s="22">
        <f>Calc_Volume!AE14*Assum_Costs!$C$18*AE5/1000</f>
        <v>784.28736000000026</v>
      </c>
      <c r="AF21" s="22">
        <f>Calc_Volume!AF14*Assum_Costs!$C$18*AF5/1000</f>
        <v>784.28736000000026</v>
      </c>
      <c r="AG21" s="22">
        <f>Calc_Volume!AG14*Assum_Costs!$C$18*AG5/1000</f>
        <v>833.30532000000017</v>
      </c>
      <c r="AH21" s="22">
        <f>Calc_Volume!AH14*Assum_Costs!$C$18*AH5/1000</f>
        <v>931.34123999999986</v>
      </c>
      <c r="AI21" s="22">
        <f>Calc_Volume!AI14*Assum_Costs!$C$18*AI5/1000</f>
        <v>1029.3771600000002</v>
      </c>
      <c r="AJ21" s="22">
        <f>Calc_Volume!AJ14*Assum_Costs!$C$18*AJ5/1000</f>
        <v>1127.4130799999998</v>
      </c>
      <c r="AK21" s="22">
        <f>Calc_Volume!AK14*Assum_Costs!$C$18*AK5/1000</f>
        <v>1372.5028800000002</v>
      </c>
      <c r="AL21" s="22">
        <f>Calc_Volume!AL14*Assum_Costs!$C$18*AL5/1000</f>
        <v>1224.9343114199999</v>
      </c>
      <c r="AM21" s="22">
        <f>Calc_Volume!AM14*Assum_Costs!$C$18*AM5/1000</f>
        <v>1171.6762978800002</v>
      </c>
      <c r="AN21" s="22">
        <f>Calc_Volume!AN14*Assum_Costs!$C$18*AN5/1000</f>
        <v>1065.1602708</v>
      </c>
      <c r="AO21" s="22">
        <f>Calc_Volume!AO14*Assum_Costs!$C$18*AO5/1000</f>
        <v>958.64424372000008</v>
      </c>
      <c r="AP21" s="22">
        <f>Calc_Volume!AP14*Assum_Costs!$C$18*AP5/1000</f>
        <v>905.3862301800001</v>
      </c>
      <c r="AQ21" s="22">
        <f>Calc_Volume!AQ14*Assum_Costs!$C$18*AQ5/1000</f>
        <v>852.12821664000001</v>
      </c>
      <c r="AR21" s="22">
        <f>Calc_Volume!AR14*Assum_Costs!$C$18*AR5/1000</f>
        <v>852.12821664000001</v>
      </c>
      <c r="AS21" s="22">
        <f>Calc_Volume!AS14*Assum_Costs!$C$18*AS5/1000</f>
        <v>905.3862301800001</v>
      </c>
      <c r="AT21" s="22">
        <f>Calc_Volume!AT14*Assum_Costs!$C$18*AT5/1000</f>
        <v>1011.9022572599999</v>
      </c>
      <c r="AU21" s="22">
        <f>Calc_Volume!AU14*Assum_Costs!$C$18*AU5/1000</f>
        <v>1118.4182843400004</v>
      </c>
      <c r="AV21" s="22">
        <f>Calc_Volume!AV14*Assum_Costs!$C$18*AV5/1000</f>
        <v>1224.9343114199999</v>
      </c>
      <c r="AW21" s="22">
        <f>Calc_Volume!AW14*Assum_Costs!$C$18*AW5/1000</f>
        <v>1491.2243791199999</v>
      </c>
      <c r="AX21" s="22">
        <f>Calc_Volume!AX14*Assum_Costs!$C$18*AX5/1000</f>
        <v>1330.8911293578296</v>
      </c>
      <c r="AY21" s="22">
        <f>Calc_Volume!AY14*Assum_Costs!$C$18*AY5/1000</f>
        <v>1273.0262976466204</v>
      </c>
      <c r="AZ21" s="22">
        <f>Calc_Volume!AZ14*Assum_Costs!$C$18*AZ5/1000</f>
        <v>1157.2966342242</v>
      </c>
      <c r="BA21" s="22">
        <f>Calc_Volume!BA14*Assum_Costs!$C$18*BA5/1000</f>
        <v>1041.5669708017799</v>
      </c>
      <c r="BB21" s="22">
        <f>Calc_Volume!BB14*Assum_Costs!$C$18*BB5/1000</f>
        <v>983.70213909057009</v>
      </c>
      <c r="BC21" s="22">
        <f>Calc_Volume!BC14*Assum_Costs!$C$18*BC5/1000</f>
        <v>925.83730737935991</v>
      </c>
      <c r="BD21" s="22">
        <f>Calc_Volume!BD14*Assum_Costs!$C$18*BD5/1000</f>
        <v>925.83730737935991</v>
      </c>
      <c r="BE21" s="22">
        <f>Calc_Volume!BE14*Assum_Costs!$C$18*BE5/1000</f>
        <v>983.70213909057009</v>
      </c>
      <c r="BF21" s="22">
        <f>Calc_Volume!BF14*Assum_Costs!$C$18*BF5/1000</f>
        <v>1099.4318025129899</v>
      </c>
      <c r="BG21" s="22">
        <f>Calc_Volume!BG14*Assum_Costs!$C$18*BG5/1000</f>
        <v>1215.16146593541</v>
      </c>
      <c r="BH21" s="22">
        <f>Calc_Volume!BH14*Assum_Costs!$C$18*BH5/1000</f>
        <v>1330.8911293578296</v>
      </c>
      <c r="BI21" s="22">
        <f>Calc_Volume!BI14*Assum_Costs!$C$18*BI5/1000</f>
        <v>1620.21528791388</v>
      </c>
      <c r="BJ21" s="22">
        <f>Calc_Volume!BJ14*Assum_Costs!$C$18*BJ5/1000</f>
        <v>1418.7299438954467</v>
      </c>
      <c r="BK21" s="22">
        <f>Calc_Volume!BK14*Assum_Costs!$C$18*BK5/1000</f>
        <v>1357.0460332912971</v>
      </c>
      <c r="BL21" s="22">
        <f>Calc_Volume!BL14*Assum_Costs!$C$18*BL5/1000</f>
        <v>1233.6782120829971</v>
      </c>
      <c r="BM21" s="22">
        <f>Calc_Volume!BM14*Assum_Costs!$C$18*BM5/1000</f>
        <v>1110.3103908746973</v>
      </c>
      <c r="BN21" s="22">
        <f>Calc_Volume!BN14*Assum_Costs!$C$18*BN5/1000</f>
        <v>1048.6264802705475</v>
      </c>
      <c r="BO21" s="22">
        <f>Calc_Volume!BO14*Assum_Costs!$C$18*BO5/1000</f>
        <v>986.94256966639773</v>
      </c>
      <c r="BP21" s="22">
        <f>Calc_Volume!BP14*Assum_Costs!$C$18*BP5/1000</f>
        <v>986.94256966639773</v>
      </c>
      <c r="BQ21" s="22">
        <f>Calc_Volume!BQ14*Assum_Costs!$C$18*BQ5/1000</f>
        <v>1048.6264802705475</v>
      </c>
      <c r="BR21" s="22">
        <f>Calc_Volume!BR14*Assum_Costs!$C$18*BR5/1000</f>
        <v>1171.9943014788471</v>
      </c>
      <c r="BS21" s="22">
        <f>Calc_Volume!BS14*Assum_Costs!$C$18*BS5/1000</f>
        <v>1295.3621226871467</v>
      </c>
      <c r="BT21" s="22">
        <f>Calc_Volume!BT14*Assum_Costs!$C$18*BT5/1000</f>
        <v>1418.7299438954467</v>
      </c>
      <c r="BU21" s="22">
        <f>Calc_Volume!BU14*Assum_Costs!$C$18*BU5/1000</f>
        <v>1727.1494969161959</v>
      </c>
      <c r="BV21" s="22">
        <f>Calc_Volume!BV14*Assum_Costs!$C$18*BV5/1000</f>
        <v>1512.3661201925458</v>
      </c>
      <c r="BW21" s="22">
        <f>Calc_Volume!BW14*Assum_Costs!$C$18*BW5/1000</f>
        <v>1446.6110714885226</v>
      </c>
      <c r="BX21" s="22">
        <f>Calc_Volume!BX14*Assum_Costs!$C$18*BX5/1000</f>
        <v>1315.1009740804745</v>
      </c>
      <c r="BY21" s="22">
        <f>Calc_Volume!BY14*Assum_Costs!$C$18*BY5/1000</f>
        <v>1183.5908766724272</v>
      </c>
      <c r="BZ21" s="22">
        <f>Calc_Volume!BZ14*Assum_Costs!$C$18*BZ5/1000</f>
        <v>1117.8358279684035</v>
      </c>
      <c r="CA21" s="22">
        <f>Calc_Volume!CA14*Assum_Costs!$C$18*CA5/1000</f>
        <v>1052.08077926438</v>
      </c>
      <c r="CB21" s="22">
        <f>Calc_Volume!CB14*Assum_Costs!$C$18*CB5/1000</f>
        <v>1052.08077926438</v>
      </c>
      <c r="CC21" s="22">
        <f>Calc_Volume!CC14*Assum_Costs!$C$18*CC5/1000</f>
        <v>1117.8358279684035</v>
      </c>
      <c r="CD21" s="22">
        <f>Calc_Volume!CD14*Assum_Costs!$C$18*CD5/1000</f>
        <v>1249.3459253764511</v>
      </c>
      <c r="CE21" s="22">
        <f>Calc_Volume!CE14*Assum_Costs!$C$18*CE5/1000</f>
        <v>1380.8560227844985</v>
      </c>
      <c r="CF21" s="22">
        <f>Calc_Volume!CF14*Assum_Costs!$C$18*CF5/1000</f>
        <v>1512.3661201925458</v>
      </c>
      <c r="CG21" s="22">
        <f>Calc_Volume!CG14*Assum_Costs!$C$18*CG5/1000</f>
        <v>1841.1413637126645</v>
      </c>
      <c r="CH21" s="22">
        <f>Calc_Volume!CH14*Assum_Costs!$C$18*CH5/1000</f>
        <v>1612.1822841252535</v>
      </c>
      <c r="CI21" s="22">
        <f>Calc_Volume!CI14*Assum_Costs!$C$18*CI5/1000</f>
        <v>1542.0874022067646</v>
      </c>
      <c r="CJ21" s="22">
        <f>Calc_Volume!CJ14*Assum_Costs!$C$18*CJ5/1000</f>
        <v>1401.8976383697857</v>
      </c>
      <c r="CK21" s="22">
        <f>Calc_Volume!CK14*Assum_Costs!$C$18*CK5/1000</f>
        <v>1261.7078745328074</v>
      </c>
      <c r="CL21" s="22">
        <f>Calc_Volume!CL14*Assum_Costs!$C$18*CL5/1000</f>
        <v>1191.612992614318</v>
      </c>
      <c r="CM21" s="22">
        <f>Calc_Volume!CM14*Assum_Costs!$C$18*CM5/1000</f>
        <v>1121.5181106958289</v>
      </c>
      <c r="CN21" s="22">
        <f>Calc_Volume!CN14*Assum_Costs!$C$18*CN5/1000</f>
        <v>1121.5181106958289</v>
      </c>
      <c r="CO21" s="22">
        <f>Calc_Volume!CO14*Assum_Costs!$C$18*CO5/1000</f>
        <v>1191.612992614318</v>
      </c>
      <c r="CP21" s="22">
        <f>Calc_Volume!CP14*Assum_Costs!$C$18*CP5/1000</f>
        <v>1331.8027564512963</v>
      </c>
      <c r="CQ21" s="22">
        <f>Calc_Volume!CQ14*Assum_Costs!$C$18*CQ5/1000</f>
        <v>1471.9925202882748</v>
      </c>
      <c r="CR21" s="22">
        <f>Calc_Volume!CR14*Assum_Costs!$C$18*CR5/1000</f>
        <v>1612.1822841252535</v>
      </c>
      <c r="CS21" s="22">
        <f>Calc_Volume!CS14*Assum_Costs!$C$18*CS5/1000</f>
        <v>1962.6566937176997</v>
      </c>
      <c r="CT21" s="22">
        <f>Calc_Volume!CT14*Assum_Costs!$C$18*CT5/1000</f>
        <v>1718.5863148775202</v>
      </c>
      <c r="CU21" s="22">
        <f>Calc_Volume!CU14*Assum_Costs!$C$18*CU5/1000</f>
        <v>1643.8651707524109</v>
      </c>
      <c r="CV21" s="22">
        <f>Calc_Volume!CV14*Assum_Costs!$C$18*CV5/1000</f>
        <v>1494.4228825021917</v>
      </c>
      <c r="CW21" s="22">
        <f>Calc_Volume!CW14*Assum_Costs!$C$18*CW5/1000</f>
        <v>1344.9805942519724</v>
      </c>
      <c r="CX21" s="22">
        <f>Calc_Volume!CX14*Assum_Costs!$C$18*CX5/1000</f>
        <v>1270.2594501268629</v>
      </c>
      <c r="CY21" s="22">
        <f>Calc_Volume!CY14*Assum_Costs!$C$18*CY5/1000</f>
        <v>1195.5383060017534</v>
      </c>
      <c r="CZ21" s="22">
        <f>Calc_Volume!CZ14*Assum_Costs!$C$18*CZ5/1000</f>
        <v>1195.5383060017534</v>
      </c>
      <c r="DA21" s="22">
        <f>Calc_Volume!DA14*Assum_Costs!$C$18*DA5/1000</f>
        <v>1270.2594501268629</v>
      </c>
      <c r="DB21" s="22">
        <f>Calc_Volume!DB14*Assum_Costs!$C$18*DB5/1000</f>
        <v>1419.7017383770819</v>
      </c>
      <c r="DC21" s="22">
        <f>Calc_Volume!DC14*Assum_Costs!$C$18*DC5/1000</f>
        <v>1569.1440266273009</v>
      </c>
      <c r="DD21" s="22">
        <f>Calc_Volume!DD14*Assum_Costs!$C$18*DD5/1000</f>
        <v>1718.5863148775202</v>
      </c>
      <c r="DE21" s="22">
        <f>Calc_Volume!DE14*Assum_Costs!$C$18*DE5/1000</f>
        <v>2092.1920355030684</v>
      </c>
      <c r="DF21" s="22">
        <f>Calc_Volume!DF14*Assum_Costs!$C$18*DF5/1000</f>
        <v>1832.0130116594364</v>
      </c>
      <c r="DG21" s="22">
        <f>Calc_Volume!DG14*Assum_Costs!$C$18*DG5/1000</f>
        <v>1752.3602720220699</v>
      </c>
      <c r="DH21" s="22">
        <f>Calc_Volume!DH14*Assum_Costs!$C$18*DH5/1000</f>
        <v>1593.0547927473363</v>
      </c>
      <c r="DI21" s="22">
        <f>Calc_Volume!DI14*Assum_Costs!$C$18*DI5/1000</f>
        <v>1433.7493134726024</v>
      </c>
      <c r="DJ21" s="22">
        <f>Calc_Volume!DJ14*Assum_Costs!$C$18*DJ5/1000</f>
        <v>1354.0965738352356</v>
      </c>
      <c r="DK21" s="22">
        <f>Calc_Volume!DK14*Assum_Costs!$C$18*DK5/1000</f>
        <v>1274.4438341978689</v>
      </c>
      <c r="DL21" s="22">
        <f>Calc_Volume!DL14*Assum_Costs!$C$18*DL5/1000</f>
        <v>1274.4438341978689</v>
      </c>
      <c r="DM21" s="22">
        <f>Calc_Volume!DM14*Assum_Costs!$C$18*DM5/1000</f>
        <v>1354.0965738352356</v>
      </c>
      <c r="DN21" s="22">
        <f>Calc_Volume!DN14*Assum_Costs!$C$18*DN5/1000</f>
        <v>1513.4020531099695</v>
      </c>
      <c r="DO21" s="22">
        <f>Calc_Volume!DO14*Assum_Costs!$C$18*DO5/1000</f>
        <v>1672.707532384703</v>
      </c>
      <c r="DP21" s="22">
        <f>Calc_Volume!DP14*Assum_Costs!$C$18*DP5/1000</f>
        <v>1832.0130116594364</v>
      </c>
      <c r="DQ21" s="22">
        <f>Calc_Volume!DQ14*Assum_Costs!$C$18*DQ5/1000</f>
        <v>2230.2767098462705</v>
      </c>
    </row>
    <row r="22" spans="1:121" ht="15" customHeight="1">
      <c r="A22" t="s">
        <v>445</v>
      </c>
      <c r="B22" s="22">
        <f>Calc_Volume!B14*Assum_Costs!$C$19*B5/1000</f>
        <v>459.99999999999994</v>
      </c>
      <c r="C22" s="22">
        <f>Calc_Volume!C14*Assum_Costs!$C$19*C5/1000</f>
        <v>440.00000000000006</v>
      </c>
      <c r="D22" s="22">
        <f>Calc_Volume!D14*Assum_Costs!$C$19*D5/1000</f>
        <v>400</v>
      </c>
      <c r="E22" s="22">
        <f>Calc_Volume!E14*Assum_Costs!$C$19*E5/1000</f>
        <v>360</v>
      </c>
      <c r="F22" s="22">
        <f>Calc_Volume!F14*Assum_Costs!$C$19*F5/1000</f>
        <v>340</v>
      </c>
      <c r="G22" s="22">
        <f>Calc_Volume!G14*Assum_Costs!$C$19*G5/1000</f>
        <v>320.00000000000006</v>
      </c>
      <c r="H22" s="22">
        <f>Calc_Volume!H14*Assum_Costs!$C$19*H5/1000</f>
        <v>320.00000000000006</v>
      </c>
      <c r="I22" s="22">
        <f>Calc_Volume!I14*Assum_Costs!$C$19*I5/1000</f>
        <v>340</v>
      </c>
      <c r="J22" s="22">
        <f>Calc_Volume!J14*Assum_Costs!$C$19*J5/1000</f>
        <v>380</v>
      </c>
      <c r="K22" s="22">
        <f>Calc_Volume!K14*Assum_Costs!$C$19*K5/1000</f>
        <v>420</v>
      </c>
      <c r="L22" s="22">
        <f>Calc_Volume!L14*Assum_Costs!$C$19*L5/1000</f>
        <v>459.99999999999994</v>
      </c>
      <c r="M22" s="22">
        <f>Calc_Volume!M14*Assum_Costs!$C$19*M5/1000</f>
        <v>560</v>
      </c>
      <c r="N22" s="22">
        <f>Calc_Volume!N14*Assum_Costs!$C$19*N5/1000</f>
        <v>509.21999999999991</v>
      </c>
      <c r="O22" s="22">
        <f>Calc_Volume!O14*Assum_Costs!$C$19*O5/1000</f>
        <v>487.08000000000004</v>
      </c>
      <c r="P22" s="22">
        <f>Calc_Volume!P14*Assum_Costs!$C$19*P5/1000</f>
        <v>442.79999999999995</v>
      </c>
      <c r="Q22" s="22">
        <f>Calc_Volume!Q14*Assum_Costs!$C$19*Q5/1000</f>
        <v>398.51999999999992</v>
      </c>
      <c r="R22" s="22">
        <f>Calc_Volume!R14*Assum_Costs!$C$19*R5/1000</f>
        <v>376.37999999999994</v>
      </c>
      <c r="S22" s="22">
        <f>Calc_Volume!S14*Assum_Costs!$C$19*S5/1000</f>
        <v>354.24000000000012</v>
      </c>
      <c r="T22" s="22">
        <f>Calc_Volume!T14*Assum_Costs!$C$19*T5/1000</f>
        <v>354.24000000000012</v>
      </c>
      <c r="U22" s="22">
        <f>Calc_Volume!U14*Assum_Costs!$C$19*U5/1000</f>
        <v>376.37999999999994</v>
      </c>
      <c r="V22" s="22">
        <f>Calc_Volume!V14*Assum_Costs!$C$19*V5/1000</f>
        <v>420.65999999999997</v>
      </c>
      <c r="W22" s="22">
        <f>Calc_Volume!W14*Assum_Costs!$C$19*W5/1000</f>
        <v>464.93999999999994</v>
      </c>
      <c r="X22" s="22">
        <f>Calc_Volume!X14*Assum_Costs!$C$19*X5/1000</f>
        <v>509.21999999999991</v>
      </c>
      <c r="Y22" s="22">
        <f>Calc_Volume!Y14*Assum_Costs!$C$19*Y5/1000</f>
        <v>619.91999999999996</v>
      </c>
      <c r="Z22" s="22">
        <f>Calc_Volume!Z14*Assum_Costs!$C$19*Z5/1000</f>
        <v>563.7065399999999</v>
      </c>
      <c r="AA22" s="22">
        <f>Calc_Volume!AA14*Assum_Costs!$C$19*AA5/1000</f>
        <v>539.19756000000018</v>
      </c>
      <c r="AB22" s="22">
        <f>Calc_Volume!AB14*Assum_Costs!$C$19*AB5/1000</f>
        <v>490.17959999999999</v>
      </c>
      <c r="AC22" s="22">
        <f>Calc_Volume!AC14*Assum_Costs!$C$19*AC5/1000</f>
        <v>441.16163999999998</v>
      </c>
      <c r="AD22" s="22">
        <f>Calc_Volume!AD14*Assum_Costs!$C$19*AD5/1000</f>
        <v>416.65266000000008</v>
      </c>
      <c r="AE22" s="22">
        <f>Calc_Volume!AE14*Assum_Costs!$C$19*AE5/1000</f>
        <v>392.14368000000013</v>
      </c>
      <c r="AF22" s="22">
        <f>Calc_Volume!AF14*Assum_Costs!$C$19*AF5/1000</f>
        <v>392.14368000000013</v>
      </c>
      <c r="AG22" s="22">
        <f>Calc_Volume!AG14*Assum_Costs!$C$19*AG5/1000</f>
        <v>416.65266000000008</v>
      </c>
      <c r="AH22" s="22">
        <f>Calc_Volume!AH14*Assum_Costs!$C$19*AH5/1000</f>
        <v>465.67061999999993</v>
      </c>
      <c r="AI22" s="22">
        <f>Calc_Volume!AI14*Assum_Costs!$C$19*AI5/1000</f>
        <v>514.68858000000012</v>
      </c>
      <c r="AJ22" s="22">
        <f>Calc_Volume!AJ14*Assum_Costs!$C$19*AJ5/1000</f>
        <v>563.7065399999999</v>
      </c>
      <c r="AK22" s="22">
        <f>Calc_Volume!AK14*Assum_Costs!$C$19*AK5/1000</f>
        <v>686.25144000000012</v>
      </c>
      <c r="AL22" s="22">
        <f>Calc_Volume!AL14*Assum_Costs!$C$19*AL5/1000</f>
        <v>612.46715570999993</v>
      </c>
      <c r="AM22" s="22">
        <f>Calc_Volume!AM14*Assum_Costs!$C$19*AM5/1000</f>
        <v>585.83814894000011</v>
      </c>
      <c r="AN22" s="22">
        <f>Calc_Volume!AN14*Assum_Costs!$C$19*AN5/1000</f>
        <v>532.58013540000002</v>
      </c>
      <c r="AO22" s="22">
        <f>Calc_Volume!AO14*Assum_Costs!$C$19*AO5/1000</f>
        <v>479.32212186000004</v>
      </c>
      <c r="AP22" s="22">
        <f>Calc_Volume!AP14*Assum_Costs!$C$19*AP5/1000</f>
        <v>452.69311509000005</v>
      </c>
      <c r="AQ22" s="22">
        <f>Calc_Volume!AQ14*Assum_Costs!$C$19*AQ5/1000</f>
        <v>426.06410832</v>
      </c>
      <c r="AR22" s="22">
        <f>Calc_Volume!AR14*Assum_Costs!$C$19*AR5/1000</f>
        <v>426.06410832</v>
      </c>
      <c r="AS22" s="22">
        <f>Calc_Volume!AS14*Assum_Costs!$C$19*AS5/1000</f>
        <v>452.69311509000005</v>
      </c>
      <c r="AT22" s="22">
        <f>Calc_Volume!AT14*Assum_Costs!$C$19*AT5/1000</f>
        <v>505.95112862999997</v>
      </c>
      <c r="AU22" s="22">
        <f>Calc_Volume!AU14*Assum_Costs!$C$19*AU5/1000</f>
        <v>559.20914217000018</v>
      </c>
      <c r="AV22" s="22">
        <f>Calc_Volume!AV14*Assum_Costs!$C$19*AV5/1000</f>
        <v>612.46715570999993</v>
      </c>
      <c r="AW22" s="22">
        <f>Calc_Volume!AW14*Assum_Costs!$C$19*AW5/1000</f>
        <v>745.61218955999993</v>
      </c>
      <c r="AX22" s="22">
        <f>Calc_Volume!AX14*Assum_Costs!$C$19*AX5/1000</f>
        <v>665.44556467891482</v>
      </c>
      <c r="AY22" s="22">
        <f>Calc_Volume!AY14*Assum_Costs!$C$19*AY5/1000</f>
        <v>636.51314882331019</v>
      </c>
      <c r="AZ22" s="22">
        <f>Calc_Volume!AZ14*Assum_Costs!$C$19*AZ5/1000</f>
        <v>578.64831711210002</v>
      </c>
      <c r="BA22" s="22">
        <f>Calc_Volume!BA14*Assum_Costs!$C$19*BA5/1000</f>
        <v>520.78348540088996</v>
      </c>
      <c r="BB22" s="22">
        <f>Calc_Volume!BB14*Assum_Costs!$C$19*BB5/1000</f>
        <v>491.85106954528504</v>
      </c>
      <c r="BC22" s="22">
        <f>Calc_Volume!BC14*Assum_Costs!$C$19*BC5/1000</f>
        <v>462.91865368967996</v>
      </c>
      <c r="BD22" s="22">
        <f>Calc_Volume!BD14*Assum_Costs!$C$19*BD5/1000</f>
        <v>462.91865368967996</v>
      </c>
      <c r="BE22" s="22">
        <f>Calc_Volume!BE14*Assum_Costs!$C$19*BE5/1000</f>
        <v>491.85106954528504</v>
      </c>
      <c r="BF22" s="22">
        <f>Calc_Volume!BF14*Assum_Costs!$C$19*BF5/1000</f>
        <v>549.71590125649493</v>
      </c>
      <c r="BG22" s="22">
        <f>Calc_Volume!BG14*Assum_Costs!$C$19*BG5/1000</f>
        <v>607.58073296770499</v>
      </c>
      <c r="BH22" s="22">
        <f>Calc_Volume!BH14*Assum_Costs!$C$19*BH5/1000</f>
        <v>665.44556467891482</v>
      </c>
      <c r="BI22" s="22">
        <f>Calc_Volume!BI14*Assum_Costs!$C$19*BI5/1000</f>
        <v>810.10764395694002</v>
      </c>
      <c r="BJ22" s="22">
        <f>Calc_Volume!BJ14*Assum_Costs!$C$19*BJ5/1000</f>
        <v>709.36497194772335</v>
      </c>
      <c r="BK22" s="22">
        <f>Calc_Volume!BK14*Assum_Costs!$C$19*BK5/1000</f>
        <v>678.52301664564857</v>
      </c>
      <c r="BL22" s="22">
        <f>Calc_Volume!BL14*Assum_Costs!$C$19*BL5/1000</f>
        <v>616.83910604149855</v>
      </c>
      <c r="BM22" s="22">
        <f>Calc_Volume!BM14*Assum_Costs!$C$19*BM5/1000</f>
        <v>555.15519543734865</v>
      </c>
      <c r="BN22" s="22">
        <f>Calc_Volume!BN14*Assum_Costs!$C$19*BN5/1000</f>
        <v>524.31324013527376</v>
      </c>
      <c r="BO22" s="22">
        <f>Calc_Volume!BO14*Assum_Costs!$C$19*BO5/1000</f>
        <v>493.47128483319887</v>
      </c>
      <c r="BP22" s="22">
        <f>Calc_Volume!BP14*Assum_Costs!$C$19*BP5/1000</f>
        <v>493.47128483319887</v>
      </c>
      <c r="BQ22" s="22">
        <f>Calc_Volume!BQ14*Assum_Costs!$C$19*BQ5/1000</f>
        <v>524.31324013527376</v>
      </c>
      <c r="BR22" s="22">
        <f>Calc_Volume!BR14*Assum_Costs!$C$19*BR5/1000</f>
        <v>585.99715073942355</v>
      </c>
      <c r="BS22" s="22">
        <f>Calc_Volume!BS14*Assum_Costs!$C$19*BS5/1000</f>
        <v>647.68106134357333</v>
      </c>
      <c r="BT22" s="22">
        <f>Calc_Volume!BT14*Assum_Costs!$C$19*BT5/1000</f>
        <v>709.36497194772335</v>
      </c>
      <c r="BU22" s="22">
        <f>Calc_Volume!BU14*Assum_Costs!$C$19*BU5/1000</f>
        <v>863.57474845809793</v>
      </c>
      <c r="BV22" s="22">
        <f>Calc_Volume!BV14*Assum_Costs!$C$19*BV5/1000</f>
        <v>756.18306009627292</v>
      </c>
      <c r="BW22" s="22">
        <f>Calc_Volume!BW14*Assum_Costs!$C$19*BW5/1000</f>
        <v>723.30553574426131</v>
      </c>
      <c r="BX22" s="22">
        <f>Calc_Volume!BX14*Assum_Costs!$C$19*BX5/1000</f>
        <v>657.55048704023727</v>
      </c>
      <c r="BY22" s="22">
        <f>Calc_Volume!BY14*Assum_Costs!$C$19*BY5/1000</f>
        <v>591.79543833621358</v>
      </c>
      <c r="BZ22" s="22">
        <f>Calc_Volume!BZ14*Assum_Costs!$C$19*BZ5/1000</f>
        <v>558.91791398420173</v>
      </c>
      <c r="CA22" s="22">
        <f>Calc_Volume!CA14*Assum_Costs!$C$19*CA5/1000</f>
        <v>526.04038963219</v>
      </c>
      <c r="CB22" s="22">
        <f>Calc_Volume!CB14*Assum_Costs!$C$19*CB5/1000</f>
        <v>526.04038963219</v>
      </c>
      <c r="CC22" s="22">
        <f>Calc_Volume!CC14*Assum_Costs!$C$19*CC5/1000</f>
        <v>558.91791398420173</v>
      </c>
      <c r="CD22" s="22">
        <f>Calc_Volume!CD14*Assum_Costs!$C$19*CD5/1000</f>
        <v>624.67296268822554</v>
      </c>
      <c r="CE22" s="22">
        <f>Calc_Volume!CE14*Assum_Costs!$C$19*CE5/1000</f>
        <v>690.42801139224923</v>
      </c>
      <c r="CF22" s="22">
        <f>Calc_Volume!CF14*Assum_Costs!$C$19*CF5/1000</f>
        <v>756.18306009627292</v>
      </c>
      <c r="CG22" s="22">
        <f>Calc_Volume!CG14*Assum_Costs!$C$19*CG5/1000</f>
        <v>920.57068185633227</v>
      </c>
      <c r="CH22" s="22">
        <f>Calc_Volume!CH14*Assum_Costs!$C$19*CH5/1000</f>
        <v>806.09114206262677</v>
      </c>
      <c r="CI22" s="22">
        <f>Calc_Volume!CI14*Assum_Costs!$C$19*CI5/1000</f>
        <v>771.04370110338232</v>
      </c>
      <c r="CJ22" s="22">
        <f>Calc_Volume!CJ14*Assum_Costs!$C$19*CJ5/1000</f>
        <v>700.94881918489284</v>
      </c>
      <c r="CK22" s="22">
        <f>Calc_Volume!CK14*Assum_Costs!$C$19*CK5/1000</f>
        <v>630.8539372664037</v>
      </c>
      <c r="CL22" s="22">
        <f>Calc_Volume!CL14*Assum_Costs!$C$19*CL5/1000</f>
        <v>595.80649630715902</v>
      </c>
      <c r="CM22" s="22">
        <f>Calc_Volume!CM14*Assum_Costs!$C$19*CM5/1000</f>
        <v>560.75905534791445</v>
      </c>
      <c r="CN22" s="22">
        <f>Calc_Volume!CN14*Assum_Costs!$C$19*CN5/1000</f>
        <v>560.75905534791445</v>
      </c>
      <c r="CO22" s="22">
        <f>Calc_Volume!CO14*Assum_Costs!$C$19*CO5/1000</f>
        <v>595.80649630715902</v>
      </c>
      <c r="CP22" s="22">
        <f>Calc_Volume!CP14*Assum_Costs!$C$19*CP5/1000</f>
        <v>665.90137822564816</v>
      </c>
      <c r="CQ22" s="22">
        <f>Calc_Volume!CQ14*Assum_Costs!$C$19*CQ5/1000</f>
        <v>735.99626014413741</v>
      </c>
      <c r="CR22" s="22">
        <f>Calc_Volume!CR14*Assum_Costs!$C$19*CR5/1000</f>
        <v>806.09114206262677</v>
      </c>
      <c r="CS22" s="22">
        <f>Calc_Volume!CS14*Assum_Costs!$C$19*CS5/1000</f>
        <v>981.32834685884984</v>
      </c>
      <c r="CT22" s="22">
        <f>Calc_Volume!CT14*Assum_Costs!$C$19*CT5/1000</f>
        <v>859.29315743876009</v>
      </c>
      <c r="CU22" s="22">
        <f>Calc_Volume!CU14*Assum_Costs!$C$19*CU5/1000</f>
        <v>821.93258537620545</v>
      </c>
      <c r="CV22" s="22">
        <f>Calc_Volume!CV14*Assum_Costs!$C$19*CV5/1000</f>
        <v>747.21144125109583</v>
      </c>
      <c r="CW22" s="22">
        <f>Calc_Volume!CW14*Assum_Costs!$C$19*CW5/1000</f>
        <v>672.49029712598622</v>
      </c>
      <c r="CX22" s="22">
        <f>Calc_Volume!CX14*Assum_Costs!$C$19*CX5/1000</f>
        <v>635.12972506343147</v>
      </c>
      <c r="CY22" s="22">
        <f>Calc_Volume!CY14*Assum_Costs!$C$19*CY5/1000</f>
        <v>597.76915300087671</v>
      </c>
      <c r="CZ22" s="22">
        <f>Calc_Volume!CZ14*Assum_Costs!$C$19*CZ5/1000</f>
        <v>597.76915300087671</v>
      </c>
      <c r="DA22" s="22">
        <f>Calc_Volume!DA14*Assum_Costs!$C$19*DA5/1000</f>
        <v>635.12972506343147</v>
      </c>
      <c r="DB22" s="22">
        <f>Calc_Volume!DB14*Assum_Costs!$C$19*DB5/1000</f>
        <v>709.85086918854097</v>
      </c>
      <c r="DC22" s="22">
        <f>Calc_Volume!DC14*Assum_Costs!$C$19*DC5/1000</f>
        <v>784.57201331365047</v>
      </c>
      <c r="DD22" s="22">
        <f>Calc_Volume!DD14*Assum_Costs!$C$19*DD5/1000</f>
        <v>859.29315743876009</v>
      </c>
      <c r="DE22" s="22">
        <f>Calc_Volume!DE14*Assum_Costs!$C$19*DE5/1000</f>
        <v>1046.0960177515342</v>
      </c>
      <c r="DF22" s="22">
        <f>Calc_Volume!DF14*Assum_Costs!$C$19*DF5/1000</f>
        <v>916.00650582971821</v>
      </c>
      <c r="DG22" s="22">
        <f>Calc_Volume!DG14*Assum_Costs!$C$19*DG5/1000</f>
        <v>876.18013601103496</v>
      </c>
      <c r="DH22" s="22">
        <f>Calc_Volume!DH14*Assum_Costs!$C$19*DH5/1000</f>
        <v>796.52739637366813</v>
      </c>
      <c r="DI22" s="22">
        <f>Calc_Volume!DI14*Assum_Costs!$C$19*DI5/1000</f>
        <v>716.87465673630118</v>
      </c>
      <c r="DJ22" s="22">
        <f>Calc_Volume!DJ14*Assum_Costs!$C$19*DJ5/1000</f>
        <v>677.04828691761782</v>
      </c>
      <c r="DK22" s="22">
        <f>Calc_Volume!DK14*Assum_Costs!$C$19*DK5/1000</f>
        <v>637.22191709893445</v>
      </c>
      <c r="DL22" s="22">
        <f>Calc_Volume!DL14*Assum_Costs!$C$19*DL5/1000</f>
        <v>637.22191709893445</v>
      </c>
      <c r="DM22" s="22">
        <f>Calc_Volume!DM14*Assum_Costs!$C$19*DM5/1000</f>
        <v>677.04828691761782</v>
      </c>
      <c r="DN22" s="22">
        <f>Calc_Volume!DN14*Assum_Costs!$C$19*DN5/1000</f>
        <v>756.70102655498476</v>
      </c>
      <c r="DO22" s="22">
        <f>Calc_Volume!DO14*Assum_Costs!$C$19*DO5/1000</f>
        <v>836.35376619235149</v>
      </c>
      <c r="DP22" s="22">
        <f>Calc_Volume!DP14*Assum_Costs!$C$19*DP5/1000</f>
        <v>916.00650582971821</v>
      </c>
      <c r="DQ22" s="22">
        <f>Calc_Volume!DQ14*Assum_Costs!$C$19*DQ5/1000</f>
        <v>1115.1383549231352</v>
      </c>
    </row>
    <row r="23" spans="1:121" ht="15" customHeight="1">
      <c r="A23" t="s">
        <v>310</v>
      </c>
      <c r="B23" s="22">
        <f>Calc_Volume!B14*Assum_Costs!$C$20*B5/1000</f>
        <v>613.33333333333326</v>
      </c>
      <c r="C23" s="22">
        <f>Calc_Volume!C14*Assum_Costs!$C$20*C5/1000</f>
        <v>586.66666666666674</v>
      </c>
      <c r="D23" s="22">
        <f>Calc_Volume!D14*Assum_Costs!$C$20*D5/1000</f>
        <v>533.33333333333337</v>
      </c>
      <c r="E23" s="22">
        <f>Calc_Volume!E14*Assum_Costs!$C$20*E5/1000</f>
        <v>480</v>
      </c>
      <c r="F23" s="22">
        <f>Calc_Volume!F14*Assum_Costs!$C$20*F5/1000</f>
        <v>453.33333333333337</v>
      </c>
      <c r="G23" s="22">
        <f>Calc_Volume!G14*Assum_Costs!$C$20*G5/1000</f>
        <v>426.66666666666674</v>
      </c>
      <c r="H23" s="22">
        <f>Calc_Volume!H14*Assum_Costs!$C$20*H5/1000</f>
        <v>426.66666666666674</v>
      </c>
      <c r="I23" s="22">
        <f>Calc_Volume!I14*Assum_Costs!$C$20*I5/1000</f>
        <v>453.33333333333337</v>
      </c>
      <c r="J23" s="22">
        <f>Calc_Volume!J14*Assum_Costs!$C$20*J5/1000</f>
        <v>506.66666666666663</v>
      </c>
      <c r="K23" s="22">
        <f>Calc_Volume!K14*Assum_Costs!$C$20*K5/1000</f>
        <v>560</v>
      </c>
      <c r="L23" s="22">
        <f>Calc_Volume!L14*Assum_Costs!$C$20*L5/1000</f>
        <v>613.33333333333326</v>
      </c>
      <c r="M23" s="22">
        <f>Calc_Volume!M14*Assum_Costs!$C$20*M5/1000</f>
        <v>746.66666666666663</v>
      </c>
      <c r="N23" s="22">
        <f>Calc_Volume!N14*Assum_Costs!$C$20*N5/1000</f>
        <v>678.95999999999992</v>
      </c>
      <c r="O23" s="22">
        <f>Calc_Volume!O14*Assum_Costs!$C$20*O5/1000</f>
        <v>649.44000000000017</v>
      </c>
      <c r="P23" s="22">
        <f>Calc_Volume!P14*Assum_Costs!$C$20*P5/1000</f>
        <v>590.4</v>
      </c>
      <c r="Q23" s="22">
        <f>Calc_Volume!Q14*Assum_Costs!$C$20*Q5/1000</f>
        <v>531.36</v>
      </c>
      <c r="R23" s="22">
        <f>Calc_Volume!R14*Assum_Costs!$C$20*R5/1000</f>
        <v>501.83999999999992</v>
      </c>
      <c r="S23" s="22">
        <f>Calc_Volume!S14*Assum_Costs!$C$20*S5/1000</f>
        <v>472.32000000000005</v>
      </c>
      <c r="T23" s="22">
        <f>Calc_Volume!T14*Assum_Costs!$C$20*T5/1000</f>
        <v>472.32000000000005</v>
      </c>
      <c r="U23" s="22">
        <f>Calc_Volume!U14*Assum_Costs!$C$20*U5/1000</f>
        <v>501.83999999999992</v>
      </c>
      <c r="V23" s="22">
        <f>Calc_Volume!V14*Assum_Costs!$C$20*V5/1000</f>
        <v>560.88</v>
      </c>
      <c r="W23" s="22">
        <f>Calc_Volume!W14*Assum_Costs!$C$20*W5/1000</f>
        <v>619.91999999999996</v>
      </c>
      <c r="X23" s="22">
        <f>Calc_Volume!X14*Assum_Costs!$C$20*X5/1000</f>
        <v>678.95999999999992</v>
      </c>
      <c r="Y23" s="22">
        <f>Calc_Volume!Y14*Assum_Costs!$C$20*Y5/1000</f>
        <v>826.55999999999983</v>
      </c>
      <c r="Z23" s="22">
        <f>Calc_Volume!Z14*Assum_Costs!$C$20*Z5/1000</f>
        <v>751.60871999999995</v>
      </c>
      <c r="AA23" s="22">
        <f>Calc_Volume!AA14*Assum_Costs!$C$20*AA5/1000</f>
        <v>718.9300800000002</v>
      </c>
      <c r="AB23" s="22">
        <f>Calc_Volume!AB14*Assum_Costs!$C$20*AB5/1000</f>
        <v>653.57279999999992</v>
      </c>
      <c r="AC23" s="22">
        <f>Calc_Volume!AC14*Assum_Costs!$C$20*AC5/1000</f>
        <v>588.21551999999986</v>
      </c>
      <c r="AD23" s="22">
        <f>Calc_Volume!AD14*Assum_Costs!$C$20*AD5/1000</f>
        <v>555.53688000000011</v>
      </c>
      <c r="AE23" s="22">
        <f>Calc_Volume!AE14*Assum_Costs!$C$20*AE5/1000</f>
        <v>522.85824000000014</v>
      </c>
      <c r="AF23" s="22">
        <f>Calc_Volume!AF14*Assum_Costs!$C$20*AF5/1000</f>
        <v>522.85824000000014</v>
      </c>
      <c r="AG23" s="22">
        <f>Calc_Volume!AG14*Assum_Costs!$C$20*AG5/1000</f>
        <v>555.53688000000011</v>
      </c>
      <c r="AH23" s="22">
        <f>Calc_Volume!AH14*Assum_Costs!$C$20*AH5/1000</f>
        <v>620.89415999999994</v>
      </c>
      <c r="AI23" s="22">
        <f>Calc_Volume!AI14*Assum_Costs!$C$20*AI5/1000</f>
        <v>686.25144000000012</v>
      </c>
      <c r="AJ23" s="22">
        <f>Calc_Volume!AJ14*Assum_Costs!$C$20*AJ5/1000</f>
        <v>751.60871999999995</v>
      </c>
      <c r="AK23" s="22">
        <f>Calc_Volume!AK14*Assum_Costs!$C$20*AK5/1000</f>
        <v>915.00192000000004</v>
      </c>
      <c r="AL23" s="22">
        <f>Calc_Volume!AL14*Assum_Costs!$C$20*AL5/1000</f>
        <v>816.62287427999991</v>
      </c>
      <c r="AM23" s="22">
        <f>Calc_Volume!AM14*Assum_Costs!$C$20*AM5/1000</f>
        <v>781.11753192000026</v>
      </c>
      <c r="AN23" s="22">
        <f>Calc_Volume!AN14*Assum_Costs!$C$20*AN5/1000</f>
        <v>710.10684719999995</v>
      </c>
      <c r="AO23" s="22">
        <f>Calc_Volume!AO14*Assum_Costs!$C$20*AO5/1000</f>
        <v>639.09616247999998</v>
      </c>
      <c r="AP23" s="22">
        <f>Calc_Volume!AP14*Assum_Costs!$C$20*AP5/1000</f>
        <v>603.5908201200001</v>
      </c>
      <c r="AQ23" s="22">
        <f>Calc_Volume!AQ14*Assum_Costs!$C$20*AQ5/1000</f>
        <v>568.08547776</v>
      </c>
      <c r="AR23" s="22">
        <f>Calc_Volume!AR14*Assum_Costs!$C$20*AR5/1000</f>
        <v>568.08547776</v>
      </c>
      <c r="AS23" s="22">
        <f>Calc_Volume!AS14*Assum_Costs!$C$20*AS5/1000</f>
        <v>603.5908201200001</v>
      </c>
      <c r="AT23" s="22">
        <f>Calc_Volume!AT14*Assum_Costs!$C$20*AT5/1000</f>
        <v>674.60150483999996</v>
      </c>
      <c r="AU23" s="22">
        <f>Calc_Volume!AU14*Assum_Costs!$C$20*AU5/1000</f>
        <v>745.61218956000005</v>
      </c>
      <c r="AV23" s="22">
        <f>Calc_Volume!AV14*Assum_Costs!$C$20*AV5/1000</f>
        <v>816.62287427999991</v>
      </c>
      <c r="AW23" s="22">
        <f>Calc_Volume!AW14*Assum_Costs!$C$20*AW5/1000</f>
        <v>994.14958608000006</v>
      </c>
      <c r="AX23" s="22">
        <f>Calc_Volume!AX14*Assum_Costs!$C$20*AX5/1000</f>
        <v>887.26075290521976</v>
      </c>
      <c r="AY23" s="22">
        <f>Calc_Volume!AY14*Assum_Costs!$C$20*AY5/1000</f>
        <v>848.68419843108018</v>
      </c>
      <c r="AZ23" s="22">
        <f>Calc_Volume!AZ14*Assum_Costs!$C$20*AZ5/1000</f>
        <v>771.53108948279998</v>
      </c>
      <c r="BA23" s="22">
        <f>Calc_Volume!BA14*Assum_Costs!$C$20*BA5/1000</f>
        <v>694.37798053452002</v>
      </c>
      <c r="BB23" s="22">
        <f>Calc_Volume!BB14*Assum_Costs!$C$20*BB5/1000</f>
        <v>655.80142606037998</v>
      </c>
      <c r="BC23" s="22">
        <f>Calc_Volume!BC14*Assum_Costs!$C$20*BC5/1000</f>
        <v>617.22487158624006</v>
      </c>
      <c r="BD23" s="22">
        <f>Calc_Volume!BD14*Assum_Costs!$C$20*BD5/1000</f>
        <v>617.22487158624006</v>
      </c>
      <c r="BE23" s="22">
        <f>Calc_Volume!BE14*Assum_Costs!$C$20*BE5/1000</f>
        <v>655.80142606037998</v>
      </c>
      <c r="BF23" s="22">
        <f>Calc_Volume!BF14*Assum_Costs!$C$20*BF5/1000</f>
        <v>732.95453500865995</v>
      </c>
      <c r="BG23" s="22">
        <f>Calc_Volume!BG14*Assum_Costs!$C$20*BG5/1000</f>
        <v>810.10764395694002</v>
      </c>
      <c r="BH23" s="22">
        <f>Calc_Volume!BH14*Assum_Costs!$C$20*BH5/1000</f>
        <v>887.26075290521976</v>
      </c>
      <c r="BI23" s="22">
        <f>Calc_Volume!BI14*Assum_Costs!$C$20*BI5/1000</f>
        <v>1080.1435252759197</v>
      </c>
      <c r="BJ23" s="22">
        <f>Calc_Volume!BJ14*Assum_Costs!$C$20*BJ5/1000</f>
        <v>945.81996259696427</v>
      </c>
      <c r="BK23" s="22">
        <f>Calc_Volume!BK14*Assum_Costs!$C$20*BK5/1000</f>
        <v>904.69735552753139</v>
      </c>
      <c r="BL23" s="22">
        <f>Calc_Volume!BL14*Assum_Costs!$C$20*BL5/1000</f>
        <v>822.4521413886647</v>
      </c>
      <c r="BM23" s="22">
        <f>Calc_Volume!BM14*Assum_Costs!$C$20*BM5/1000</f>
        <v>740.20692724979824</v>
      </c>
      <c r="BN23" s="22">
        <f>Calc_Volume!BN14*Assum_Costs!$C$20*BN5/1000</f>
        <v>699.08432018036501</v>
      </c>
      <c r="BO23" s="22">
        <f>Calc_Volume!BO14*Assum_Costs!$C$20*BO5/1000</f>
        <v>657.9617131109319</v>
      </c>
      <c r="BP23" s="22">
        <f>Calc_Volume!BP14*Assum_Costs!$C$20*BP5/1000</f>
        <v>657.9617131109319</v>
      </c>
      <c r="BQ23" s="22">
        <f>Calc_Volume!BQ14*Assum_Costs!$C$20*BQ5/1000</f>
        <v>699.08432018036501</v>
      </c>
      <c r="BR23" s="22">
        <f>Calc_Volume!BR14*Assum_Costs!$C$20*BR5/1000</f>
        <v>781.32953431923136</v>
      </c>
      <c r="BS23" s="22">
        <f>Calc_Volume!BS14*Assum_Costs!$C$20*BS5/1000</f>
        <v>863.57474845809793</v>
      </c>
      <c r="BT23" s="22">
        <f>Calc_Volume!BT14*Assum_Costs!$C$20*BT5/1000</f>
        <v>945.81996259696427</v>
      </c>
      <c r="BU23" s="22">
        <f>Calc_Volume!BU14*Assum_Costs!$C$20*BU5/1000</f>
        <v>1151.4329979441306</v>
      </c>
      <c r="BV23" s="22">
        <f>Calc_Volume!BV14*Assum_Costs!$C$20*BV5/1000</f>
        <v>1008.2440801283637</v>
      </c>
      <c r="BW23" s="22">
        <f>Calc_Volume!BW14*Assum_Costs!$C$20*BW5/1000</f>
        <v>964.40738099234829</v>
      </c>
      <c r="BX23" s="22">
        <f>Calc_Volume!BX14*Assum_Costs!$C$20*BX5/1000</f>
        <v>876.73398272031636</v>
      </c>
      <c r="BY23" s="22">
        <f>Calc_Volume!BY14*Assum_Costs!$C$20*BY5/1000</f>
        <v>789.06058444828477</v>
      </c>
      <c r="BZ23" s="22">
        <f>Calc_Volume!BZ14*Assum_Costs!$C$20*BZ5/1000</f>
        <v>745.22388531226909</v>
      </c>
      <c r="CA23" s="22">
        <f>Calc_Volume!CA14*Assum_Costs!$C$20*CA5/1000</f>
        <v>701.38718617625329</v>
      </c>
      <c r="CB23" s="22">
        <f>Calc_Volume!CB14*Assum_Costs!$C$20*CB5/1000</f>
        <v>701.38718617625329</v>
      </c>
      <c r="CC23" s="22">
        <f>Calc_Volume!CC14*Assum_Costs!$C$20*CC5/1000</f>
        <v>745.22388531226909</v>
      </c>
      <c r="CD23" s="22">
        <f>Calc_Volume!CD14*Assum_Costs!$C$20*CD5/1000</f>
        <v>832.89728358430068</v>
      </c>
      <c r="CE23" s="22">
        <f>Calc_Volume!CE14*Assum_Costs!$C$20*CE5/1000</f>
        <v>920.57068185633238</v>
      </c>
      <c r="CF23" s="22">
        <f>Calc_Volume!CF14*Assum_Costs!$C$20*CF5/1000</f>
        <v>1008.2440801283637</v>
      </c>
      <c r="CG23" s="22">
        <f>Calc_Volume!CG14*Assum_Costs!$C$20*CG5/1000</f>
        <v>1227.4275758084432</v>
      </c>
      <c r="CH23" s="22">
        <f>Calc_Volume!CH14*Assum_Costs!$C$20*CH5/1000</f>
        <v>1074.7881894168358</v>
      </c>
      <c r="CI23" s="22">
        <f>Calc_Volume!CI14*Assum_Costs!$C$20*CI5/1000</f>
        <v>1028.058268137843</v>
      </c>
      <c r="CJ23" s="22">
        <f>Calc_Volume!CJ14*Assum_Costs!$C$20*CJ5/1000</f>
        <v>934.59842557985723</v>
      </c>
      <c r="CK23" s="22">
        <f>Calc_Volume!CK14*Assum_Costs!$C$20*CK5/1000</f>
        <v>841.13858302187157</v>
      </c>
      <c r="CL23" s="22">
        <f>Calc_Volume!CL14*Assum_Costs!$C$20*CL5/1000</f>
        <v>794.40866174287873</v>
      </c>
      <c r="CM23" s="22">
        <f>Calc_Volume!CM14*Assum_Costs!$C$20*CM5/1000</f>
        <v>747.67874046388579</v>
      </c>
      <c r="CN23" s="22">
        <f>Calc_Volume!CN14*Assum_Costs!$C$20*CN5/1000</f>
        <v>747.67874046388579</v>
      </c>
      <c r="CO23" s="22">
        <f>Calc_Volume!CO14*Assum_Costs!$C$20*CO5/1000</f>
        <v>794.40866174287873</v>
      </c>
      <c r="CP23" s="22">
        <f>Calc_Volume!CP14*Assum_Costs!$C$20*CP5/1000</f>
        <v>887.86850430086429</v>
      </c>
      <c r="CQ23" s="22">
        <f>Calc_Volume!CQ14*Assum_Costs!$C$20*CQ5/1000</f>
        <v>981.32834685884995</v>
      </c>
      <c r="CR23" s="22">
        <f>Calc_Volume!CR14*Assum_Costs!$C$20*CR5/1000</f>
        <v>1074.7881894168358</v>
      </c>
      <c r="CS23" s="22">
        <f>Calc_Volume!CS14*Assum_Costs!$C$20*CS5/1000</f>
        <v>1308.4377958117998</v>
      </c>
      <c r="CT23" s="22">
        <f>Calc_Volume!CT14*Assum_Costs!$C$20*CT5/1000</f>
        <v>1145.7242099183468</v>
      </c>
      <c r="CU23" s="22">
        <f>Calc_Volume!CU14*Assum_Costs!$C$20*CU5/1000</f>
        <v>1095.9101138349408</v>
      </c>
      <c r="CV23" s="22">
        <f>Calc_Volume!CV14*Assum_Costs!$C$20*CV5/1000</f>
        <v>996.28192166812778</v>
      </c>
      <c r="CW23" s="22">
        <f>Calc_Volume!CW14*Assum_Costs!$C$20*CW5/1000</f>
        <v>896.65372950131507</v>
      </c>
      <c r="CX23" s="22">
        <f>Calc_Volume!CX14*Assum_Costs!$C$20*CX5/1000</f>
        <v>846.83963341790854</v>
      </c>
      <c r="CY23" s="22">
        <f>Calc_Volume!CY14*Assum_Costs!$C$20*CY5/1000</f>
        <v>797.02553733450225</v>
      </c>
      <c r="CZ23" s="22">
        <f>Calc_Volume!CZ14*Assum_Costs!$C$20*CZ5/1000</f>
        <v>797.02553733450225</v>
      </c>
      <c r="DA23" s="22">
        <f>Calc_Volume!DA14*Assum_Costs!$C$20*DA5/1000</f>
        <v>846.83963341790854</v>
      </c>
      <c r="DB23" s="22">
        <f>Calc_Volume!DB14*Assum_Costs!$C$20*DB5/1000</f>
        <v>946.46782558472125</v>
      </c>
      <c r="DC23" s="22">
        <f>Calc_Volume!DC14*Assum_Costs!$C$20*DC5/1000</f>
        <v>1046.0960177515342</v>
      </c>
      <c r="DD23" s="22">
        <f>Calc_Volume!DD14*Assum_Costs!$C$20*DD5/1000</f>
        <v>1145.7242099183468</v>
      </c>
      <c r="DE23" s="22">
        <f>Calc_Volume!DE14*Assum_Costs!$C$20*DE5/1000</f>
        <v>1394.7946903353788</v>
      </c>
      <c r="DF23" s="22">
        <f>Calc_Volume!DF14*Assum_Costs!$C$20*DF5/1000</f>
        <v>1221.3420077729577</v>
      </c>
      <c r="DG23" s="22">
        <f>Calc_Volume!DG14*Assum_Costs!$C$20*DG5/1000</f>
        <v>1168.2401813480465</v>
      </c>
      <c r="DH23" s="22">
        <f>Calc_Volume!DH14*Assum_Costs!$C$20*DH5/1000</f>
        <v>1062.036528498224</v>
      </c>
      <c r="DI23" s="22">
        <f>Calc_Volume!DI14*Assum_Costs!$C$20*DI5/1000</f>
        <v>955.83287564840168</v>
      </c>
      <c r="DJ23" s="22">
        <f>Calc_Volume!DJ14*Assum_Costs!$C$20*DJ5/1000</f>
        <v>902.73104922349046</v>
      </c>
      <c r="DK23" s="22">
        <f>Calc_Volume!DK14*Assum_Costs!$C$20*DK5/1000</f>
        <v>849.62922279857924</v>
      </c>
      <c r="DL23" s="22">
        <f>Calc_Volume!DL14*Assum_Costs!$C$20*DL5/1000</f>
        <v>849.62922279857924</v>
      </c>
      <c r="DM23" s="22">
        <f>Calc_Volume!DM14*Assum_Costs!$C$20*DM5/1000</f>
        <v>902.73104922349046</v>
      </c>
      <c r="DN23" s="22">
        <f>Calc_Volume!DN14*Assum_Costs!$C$20*DN5/1000</f>
        <v>1008.9347020733129</v>
      </c>
      <c r="DO23" s="22">
        <f>Calc_Volume!DO14*Assum_Costs!$C$20*DO5/1000</f>
        <v>1115.1383549231355</v>
      </c>
      <c r="DP23" s="22">
        <f>Calc_Volume!DP14*Assum_Costs!$C$20*DP5/1000</f>
        <v>1221.3420077729577</v>
      </c>
      <c r="DQ23" s="22">
        <f>Calc_Volume!DQ14*Assum_Costs!$C$20*DQ5/1000</f>
        <v>1486.8511398975136</v>
      </c>
    </row>
    <row r="24" spans="1:121" ht="15" customHeight="1">
      <c r="A24" t="s">
        <v>311</v>
      </c>
      <c r="B24" s="22">
        <f>Calc_Volume!B14*Assum_Costs!$C$21*B5/1000</f>
        <v>153.33333333333331</v>
      </c>
      <c r="C24" s="22">
        <f>Calc_Volume!C14*Assum_Costs!$C$21*C5/1000</f>
        <v>146.66666666666669</v>
      </c>
      <c r="D24" s="22">
        <f>Calc_Volume!D14*Assum_Costs!$C$21*D5/1000</f>
        <v>133.33333333333334</v>
      </c>
      <c r="E24" s="22">
        <f>Calc_Volume!E14*Assum_Costs!$C$21*E5/1000</f>
        <v>120</v>
      </c>
      <c r="F24" s="22">
        <f>Calc_Volume!F14*Assum_Costs!$C$21*F5/1000</f>
        <v>113.33333333333334</v>
      </c>
      <c r="G24" s="22">
        <f>Calc_Volume!G14*Assum_Costs!$C$21*G5/1000</f>
        <v>106.66666666666669</v>
      </c>
      <c r="H24" s="22">
        <f>Calc_Volume!H14*Assum_Costs!$C$21*H5/1000</f>
        <v>106.66666666666669</v>
      </c>
      <c r="I24" s="22">
        <f>Calc_Volume!I14*Assum_Costs!$C$21*I5/1000</f>
        <v>113.33333333333334</v>
      </c>
      <c r="J24" s="22">
        <f>Calc_Volume!J14*Assum_Costs!$C$21*J5/1000</f>
        <v>126.66666666666666</v>
      </c>
      <c r="K24" s="22">
        <f>Calc_Volume!K14*Assum_Costs!$C$21*K5/1000</f>
        <v>140</v>
      </c>
      <c r="L24" s="22">
        <f>Calc_Volume!L14*Assum_Costs!$C$21*L5/1000</f>
        <v>153.33333333333331</v>
      </c>
      <c r="M24" s="22">
        <f>Calc_Volume!M14*Assum_Costs!$C$21*M5/1000</f>
        <v>186.66666666666666</v>
      </c>
      <c r="N24" s="22">
        <f>Calc_Volume!N14*Assum_Costs!$C$21*N5/1000</f>
        <v>169.73999999999998</v>
      </c>
      <c r="O24" s="22">
        <f>Calc_Volume!O14*Assum_Costs!$C$21*O5/1000</f>
        <v>162.36000000000004</v>
      </c>
      <c r="P24" s="22">
        <f>Calc_Volume!P14*Assum_Costs!$C$21*P5/1000</f>
        <v>147.6</v>
      </c>
      <c r="Q24" s="22">
        <f>Calc_Volume!Q14*Assum_Costs!$C$21*Q5/1000</f>
        <v>132.84</v>
      </c>
      <c r="R24" s="22">
        <f>Calc_Volume!R14*Assum_Costs!$C$21*R5/1000</f>
        <v>125.45999999999998</v>
      </c>
      <c r="S24" s="22">
        <f>Calc_Volume!S14*Assum_Costs!$C$21*S5/1000</f>
        <v>118.08000000000001</v>
      </c>
      <c r="T24" s="22">
        <f>Calc_Volume!T14*Assum_Costs!$C$21*T5/1000</f>
        <v>118.08000000000001</v>
      </c>
      <c r="U24" s="22">
        <f>Calc_Volume!U14*Assum_Costs!$C$21*U5/1000</f>
        <v>125.45999999999998</v>
      </c>
      <c r="V24" s="22">
        <f>Calc_Volume!V14*Assum_Costs!$C$21*V5/1000</f>
        <v>140.22</v>
      </c>
      <c r="W24" s="22">
        <f>Calc_Volume!W14*Assum_Costs!$C$21*W5/1000</f>
        <v>154.97999999999999</v>
      </c>
      <c r="X24" s="22">
        <f>Calc_Volume!X14*Assum_Costs!$C$21*X5/1000</f>
        <v>169.73999999999998</v>
      </c>
      <c r="Y24" s="22">
        <f>Calc_Volume!Y14*Assum_Costs!$C$21*Y5/1000</f>
        <v>206.63999999999996</v>
      </c>
      <c r="Z24" s="22">
        <f>Calc_Volume!Z14*Assum_Costs!$C$21*Z5/1000</f>
        <v>187.90217999999999</v>
      </c>
      <c r="AA24" s="22">
        <f>Calc_Volume!AA14*Assum_Costs!$C$21*AA5/1000</f>
        <v>179.73252000000005</v>
      </c>
      <c r="AB24" s="22">
        <f>Calc_Volume!AB14*Assum_Costs!$C$21*AB5/1000</f>
        <v>163.39319999999998</v>
      </c>
      <c r="AC24" s="22">
        <f>Calc_Volume!AC14*Assum_Costs!$C$21*AC5/1000</f>
        <v>147.05387999999996</v>
      </c>
      <c r="AD24" s="22">
        <f>Calc_Volume!AD14*Assum_Costs!$C$21*AD5/1000</f>
        <v>138.88422000000003</v>
      </c>
      <c r="AE24" s="22">
        <f>Calc_Volume!AE14*Assum_Costs!$C$21*AE5/1000</f>
        <v>130.71456000000003</v>
      </c>
      <c r="AF24" s="22">
        <f>Calc_Volume!AF14*Assum_Costs!$C$21*AF5/1000</f>
        <v>130.71456000000003</v>
      </c>
      <c r="AG24" s="22">
        <f>Calc_Volume!AG14*Assum_Costs!$C$21*AG5/1000</f>
        <v>138.88422000000003</v>
      </c>
      <c r="AH24" s="22">
        <f>Calc_Volume!AH14*Assum_Costs!$C$21*AH5/1000</f>
        <v>155.22353999999999</v>
      </c>
      <c r="AI24" s="22">
        <f>Calc_Volume!AI14*Assum_Costs!$C$21*AI5/1000</f>
        <v>171.56286000000003</v>
      </c>
      <c r="AJ24" s="22">
        <f>Calc_Volume!AJ14*Assum_Costs!$C$21*AJ5/1000</f>
        <v>187.90217999999999</v>
      </c>
      <c r="AK24" s="22">
        <f>Calc_Volume!AK14*Assum_Costs!$C$21*AK5/1000</f>
        <v>228.75048000000001</v>
      </c>
      <c r="AL24" s="22">
        <f>Calc_Volume!AL14*Assum_Costs!$C$21*AL5/1000</f>
        <v>204.15571856999998</v>
      </c>
      <c r="AM24" s="22">
        <f>Calc_Volume!AM14*Assum_Costs!$C$21*AM5/1000</f>
        <v>195.27938298000007</v>
      </c>
      <c r="AN24" s="22">
        <f>Calc_Volume!AN14*Assum_Costs!$C$21*AN5/1000</f>
        <v>177.52671179999999</v>
      </c>
      <c r="AO24" s="22">
        <f>Calc_Volume!AO14*Assum_Costs!$C$21*AO5/1000</f>
        <v>159.77404061999999</v>
      </c>
      <c r="AP24" s="22">
        <f>Calc_Volume!AP14*Assum_Costs!$C$21*AP5/1000</f>
        <v>150.89770503000003</v>
      </c>
      <c r="AQ24" s="22">
        <f>Calc_Volume!AQ14*Assum_Costs!$C$21*AQ5/1000</f>
        <v>142.02136944</v>
      </c>
      <c r="AR24" s="22">
        <f>Calc_Volume!AR14*Assum_Costs!$C$21*AR5/1000</f>
        <v>142.02136944</v>
      </c>
      <c r="AS24" s="22">
        <f>Calc_Volume!AS14*Assum_Costs!$C$21*AS5/1000</f>
        <v>150.89770503000003</v>
      </c>
      <c r="AT24" s="22">
        <f>Calc_Volume!AT14*Assum_Costs!$C$21*AT5/1000</f>
        <v>168.65037620999999</v>
      </c>
      <c r="AU24" s="22">
        <f>Calc_Volume!AU14*Assum_Costs!$C$21*AU5/1000</f>
        <v>186.40304739000001</v>
      </c>
      <c r="AV24" s="22">
        <f>Calc_Volume!AV14*Assum_Costs!$C$21*AV5/1000</f>
        <v>204.15571856999998</v>
      </c>
      <c r="AW24" s="22">
        <f>Calc_Volume!AW14*Assum_Costs!$C$21*AW5/1000</f>
        <v>248.53739652000002</v>
      </c>
      <c r="AX24" s="22">
        <f>Calc_Volume!AX14*Assum_Costs!$C$21*AX5/1000</f>
        <v>221.81518822630494</v>
      </c>
      <c r="AY24" s="22">
        <f>Calc_Volume!AY14*Assum_Costs!$C$21*AY5/1000</f>
        <v>212.17104960777004</v>
      </c>
      <c r="AZ24" s="22">
        <f>Calc_Volume!AZ14*Assum_Costs!$C$21*AZ5/1000</f>
        <v>192.8827723707</v>
      </c>
      <c r="BA24" s="22">
        <f>Calc_Volume!BA14*Assum_Costs!$C$21*BA5/1000</f>
        <v>173.59449513363001</v>
      </c>
      <c r="BB24" s="22">
        <f>Calc_Volume!BB14*Assum_Costs!$C$21*BB5/1000</f>
        <v>163.950356515095</v>
      </c>
      <c r="BC24" s="22">
        <f>Calc_Volume!BC14*Assum_Costs!$C$21*BC5/1000</f>
        <v>154.30621789656001</v>
      </c>
      <c r="BD24" s="22">
        <f>Calc_Volume!BD14*Assum_Costs!$C$21*BD5/1000</f>
        <v>154.30621789656001</v>
      </c>
      <c r="BE24" s="22">
        <f>Calc_Volume!BE14*Assum_Costs!$C$21*BE5/1000</f>
        <v>163.950356515095</v>
      </c>
      <c r="BF24" s="22">
        <f>Calc_Volume!BF14*Assum_Costs!$C$21*BF5/1000</f>
        <v>183.23863375216499</v>
      </c>
      <c r="BG24" s="22">
        <f>Calc_Volume!BG14*Assum_Costs!$C$21*BG5/1000</f>
        <v>202.52691098923501</v>
      </c>
      <c r="BH24" s="22">
        <f>Calc_Volume!BH14*Assum_Costs!$C$21*BH5/1000</f>
        <v>221.81518822630494</v>
      </c>
      <c r="BI24" s="22">
        <f>Calc_Volume!BI14*Assum_Costs!$C$21*BI5/1000</f>
        <v>270.03588131897993</v>
      </c>
      <c r="BJ24" s="22">
        <f>Calc_Volume!BJ14*Assum_Costs!$C$21*BJ5/1000</f>
        <v>236.45499064924107</v>
      </c>
      <c r="BK24" s="22">
        <f>Calc_Volume!BK14*Assum_Costs!$C$21*BK5/1000</f>
        <v>226.17433888188285</v>
      </c>
      <c r="BL24" s="22">
        <f>Calc_Volume!BL14*Assum_Costs!$C$21*BL5/1000</f>
        <v>205.61303534716617</v>
      </c>
      <c r="BM24" s="22">
        <f>Calc_Volume!BM14*Assum_Costs!$C$21*BM5/1000</f>
        <v>185.05173181244956</v>
      </c>
      <c r="BN24" s="22">
        <f>Calc_Volume!BN14*Assum_Costs!$C$21*BN5/1000</f>
        <v>174.77108004509125</v>
      </c>
      <c r="BO24" s="22">
        <f>Calc_Volume!BO14*Assum_Costs!$C$21*BO5/1000</f>
        <v>164.49042827773297</v>
      </c>
      <c r="BP24" s="22">
        <f>Calc_Volume!BP14*Assum_Costs!$C$21*BP5/1000</f>
        <v>164.49042827773297</v>
      </c>
      <c r="BQ24" s="22">
        <f>Calc_Volume!BQ14*Assum_Costs!$C$21*BQ5/1000</f>
        <v>174.77108004509125</v>
      </c>
      <c r="BR24" s="22">
        <f>Calc_Volume!BR14*Assum_Costs!$C$21*BR5/1000</f>
        <v>195.33238357980784</v>
      </c>
      <c r="BS24" s="22">
        <f>Calc_Volume!BS14*Assum_Costs!$C$21*BS5/1000</f>
        <v>215.89368711452448</v>
      </c>
      <c r="BT24" s="22">
        <f>Calc_Volume!BT14*Assum_Costs!$C$21*BT5/1000</f>
        <v>236.45499064924107</v>
      </c>
      <c r="BU24" s="22">
        <f>Calc_Volume!BU14*Assum_Costs!$C$21*BU5/1000</f>
        <v>287.85824948603266</v>
      </c>
      <c r="BV24" s="22">
        <f>Calc_Volume!BV14*Assum_Costs!$C$21*BV5/1000</f>
        <v>252.06102003209094</v>
      </c>
      <c r="BW24" s="22">
        <f>Calc_Volume!BW14*Assum_Costs!$C$21*BW5/1000</f>
        <v>241.10184524808707</v>
      </c>
      <c r="BX24" s="22">
        <f>Calc_Volume!BX14*Assum_Costs!$C$21*BX5/1000</f>
        <v>219.18349568007909</v>
      </c>
      <c r="BY24" s="22">
        <f>Calc_Volume!BY14*Assum_Costs!$C$21*BY5/1000</f>
        <v>197.26514611207119</v>
      </c>
      <c r="BZ24" s="22">
        <f>Calc_Volume!BZ14*Assum_Costs!$C$21*BZ5/1000</f>
        <v>186.30597132806727</v>
      </c>
      <c r="CA24" s="22">
        <f>Calc_Volume!CA14*Assum_Costs!$C$21*CA5/1000</f>
        <v>175.34679654406332</v>
      </c>
      <c r="CB24" s="22">
        <f>Calc_Volume!CB14*Assum_Costs!$C$21*CB5/1000</f>
        <v>175.34679654406332</v>
      </c>
      <c r="CC24" s="22">
        <f>Calc_Volume!CC14*Assum_Costs!$C$21*CC5/1000</f>
        <v>186.30597132806727</v>
      </c>
      <c r="CD24" s="22">
        <f>Calc_Volume!CD14*Assum_Costs!$C$21*CD5/1000</f>
        <v>208.22432089607517</v>
      </c>
      <c r="CE24" s="22">
        <f>Calc_Volume!CE14*Assum_Costs!$C$21*CE5/1000</f>
        <v>230.1426704640831</v>
      </c>
      <c r="CF24" s="22">
        <f>Calc_Volume!CF14*Assum_Costs!$C$21*CF5/1000</f>
        <v>252.06102003209094</v>
      </c>
      <c r="CG24" s="22">
        <f>Calc_Volume!CG14*Assum_Costs!$C$21*CG5/1000</f>
        <v>306.85689395211079</v>
      </c>
      <c r="CH24" s="22">
        <f>Calc_Volume!CH14*Assum_Costs!$C$21*CH5/1000</f>
        <v>268.69704735420896</v>
      </c>
      <c r="CI24" s="22">
        <f>Calc_Volume!CI14*Assum_Costs!$C$21*CI5/1000</f>
        <v>257.01456703446075</v>
      </c>
      <c r="CJ24" s="22">
        <f>Calc_Volume!CJ14*Assum_Costs!$C$21*CJ5/1000</f>
        <v>233.64960639496431</v>
      </c>
      <c r="CK24" s="22">
        <f>Calc_Volume!CK14*Assum_Costs!$C$21*CK5/1000</f>
        <v>210.28464575546789</v>
      </c>
      <c r="CL24" s="22">
        <f>Calc_Volume!CL14*Assum_Costs!$C$21*CL5/1000</f>
        <v>198.60216543571968</v>
      </c>
      <c r="CM24" s="22">
        <f>Calc_Volume!CM14*Assum_Costs!$C$21*CM5/1000</f>
        <v>186.91968511597145</v>
      </c>
      <c r="CN24" s="22">
        <f>Calc_Volume!CN14*Assum_Costs!$C$21*CN5/1000</f>
        <v>186.91968511597145</v>
      </c>
      <c r="CO24" s="22">
        <f>Calc_Volume!CO14*Assum_Costs!$C$21*CO5/1000</f>
        <v>198.60216543571968</v>
      </c>
      <c r="CP24" s="22">
        <f>Calc_Volume!CP14*Assum_Costs!$C$21*CP5/1000</f>
        <v>221.96712607521607</v>
      </c>
      <c r="CQ24" s="22">
        <f>Calc_Volume!CQ14*Assum_Costs!$C$21*CQ5/1000</f>
        <v>245.33208671471249</v>
      </c>
      <c r="CR24" s="22">
        <f>Calc_Volume!CR14*Assum_Costs!$C$21*CR5/1000</f>
        <v>268.69704735420896</v>
      </c>
      <c r="CS24" s="22">
        <f>Calc_Volume!CS14*Assum_Costs!$C$21*CS5/1000</f>
        <v>327.10944895294995</v>
      </c>
      <c r="CT24" s="22">
        <f>Calc_Volume!CT14*Assum_Costs!$C$21*CT5/1000</f>
        <v>286.4310524795867</v>
      </c>
      <c r="CU24" s="22">
        <f>Calc_Volume!CU14*Assum_Costs!$C$21*CU5/1000</f>
        <v>273.97752845873521</v>
      </c>
      <c r="CV24" s="22">
        <f>Calc_Volume!CV14*Assum_Costs!$C$21*CV5/1000</f>
        <v>249.07048041703194</v>
      </c>
      <c r="CW24" s="22">
        <f>Calc_Volume!CW14*Assum_Costs!$C$21*CW5/1000</f>
        <v>224.16343237532877</v>
      </c>
      <c r="CX24" s="22">
        <f>Calc_Volume!CX14*Assum_Costs!$C$21*CX5/1000</f>
        <v>211.70990835447714</v>
      </c>
      <c r="CY24" s="22">
        <f>Calc_Volume!CY14*Assum_Costs!$C$21*CY5/1000</f>
        <v>199.25638433362556</v>
      </c>
      <c r="CZ24" s="22">
        <f>Calc_Volume!CZ14*Assum_Costs!$C$21*CZ5/1000</f>
        <v>199.25638433362556</v>
      </c>
      <c r="DA24" s="22">
        <f>Calc_Volume!DA14*Assum_Costs!$C$21*DA5/1000</f>
        <v>211.70990835447714</v>
      </c>
      <c r="DB24" s="22">
        <f>Calc_Volume!DB14*Assum_Costs!$C$21*DB5/1000</f>
        <v>236.61695639618031</v>
      </c>
      <c r="DC24" s="22">
        <f>Calc_Volume!DC14*Assum_Costs!$C$21*DC5/1000</f>
        <v>261.52400443788355</v>
      </c>
      <c r="DD24" s="22">
        <f>Calc_Volume!DD14*Assum_Costs!$C$21*DD5/1000</f>
        <v>286.4310524795867</v>
      </c>
      <c r="DE24" s="22">
        <f>Calc_Volume!DE14*Assum_Costs!$C$21*DE5/1000</f>
        <v>348.69867258384471</v>
      </c>
      <c r="DF24" s="22">
        <f>Calc_Volume!DF14*Assum_Costs!$C$21*DF5/1000</f>
        <v>305.33550194323942</v>
      </c>
      <c r="DG24" s="22">
        <f>Calc_Volume!DG14*Assum_Costs!$C$21*DG5/1000</f>
        <v>292.06004533701162</v>
      </c>
      <c r="DH24" s="22">
        <f>Calc_Volume!DH14*Assum_Costs!$C$21*DH5/1000</f>
        <v>265.509132124556</v>
      </c>
      <c r="DI24" s="22">
        <f>Calc_Volume!DI14*Assum_Costs!$C$21*DI5/1000</f>
        <v>238.95821891210042</v>
      </c>
      <c r="DJ24" s="22">
        <f>Calc_Volume!DJ14*Assum_Costs!$C$21*DJ5/1000</f>
        <v>225.68276230587261</v>
      </c>
      <c r="DK24" s="22">
        <f>Calc_Volume!DK14*Assum_Costs!$C$21*DK5/1000</f>
        <v>212.40730569964481</v>
      </c>
      <c r="DL24" s="22">
        <f>Calc_Volume!DL14*Assum_Costs!$C$21*DL5/1000</f>
        <v>212.40730569964481</v>
      </c>
      <c r="DM24" s="22">
        <f>Calc_Volume!DM14*Assum_Costs!$C$21*DM5/1000</f>
        <v>225.68276230587261</v>
      </c>
      <c r="DN24" s="22">
        <f>Calc_Volume!DN14*Assum_Costs!$C$21*DN5/1000</f>
        <v>252.23367551832823</v>
      </c>
      <c r="DO24" s="22">
        <f>Calc_Volume!DO14*Assum_Costs!$C$21*DO5/1000</f>
        <v>278.78458873078387</v>
      </c>
      <c r="DP24" s="22">
        <f>Calc_Volume!DP14*Assum_Costs!$C$21*DP5/1000</f>
        <v>305.33550194323942</v>
      </c>
      <c r="DQ24" s="22">
        <f>Calc_Volume!DQ14*Assum_Costs!$C$21*DQ5/1000</f>
        <v>371.71278497437839</v>
      </c>
    </row>
    <row r="25" spans="1:121" ht="15" customHeight="1">
      <c r="A25" s="14" t="s">
        <v>312</v>
      </c>
      <c r="B25" s="29">
        <f t="shared" ref="B25:AG25" si="18">SUM(B21:B24)</f>
        <v>2146.6666666666665</v>
      </c>
      <c r="C25" s="29">
        <f t="shared" si="18"/>
        <v>2053.3333333333335</v>
      </c>
      <c r="D25" s="29">
        <f t="shared" si="18"/>
        <v>1866.6666666666667</v>
      </c>
      <c r="E25" s="29">
        <f t="shared" si="18"/>
        <v>1680</v>
      </c>
      <c r="F25" s="29">
        <f t="shared" si="18"/>
        <v>1586.6666666666667</v>
      </c>
      <c r="G25" s="29">
        <f t="shared" si="18"/>
        <v>1493.3333333333337</v>
      </c>
      <c r="H25" s="29">
        <f t="shared" si="18"/>
        <v>1493.3333333333337</v>
      </c>
      <c r="I25" s="29">
        <f t="shared" si="18"/>
        <v>1586.6666666666667</v>
      </c>
      <c r="J25" s="29">
        <f t="shared" si="18"/>
        <v>1773.3333333333333</v>
      </c>
      <c r="K25" s="29">
        <f t="shared" si="18"/>
        <v>1960</v>
      </c>
      <c r="L25" s="29">
        <f t="shared" si="18"/>
        <v>2146.6666666666665</v>
      </c>
      <c r="M25" s="29">
        <f t="shared" si="18"/>
        <v>2613.333333333333</v>
      </c>
      <c r="N25" s="29">
        <f t="shared" si="18"/>
        <v>2376.3599999999997</v>
      </c>
      <c r="O25" s="29">
        <f t="shared" si="18"/>
        <v>2273.0400000000004</v>
      </c>
      <c r="P25" s="29">
        <f t="shared" si="18"/>
        <v>2066.3999999999996</v>
      </c>
      <c r="Q25" s="29">
        <f t="shared" si="18"/>
        <v>1859.7599999999995</v>
      </c>
      <c r="R25" s="29">
        <f t="shared" si="18"/>
        <v>1756.4399999999998</v>
      </c>
      <c r="S25" s="29">
        <f t="shared" si="18"/>
        <v>1653.1200000000003</v>
      </c>
      <c r="T25" s="29">
        <f t="shared" si="18"/>
        <v>1653.1200000000003</v>
      </c>
      <c r="U25" s="29">
        <f t="shared" si="18"/>
        <v>1756.4399999999998</v>
      </c>
      <c r="V25" s="29">
        <f t="shared" si="18"/>
        <v>1963.0800000000002</v>
      </c>
      <c r="W25" s="29">
        <f t="shared" si="18"/>
        <v>2169.7199999999998</v>
      </c>
      <c r="X25" s="29">
        <f t="shared" si="18"/>
        <v>2376.3599999999997</v>
      </c>
      <c r="Y25" s="29">
        <f t="shared" si="18"/>
        <v>2892.9599999999996</v>
      </c>
      <c r="Z25" s="29">
        <f t="shared" si="18"/>
        <v>2630.6305199999997</v>
      </c>
      <c r="AA25" s="29">
        <f t="shared" si="18"/>
        <v>2516.2552800000008</v>
      </c>
      <c r="AB25" s="29">
        <f t="shared" si="18"/>
        <v>2287.5048000000002</v>
      </c>
      <c r="AC25" s="29">
        <f t="shared" si="18"/>
        <v>2058.7543199999996</v>
      </c>
      <c r="AD25" s="29">
        <f t="shared" si="18"/>
        <v>1944.3790800000002</v>
      </c>
      <c r="AE25" s="29">
        <f t="shared" si="18"/>
        <v>1830.0038400000005</v>
      </c>
      <c r="AF25" s="29">
        <f t="shared" si="18"/>
        <v>1830.0038400000005</v>
      </c>
      <c r="AG25" s="29">
        <f t="shared" si="18"/>
        <v>1944.3790800000002</v>
      </c>
      <c r="AH25" s="29">
        <f t="shared" ref="AH25:BM25" si="19">SUM(AH21:AH24)</f>
        <v>2173.1295599999999</v>
      </c>
      <c r="AI25" s="29">
        <f t="shared" si="19"/>
        <v>2401.8800400000005</v>
      </c>
      <c r="AJ25" s="29">
        <f t="shared" si="19"/>
        <v>2630.6305199999997</v>
      </c>
      <c r="AK25" s="29">
        <f t="shared" si="19"/>
        <v>3202.5067200000008</v>
      </c>
      <c r="AL25" s="29">
        <f t="shared" si="19"/>
        <v>2858.1800599799994</v>
      </c>
      <c r="AM25" s="29">
        <f t="shared" si="19"/>
        <v>2733.911361720001</v>
      </c>
      <c r="AN25" s="29">
        <f t="shared" si="19"/>
        <v>2485.3739652000004</v>
      </c>
      <c r="AO25" s="29">
        <f t="shared" si="19"/>
        <v>2236.8365686799998</v>
      </c>
      <c r="AP25" s="29">
        <f t="shared" si="19"/>
        <v>2112.5678704200004</v>
      </c>
      <c r="AQ25" s="29">
        <f t="shared" si="19"/>
        <v>1988.2991721599999</v>
      </c>
      <c r="AR25" s="29">
        <f t="shared" si="19"/>
        <v>1988.2991721599999</v>
      </c>
      <c r="AS25" s="29">
        <f t="shared" si="19"/>
        <v>2112.5678704200004</v>
      </c>
      <c r="AT25" s="29">
        <f t="shared" si="19"/>
        <v>2361.1052669400001</v>
      </c>
      <c r="AU25" s="29">
        <f t="shared" si="19"/>
        <v>2609.6426634600007</v>
      </c>
      <c r="AV25" s="29">
        <f t="shared" si="19"/>
        <v>2858.1800599799994</v>
      </c>
      <c r="AW25" s="29">
        <f t="shared" si="19"/>
        <v>3479.52355128</v>
      </c>
      <c r="AX25" s="29">
        <f t="shared" si="19"/>
        <v>3105.4126351682694</v>
      </c>
      <c r="AY25" s="29">
        <f t="shared" si="19"/>
        <v>2970.3946945087805</v>
      </c>
      <c r="AZ25" s="29">
        <f t="shared" si="19"/>
        <v>2700.3588131898</v>
      </c>
      <c r="BA25" s="29">
        <f t="shared" si="19"/>
        <v>2430.32293187082</v>
      </c>
      <c r="BB25" s="29">
        <f t="shared" si="19"/>
        <v>2295.3049912113297</v>
      </c>
      <c r="BC25" s="29">
        <f t="shared" si="19"/>
        <v>2160.2870505518399</v>
      </c>
      <c r="BD25" s="29">
        <f t="shared" si="19"/>
        <v>2160.2870505518399</v>
      </c>
      <c r="BE25" s="29">
        <f t="shared" si="19"/>
        <v>2295.3049912113297</v>
      </c>
      <c r="BF25" s="29">
        <f t="shared" si="19"/>
        <v>2565.3408725303098</v>
      </c>
      <c r="BG25" s="29">
        <f t="shared" si="19"/>
        <v>2835.3767538492903</v>
      </c>
      <c r="BH25" s="29">
        <f t="shared" si="19"/>
        <v>3105.4126351682694</v>
      </c>
      <c r="BI25" s="29">
        <f t="shared" si="19"/>
        <v>3780.5023384657197</v>
      </c>
      <c r="BJ25" s="29">
        <f t="shared" si="19"/>
        <v>3310.3698690893752</v>
      </c>
      <c r="BK25" s="29">
        <f t="shared" si="19"/>
        <v>3166.4407443463597</v>
      </c>
      <c r="BL25" s="29">
        <f t="shared" si="19"/>
        <v>2878.5824948603267</v>
      </c>
      <c r="BM25" s="29">
        <f t="shared" si="19"/>
        <v>2590.7242453742938</v>
      </c>
      <c r="BN25" s="29">
        <f t="shared" ref="BN25:CS25" si="20">SUM(BN21:BN24)</f>
        <v>2446.7951206312778</v>
      </c>
      <c r="BO25" s="29">
        <f t="shared" si="20"/>
        <v>2302.8659958882613</v>
      </c>
      <c r="BP25" s="29">
        <f t="shared" si="20"/>
        <v>2302.8659958882613</v>
      </c>
      <c r="BQ25" s="29">
        <f t="shared" si="20"/>
        <v>2446.7951206312778</v>
      </c>
      <c r="BR25" s="29">
        <f t="shared" si="20"/>
        <v>2734.6533701173098</v>
      </c>
      <c r="BS25" s="29">
        <f t="shared" si="20"/>
        <v>3022.5116196033423</v>
      </c>
      <c r="BT25" s="29">
        <f t="shared" si="20"/>
        <v>3310.3698690893752</v>
      </c>
      <c r="BU25" s="29">
        <f t="shared" si="20"/>
        <v>4030.0154928044572</v>
      </c>
      <c r="BV25" s="29">
        <f t="shared" si="20"/>
        <v>3528.8542804492736</v>
      </c>
      <c r="BW25" s="29">
        <f t="shared" si="20"/>
        <v>3375.4258334732194</v>
      </c>
      <c r="BX25" s="29">
        <f t="shared" si="20"/>
        <v>3068.568939521107</v>
      </c>
      <c r="BY25" s="29">
        <f t="shared" si="20"/>
        <v>2761.7120455689969</v>
      </c>
      <c r="BZ25" s="29">
        <f t="shared" si="20"/>
        <v>2608.2835985929414</v>
      </c>
      <c r="CA25" s="29">
        <f t="shared" si="20"/>
        <v>2454.8551516168864</v>
      </c>
      <c r="CB25" s="29">
        <f t="shared" si="20"/>
        <v>2454.8551516168864</v>
      </c>
      <c r="CC25" s="29">
        <f t="shared" si="20"/>
        <v>2608.2835985929414</v>
      </c>
      <c r="CD25" s="29">
        <f t="shared" si="20"/>
        <v>2915.1404925450524</v>
      </c>
      <c r="CE25" s="29">
        <f t="shared" si="20"/>
        <v>3221.997386497163</v>
      </c>
      <c r="CF25" s="29">
        <f t="shared" si="20"/>
        <v>3528.8542804492736</v>
      </c>
      <c r="CG25" s="29">
        <f t="shared" si="20"/>
        <v>4295.9965153295507</v>
      </c>
      <c r="CH25" s="29">
        <f t="shared" si="20"/>
        <v>3761.758662958925</v>
      </c>
      <c r="CI25" s="29">
        <f t="shared" si="20"/>
        <v>3598.2039384824511</v>
      </c>
      <c r="CJ25" s="29">
        <f t="shared" si="20"/>
        <v>3271.0944895295002</v>
      </c>
      <c r="CK25" s="29">
        <f t="shared" si="20"/>
        <v>2943.9850405765505</v>
      </c>
      <c r="CL25" s="29">
        <f t="shared" si="20"/>
        <v>2780.4303161000753</v>
      </c>
      <c r="CM25" s="29">
        <f t="shared" si="20"/>
        <v>2616.8755916236005</v>
      </c>
      <c r="CN25" s="29">
        <f t="shared" si="20"/>
        <v>2616.8755916236005</v>
      </c>
      <c r="CO25" s="29">
        <f t="shared" si="20"/>
        <v>2780.4303161000753</v>
      </c>
      <c r="CP25" s="29">
        <f t="shared" si="20"/>
        <v>3107.5397650530249</v>
      </c>
      <c r="CQ25" s="29">
        <f t="shared" si="20"/>
        <v>3434.649214005975</v>
      </c>
      <c r="CR25" s="29">
        <f t="shared" si="20"/>
        <v>3761.758662958925</v>
      </c>
      <c r="CS25" s="29">
        <f t="shared" si="20"/>
        <v>4579.532285341299</v>
      </c>
      <c r="CT25" s="29">
        <f t="shared" ref="CT25:DY25" si="21">SUM(CT21:CT24)</f>
        <v>4010.0347347142133</v>
      </c>
      <c r="CU25" s="29">
        <f t="shared" si="21"/>
        <v>3835.6853984222921</v>
      </c>
      <c r="CV25" s="29">
        <f t="shared" si="21"/>
        <v>3486.986725838447</v>
      </c>
      <c r="CW25" s="29">
        <f t="shared" si="21"/>
        <v>3138.2880532546023</v>
      </c>
      <c r="CX25" s="29">
        <f t="shared" si="21"/>
        <v>2963.9387169626798</v>
      </c>
      <c r="CY25" s="29">
        <f t="shared" si="21"/>
        <v>2789.5893806707581</v>
      </c>
      <c r="CZ25" s="29">
        <f t="shared" si="21"/>
        <v>2789.5893806707581</v>
      </c>
      <c r="DA25" s="29">
        <f t="shared" si="21"/>
        <v>2963.9387169626798</v>
      </c>
      <c r="DB25" s="29">
        <f t="shared" si="21"/>
        <v>3312.6373895465244</v>
      </c>
      <c r="DC25" s="29">
        <f t="shared" si="21"/>
        <v>3661.3360621303691</v>
      </c>
      <c r="DD25" s="29">
        <f t="shared" si="21"/>
        <v>4010.0347347142133</v>
      </c>
      <c r="DE25" s="29">
        <f t="shared" si="21"/>
        <v>4881.7814161738261</v>
      </c>
      <c r="DF25" s="29">
        <f t="shared" si="21"/>
        <v>4274.6970272053513</v>
      </c>
      <c r="DG25" s="29">
        <f t="shared" si="21"/>
        <v>4088.8406347181631</v>
      </c>
      <c r="DH25" s="29">
        <f t="shared" si="21"/>
        <v>3717.1278497437843</v>
      </c>
      <c r="DI25" s="29">
        <f t="shared" si="21"/>
        <v>3345.4150647694055</v>
      </c>
      <c r="DJ25" s="29">
        <f t="shared" si="21"/>
        <v>3159.5586722822163</v>
      </c>
      <c r="DK25" s="29">
        <f t="shared" si="21"/>
        <v>2973.7022797950276</v>
      </c>
      <c r="DL25" s="29">
        <f t="shared" si="21"/>
        <v>2973.7022797950276</v>
      </c>
      <c r="DM25" s="29">
        <f t="shared" si="21"/>
        <v>3159.5586722822163</v>
      </c>
      <c r="DN25" s="29">
        <f t="shared" si="21"/>
        <v>3531.2714572565956</v>
      </c>
      <c r="DO25" s="29">
        <f t="shared" si="21"/>
        <v>3902.9842422309739</v>
      </c>
      <c r="DP25" s="29">
        <f t="shared" si="21"/>
        <v>4274.6970272053513</v>
      </c>
      <c r="DQ25" s="29">
        <f t="shared" si="21"/>
        <v>5203.9789896412976</v>
      </c>
    </row>
    <row r="27" spans="1:121" ht="15" customHeight="1">
      <c r="A27" s="5" t="s">
        <v>446</v>
      </c>
    </row>
    <row r="28" spans="1:121" ht="15" customHeight="1">
      <c r="A28" s="14" t="s">
        <v>447</v>
      </c>
      <c r="B28" s="29">
        <f t="shared" ref="B28:AG28" si="22">B12+B18+B25</f>
        <v>5705.7249999999985</v>
      </c>
      <c r="C28" s="29">
        <f t="shared" si="22"/>
        <v>5457.6500000000015</v>
      </c>
      <c r="D28" s="29">
        <f t="shared" si="22"/>
        <v>4961.5000000000009</v>
      </c>
      <c r="E28" s="29">
        <f t="shared" si="22"/>
        <v>4465.3500000000004</v>
      </c>
      <c r="F28" s="29">
        <f t="shared" si="22"/>
        <v>4217.2750000000005</v>
      </c>
      <c r="G28" s="29">
        <f t="shared" si="22"/>
        <v>3969.2000000000007</v>
      </c>
      <c r="H28" s="29">
        <f t="shared" si="22"/>
        <v>3969.2000000000007</v>
      </c>
      <c r="I28" s="29">
        <f t="shared" si="22"/>
        <v>4217.2750000000005</v>
      </c>
      <c r="J28" s="29">
        <f t="shared" si="22"/>
        <v>4713.4249999999993</v>
      </c>
      <c r="K28" s="29">
        <f t="shared" si="22"/>
        <v>5209.5749999999998</v>
      </c>
      <c r="L28" s="29">
        <f t="shared" si="22"/>
        <v>5705.7249999999985</v>
      </c>
      <c r="M28" s="29">
        <f t="shared" si="22"/>
        <v>6946.0999999999995</v>
      </c>
      <c r="N28" s="29">
        <f t="shared" si="22"/>
        <v>6316.2375749999992</v>
      </c>
      <c r="O28" s="29">
        <f t="shared" si="22"/>
        <v>6041.6185500000011</v>
      </c>
      <c r="P28" s="29">
        <f t="shared" si="22"/>
        <v>5492.3804999999993</v>
      </c>
      <c r="Q28" s="29">
        <f t="shared" si="22"/>
        <v>4943.1424499999994</v>
      </c>
      <c r="R28" s="29">
        <f t="shared" si="22"/>
        <v>4668.5234249999994</v>
      </c>
      <c r="S28" s="29">
        <f t="shared" si="22"/>
        <v>4393.9044000000013</v>
      </c>
      <c r="T28" s="29">
        <f t="shared" si="22"/>
        <v>4393.9044000000013</v>
      </c>
      <c r="U28" s="29">
        <f t="shared" si="22"/>
        <v>4668.5234249999994</v>
      </c>
      <c r="V28" s="29">
        <f t="shared" si="22"/>
        <v>5217.7614749999993</v>
      </c>
      <c r="W28" s="29">
        <f t="shared" si="22"/>
        <v>5766.9995249999993</v>
      </c>
      <c r="X28" s="29">
        <f t="shared" si="22"/>
        <v>6316.2375749999992</v>
      </c>
      <c r="Y28" s="29">
        <f t="shared" si="22"/>
        <v>7689.332699999999</v>
      </c>
      <c r="Z28" s="29">
        <f t="shared" si="22"/>
        <v>6992.0749955249994</v>
      </c>
      <c r="AA28" s="29">
        <f t="shared" si="22"/>
        <v>6688.071734850002</v>
      </c>
      <c r="AB28" s="29">
        <f t="shared" si="22"/>
        <v>6080.0652135</v>
      </c>
      <c r="AC28" s="29">
        <f t="shared" si="22"/>
        <v>5472.0586921499998</v>
      </c>
      <c r="AD28" s="29">
        <f t="shared" si="22"/>
        <v>5168.0554314750007</v>
      </c>
      <c r="AE28" s="29">
        <f t="shared" si="22"/>
        <v>4864.0521708000015</v>
      </c>
      <c r="AF28" s="29">
        <f t="shared" si="22"/>
        <v>4864.0521708000015</v>
      </c>
      <c r="AG28" s="29">
        <f t="shared" si="22"/>
        <v>5168.0554314750007</v>
      </c>
      <c r="AH28" s="29">
        <f t="shared" ref="AH28:BM28" si="23">AH12+AH18+AH25</f>
        <v>5776.061952824999</v>
      </c>
      <c r="AI28" s="29">
        <f t="shared" si="23"/>
        <v>6384.068474175001</v>
      </c>
      <c r="AJ28" s="29">
        <f t="shared" si="23"/>
        <v>6992.0749955249994</v>
      </c>
      <c r="AK28" s="29">
        <f t="shared" si="23"/>
        <v>8512.0912989000008</v>
      </c>
      <c r="AL28" s="29">
        <f t="shared" si="23"/>
        <v>7596.8894826379128</v>
      </c>
      <c r="AM28" s="29">
        <f t="shared" si="23"/>
        <v>7266.5899399145264</v>
      </c>
      <c r="AN28" s="29">
        <f t="shared" si="23"/>
        <v>6605.9908544677501</v>
      </c>
      <c r="AO28" s="29">
        <f t="shared" si="23"/>
        <v>5945.3917690209746</v>
      </c>
      <c r="AP28" s="29">
        <f t="shared" si="23"/>
        <v>5615.0922262975873</v>
      </c>
      <c r="AQ28" s="29">
        <f t="shared" si="23"/>
        <v>5284.7926835742001</v>
      </c>
      <c r="AR28" s="29">
        <f t="shared" si="23"/>
        <v>5284.7926835742001</v>
      </c>
      <c r="AS28" s="29">
        <f t="shared" si="23"/>
        <v>5615.0922262975873</v>
      </c>
      <c r="AT28" s="29">
        <f t="shared" si="23"/>
        <v>6275.6913117443628</v>
      </c>
      <c r="AU28" s="29">
        <f t="shared" si="23"/>
        <v>6936.2903971911401</v>
      </c>
      <c r="AV28" s="29">
        <f t="shared" si="23"/>
        <v>7596.8894826379128</v>
      </c>
      <c r="AW28" s="29">
        <f t="shared" si="23"/>
        <v>9248.387196254851</v>
      </c>
      <c r="AX28" s="29">
        <f t="shared" si="23"/>
        <v>8254.0204228860912</v>
      </c>
      <c r="AY28" s="29">
        <f t="shared" si="23"/>
        <v>7895.149969717133</v>
      </c>
      <c r="AZ28" s="29">
        <f t="shared" si="23"/>
        <v>7177.4090633792111</v>
      </c>
      <c r="BA28" s="29">
        <f t="shared" si="23"/>
        <v>6459.6681570412893</v>
      </c>
      <c r="BB28" s="29">
        <f t="shared" si="23"/>
        <v>6100.7977038723293</v>
      </c>
      <c r="BC28" s="29">
        <f t="shared" si="23"/>
        <v>5741.9272507033684</v>
      </c>
      <c r="BD28" s="29">
        <f t="shared" si="23"/>
        <v>5741.9272507033684</v>
      </c>
      <c r="BE28" s="29">
        <f t="shared" si="23"/>
        <v>6100.7977038723293</v>
      </c>
      <c r="BF28" s="29">
        <f t="shared" si="23"/>
        <v>6818.5386102102493</v>
      </c>
      <c r="BG28" s="29">
        <f t="shared" si="23"/>
        <v>7536.2795165481712</v>
      </c>
      <c r="BH28" s="29">
        <f t="shared" si="23"/>
        <v>8254.0204228860912</v>
      </c>
      <c r="BI28" s="29">
        <f t="shared" si="23"/>
        <v>10048.372688730895</v>
      </c>
      <c r="BJ28" s="29">
        <f t="shared" si="23"/>
        <v>8798.7857707965741</v>
      </c>
      <c r="BK28" s="29">
        <f t="shared" si="23"/>
        <v>8416.2298677184626</v>
      </c>
      <c r="BL28" s="29">
        <f t="shared" si="23"/>
        <v>7651.1180615622388</v>
      </c>
      <c r="BM28" s="29">
        <f t="shared" si="23"/>
        <v>6886.0062554060132</v>
      </c>
      <c r="BN28" s="29">
        <f t="shared" ref="BN28:CS28" si="24">BN12+BN18+BN25</f>
        <v>6503.4503523279018</v>
      </c>
      <c r="BO28" s="29">
        <f t="shared" si="24"/>
        <v>6120.8944492497903</v>
      </c>
      <c r="BP28" s="29">
        <f t="shared" si="24"/>
        <v>6120.8944492497903</v>
      </c>
      <c r="BQ28" s="29">
        <f t="shared" si="24"/>
        <v>6503.4503523279018</v>
      </c>
      <c r="BR28" s="29">
        <f t="shared" si="24"/>
        <v>7268.5621584841247</v>
      </c>
      <c r="BS28" s="29">
        <f t="shared" si="24"/>
        <v>8033.6739646403485</v>
      </c>
      <c r="BT28" s="29">
        <f t="shared" si="24"/>
        <v>8798.7857707965741</v>
      </c>
      <c r="BU28" s="29">
        <f t="shared" si="24"/>
        <v>10711.565286187131</v>
      </c>
      <c r="BV28" s="29">
        <f t="shared" si="24"/>
        <v>9379.5056316691443</v>
      </c>
      <c r="BW28" s="29">
        <f t="shared" si="24"/>
        <v>8971.7010389878815</v>
      </c>
      <c r="BX28" s="29">
        <f t="shared" si="24"/>
        <v>8156.091853625343</v>
      </c>
      <c r="BY28" s="29">
        <f t="shared" si="24"/>
        <v>7340.48266826281</v>
      </c>
      <c r="BZ28" s="29">
        <f t="shared" si="24"/>
        <v>6932.6780755815416</v>
      </c>
      <c r="CA28" s="29">
        <f t="shared" si="24"/>
        <v>6524.8734829002769</v>
      </c>
      <c r="CB28" s="29">
        <f t="shared" si="24"/>
        <v>6524.8734829002769</v>
      </c>
      <c r="CC28" s="29">
        <f t="shared" si="24"/>
        <v>6932.6780755815416</v>
      </c>
      <c r="CD28" s="29">
        <f t="shared" si="24"/>
        <v>7748.2872609440774</v>
      </c>
      <c r="CE28" s="29">
        <f t="shared" si="24"/>
        <v>8563.8964463066113</v>
      </c>
      <c r="CF28" s="29">
        <f t="shared" si="24"/>
        <v>9379.5056316691443</v>
      </c>
      <c r="CG28" s="29">
        <f t="shared" si="24"/>
        <v>11418.528595075481</v>
      </c>
      <c r="CH28" s="29">
        <f t="shared" si="24"/>
        <v>9998.5530033593059</v>
      </c>
      <c r="CI28" s="29">
        <f t="shared" si="24"/>
        <v>9563.833307561079</v>
      </c>
      <c r="CJ28" s="29">
        <f t="shared" si="24"/>
        <v>8694.3939159646143</v>
      </c>
      <c r="CK28" s="29">
        <f t="shared" si="24"/>
        <v>7824.954524368155</v>
      </c>
      <c r="CL28" s="29">
        <f t="shared" si="24"/>
        <v>7390.2348285699236</v>
      </c>
      <c r="CM28" s="29">
        <f t="shared" si="24"/>
        <v>6955.515132771694</v>
      </c>
      <c r="CN28" s="29">
        <f t="shared" si="24"/>
        <v>6955.515132771694</v>
      </c>
      <c r="CO28" s="29">
        <f t="shared" si="24"/>
        <v>7390.2348285699236</v>
      </c>
      <c r="CP28" s="29">
        <f t="shared" si="24"/>
        <v>8259.6742201663837</v>
      </c>
      <c r="CQ28" s="29">
        <f t="shared" si="24"/>
        <v>9129.1136117628448</v>
      </c>
      <c r="CR28" s="29">
        <f t="shared" si="24"/>
        <v>9998.5530033593059</v>
      </c>
      <c r="CS28" s="29">
        <f t="shared" si="24"/>
        <v>12172.151482350459</v>
      </c>
      <c r="CT28" s="29">
        <f t="shared" ref="CT28:DQ28" si="25">CT12+CT18+CT25</f>
        <v>10658.457501581019</v>
      </c>
      <c r="CU28" s="29">
        <f t="shared" si="25"/>
        <v>10195.046305860109</v>
      </c>
      <c r="CV28" s="29">
        <f t="shared" si="25"/>
        <v>9268.2239144182804</v>
      </c>
      <c r="CW28" s="29">
        <f t="shared" si="25"/>
        <v>8341.4015229764518</v>
      </c>
      <c r="CX28" s="29">
        <f t="shared" si="25"/>
        <v>7877.9903272555375</v>
      </c>
      <c r="CY28" s="29">
        <f t="shared" si="25"/>
        <v>7414.579131534625</v>
      </c>
      <c r="CZ28" s="29">
        <f t="shared" si="25"/>
        <v>7414.579131534625</v>
      </c>
      <c r="DA28" s="29">
        <f t="shared" si="25"/>
        <v>7877.9903272555375</v>
      </c>
      <c r="DB28" s="29">
        <f t="shared" si="25"/>
        <v>8804.8127186973652</v>
      </c>
      <c r="DC28" s="29">
        <f t="shared" si="25"/>
        <v>9731.6351101391938</v>
      </c>
      <c r="DD28" s="29">
        <f t="shared" si="25"/>
        <v>10658.457501581019</v>
      </c>
      <c r="DE28" s="29">
        <f t="shared" si="25"/>
        <v>12975.513480185591</v>
      </c>
      <c r="DF28" s="29">
        <f t="shared" si="25"/>
        <v>11361.915696685368</v>
      </c>
      <c r="DG28" s="29">
        <f t="shared" si="25"/>
        <v>10867.919362046874</v>
      </c>
      <c r="DH28" s="29">
        <f t="shared" si="25"/>
        <v>9879.9266927698845</v>
      </c>
      <c r="DI28" s="29">
        <f t="shared" si="25"/>
        <v>8891.9340234928968</v>
      </c>
      <c r="DJ28" s="29">
        <f t="shared" si="25"/>
        <v>8397.9376888544029</v>
      </c>
      <c r="DK28" s="29">
        <f t="shared" si="25"/>
        <v>7903.9413542159091</v>
      </c>
      <c r="DL28" s="29">
        <f t="shared" si="25"/>
        <v>7903.9413542159091</v>
      </c>
      <c r="DM28" s="29">
        <f t="shared" si="25"/>
        <v>8397.9376888544029</v>
      </c>
      <c r="DN28" s="29">
        <f t="shared" si="25"/>
        <v>9385.9303581313925</v>
      </c>
      <c r="DO28" s="29">
        <f t="shared" si="25"/>
        <v>10373.92302740838</v>
      </c>
      <c r="DP28" s="29">
        <f t="shared" si="25"/>
        <v>11361.915696685368</v>
      </c>
      <c r="DQ28" s="29">
        <f t="shared" si="25"/>
        <v>13831.897369877839</v>
      </c>
    </row>
    <row r="30" spans="1:121" ht="15" customHeight="1">
      <c r="A30" s="5" t="s">
        <v>435</v>
      </c>
    </row>
    <row r="31" spans="1:121" ht="15" customHeight="1">
      <c r="A31" t="s">
        <v>448</v>
      </c>
      <c r="B31" s="20">
        <f>IF(Calc_Volume!B14&gt;0,B28*1000/Calc_Volume!B14,0)</f>
        <v>74.422499999999985</v>
      </c>
      <c r="C31" s="20">
        <f>IF(Calc_Volume!C14&gt;0,C28*1000/Calc_Volume!C14,0)</f>
        <v>74.422500000000014</v>
      </c>
      <c r="D31" s="20">
        <f>IF(Calc_Volume!D14&gt;0,D28*1000/Calc_Volume!D14,0)</f>
        <v>74.422500000000014</v>
      </c>
      <c r="E31" s="20">
        <f>IF(Calc_Volume!E14&gt;0,E28*1000/Calc_Volume!E14,0)</f>
        <v>74.422499999999999</v>
      </c>
      <c r="F31" s="20">
        <f>IF(Calc_Volume!F14&gt;0,F28*1000/Calc_Volume!F14,0)</f>
        <v>74.422500000000014</v>
      </c>
      <c r="G31" s="20">
        <f>IF(Calc_Volume!G14&gt;0,G28*1000/Calc_Volume!G14,0)</f>
        <v>74.422499999999999</v>
      </c>
      <c r="H31" s="20">
        <f>IF(Calc_Volume!H14&gt;0,H28*1000/Calc_Volume!H14,0)</f>
        <v>74.422499999999999</v>
      </c>
      <c r="I31" s="20">
        <f>IF(Calc_Volume!I14&gt;0,I28*1000/Calc_Volume!I14,0)</f>
        <v>74.422500000000014</v>
      </c>
      <c r="J31" s="20">
        <f>IF(Calc_Volume!J14&gt;0,J28*1000/Calc_Volume!J14,0)</f>
        <v>74.422499999999985</v>
      </c>
      <c r="K31" s="20">
        <f>IF(Calc_Volume!K14&gt;0,K28*1000/Calc_Volume!K14,0)</f>
        <v>74.422499999999999</v>
      </c>
      <c r="L31" s="20">
        <f>IF(Calc_Volume!L14&gt;0,L28*1000/Calc_Volume!L14,0)</f>
        <v>74.422499999999985</v>
      </c>
      <c r="M31" s="20">
        <f>IF(Calc_Volume!M14&gt;0,M28*1000/Calc_Volume!M14,0)</f>
        <v>74.422499999999999</v>
      </c>
      <c r="N31" s="20">
        <f>IF(Calc_Volume!N14&gt;0,N28*1000/Calc_Volume!N14,0)</f>
        <v>76.283062499999986</v>
      </c>
      <c r="O31" s="20">
        <f>IF(Calc_Volume!O14&gt;0,O28*1000/Calc_Volume!O14,0)</f>
        <v>76.2830625</v>
      </c>
      <c r="P31" s="20">
        <f>IF(Calc_Volume!P14&gt;0,P28*1000/Calc_Volume!P14,0)</f>
        <v>76.283062499999986</v>
      </c>
      <c r="Q31" s="20">
        <f>IF(Calc_Volume!Q14&gt;0,Q28*1000/Calc_Volume!Q14,0)</f>
        <v>76.283062499999986</v>
      </c>
      <c r="R31" s="20">
        <f>IF(Calc_Volume!R14&gt;0,R28*1000/Calc_Volume!R14,0)</f>
        <v>76.2830625</v>
      </c>
      <c r="S31" s="20">
        <f>IF(Calc_Volume!S14&gt;0,S28*1000/Calc_Volume!S14,0)</f>
        <v>76.2830625</v>
      </c>
      <c r="T31" s="20">
        <f>IF(Calc_Volume!T14&gt;0,T28*1000/Calc_Volume!T14,0)</f>
        <v>76.2830625</v>
      </c>
      <c r="U31" s="20">
        <f>IF(Calc_Volume!U14&gt;0,U28*1000/Calc_Volume!U14,0)</f>
        <v>76.2830625</v>
      </c>
      <c r="V31" s="20">
        <f>IF(Calc_Volume!V14&gt;0,V28*1000/Calc_Volume!V14,0)</f>
        <v>76.2830625</v>
      </c>
      <c r="W31" s="20">
        <f>IF(Calc_Volume!W14&gt;0,W28*1000/Calc_Volume!W14,0)</f>
        <v>76.283062499999986</v>
      </c>
      <c r="X31" s="20">
        <f>IF(Calc_Volume!X14&gt;0,X28*1000/Calc_Volume!X14,0)</f>
        <v>76.283062499999986</v>
      </c>
      <c r="Y31" s="20">
        <f>IF(Calc_Volume!Y14&gt;0,Y28*1000/Calc_Volume!Y14,0)</f>
        <v>76.283062499999986</v>
      </c>
      <c r="Z31" s="20">
        <f>IF(Calc_Volume!Z14&gt;0,Z28*1000/Calc_Volume!Z14,0)</f>
        <v>78.190139062499995</v>
      </c>
      <c r="AA31" s="20">
        <f>IF(Calc_Volume!AA14&gt;0,AA28*1000/Calc_Volume!AA14,0)</f>
        <v>78.190139062500009</v>
      </c>
      <c r="AB31" s="20">
        <f>IF(Calc_Volume!AB14&gt;0,AB28*1000/Calc_Volume!AB14,0)</f>
        <v>78.190139062499995</v>
      </c>
      <c r="AC31" s="20">
        <f>IF(Calc_Volume!AC14&gt;0,AC28*1000/Calc_Volume!AC14,0)</f>
        <v>78.190139062499995</v>
      </c>
      <c r="AD31" s="20">
        <f>IF(Calc_Volume!AD14&gt;0,AD28*1000/Calc_Volume!AD14,0)</f>
        <v>78.190139062499995</v>
      </c>
      <c r="AE31" s="20">
        <f>IF(Calc_Volume!AE14&gt;0,AE28*1000/Calc_Volume!AE14,0)</f>
        <v>78.190139062500009</v>
      </c>
      <c r="AF31" s="20">
        <f>IF(Calc_Volume!AF14&gt;0,AF28*1000/Calc_Volume!AF14,0)</f>
        <v>78.190139062500009</v>
      </c>
      <c r="AG31" s="20">
        <f>IF(Calc_Volume!AG14&gt;0,AG28*1000/Calc_Volume!AG14,0)</f>
        <v>78.190139062499995</v>
      </c>
      <c r="AH31" s="20">
        <f>IF(Calc_Volume!AH14&gt;0,AH28*1000/Calc_Volume!AH14,0)</f>
        <v>78.190139062499981</v>
      </c>
      <c r="AI31" s="20">
        <f>IF(Calc_Volume!AI14&gt;0,AI28*1000/Calc_Volume!AI14,0)</f>
        <v>78.190139062499995</v>
      </c>
      <c r="AJ31" s="20">
        <f>IF(Calc_Volume!AJ14&gt;0,AJ28*1000/Calc_Volume!AJ14,0)</f>
        <v>78.190139062499995</v>
      </c>
      <c r="AK31" s="20">
        <f>IF(Calc_Volume!AK14&gt;0,AK28*1000/Calc_Volume!AK14,0)</f>
        <v>78.190139062499995</v>
      </c>
      <c r="AL31" s="20">
        <f>IF(Calc_Volume!AL14&gt;0,AL28*1000/Calc_Volume!AL14,0)</f>
        <v>80.144892539062496</v>
      </c>
      <c r="AM31" s="20">
        <f>IF(Calc_Volume!AM14&gt;0,AM28*1000/Calc_Volume!AM14,0)</f>
        <v>80.144892539062482</v>
      </c>
      <c r="AN31" s="20">
        <f>IF(Calc_Volume!AN14&gt;0,AN28*1000/Calc_Volume!AN14,0)</f>
        <v>80.144892539062496</v>
      </c>
      <c r="AO31" s="20">
        <f>IF(Calc_Volume!AO14&gt;0,AO28*1000/Calc_Volume!AO14,0)</f>
        <v>80.144892539062482</v>
      </c>
      <c r="AP31" s="20">
        <f>IF(Calc_Volume!AP14&gt;0,AP28*1000/Calc_Volume!AP14,0)</f>
        <v>80.144892539062482</v>
      </c>
      <c r="AQ31" s="20">
        <f>IF(Calc_Volume!AQ14&gt;0,AQ28*1000/Calc_Volume!AQ14,0)</f>
        <v>80.144892539062482</v>
      </c>
      <c r="AR31" s="20">
        <f>IF(Calc_Volume!AR14&gt;0,AR28*1000/Calc_Volume!AR14,0)</f>
        <v>80.144892539062482</v>
      </c>
      <c r="AS31" s="20">
        <f>IF(Calc_Volume!AS14&gt;0,AS28*1000/Calc_Volume!AS14,0)</f>
        <v>80.144892539062482</v>
      </c>
      <c r="AT31" s="20">
        <f>IF(Calc_Volume!AT14&gt;0,AT28*1000/Calc_Volume!AT14,0)</f>
        <v>80.144892539062496</v>
      </c>
      <c r="AU31" s="20">
        <f>IF(Calc_Volume!AU14&gt;0,AU28*1000/Calc_Volume!AU14,0)</f>
        <v>80.144892539062511</v>
      </c>
      <c r="AV31" s="20">
        <f>IF(Calc_Volume!AV14&gt;0,AV28*1000/Calc_Volume!AV14,0)</f>
        <v>80.144892539062496</v>
      </c>
      <c r="AW31" s="20">
        <f>IF(Calc_Volume!AW14&gt;0,AW28*1000/Calc_Volume!AW14,0)</f>
        <v>80.144892539062511</v>
      </c>
      <c r="AX31" s="20">
        <f>IF(Calc_Volume!AX14&gt;0,AX28*1000/Calc_Volume!AX14,0)</f>
        <v>82.148514852539051</v>
      </c>
      <c r="AY31" s="20">
        <f>IF(Calc_Volume!AY14&gt;0,AY28*1000/Calc_Volume!AY14,0)</f>
        <v>82.148514852539037</v>
      </c>
      <c r="AZ31" s="20">
        <f>IF(Calc_Volume!AZ14&gt;0,AZ28*1000/Calc_Volume!AZ14,0)</f>
        <v>82.148514852539066</v>
      </c>
      <c r="BA31" s="20">
        <f>IF(Calc_Volume!BA14&gt;0,BA28*1000/Calc_Volume!BA14,0)</f>
        <v>82.148514852539037</v>
      </c>
      <c r="BB31" s="20">
        <f>IF(Calc_Volume!BB14&gt;0,BB28*1000/Calc_Volume!BB14,0)</f>
        <v>82.148514852539066</v>
      </c>
      <c r="BC31" s="20">
        <f>IF(Calc_Volume!BC14&gt;0,BC28*1000/Calc_Volume!BC14,0)</f>
        <v>82.148514852539037</v>
      </c>
      <c r="BD31" s="20">
        <f>IF(Calc_Volume!BD14&gt;0,BD28*1000/Calc_Volume!BD14,0)</f>
        <v>82.148514852539037</v>
      </c>
      <c r="BE31" s="20">
        <f>IF(Calc_Volume!BE14&gt;0,BE28*1000/Calc_Volume!BE14,0)</f>
        <v>82.148514852539066</v>
      </c>
      <c r="BF31" s="20">
        <f>IF(Calc_Volume!BF14&gt;0,BF28*1000/Calc_Volume!BF14,0)</f>
        <v>82.148514852539051</v>
      </c>
      <c r="BG31" s="20">
        <f>IF(Calc_Volume!BG14&gt;0,BG28*1000/Calc_Volume!BG14,0)</f>
        <v>82.148514852539037</v>
      </c>
      <c r="BH31" s="20">
        <f>IF(Calc_Volume!BH14&gt;0,BH28*1000/Calc_Volume!BH14,0)</f>
        <v>82.148514852539051</v>
      </c>
      <c r="BI31" s="20">
        <f>IF(Calc_Volume!BI14&gt;0,BI28*1000/Calc_Volume!BI14,0)</f>
        <v>82.148514852539066</v>
      </c>
      <c r="BJ31" s="20">
        <f>IF(Calc_Volume!BJ14&gt;0,BJ28*1000/Calc_Volume!BJ14,0)</f>
        <v>84.202227723852531</v>
      </c>
      <c r="BK31" s="20">
        <f>IF(Calc_Volume!BK14&gt;0,BK28*1000/Calc_Volume!BK14,0)</f>
        <v>84.202227723852502</v>
      </c>
      <c r="BL31" s="20">
        <f>IF(Calc_Volume!BL14&gt;0,BL28*1000/Calc_Volume!BL14,0)</f>
        <v>84.202227723852531</v>
      </c>
      <c r="BM31" s="20">
        <f>IF(Calc_Volume!BM14&gt;0,BM28*1000/Calc_Volume!BM14,0)</f>
        <v>84.202227723852502</v>
      </c>
      <c r="BN31" s="20">
        <f>IF(Calc_Volume!BN14&gt;0,BN28*1000/Calc_Volume!BN14,0)</f>
        <v>84.202227723852502</v>
      </c>
      <c r="BO31" s="20">
        <f>IF(Calc_Volume!BO14&gt;0,BO28*1000/Calc_Volume!BO14,0)</f>
        <v>84.202227723852502</v>
      </c>
      <c r="BP31" s="20">
        <f>IF(Calc_Volume!BP14&gt;0,BP28*1000/Calc_Volume!BP14,0)</f>
        <v>84.202227723852502</v>
      </c>
      <c r="BQ31" s="20">
        <f>IF(Calc_Volume!BQ14&gt;0,BQ28*1000/Calc_Volume!BQ14,0)</f>
        <v>84.202227723852502</v>
      </c>
      <c r="BR31" s="20">
        <f>IF(Calc_Volume!BR14&gt;0,BR28*1000/Calc_Volume!BR14,0)</f>
        <v>84.202227723852516</v>
      </c>
      <c r="BS31" s="20">
        <f>IF(Calc_Volume!BS14&gt;0,BS28*1000/Calc_Volume!BS14,0)</f>
        <v>84.202227723852502</v>
      </c>
      <c r="BT31" s="20">
        <f>IF(Calc_Volume!BT14&gt;0,BT28*1000/Calc_Volume!BT14,0)</f>
        <v>84.202227723852531</v>
      </c>
      <c r="BU31" s="20">
        <f>IF(Calc_Volume!BU14&gt;0,BU28*1000/Calc_Volume!BU14,0)</f>
        <v>84.202227723852502</v>
      </c>
      <c r="BV31" s="20">
        <f>IF(Calc_Volume!BV14&gt;0,BV28*1000/Calc_Volume!BV14,0)</f>
        <v>86.30728341694882</v>
      </c>
      <c r="BW31" s="20">
        <f>IF(Calc_Volume!BW14&gt;0,BW28*1000/Calc_Volume!BW14,0)</f>
        <v>86.30728341694882</v>
      </c>
      <c r="BX31" s="20">
        <f>IF(Calc_Volume!BX14&gt;0,BX28*1000/Calc_Volume!BX14,0)</f>
        <v>86.30728341694882</v>
      </c>
      <c r="BY31" s="20">
        <f>IF(Calc_Volume!BY14&gt;0,BY28*1000/Calc_Volume!BY14,0)</f>
        <v>86.30728341694882</v>
      </c>
      <c r="BZ31" s="20">
        <f>IF(Calc_Volume!BZ14&gt;0,BZ28*1000/Calc_Volume!BZ14,0)</f>
        <v>86.307283416948792</v>
      </c>
      <c r="CA31" s="20">
        <f>IF(Calc_Volume!CA14&gt;0,CA28*1000/Calc_Volume!CA14,0)</f>
        <v>86.307283416948835</v>
      </c>
      <c r="CB31" s="20">
        <f>IF(Calc_Volume!CB14&gt;0,CB28*1000/Calc_Volume!CB14,0)</f>
        <v>86.307283416948835</v>
      </c>
      <c r="CC31" s="20">
        <f>IF(Calc_Volume!CC14&gt;0,CC28*1000/Calc_Volume!CC14,0)</f>
        <v>86.307283416948792</v>
      </c>
      <c r="CD31" s="20">
        <f>IF(Calc_Volume!CD14&gt;0,CD28*1000/Calc_Volume!CD14,0)</f>
        <v>86.307283416948835</v>
      </c>
      <c r="CE31" s="20">
        <f>IF(Calc_Volume!CE14&gt;0,CE28*1000/Calc_Volume!CE14,0)</f>
        <v>86.307283416948806</v>
      </c>
      <c r="CF31" s="20">
        <f>IF(Calc_Volume!CF14&gt;0,CF28*1000/Calc_Volume!CF14,0)</f>
        <v>86.30728341694882</v>
      </c>
      <c r="CG31" s="20">
        <f>IF(Calc_Volume!CG14&gt;0,CG28*1000/Calc_Volume!CG14,0)</f>
        <v>86.307283416948806</v>
      </c>
      <c r="CH31" s="20">
        <f>IF(Calc_Volume!CH14&gt;0,CH28*1000/Calc_Volume!CH14,0)</f>
        <v>88.464965502372522</v>
      </c>
      <c r="CI31" s="20">
        <f>IF(Calc_Volume!CI14&gt;0,CI28*1000/Calc_Volume!CI14,0)</f>
        <v>88.464965502372536</v>
      </c>
      <c r="CJ31" s="20">
        <f>IF(Calc_Volume!CJ14&gt;0,CJ28*1000/Calc_Volume!CJ14,0)</f>
        <v>88.464965502372522</v>
      </c>
      <c r="CK31" s="20">
        <f>IF(Calc_Volume!CK14&gt;0,CK28*1000/Calc_Volume!CK14,0)</f>
        <v>88.464965502372536</v>
      </c>
      <c r="CL31" s="20">
        <f>IF(Calc_Volume!CL14&gt;0,CL28*1000/Calc_Volume!CL14,0)</f>
        <v>88.464965502372522</v>
      </c>
      <c r="CM31" s="20">
        <f>IF(Calc_Volume!CM14&gt;0,CM28*1000/Calc_Volume!CM14,0)</f>
        <v>88.464965502372536</v>
      </c>
      <c r="CN31" s="20">
        <f>IF(Calc_Volume!CN14&gt;0,CN28*1000/Calc_Volume!CN14,0)</f>
        <v>88.464965502372536</v>
      </c>
      <c r="CO31" s="20">
        <f>IF(Calc_Volume!CO14&gt;0,CO28*1000/Calc_Volume!CO14,0)</f>
        <v>88.464965502372522</v>
      </c>
      <c r="CP31" s="20">
        <f>IF(Calc_Volume!CP14&gt;0,CP28*1000/Calc_Volume!CP14,0)</f>
        <v>88.464965502372522</v>
      </c>
      <c r="CQ31" s="20">
        <f>IF(Calc_Volume!CQ14&gt;0,CQ28*1000/Calc_Volume!CQ14,0)</f>
        <v>88.464965502372507</v>
      </c>
      <c r="CR31" s="20">
        <f>IF(Calc_Volume!CR14&gt;0,CR28*1000/Calc_Volume!CR14,0)</f>
        <v>88.464965502372522</v>
      </c>
      <c r="CS31" s="20">
        <f>IF(Calc_Volume!CS14&gt;0,CS28*1000/Calc_Volume!CS14,0)</f>
        <v>88.464965502372522</v>
      </c>
      <c r="CT31" s="20">
        <f>IF(Calc_Volume!CT14&gt;0,CT28*1000/Calc_Volume!CT14,0)</f>
        <v>90.676589639931819</v>
      </c>
      <c r="CU31" s="20">
        <f>IF(Calc_Volume!CU14&gt;0,CU28*1000/Calc_Volume!CU14,0)</f>
        <v>90.676589639931834</v>
      </c>
      <c r="CV31" s="20">
        <f>IF(Calc_Volume!CV14&gt;0,CV28*1000/Calc_Volume!CV14,0)</f>
        <v>90.676589639931848</v>
      </c>
      <c r="CW31" s="20">
        <f>IF(Calc_Volume!CW14&gt;0,CW28*1000/Calc_Volume!CW14,0)</f>
        <v>90.676589639931834</v>
      </c>
      <c r="CX31" s="20">
        <f>IF(Calc_Volume!CX14&gt;0,CX28*1000/Calc_Volume!CX14,0)</f>
        <v>90.676589639931834</v>
      </c>
      <c r="CY31" s="20">
        <f>IF(Calc_Volume!CY14&gt;0,CY28*1000/Calc_Volume!CY14,0)</f>
        <v>90.676589639931834</v>
      </c>
      <c r="CZ31" s="20">
        <f>IF(Calc_Volume!CZ14&gt;0,CZ28*1000/Calc_Volume!CZ14,0)</f>
        <v>90.676589639931834</v>
      </c>
      <c r="DA31" s="20">
        <f>IF(Calc_Volume!DA14&gt;0,DA28*1000/Calc_Volume!DA14,0)</f>
        <v>90.676589639931834</v>
      </c>
      <c r="DB31" s="20">
        <f>IF(Calc_Volume!DB14&gt;0,DB28*1000/Calc_Volume!DB14,0)</f>
        <v>90.676589639931834</v>
      </c>
      <c r="DC31" s="20">
        <f>IF(Calc_Volume!DC14&gt;0,DC28*1000/Calc_Volume!DC14,0)</f>
        <v>90.676589639931819</v>
      </c>
      <c r="DD31" s="20">
        <f>IF(Calc_Volume!DD14&gt;0,DD28*1000/Calc_Volume!DD14,0)</f>
        <v>90.676589639931819</v>
      </c>
      <c r="DE31" s="20">
        <f>IF(Calc_Volume!DE14&gt;0,DE28*1000/Calc_Volume!DE14,0)</f>
        <v>90.676589639931834</v>
      </c>
      <c r="DF31" s="20">
        <f>IF(Calc_Volume!DF14&gt;0,DF28*1000/Calc_Volume!DF14,0)</f>
        <v>92.943504380930122</v>
      </c>
      <c r="DG31" s="20">
        <f>IF(Calc_Volume!DG14&gt;0,DG28*1000/Calc_Volume!DG14,0)</f>
        <v>92.943504380930108</v>
      </c>
      <c r="DH31" s="20">
        <f>IF(Calc_Volume!DH14&gt;0,DH28*1000/Calc_Volume!DH14,0)</f>
        <v>92.943504380930122</v>
      </c>
      <c r="DI31" s="20">
        <f>IF(Calc_Volume!DI14&gt;0,DI28*1000/Calc_Volume!DI14,0)</f>
        <v>92.943504380930122</v>
      </c>
      <c r="DJ31" s="20">
        <f>IF(Calc_Volume!DJ14&gt;0,DJ28*1000/Calc_Volume!DJ14,0)</f>
        <v>92.943504380930136</v>
      </c>
      <c r="DK31" s="20">
        <f>IF(Calc_Volume!DK14&gt;0,DK28*1000/Calc_Volume!DK14,0)</f>
        <v>92.943504380930122</v>
      </c>
      <c r="DL31" s="20">
        <f>IF(Calc_Volume!DL14&gt;0,DL28*1000/Calc_Volume!DL14,0)</f>
        <v>92.943504380930122</v>
      </c>
      <c r="DM31" s="20">
        <f>IF(Calc_Volume!DM14&gt;0,DM28*1000/Calc_Volume!DM14,0)</f>
        <v>92.943504380930136</v>
      </c>
      <c r="DN31" s="20">
        <f>IF(Calc_Volume!DN14&gt;0,DN28*1000/Calc_Volume!DN14,0)</f>
        <v>92.943504380930122</v>
      </c>
      <c r="DO31" s="20">
        <f>IF(Calc_Volume!DO14&gt;0,DO28*1000/Calc_Volume!DO14,0)</f>
        <v>92.943504380930122</v>
      </c>
      <c r="DP31" s="20">
        <f>IF(Calc_Volume!DP14&gt;0,DP28*1000/Calc_Volume!DP14,0)</f>
        <v>92.943504380930122</v>
      </c>
      <c r="DQ31" s="20">
        <f>IF(Calc_Volume!DQ14&gt;0,DQ28*1000/Calc_Volume!DQ14,0)</f>
        <v>92.943504380930122</v>
      </c>
    </row>
    <row r="32" spans="1:121" ht="15" customHeight="1">
      <c r="A32" t="s">
        <v>449</v>
      </c>
      <c r="B32" s="13">
        <f>IF(Calc_Revenue!B25&gt;0,(Calc_Revenue!B25-B28)/Calc_Revenue!B25,0)</f>
        <v>0.75205616229014871</v>
      </c>
      <c r="C32" s="13">
        <f>IF(Calc_Revenue!C25&gt;0,(Calc_Revenue!C25-C28)/Calc_Revenue!C25,0)</f>
        <v>0.75205616229014849</v>
      </c>
      <c r="D32" s="13">
        <f>IF(Calc_Revenue!D25&gt;0,(Calc_Revenue!D25-D28)/Calc_Revenue!D25,0)</f>
        <v>0.75205616229014849</v>
      </c>
      <c r="E32" s="13">
        <f>IF(Calc_Revenue!E25&gt;0,(Calc_Revenue!E25-E28)/Calc_Revenue!E25,0)</f>
        <v>0.75205616229014849</v>
      </c>
      <c r="F32" s="13">
        <f>IF(Calc_Revenue!F25&gt;0,(Calc_Revenue!F25-F28)/Calc_Revenue!F25,0)</f>
        <v>0.75205616229014849</v>
      </c>
      <c r="G32" s="13">
        <f>IF(Calc_Revenue!G25&gt;0,(Calc_Revenue!G25-G28)/Calc_Revenue!G25,0)</f>
        <v>0.75205616229014849</v>
      </c>
      <c r="H32" s="13">
        <f>IF(Calc_Revenue!H25&gt;0,(Calc_Revenue!H25-H28)/Calc_Revenue!H25,0)</f>
        <v>0.75205616229014849</v>
      </c>
      <c r="I32" s="13">
        <f>IF(Calc_Revenue!I25&gt;0,(Calc_Revenue!I25-I28)/Calc_Revenue!I25,0)</f>
        <v>0.75205616229014849</v>
      </c>
      <c r="J32" s="13">
        <f>IF(Calc_Revenue!J25&gt;0,(Calc_Revenue!J25-J28)/Calc_Revenue!J25,0)</f>
        <v>0.7520561622901486</v>
      </c>
      <c r="K32" s="13">
        <f>IF(Calc_Revenue!K25&gt;0,(Calc_Revenue!K25-K28)/Calc_Revenue!K25,0)</f>
        <v>0.75205616229014849</v>
      </c>
      <c r="L32" s="13">
        <f>IF(Calc_Revenue!L25&gt;0,(Calc_Revenue!L25-L28)/Calc_Revenue!L25,0)</f>
        <v>0.75205616229014871</v>
      </c>
      <c r="M32" s="13">
        <f>IF(Calc_Revenue!M25&gt;0,(Calc_Revenue!M25-M28)/Calc_Revenue!M25,0)</f>
        <v>0.7520561622901486</v>
      </c>
      <c r="N32" s="13">
        <f>IF(Calc_Revenue!N25&gt;0,(Calc_Revenue!N25-N28)/Calc_Revenue!N25,0)</f>
        <v>0.75679772611814855</v>
      </c>
      <c r="O32" s="13">
        <f>IF(Calc_Revenue!O25&gt;0,(Calc_Revenue!O25-O28)/Calc_Revenue!O25,0)</f>
        <v>0.75679772611814855</v>
      </c>
      <c r="P32" s="13">
        <f>IF(Calc_Revenue!P25&gt;0,(Calc_Revenue!P25-P28)/Calc_Revenue!P25,0)</f>
        <v>0.75679772611814844</v>
      </c>
      <c r="Q32" s="13">
        <f>IF(Calc_Revenue!Q25&gt;0,(Calc_Revenue!Q25-Q28)/Calc_Revenue!Q25,0)</f>
        <v>0.75679772611814855</v>
      </c>
      <c r="R32" s="13">
        <f>IF(Calc_Revenue!R25&gt;0,(Calc_Revenue!R25-R28)/Calc_Revenue!R25,0)</f>
        <v>0.75679772611814844</v>
      </c>
      <c r="S32" s="13">
        <f>IF(Calc_Revenue!S25&gt;0,(Calc_Revenue!S25-S28)/Calc_Revenue!S25,0)</f>
        <v>0.75679772611814833</v>
      </c>
      <c r="T32" s="13">
        <f>IF(Calc_Revenue!T25&gt;0,(Calc_Revenue!T25-T28)/Calc_Revenue!T25,0)</f>
        <v>0.75679772611814833</v>
      </c>
      <c r="U32" s="13">
        <f>IF(Calc_Revenue!U25&gt;0,(Calc_Revenue!U25-U28)/Calc_Revenue!U25,0)</f>
        <v>0.75679772611814844</v>
      </c>
      <c r="V32" s="13">
        <f>IF(Calc_Revenue!V25&gt;0,(Calc_Revenue!V25-V28)/Calc_Revenue!V25,0)</f>
        <v>0.75679772611814844</v>
      </c>
      <c r="W32" s="13">
        <f>IF(Calc_Revenue!W25&gt;0,(Calc_Revenue!W25-W28)/Calc_Revenue!W25,0)</f>
        <v>0.75679772611814855</v>
      </c>
      <c r="X32" s="13">
        <f>IF(Calc_Revenue!X25&gt;0,(Calc_Revenue!X25-X28)/Calc_Revenue!X25,0)</f>
        <v>0.75679772611814855</v>
      </c>
      <c r="Y32" s="13">
        <f>IF(Calc_Revenue!Y25&gt;0,(Calc_Revenue!Y25-Y28)/Calc_Revenue!Y25,0)</f>
        <v>0.75679772611814844</v>
      </c>
      <c r="Z32" s="13">
        <f>IF(Calc_Revenue!Z25&gt;0,(Calc_Revenue!Z25-Z28)/Calc_Revenue!Z25,0)</f>
        <v>0.7612520729141955</v>
      </c>
      <c r="AA32" s="13">
        <f>IF(Calc_Revenue!AA25&gt;0,(Calc_Revenue!AA25-AA28)/Calc_Revenue!AA25,0)</f>
        <v>0.76125207291419539</v>
      </c>
      <c r="AB32" s="13">
        <f>IF(Calc_Revenue!AB25&gt;0,(Calc_Revenue!AB25-AB28)/Calc_Revenue!AB25,0)</f>
        <v>0.76125207291419561</v>
      </c>
      <c r="AC32" s="13">
        <f>IF(Calc_Revenue!AC25&gt;0,(Calc_Revenue!AC25-AC28)/Calc_Revenue!AC25,0)</f>
        <v>0.76125207291419539</v>
      </c>
      <c r="AD32" s="13">
        <f>IF(Calc_Revenue!AD25&gt;0,(Calc_Revenue!AD25-AD28)/Calc_Revenue!AD25,0)</f>
        <v>0.7612520729141955</v>
      </c>
      <c r="AE32" s="13">
        <f>IF(Calc_Revenue!AE25&gt;0,(Calc_Revenue!AE25-AE28)/Calc_Revenue!AE25,0)</f>
        <v>0.76125207291419539</v>
      </c>
      <c r="AF32" s="13">
        <f>IF(Calc_Revenue!AF25&gt;0,(Calc_Revenue!AF25-AF28)/Calc_Revenue!AF25,0)</f>
        <v>0.76125207291419539</v>
      </c>
      <c r="AG32" s="13">
        <f>IF(Calc_Revenue!AG25&gt;0,(Calc_Revenue!AG25-AG28)/Calc_Revenue!AG25,0)</f>
        <v>0.7612520729141955</v>
      </c>
      <c r="AH32" s="13">
        <f>IF(Calc_Revenue!AH25&gt;0,(Calc_Revenue!AH25-AH28)/Calc_Revenue!AH25,0)</f>
        <v>0.7612520729141955</v>
      </c>
      <c r="AI32" s="13">
        <f>IF(Calc_Revenue!AI25&gt;0,(Calc_Revenue!AI25-AI28)/Calc_Revenue!AI25,0)</f>
        <v>0.76125207291419539</v>
      </c>
      <c r="AJ32" s="13">
        <f>IF(Calc_Revenue!AJ25&gt;0,(Calc_Revenue!AJ25-AJ28)/Calc_Revenue!AJ25,0)</f>
        <v>0.7612520729141955</v>
      </c>
      <c r="AK32" s="13">
        <f>IF(Calc_Revenue!AK25&gt;0,(Calc_Revenue!AK25-AK28)/Calc_Revenue!AK25,0)</f>
        <v>0.7612520729141955</v>
      </c>
      <c r="AL32" s="13">
        <f>IF(Calc_Revenue!AL25&gt;0,(Calc_Revenue!AL25-AL28)/Calc_Revenue!AL25,0)</f>
        <v>0.76544329223042118</v>
      </c>
      <c r="AM32" s="13">
        <f>IF(Calc_Revenue!AM25&gt;0,(Calc_Revenue!AM25-AM28)/Calc_Revenue!AM25,0)</f>
        <v>0.76544329223042129</v>
      </c>
      <c r="AN32" s="13">
        <f>IF(Calc_Revenue!AN25&gt;0,(Calc_Revenue!AN25-AN28)/Calc_Revenue!AN25,0)</f>
        <v>0.7654432922304214</v>
      </c>
      <c r="AO32" s="13">
        <f>IF(Calc_Revenue!AO25&gt;0,(Calc_Revenue!AO25-AO28)/Calc_Revenue!AO25,0)</f>
        <v>0.76544329223042129</v>
      </c>
      <c r="AP32" s="13">
        <f>IF(Calc_Revenue!AP25&gt;0,(Calc_Revenue!AP25-AP28)/Calc_Revenue!AP25,0)</f>
        <v>0.76544329223042129</v>
      </c>
      <c r="AQ32" s="13">
        <f>IF(Calc_Revenue!AQ25&gt;0,(Calc_Revenue!AQ25-AQ28)/Calc_Revenue!AQ25,0)</f>
        <v>0.76544329223042129</v>
      </c>
      <c r="AR32" s="13">
        <f>IF(Calc_Revenue!AR25&gt;0,(Calc_Revenue!AR25-AR28)/Calc_Revenue!AR25,0)</f>
        <v>0.76544329223042129</v>
      </c>
      <c r="AS32" s="13">
        <f>IF(Calc_Revenue!AS25&gt;0,(Calc_Revenue!AS25-AS28)/Calc_Revenue!AS25,0)</f>
        <v>0.76544329223042129</v>
      </c>
      <c r="AT32" s="13">
        <f>IF(Calc_Revenue!AT25&gt;0,(Calc_Revenue!AT25-AT28)/Calc_Revenue!AT25,0)</f>
        <v>0.76544329223042118</v>
      </c>
      <c r="AU32" s="13">
        <f>IF(Calc_Revenue!AU25&gt;0,(Calc_Revenue!AU25-AU28)/Calc_Revenue!AU25,0)</f>
        <v>0.76544329223042118</v>
      </c>
      <c r="AV32" s="13">
        <f>IF(Calc_Revenue!AV25&gt;0,(Calc_Revenue!AV25-AV28)/Calc_Revenue!AV25,0)</f>
        <v>0.76544329223042118</v>
      </c>
      <c r="AW32" s="13">
        <f>IF(Calc_Revenue!AW25&gt;0,(Calc_Revenue!AW25-AW28)/Calc_Revenue!AW25,0)</f>
        <v>0.76544329223042118</v>
      </c>
      <c r="AX32" s="13">
        <f>IF(Calc_Revenue!AX25&gt;0,(Calc_Revenue!AX25-AX28)/Calc_Revenue!AX25,0)</f>
        <v>0.76939286081881297</v>
      </c>
      <c r="AY32" s="13">
        <f>IF(Calc_Revenue!AY25&gt;0,(Calc_Revenue!AY25-AY28)/Calc_Revenue!AY25,0)</f>
        <v>0.76939286081881297</v>
      </c>
      <c r="AZ32" s="13">
        <f>IF(Calc_Revenue!AZ25&gt;0,(Calc_Revenue!AZ25-AZ28)/Calc_Revenue!AZ25,0)</f>
        <v>0.76939286081881286</v>
      </c>
      <c r="BA32" s="13">
        <f>IF(Calc_Revenue!BA25&gt;0,(Calc_Revenue!BA25-BA28)/Calc_Revenue!BA25,0)</f>
        <v>0.76939286081881297</v>
      </c>
      <c r="BB32" s="13">
        <f>IF(Calc_Revenue!BB25&gt;0,(Calc_Revenue!BB25-BB28)/Calc_Revenue!BB25,0)</f>
        <v>0.76939286081881297</v>
      </c>
      <c r="BC32" s="13">
        <f>IF(Calc_Revenue!BC25&gt;0,(Calc_Revenue!BC25-BC28)/Calc_Revenue!BC25,0)</f>
        <v>0.76939286081881297</v>
      </c>
      <c r="BD32" s="13">
        <f>IF(Calc_Revenue!BD25&gt;0,(Calc_Revenue!BD25-BD28)/Calc_Revenue!BD25,0)</f>
        <v>0.76939286081881297</v>
      </c>
      <c r="BE32" s="13">
        <f>IF(Calc_Revenue!BE25&gt;0,(Calc_Revenue!BE25-BE28)/Calc_Revenue!BE25,0)</f>
        <v>0.76939286081881297</v>
      </c>
      <c r="BF32" s="13">
        <f>IF(Calc_Revenue!BF25&gt;0,(Calc_Revenue!BF25-BF28)/Calc_Revenue!BF25,0)</f>
        <v>0.76939286081881297</v>
      </c>
      <c r="BG32" s="13">
        <f>IF(Calc_Revenue!BG25&gt;0,(Calc_Revenue!BG25-BG28)/Calc_Revenue!BG25,0)</f>
        <v>0.76939286081881286</v>
      </c>
      <c r="BH32" s="13">
        <f>IF(Calc_Revenue!BH25&gt;0,(Calc_Revenue!BH25-BH28)/Calc_Revenue!BH25,0)</f>
        <v>0.76939286081881297</v>
      </c>
      <c r="BI32" s="13">
        <f>IF(Calc_Revenue!BI25&gt;0,(Calc_Revenue!BI25-BI28)/Calc_Revenue!BI25,0)</f>
        <v>0.76939286081881297</v>
      </c>
      <c r="BJ32" s="13">
        <f>IF(Calc_Revenue!BJ25&gt;0,(Calc_Revenue!BJ25-BJ28)/Calc_Revenue!BJ25,0)</f>
        <v>0.77311998767526691</v>
      </c>
      <c r="BK32" s="13">
        <f>IF(Calc_Revenue!BK25&gt;0,(Calc_Revenue!BK25-BK28)/Calc_Revenue!BK25,0)</f>
        <v>0.77311998767526713</v>
      </c>
      <c r="BL32" s="13">
        <f>IF(Calc_Revenue!BL25&gt;0,(Calc_Revenue!BL25-BL28)/Calc_Revenue!BL25,0)</f>
        <v>0.77311998767526702</v>
      </c>
      <c r="BM32" s="13">
        <f>IF(Calc_Revenue!BM25&gt;0,(Calc_Revenue!BM25-BM28)/Calc_Revenue!BM25,0)</f>
        <v>0.77311998767526691</v>
      </c>
      <c r="BN32" s="13">
        <f>IF(Calc_Revenue!BN25&gt;0,(Calc_Revenue!BN25-BN28)/Calc_Revenue!BN25,0)</f>
        <v>0.77311998767526702</v>
      </c>
      <c r="BO32" s="13">
        <f>IF(Calc_Revenue!BO25&gt;0,(Calc_Revenue!BO25-BO28)/Calc_Revenue!BO25,0)</f>
        <v>0.77311998767526702</v>
      </c>
      <c r="BP32" s="13">
        <f>IF(Calc_Revenue!BP25&gt;0,(Calc_Revenue!BP25-BP28)/Calc_Revenue!BP25,0)</f>
        <v>0.77311998767526702</v>
      </c>
      <c r="BQ32" s="13">
        <f>IF(Calc_Revenue!BQ25&gt;0,(Calc_Revenue!BQ25-BQ28)/Calc_Revenue!BQ25,0)</f>
        <v>0.77311998767526702</v>
      </c>
      <c r="BR32" s="13">
        <f>IF(Calc_Revenue!BR25&gt;0,(Calc_Revenue!BR25-BR28)/Calc_Revenue!BR25,0)</f>
        <v>0.77311998767526691</v>
      </c>
      <c r="BS32" s="13">
        <f>IF(Calc_Revenue!BS25&gt;0,(Calc_Revenue!BS25-BS28)/Calc_Revenue!BS25,0)</f>
        <v>0.77311998767526702</v>
      </c>
      <c r="BT32" s="13">
        <f>IF(Calc_Revenue!BT25&gt;0,(Calc_Revenue!BT25-BT28)/Calc_Revenue!BT25,0)</f>
        <v>0.77311998767526691</v>
      </c>
      <c r="BU32" s="13">
        <f>IF(Calc_Revenue!BU25&gt;0,(Calc_Revenue!BU25-BU28)/Calc_Revenue!BU25,0)</f>
        <v>0.77311998767526691</v>
      </c>
      <c r="BV32" s="13">
        <f>IF(Calc_Revenue!BV25&gt;0,(Calc_Revenue!BV25-BV28)/Calc_Revenue!BV25,0)</f>
        <v>0.776641905807267</v>
      </c>
      <c r="BW32" s="13">
        <f>IF(Calc_Revenue!BW25&gt;0,(Calc_Revenue!BW25-BW28)/Calc_Revenue!BW25,0)</f>
        <v>0.77664190580726689</v>
      </c>
      <c r="BX32" s="13">
        <f>IF(Calc_Revenue!BX25&gt;0,(Calc_Revenue!BX25-BX28)/Calc_Revenue!BX25,0)</f>
        <v>0.776641905807267</v>
      </c>
      <c r="BY32" s="13">
        <f>IF(Calc_Revenue!BY25&gt;0,(Calc_Revenue!BY25-BY28)/Calc_Revenue!BY25,0)</f>
        <v>0.77664190580726689</v>
      </c>
      <c r="BZ32" s="13">
        <f>IF(Calc_Revenue!BZ25&gt;0,(Calc_Revenue!BZ25-BZ28)/Calc_Revenue!BZ25,0)</f>
        <v>0.776641905807267</v>
      </c>
      <c r="CA32" s="13">
        <f>IF(Calc_Revenue!CA25&gt;0,(Calc_Revenue!CA25-CA28)/Calc_Revenue!CA25,0)</f>
        <v>0.77664190580726689</v>
      </c>
      <c r="CB32" s="13">
        <f>IF(Calc_Revenue!CB25&gt;0,(Calc_Revenue!CB25-CB28)/Calc_Revenue!CB25,0)</f>
        <v>0.77664190580726689</v>
      </c>
      <c r="CC32" s="13">
        <f>IF(Calc_Revenue!CC25&gt;0,(Calc_Revenue!CC25-CC28)/Calc_Revenue!CC25,0)</f>
        <v>0.776641905807267</v>
      </c>
      <c r="CD32" s="13">
        <f>IF(Calc_Revenue!CD25&gt;0,(Calc_Revenue!CD25-CD28)/Calc_Revenue!CD25,0)</f>
        <v>0.77664190580726689</v>
      </c>
      <c r="CE32" s="13">
        <f>IF(Calc_Revenue!CE25&gt;0,(Calc_Revenue!CE25-CE28)/Calc_Revenue!CE25,0)</f>
        <v>0.776641905807267</v>
      </c>
      <c r="CF32" s="13">
        <f>IF(Calc_Revenue!CF25&gt;0,(Calc_Revenue!CF25-CF28)/Calc_Revenue!CF25,0)</f>
        <v>0.776641905807267</v>
      </c>
      <c r="CG32" s="13">
        <f>IF(Calc_Revenue!CG25&gt;0,(Calc_Revenue!CG25-CG28)/Calc_Revenue!CG25,0)</f>
        <v>0.776641905807267</v>
      </c>
      <c r="CH32" s="13">
        <f>IF(Calc_Revenue!CH25&gt;0,(Calc_Revenue!CH25-CH28)/Calc_Revenue!CH25,0)</f>
        <v>0.77997412008148903</v>
      </c>
      <c r="CI32" s="13">
        <f>IF(Calc_Revenue!CI25&gt;0,(Calc_Revenue!CI25-CI28)/Calc_Revenue!CI25,0)</f>
        <v>0.77997412008148903</v>
      </c>
      <c r="CJ32" s="13">
        <f>IF(Calc_Revenue!CJ25&gt;0,(Calc_Revenue!CJ25-CJ28)/Calc_Revenue!CJ25,0)</f>
        <v>0.77997412008148892</v>
      </c>
      <c r="CK32" s="13">
        <f>IF(Calc_Revenue!CK25&gt;0,(Calc_Revenue!CK25-CK28)/Calc_Revenue!CK25,0)</f>
        <v>0.77997412008148892</v>
      </c>
      <c r="CL32" s="13">
        <f>IF(Calc_Revenue!CL25&gt;0,(Calc_Revenue!CL25-CL28)/Calc_Revenue!CL25,0)</f>
        <v>0.77997412008148903</v>
      </c>
      <c r="CM32" s="13">
        <f>IF(Calc_Revenue!CM25&gt;0,(Calc_Revenue!CM25-CM28)/Calc_Revenue!CM25,0)</f>
        <v>0.77997412008148892</v>
      </c>
      <c r="CN32" s="13">
        <f>IF(Calc_Revenue!CN25&gt;0,(Calc_Revenue!CN25-CN28)/Calc_Revenue!CN25,0)</f>
        <v>0.77997412008148892</v>
      </c>
      <c r="CO32" s="13">
        <f>IF(Calc_Revenue!CO25&gt;0,(Calc_Revenue!CO25-CO28)/Calc_Revenue!CO25,0)</f>
        <v>0.77997412008148903</v>
      </c>
      <c r="CP32" s="13">
        <f>IF(Calc_Revenue!CP25&gt;0,(Calc_Revenue!CP25-CP28)/Calc_Revenue!CP25,0)</f>
        <v>0.77997412008148903</v>
      </c>
      <c r="CQ32" s="13">
        <f>IF(Calc_Revenue!CQ25&gt;0,(Calc_Revenue!CQ25-CQ28)/Calc_Revenue!CQ25,0)</f>
        <v>0.77997412008148892</v>
      </c>
      <c r="CR32" s="13">
        <f>IF(Calc_Revenue!CR25&gt;0,(Calc_Revenue!CR25-CR28)/Calc_Revenue!CR25,0)</f>
        <v>0.77997412008148903</v>
      </c>
      <c r="CS32" s="13">
        <f>IF(Calc_Revenue!CS25&gt;0,(Calc_Revenue!CS25-CS28)/Calc_Revenue!CS25,0)</f>
        <v>0.77997412008148903</v>
      </c>
      <c r="CT32" s="13">
        <f>IF(Calc_Revenue!CT25&gt;0,(Calc_Revenue!CT25-CT28)/Calc_Revenue!CT25,0)</f>
        <v>0.78313061867573186</v>
      </c>
      <c r="CU32" s="13">
        <f>IF(Calc_Revenue!CU25&gt;0,(Calc_Revenue!CU25-CU28)/Calc_Revenue!CU25,0)</f>
        <v>0.78313061867573186</v>
      </c>
      <c r="CV32" s="13">
        <f>IF(Calc_Revenue!CV25&gt;0,(Calc_Revenue!CV25-CV28)/Calc_Revenue!CV25,0)</f>
        <v>0.78313061867573175</v>
      </c>
      <c r="CW32" s="13">
        <f>IF(Calc_Revenue!CW25&gt;0,(Calc_Revenue!CW25-CW28)/Calc_Revenue!CW25,0)</f>
        <v>0.78313061867573186</v>
      </c>
      <c r="CX32" s="13">
        <f>IF(Calc_Revenue!CX25&gt;0,(Calc_Revenue!CX25-CX28)/Calc_Revenue!CX25,0)</f>
        <v>0.78313061867573186</v>
      </c>
      <c r="CY32" s="13">
        <f>IF(Calc_Revenue!CY25&gt;0,(Calc_Revenue!CY25-CY28)/Calc_Revenue!CY25,0)</f>
        <v>0.78313061867573175</v>
      </c>
      <c r="CZ32" s="13">
        <f>IF(Calc_Revenue!CZ25&gt;0,(Calc_Revenue!CZ25-CZ28)/Calc_Revenue!CZ25,0)</f>
        <v>0.78313061867573175</v>
      </c>
      <c r="DA32" s="13">
        <f>IF(Calc_Revenue!DA25&gt;0,(Calc_Revenue!DA25-DA28)/Calc_Revenue!DA25,0)</f>
        <v>0.78313061867573186</v>
      </c>
      <c r="DB32" s="13">
        <f>IF(Calc_Revenue!DB25&gt;0,(Calc_Revenue!DB25-DB28)/Calc_Revenue!DB25,0)</f>
        <v>0.78313061867573175</v>
      </c>
      <c r="DC32" s="13">
        <f>IF(Calc_Revenue!DC25&gt;0,(Calc_Revenue!DC25-DC28)/Calc_Revenue!DC25,0)</f>
        <v>0.78313061867573186</v>
      </c>
      <c r="DD32" s="13">
        <f>IF(Calc_Revenue!DD25&gt;0,(Calc_Revenue!DD25-DD28)/Calc_Revenue!DD25,0)</f>
        <v>0.78313061867573186</v>
      </c>
      <c r="DE32" s="13">
        <f>IF(Calc_Revenue!DE25&gt;0,(Calc_Revenue!DE25-DE28)/Calc_Revenue!DE25,0)</f>
        <v>0.78313061867573175</v>
      </c>
      <c r="DF32" s="13">
        <f>IF(Calc_Revenue!DF25&gt;0,(Calc_Revenue!DF25-DF28)/Calc_Revenue!DF25,0)</f>
        <v>0.78612405422152953</v>
      </c>
      <c r="DG32" s="13">
        <f>IF(Calc_Revenue!DG25&gt;0,(Calc_Revenue!DG25-DG28)/Calc_Revenue!DG25,0)</f>
        <v>0.78612405422152964</v>
      </c>
      <c r="DH32" s="13">
        <f>IF(Calc_Revenue!DH25&gt;0,(Calc_Revenue!DH25-DH28)/Calc_Revenue!DH25,0)</f>
        <v>0.78612405422152964</v>
      </c>
      <c r="DI32" s="13">
        <f>IF(Calc_Revenue!DI25&gt;0,(Calc_Revenue!DI25-DI28)/Calc_Revenue!DI25,0)</f>
        <v>0.78612405422152964</v>
      </c>
      <c r="DJ32" s="13">
        <f>IF(Calc_Revenue!DJ25&gt;0,(Calc_Revenue!DJ25-DJ28)/Calc_Revenue!DJ25,0)</f>
        <v>0.78612405422152964</v>
      </c>
      <c r="DK32" s="13">
        <f>IF(Calc_Revenue!DK25&gt;0,(Calc_Revenue!DK25-DK28)/Calc_Revenue!DK25,0)</f>
        <v>0.78612405422152964</v>
      </c>
      <c r="DL32" s="13">
        <f>IF(Calc_Revenue!DL25&gt;0,(Calc_Revenue!DL25-DL28)/Calc_Revenue!DL25,0)</f>
        <v>0.78612405422152964</v>
      </c>
      <c r="DM32" s="13">
        <f>IF(Calc_Revenue!DM25&gt;0,(Calc_Revenue!DM25-DM28)/Calc_Revenue!DM25,0)</f>
        <v>0.78612405422152964</v>
      </c>
      <c r="DN32" s="13">
        <f>IF(Calc_Revenue!DN25&gt;0,(Calc_Revenue!DN25-DN28)/Calc_Revenue!DN25,0)</f>
        <v>0.78612405422152964</v>
      </c>
      <c r="DO32" s="13">
        <f>IF(Calc_Revenue!DO25&gt;0,(Calc_Revenue!DO25-DO28)/Calc_Revenue!DO25,0)</f>
        <v>0.78612405422152953</v>
      </c>
      <c r="DP32" s="13">
        <f>IF(Calc_Revenue!DP25&gt;0,(Calc_Revenue!DP25-DP28)/Calc_Revenue!DP25,0)</f>
        <v>0.78612405422152953</v>
      </c>
      <c r="DQ32" s="13">
        <f>IF(Calc_Revenue!DQ25&gt;0,(Calc_Revenue!DQ25-DQ28)/Calc_Revenue!DQ25,0)</f>
        <v>0.78612405422152964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Q21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450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451</v>
      </c>
    </row>
    <row r="7" spans="1:121" ht="15" customHeight="1">
      <c r="A7" t="s">
        <v>452</v>
      </c>
      <c r="B7" s="22">
        <f>Calc_Volume!B17*Assum_Costs!$C$31*Calc_COGS!B5/1000</f>
        <v>1180.6666666666665</v>
      </c>
      <c r="C7" s="22">
        <f>Calc_Volume!C17*Assum_Costs!$C$31*Calc_COGS!C5/1000</f>
        <v>1129.3333333333335</v>
      </c>
      <c r="D7" s="22">
        <f>Calc_Volume!D17*Assum_Costs!$C$31*Calc_COGS!D5/1000</f>
        <v>1026.6666666666665</v>
      </c>
      <c r="E7" s="22">
        <f>Calc_Volume!E17*Assum_Costs!$C$31*Calc_COGS!E5/1000</f>
        <v>924</v>
      </c>
      <c r="F7" s="22">
        <f>Calc_Volume!F17*Assum_Costs!$C$31*Calc_COGS!F5/1000</f>
        <v>872.66666666666663</v>
      </c>
      <c r="G7" s="22">
        <f>Calc_Volume!G17*Assum_Costs!$C$31*Calc_COGS!G5/1000</f>
        <v>821.33333333333337</v>
      </c>
      <c r="H7" s="22">
        <f>Calc_Volume!H17*Assum_Costs!$C$31*Calc_COGS!H5/1000</f>
        <v>821.33333333333337</v>
      </c>
      <c r="I7" s="22">
        <f>Calc_Volume!I17*Assum_Costs!$C$31*Calc_COGS!I5/1000</f>
        <v>872.66666666666663</v>
      </c>
      <c r="J7" s="22">
        <f>Calc_Volume!J17*Assum_Costs!$C$31*Calc_COGS!J5/1000</f>
        <v>975.33333333333326</v>
      </c>
      <c r="K7" s="22">
        <f>Calc_Volume!K17*Assum_Costs!$C$31*Calc_COGS!K5/1000</f>
        <v>1078</v>
      </c>
      <c r="L7" s="22">
        <f>Calc_Volume!L17*Assum_Costs!$C$31*Calc_COGS!L5/1000</f>
        <v>1180.6666666666665</v>
      </c>
      <c r="M7" s="22">
        <f>Calc_Volume!M17*Assum_Costs!$C$31*Calc_COGS!M5/1000</f>
        <v>1437.3333333333333</v>
      </c>
      <c r="N7" s="22">
        <f>Calc_Volume!N17*Assum_Costs!$C$31*Calc_COGS!N5/1000</f>
        <v>1306.9979999999996</v>
      </c>
      <c r="O7" s="22">
        <f>Calc_Volume!O17*Assum_Costs!$C$31*Calc_COGS!O5/1000</f>
        <v>1250.1720000000003</v>
      </c>
      <c r="P7" s="22">
        <f>Calc_Volume!P17*Assum_Costs!$C$31*Calc_COGS!P5/1000</f>
        <v>1136.52</v>
      </c>
      <c r="Q7" s="22">
        <f>Calc_Volume!Q17*Assum_Costs!$C$31*Calc_COGS!Q5/1000</f>
        <v>1022.8679999999999</v>
      </c>
      <c r="R7" s="22">
        <f>Calc_Volume!R17*Assum_Costs!$C$31*Calc_COGS!R5/1000</f>
        <v>966.04199999999992</v>
      </c>
      <c r="S7" s="22">
        <f>Calc_Volume!S17*Assum_Costs!$C$31*Calc_COGS!S5/1000</f>
        <v>909.21600000000001</v>
      </c>
      <c r="T7" s="22">
        <f>Calc_Volume!T17*Assum_Costs!$C$31*Calc_COGS!T5/1000</f>
        <v>909.21600000000001</v>
      </c>
      <c r="U7" s="22">
        <f>Calc_Volume!U17*Assum_Costs!$C$31*Calc_COGS!U5/1000</f>
        <v>966.04199999999992</v>
      </c>
      <c r="V7" s="22">
        <f>Calc_Volume!V17*Assum_Costs!$C$31*Calc_COGS!V5/1000</f>
        <v>1079.694</v>
      </c>
      <c r="W7" s="22">
        <f>Calc_Volume!W17*Assum_Costs!$C$31*Calc_COGS!W5/1000</f>
        <v>1193.346</v>
      </c>
      <c r="X7" s="22">
        <f>Calc_Volume!X17*Assum_Costs!$C$31*Calc_COGS!X5/1000</f>
        <v>1306.9979999999996</v>
      </c>
      <c r="Y7" s="22">
        <f>Calc_Volume!Y17*Assum_Costs!$C$31*Calc_COGS!Y5/1000</f>
        <v>1591.1279999999997</v>
      </c>
      <c r="Z7" s="22">
        <f>Calc_Volume!Z17*Assum_Costs!$C$31*Calc_COGS!Z5/1000</f>
        <v>1446.8467859999998</v>
      </c>
      <c r="AA7" s="22">
        <f>Calc_Volume!AA17*Assum_Costs!$C$31*Calc_COGS!AA5/1000</f>
        <v>1383.9404040000004</v>
      </c>
      <c r="AB7" s="22">
        <f>Calc_Volume!AB17*Assum_Costs!$C$31*Calc_COGS!AB5/1000</f>
        <v>1258.1276399999999</v>
      </c>
      <c r="AC7" s="22">
        <f>Calc_Volume!AC17*Assum_Costs!$C$31*Calc_COGS!AC5/1000</f>
        <v>1132.3148759999997</v>
      </c>
      <c r="AD7" s="22">
        <f>Calc_Volume!AD17*Assum_Costs!$C$31*Calc_COGS!AD5/1000</f>
        <v>1069.4084940000002</v>
      </c>
      <c r="AE7" s="22">
        <f>Calc_Volume!AE17*Assum_Costs!$C$31*Calc_COGS!AE5/1000</f>
        <v>1006.5021120000001</v>
      </c>
      <c r="AF7" s="22">
        <f>Calc_Volume!AF17*Assum_Costs!$C$31*Calc_COGS!AF5/1000</f>
        <v>1006.5021120000001</v>
      </c>
      <c r="AG7" s="22">
        <f>Calc_Volume!AG17*Assum_Costs!$C$31*Calc_COGS!AG5/1000</f>
        <v>1069.4084940000002</v>
      </c>
      <c r="AH7" s="22">
        <f>Calc_Volume!AH17*Assum_Costs!$C$31*Calc_COGS!AH5/1000</f>
        <v>1195.2212579999996</v>
      </c>
      <c r="AI7" s="22">
        <f>Calc_Volume!AI17*Assum_Costs!$C$31*Calc_COGS!AI5/1000</f>
        <v>1321.034022</v>
      </c>
      <c r="AJ7" s="22">
        <f>Calc_Volume!AJ17*Assum_Costs!$C$31*Calc_COGS!AJ5/1000</f>
        <v>1446.8467859999998</v>
      </c>
      <c r="AK7" s="22">
        <f>Calc_Volume!AK17*Assum_Costs!$C$31*Calc_COGS!AK5/1000</f>
        <v>1761.378696</v>
      </c>
      <c r="AL7" s="22">
        <f>Calc_Volume!AL17*Assum_Costs!$C$31*Calc_COGS!AL5/1000</f>
        <v>1571.9990329889997</v>
      </c>
      <c r="AM7" s="22">
        <f>Calc_Volume!AM17*Assum_Costs!$C$31*Calc_COGS!AM5/1000</f>
        <v>1503.6512489460004</v>
      </c>
      <c r="AN7" s="22">
        <f>Calc_Volume!AN17*Assum_Costs!$C$31*Calc_COGS!AN5/1000</f>
        <v>1366.9556808599998</v>
      </c>
      <c r="AO7" s="22">
        <f>Calc_Volume!AO17*Assum_Costs!$C$31*Calc_COGS!AO5/1000</f>
        <v>1230.2601127739999</v>
      </c>
      <c r="AP7" s="22">
        <f>Calc_Volume!AP17*Assum_Costs!$C$31*Calc_COGS!AP5/1000</f>
        <v>1161.9123287309999</v>
      </c>
      <c r="AQ7" s="22">
        <f>Calc_Volume!AQ17*Assum_Costs!$C$31*Calc_COGS!AQ5/1000</f>
        <v>1093.5645446880001</v>
      </c>
      <c r="AR7" s="22">
        <f>Calc_Volume!AR17*Assum_Costs!$C$31*Calc_COGS!AR5/1000</f>
        <v>1093.5645446880001</v>
      </c>
      <c r="AS7" s="22">
        <f>Calc_Volume!AS17*Assum_Costs!$C$31*Calc_COGS!AS5/1000</f>
        <v>1161.9123287309999</v>
      </c>
      <c r="AT7" s="22">
        <f>Calc_Volume!AT17*Assum_Costs!$C$31*Calc_COGS!AT5/1000</f>
        <v>1298.6078968170002</v>
      </c>
      <c r="AU7" s="22">
        <f>Calc_Volume!AU17*Assum_Costs!$C$31*Calc_COGS!AU5/1000</f>
        <v>1435.3034649029998</v>
      </c>
      <c r="AV7" s="22">
        <f>Calc_Volume!AV17*Assum_Costs!$C$31*Calc_COGS!AV5/1000</f>
        <v>1571.9990329889997</v>
      </c>
      <c r="AW7" s="22">
        <f>Calc_Volume!AW17*Assum_Costs!$C$31*Calc_COGS!AW5/1000</f>
        <v>1913.7379532039997</v>
      </c>
      <c r="AX7" s="22">
        <f>Calc_Volume!AX17*Assum_Costs!$C$31*Calc_COGS!AX5/1000</f>
        <v>1707.9769493425481</v>
      </c>
      <c r="AY7" s="22">
        <f>Calc_Volume!AY17*Assum_Costs!$C$31*Calc_COGS!AY5/1000</f>
        <v>1633.7170819798293</v>
      </c>
      <c r="AZ7" s="22">
        <f>Calc_Volume!AZ17*Assum_Costs!$C$31*Calc_COGS!AZ5/1000</f>
        <v>1485.1973472543898</v>
      </c>
      <c r="BA7" s="22">
        <f>Calc_Volume!BA17*Assum_Costs!$C$31*Calc_COGS!BA5/1000</f>
        <v>1336.6776125289509</v>
      </c>
      <c r="BB7" s="22">
        <f>Calc_Volume!BB17*Assum_Costs!$C$31*Calc_COGS!BB5/1000</f>
        <v>1262.4177451662315</v>
      </c>
      <c r="BC7" s="22">
        <f>Calc_Volume!BC17*Assum_Costs!$C$31*Calc_COGS!BC5/1000</f>
        <v>1188.1578778035118</v>
      </c>
      <c r="BD7" s="22">
        <f>Calc_Volume!BD17*Assum_Costs!$C$31*Calc_COGS!BD5/1000</f>
        <v>1188.1578778035118</v>
      </c>
      <c r="BE7" s="22">
        <f>Calc_Volume!BE17*Assum_Costs!$C$31*Calc_COGS!BE5/1000</f>
        <v>1262.4177451662315</v>
      </c>
      <c r="BF7" s="22">
        <f>Calc_Volume!BF17*Assum_Costs!$C$31*Calc_COGS!BF5/1000</f>
        <v>1410.9374798916704</v>
      </c>
      <c r="BG7" s="22">
        <f>Calc_Volume!BG17*Assum_Costs!$C$31*Calc_COGS!BG5/1000</f>
        <v>1559.4572146171095</v>
      </c>
      <c r="BH7" s="22">
        <f>Calc_Volume!BH17*Assum_Costs!$C$31*Calc_COGS!BH5/1000</f>
        <v>1707.9769493425481</v>
      </c>
      <c r="BI7" s="22">
        <f>Calc_Volume!BI17*Assum_Costs!$C$31*Calc_COGS!BI5/1000</f>
        <v>2079.2762861561459</v>
      </c>
      <c r="BJ7" s="22">
        <f>Calc_Volume!BJ17*Assum_Costs!$C$31*Calc_COGS!BJ5/1000</f>
        <v>1820.7034279991562</v>
      </c>
      <c r="BK7" s="22">
        <f>Calc_Volume!BK17*Assum_Costs!$C$31*Calc_COGS!BK5/1000</f>
        <v>1741.5424093904978</v>
      </c>
      <c r="BL7" s="22">
        <f>Calc_Volume!BL17*Assum_Costs!$C$31*Calc_COGS!BL5/1000</f>
        <v>1583.2203721731794</v>
      </c>
      <c r="BM7" s="22">
        <f>Calc_Volume!BM17*Assum_Costs!$C$31*Calc_COGS!BM5/1000</f>
        <v>1424.8983349558616</v>
      </c>
      <c r="BN7" s="22">
        <f>Calc_Volume!BN17*Assum_Costs!$C$31*Calc_COGS!BN5/1000</f>
        <v>1345.7373163472027</v>
      </c>
      <c r="BO7" s="22">
        <f>Calc_Volume!BO17*Assum_Costs!$C$31*Calc_COGS!BO5/1000</f>
        <v>1266.5762977385436</v>
      </c>
      <c r="BP7" s="22">
        <f>Calc_Volume!BP17*Assum_Costs!$C$31*Calc_COGS!BP5/1000</f>
        <v>1266.5762977385436</v>
      </c>
      <c r="BQ7" s="22">
        <f>Calc_Volume!BQ17*Assum_Costs!$C$31*Calc_COGS!BQ5/1000</f>
        <v>1345.7373163472027</v>
      </c>
      <c r="BR7" s="22">
        <f>Calc_Volume!BR17*Assum_Costs!$C$31*Calc_COGS!BR5/1000</f>
        <v>1504.0593535645203</v>
      </c>
      <c r="BS7" s="22">
        <f>Calc_Volume!BS17*Assum_Costs!$C$31*Calc_COGS!BS5/1000</f>
        <v>1662.3813907818385</v>
      </c>
      <c r="BT7" s="22">
        <f>Calc_Volume!BT17*Assum_Costs!$C$31*Calc_COGS!BT5/1000</f>
        <v>1820.7034279991562</v>
      </c>
      <c r="BU7" s="22">
        <f>Calc_Volume!BU17*Assum_Costs!$C$31*Calc_COGS!BU5/1000</f>
        <v>2216.5085210424509</v>
      </c>
      <c r="BV7" s="22">
        <f>Calc_Volume!BV17*Assum_Costs!$C$31*Calc_COGS!BV5/1000</f>
        <v>1940.8698542471004</v>
      </c>
      <c r="BW7" s="22">
        <f>Calc_Volume!BW17*Assum_Costs!$C$31*Calc_COGS!BW5/1000</f>
        <v>1856.4842084102702</v>
      </c>
      <c r="BX7" s="22">
        <f>Calc_Volume!BX17*Assum_Costs!$C$31*Calc_COGS!BX5/1000</f>
        <v>1687.7129167366093</v>
      </c>
      <c r="BY7" s="22">
        <f>Calc_Volume!BY17*Assum_Costs!$C$31*Calc_COGS!BY5/1000</f>
        <v>1518.9416250629483</v>
      </c>
      <c r="BZ7" s="22">
        <f>Calc_Volume!BZ17*Assum_Costs!$C$31*Calc_COGS!BZ5/1000</f>
        <v>1434.5559792261176</v>
      </c>
      <c r="CA7" s="22">
        <f>Calc_Volume!CA17*Assum_Costs!$C$31*Calc_COGS!CA5/1000</f>
        <v>1350.1703333892874</v>
      </c>
      <c r="CB7" s="22">
        <f>Calc_Volume!CB17*Assum_Costs!$C$31*Calc_COGS!CB5/1000</f>
        <v>1350.1703333892874</v>
      </c>
      <c r="CC7" s="22">
        <f>Calc_Volume!CC17*Assum_Costs!$C$31*Calc_COGS!CC5/1000</f>
        <v>1434.5559792261176</v>
      </c>
      <c r="CD7" s="22">
        <f>Calc_Volume!CD17*Assum_Costs!$C$31*Calc_COGS!CD5/1000</f>
        <v>1603.3272708997786</v>
      </c>
      <c r="CE7" s="22">
        <f>Calc_Volume!CE17*Assum_Costs!$C$31*Calc_COGS!CE5/1000</f>
        <v>1772.0985625734397</v>
      </c>
      <c r="CF7" s="22">
        <f>Calc_Volume!CF17*Assum_Costs!$C$31*Calc_COGS!CF5/1000</f>
        <v>1940.8698542471004</v>
      </c>
      <c r="CG7" s="22">
        <f>Calc_Volume!CG17*Assum_Costs!$C$31*Calc_COGS!CG5/1000</f>
        <v>2362.798083431253</v>
      </c>
      <c r="CH7" s="22">
        <f>Calc_Volume!CH17*Assum_Costs!$C$31*Calc_COGS!CH5/1000</f>
        <v>2068.9672646274084</v>
      </c>
      <c r="CI7" s="22">
        <f>Calc_Volume!CI17*Assum_Costs!$C$31*Calc_COGS!CI5/1000</f>
        <v>1979.0121661653479</v>
      </c>
      <c r="CJ7" s="22">
        <f>Calc_Volume!CJ17*Assum_Costs!$C$31*Calc_COGS!CJ5/1000</f>
        <v>1799.1019692412247</v>
      </c>
      <c r="CK7" s="22">
        <f>Calc_Volume!CK17*Assum_Costs!$C$31*Calc_COGS!CK5/1000</f>
        <v>1619.1917723171025</v>
      </c>
      <c r="CL7" s="22">
        <f>Calc_Volume!CL17*Assum_Costs!$C$31*Calc_COGS!CL5/1000</f>
        <v>1529.2366738550413</v>
      </c>
      <c r="CM7" s="22">
        <f>Calc_Volume!CM17*Assum_Costs!$C$31*Calc_COGS!CM5/1000</f>
        <v>1439.2815753929801</v>
      </c>
      <c r="CN7" s="22">
        <f>Calc_Volume!CN17*Assum_Costs!$C$31*Calc_COGS!CN5/1000</f>
        <v>1439.2815753929801</v>
      </c>
      <c r="CO7" s="22">
        <f>Calc_Volume!CO17*Assum_Costs!$C$31*Calc_COGS!CO5/1000</f>
        <v>1529.2366738550413</v>
      </c>
      <c r="CP7" s="22">
        <f>Calc_Volume!CP17*Assum_Costs!$C$31*Calc_COGS!CP5/1000</f>
        <v>1709.1468707791637</v>
      </c>
      <c r="CQ7" s="22">
        <f>Calc_Volume!CQ17*Assum_Costs!$C$31*Calc_COGS!CQ5/1000</f>
        <v>1889.0570677032863</v>
      </c>
      <c r="CR7" s="22">
        <f>Calc_Volume!CR17*Assum_Costs!$C$31*Calc_COGS!CR5/1000</f>
        <v>2068.9672646274084</v>
      </c>
      <c r="CS7" s="22">
        <f>Calc_Volume!CS17*Assum_Costs!$C$31*Calc_COGS!CS5/1000</f>
        <v>2518.7427569377141</v>
      </c>
      <c r="CT7" s="22">
        <f>Calc_Volume!CT17*Assum_Costs!$C$31*Calc_COGS!CT5/1000</f>
        <v>2205.5191040928171</v>
      </c>
      <c r="CU7" s="22">
        <f>Calc_Volume!CU17*Assum_Costs!$C$31*Calc_COGS!CU5/1000</f>
        <v>2109.6269691322609</v>
      </c>
      <c r="CV7" s="22">
        <f>Calc_Volume!CV17*Assum_Costs!$C$31*Calc_COGS!CV5/1000</f>
        <v>1917.8426992111458</v>
      </c>
      <c r="CW7" s="22">
        <f>Calc_Volume!CW17*Assum_Costs!$C$31*Calc_COGS!CW5/1000</f>
        <v>1726.0584292900314</v>
      </c>
      <c r="CX7" s="22">
        <f>Calc_Volume!CX17*Assum_Costs!$C$31*Calc_COGS!CX5/1000</f>
        <v>1630.1662943294737</v>
      </c>
      <c r="CY7" s="22">
        <f>Calc_Volume!CY17*Assum_Costs!$C$31*Calc_COGS!CY5/1000</f>
        <v>1534.2741593689168</v>
      </c>
      <c r="CZ7" s="22">
        <f>Calc_Volume!CZ17*Assum_Costs!$C$31*Calc_COGS!CZ5/1000</f>
        <v>1534.2741593689168</v>
      </c>
      <c r="DA7" s="22">
        <f>Calc_Volume!DA17*Assum_Costs!$C$31*Calc_COGS!DA5/1000</f>
        <v>1630.1662943294737</v>
      </c>
      <c r="DB7" s="22">
        <f>Calc_Volume!DB17*Assum_Costs!$C$31*Calc_COGS!DB5/1000</f>
        <v>1821.9505642505883</v>
      </c>
      <c r="DC7" s="22">
        <f>Calc_Volume!DC17*Assum_Costs!$C$31*Calc_COGS!DC5/1000</f>
        <v>2013.7348341717029</v>
      </c>
      <c r="DD7" s="22">
        <f>Calc_Volume!DD17*Assum_Costs!$C$31*Calc_COGS!DD5/1000</f>
        <v>2205.5191040928171</v>
      </c>
      <c r="DE7" s="22">
        <f>Calc_Volume!DE17*Assum_Costs!$C$31*Calc_COGS!DE5/1000</f>
        <v>2684.9797788956039</v>
      </c>
      <c r="DF7" s="22">
        <f>Calc_Volume!DF17*Assum_Costs!$C$31*Calc_COGS!DF5/1000</f>
        <v>2351.0833649629435</v>
      </c>
      <c r="DG7" s="22">
        <f>Calc_Volume!DG17*Assum_Costs!$C$31*Calc_COGS!DG5/1000</f>
        <v>2248.8623490949894</v>
      </c>
      <c r="DH7" s="22">
        <f>Calc_Volume!DH17*Assum_Costs!$C$31*Calc_COGS!DH5/1000</f>
        <v>2044.4203173590813</v>
      </c>
      <c r="DI7" s="22">
        <f>Calc_Volume!DI17*Assum_Costs!$C$31*Calc_COGS!DI5/1000</f>
        <v>1839.978285623173</v>
      </c>
      <c r="DJ7" s="22">
        <f>Calc_Volume!DJ17*Assum_Costs!$C$31*Calc_COGS!DJ5/1000</f>
        <v>1737.7572697552189</v>
      </c>
      <c r="DK7" s="22">
        <f>Calc_Volume!DK17*Assum_Costs!$C$31*Calc_COGS!DK5/1000</f>
        <v>1635.536253887265</v>
      </c>
      <c r="DL7" s="22">
        <f>Calc_Volume!DL17*Assum_Costs!$C$31*Calc_COGS!DL5/1000</f>
        <v>1635.536253887265</v>
      </c>
      <c r="DM7" s="22">
        <f>Calc_Volume!DM17*Assum_Costs!$C$31*Calc_COGS!DM5/1000</f>
        <v>1737.7572697552189</v>
      </c>
      <c r="DN7" s="22">
        <f>Calc_Volume!DN17*Assum_Costs!$C$31*Calc_COGS!DN5/1000</f>
        <v>1942.199301491127</v>
      </c>
      <c r="DO7" s="22">
        <f>Calc_Volume!DO17*Assum_Costs!$C$31*Calc_COGS!DO5/1000</f>
        <v>2146.6413332270349</v>
      </c>
      <c r="DP7" s="22">
        <f>Calc_Volume!DP17*Assum_Costs!$C$31*Calc_COGS!DP5/1000</f>
        <v>2351.0833649629435</v>
      </c>
      <c r="DQ7" s="22">
        <f>Calc_Volume!DQ17*Assum_Costs!$C$31*Calc_COGS!DQ5/1000</f>
        <v>2862.1884443027134</v>
      </c>
    </row>
    <row r="8" spans="1:121" ht="15" customHeight="1">
      <c r="A8" t="s">
        <v>453</v>
      </c>
      <c r="B8" s="22">
        <f>Calc_Volume!B18*(Assum_Costs!$C$32+Assum_Costs!$C$33)*Calc_COGS!B5/1000</f>
        <v>1219</v>
      </c>
      <c r="C8" s="22">
        <f>Calc_Volume!C18*(Assum_Costs!$C$32+Assum_Costs!$C$33)*Calc_COGS!C5/1000</f>
        <v>1166.0000000000005</v>
      </c>
      <c r="D8" s="22">
        <f>Calc_Volume!D18*(Assum_Costs!$C$32+Assum_Costs!$C$33)*Calc_COGS!D5/1000</f>
        <v>1060.0000000000002</v>
      </c>
      <c r="E8" s="22">
        <f>Calc_Volume!E18*(Assum_Costs!$C$32+Assum_Costs!$C$33)*Calc_COGS!E5/1000</f>
        <v>954.00000000000023</v>
      </c>
      <c r="F8" s="22">
        <f>Calc_Volume!F18*(Assum_Costs!$C$32+Assum_Costs!$C$33)*Calc_COGS!F5/1000</f>
        <v>901.00000000000023</v>
      </c>
      <c r="G8" s="22">
        <f>Calc_Volume!G18*(Assum_Costs!$C$32+Assum_Costs!$C$33)*Calc_COGS!G5/1000</f>
        <v>848.00000000000023</v>
      </c>
      <c r="H8" s="22">
        <f>Calc_Volume!H18*(Assum_Costs!$C$32+Assum_Costs!$C$33)*Calc_COGS!H5/1000</f>
        <v>848.00000000000023</v>
      </c>
      <c r="I8" s="22">
        <f>Calc_Volume!I18*(Assum_Costs!$C$32+Assum_Costs!$C$33)*Calc_COGS!I5/1000</f>
        <v>901.00000000000023</v>
      </c>
      <c r="J8" s="22">
        <f>Calc_Volume!J18*(Assum_Costs!$C$32+Assum_Costs!$C$33)*Calc_COGS!J5/1000</f>
        <v>1007</v>
      </c>
      <c r="K8" s="22">
        <f>Calc_Volume!K18*(Assum_Costs!$C$32+Assum_Costs!$C$33)*Calc_COGS!K5/1000</f>
        <v>1113.0000000000002</v>
      </c>
      <c r="L8" s="22">
        <f>Calc_Volume!L18*(Assum_Costs!$C$32+Assum_Costs!$C$33)*Calc_COGS!L5/1000</f>
        <v>1219</v>
      </c>
      <c r="M8" s="22">
        <f>Calc_Volume!M18*(Assum_Costs!$C$32+Assum_Costs!$C$33)*Calc_COGS!M5/1000</f>
        <v>1484.0000000000002</v>
      </c>
      <c r="N8" s="22">
        <f>Calc_Volume!N18*(Assum_Costs!$C$32+Assum_Costs!$C$33)*Calc_COGS!N5/1000</f>
        <v>1349.4330000000002</v>
      </c>
      <c r="O8" s="22">
        <f>Calc_Volume!O18*(Assum_Costs!$C$32+Assum_Costs!$C$33)*Calc_COGS!O5/1000</f>
        <v>1290.7620000000004</v>
      </c>
      <c r="P8" s="22">
        <f>Calc_Volume!P18*(Assum_Costs!$C$32+Assum_Costs!$C$33)*Calc_COGS!P5/1000</f>
        <v>1173.4200000000003</v>
      </c>
      <c r="Q8" s="22">
        <f>Calc_Volume!Q18*(Assum_Costs!$C$32+Assum_Costs!$C$33)*Calc_COGS!Q5/1000</f>
        <v>1056.0780000000002</v>
      </c>
      <c r="R8" s="22">
        <f>Calc_Volume!R18*(Assum_Costs!$C$32+Assum_Costs!$C$33)*Calc_COGS!R5/1000</f>
        <v>997.40700000000015</v>
      </c>
      <c r="S8" s="22">
        <f>Calc_Volume!S18*(Assum_Costs!$C$32+Assum_Costs!$C$33)*Calc_COGS!S5/1000</f>
        <v>938.73600000000022</v>
      </c>
      <c r="T8" s="22">
        <f>Calc_Volume!T18*(Assum_Costs!$C$32+Assum_Costs!$C$33)*Calc_COGS!T5/1000</f>
        <v>938.73600000000022</v>
      </c>
      <c r="U8" s="22">
        <f>Calc_Volume!U18*(Assum_Costs!$C$32+Assum_Costs!$C$33)*Calc_COGS!U5/1000</f>
        <v>997.40700000000015</v>
      </c>
      <c r="V8" s="22">
        <f>Calc_Volume!V18*(Assum_Costs!$C$32+Assum_Costs!$C$33)*Calc_COGS!V5/1000</f>
        <v>1114.7490000000003</v>
      </c>
      <c r="W8" s="22">
        <f>Calc_Volume!W18*(Assum_Costs!$C$32+Assum_Costs!$C$33)*Calc_COGS!W5/1000</f>
        <v>1232.0910000000001</v>
      </c>
      <c r="X8" s="22">
        <f>Calc_Volume!X18*(Assum_Costs!$C$32+Assum_Costs!$C$33)*Calc_COGS!X5/1000</f>
        <v>1349.4330000000002</v>
      </c>
      <c r="Y8" s="22">
        <f>Calc_Volume!Y18*(Assum_Costs!$C$32+Assum_Costs!$C$33)*Calc_COGS!Y5/1000</f>
        <v>1642.788</v>
      </c>
      <c r="Z8" s="22">
        <f>Calc_Volume!Z18*(Assum_Costs!$C$32+Assum_Costs!$C$33)*Calc_COGS!Z5/1000</f>
        <v>1493.8223310000003</v>
      </c>
      <c r="AA8" s="22">
        <f>Calc_Volume!AA18*(Assum_Costs!$C$32+Assum_Costs!$C$33)*Calc_COGS!AA5/1000</f>
        <v>1428.8735340000007</v>
      </c>
      <c r="AB8" s="22">
        <f>Calc_Volume!AB18*(Assum_Costs!$C$32+Assum_Costs!$C$33)*Calc_COGS!AB5/1000</f>
        <v>1298.9759400000003</v>
      </c>
      <c r="AC8" s="22">
        <f>Calc_Volume!AC18*(Assum_Costs!$C$32+Assum_Costs!$C$33)*Calc_COGS!AC5/1000</f>
        <v>1169.0783460000005</v>
      </c>
      <c r="AD8" s="22">
        <f>Calc_Volume!AD18*(Assum_Costs!$C$32+Assum_Costs!$C$33)*Calc_COGS!AD5/1000</f>
        <v>1104.1295490000005</v>
      </c>
      <c r="AE8" s="22">
        <f>Calc_Volume!AE18*(Assum_Costs!$C$32+Assum_Costs!$C$33)*Calc_COGS!AE5/1000</f>
        <v>1039.1807520000004</v>
      </c>
      <c r="AF8" s="22">
        <f>Calc_Volume!AF18*(Assum_Costs!$C$32+Assum_Costs!$C$33)*Calc_COGS!AF5/1000</f>
        <v>1039.1807520000004</v>
      </c>
      <c r="AG8" s="22">
        <f>Calc_Volume!AG18*(Assum_Costs!$C$32+Assum_Costs!$C$33)*Calc_COGS!AG5/1000</f>
        <v>1104.1295490000005</v>
      </c>
      <c r="AH8" s="22">
        <f>Calc_Volume!AH18*(Assum_Costs!$C$32+Assum_Costs!$C$33)*Calc_COGS!AH5/1000</f>
        <v>1234.027143</v>
      </c>
      <c r="AI8" s="22">
        <f>Calc_Volume!AI18*(Assum_Costs!$C$32+Assum_Costs!$C$33)*Calc_COGS!AI5/1000</f>
        <v>1363.9247370000005</v>
      </c>
      <c r="AJ8" s="22">
        <f>Calc_Volume!AJ18*(Assum_Costs!$C$32+Assum_Costs!$C$33)*Calc_COGS!AJ5/1000</f>
        <v>1493.8223310000003</v>
      </c>
      <c r="AK8" s="22">
        <f>Calc_Volume!AK18*(Assum_Costs!$C$32+Assum_Costs!$C$33)*Calc_COGS!AK5/1000</f>
        <v>1818.5663160000001</v>
      </c>
      <c r="AL8" s="22">
        <f>Calc_Volume!AL18*(Assum_Costs!$C$32+Assum_Costs!$C$33)*Calc_COGS!AL5/1000</f>
        <v>1623.0379626315002</v>
      </c>
      <c r="AM8" s="22">
        <f>Calc_Volume!AM18*(Assum_Costs!$C$32+Assum_Costs!$C$33)*Calc_COGS!AM5/1000</f>
        <v>1552.4710946910009</v>
      </c>
      <c r="AN8" s="22">
        <f>Calc_Volume!AN18*(Assum_Costs!$C$32+Assum_Costs!$C$33)*Calc_COGS!AN5/1000</f>
        <v>1411.3373588100001</v>
      </c>
      <c r="AO8" s="22">
        <f>Calc_Volume!AO18*(Assum_Costs!$C$32+Assum_Costs!$C$33)*Calc_COGS!AO5/1000</f>
        <v>1270.2036229290004</v>
      </c>
      <c r="AP8" s="22">
        <f>Calc_Volume!AP18*(Assum_Costs!$C$32+Assum_Costs!$C$33)*Calc_COGS!AP5/1000</f>
        <v>1199.6367549885003</v>
      </c>
      <c r="AQ8" s="22">
        <f>Calc_Volume!AQ18*(Assum_Costs!$C$32+Assum_Costs!$C$33)*Calc_COGS!AQ5/1000</f>
        <v>1129.0698870480005</v>
      </c>
      <c r="AR8" s="22">
        <f>Calc_Volume!AR18*(Assum_Costs!$C$32+Assum_Costs!$C$33)*Calc_COGS!AR5/1000</f>
        <v>1129.0698870480005</v>
      </c>
      <c r="AS8" s="22">
        <f>Calc_Volume!AS18*(Assum_Costs!$C$32+Assum_Costs!$C$33)*Calc_COGS!AS5/1000</f>
        <v>1199.6367549885003</v>
      </c>
      <c r="AT8" s="22">
        <f>Calc_Volume!AT18*(Assum_Costs!$C$32+Assum_Costs!$C$33)*Calc_COGS!AT5/1000</f>
        <v>1340.7704908695002</v>
      </c>
      <c r="AU8" s="22">
        <f>Calc_Volume!AU18*(Assum_Costs!$C$32+Assum_Costs!$C$33)*Calc_COGS!AU5/1000</f>
        <v>1481.9042267505004</v>
      </c>
      <c r="AV8" s="22">
        <f>Calc_Volume!AV18*(Assum_Costs!$C$32+Assum_Costs!$C$33)*Calc_COGS!AV5/1000</f>
        <v>1623.0379626315002</v>
      </c>
      <c r="AW8" s="22">
        <f>Calc_Volume!AW18*(Assum_Costs!$C$32+Assum_Costs!$C$33)*Calc_COGS!AW5/1000</f>
        <v>1975.8723023340001</v>
      </c>
      <c r="AX8" s="22">
        <f>Calc_Volume!AX18*(Assum_Costs!$C$32+Assum_Costs!$C$33)*Calc_COGS!AX5/1000</f>
        <v>1763.4307463991245</v>
      </c>
      <c r="AY8" s="22">
        <f>Calc_Volume!AY18*(Assum_Costs!$C$32+Assum_Costs!$C$33)*Calc_COGS!AY5/1000</f>
        <v>1686.7598443817719</v>
      </c>
      <c r="AZ8" s="22">
        <f>Calc_Volume!AZ18*(Assum_Costs!$C$32+Assum_Costs!$C$33)*Calc_COGS!AZ5/1000</f>
        <v>1533.418040347065</v>
      </c>
      <c r="BA8" s="22">
        <f>Calc_Volume!BA18*(Assum_Costs!$C$32+Assum_Costs!$C$33)*Calc_COGS!BA5/1000</f>
        <v>1380.0762363123588</v>
      </c>
      <c r="BB8" s="22">
        <f>Calc_Volume!BB18*(Assum_Costs!$C$32+Assum_Costs!$C$33)*Calc_COGS!BB5/1000</f>
        <v>1303.4053342950056</v>
      </c>
      <c r="BC8" s="22">
        <f>Calc_Volume!BC18*(Assum_Costs!$C$32+Assum_Costs!$C$33)*Calc_COGS!BC5/1000</f>
        <v>1226.7344322776521</v>
      </c>
      <c r="BD8" s="22">
        <f>Calc_Volume!BD18*(Assum_Costs!$C$32+Assum_Costs!$C$33)*Calc_COGS!BD5/1000</f>
        <v>1226.7344322776521</v>
      </c>
      <c r="BE8" s="22">
        <f>Calc_Volume!BE18*(Assum_Costs!$C$32+Assum_Costs!$C$33)*Calc_COGS!BE5/1000</f>
        <v>1303.4053342950056</v>
      </c>
      <c r="BF8" s="22">
        <f>Calc_Volume!BF18*(Assum_Costs!$C$32+Assum_Costs!$C$33)*Calc_COGS!BF5/1000</f>
        <v>1456.7471383297118</v>
      </c>
      <c r="BG8" s="22">
        <f>Calc_Volume!BG18*(Assum_Costs!$C$32+Assum_Costs!$C$33)*Calc_COGS!BG5/1000</f>
        <v>1610.0889423644185</v>
      </c>
      <c r="BH8" s="22">
        <f>Calc_Volume!BH18*(Assum_Costs!$C$32+Assum_Costs!$C$33)*Calc_COGS!BH5/1000</f>
        <v>1763.4307463991245</v>
      </c>
      <c r="BI8" s="22">
        <f>Calc_Volume!BI18*(Assum_Costs!$C$32+Assum_Costs!$C$33)*Calc_COGS!BI5/1000</f>
        <v>2146.7852564858908</v>
      </c>
      <c r="BJ8" s="22">
        <f>Calc_Volume!BJ18*(Assum_Costs!$C$32+Assum_Costs!$C$33)*Calc_COGS!BJ5/1000</f>
        <v>1879.817175661467</v>
      </c>
      <c r="BK8" s="22">
        <f>Calc_Volume!BK18*(Assum_Costs!$C$32+Assum_Costs!$C$33)*Calc_COGS!BK5/1000</f>
        <v>1798.0859941109686</v>
      </c>
      <c r="BL8" s="22">
        <f>Calc_Volume!BL18*(Assum_Costs!$C$32+Assum_Costs!$C$33)*Calc_COGS!BL5/1000</f>
        <v>1634.6236310099714</v>
      </c>
      <c r="BM8" s="22">
        <f>Calc_Volume!BM18*(Assum_Costs!$C$32+Assum_Costs!$C$33)*Calc_COGS!BM5/1000</f>
        <v>1471.1612679089744</v>
      </c>
      <c r="BN8" s="22">
        <f>Calc_Volume!BN18*(Assum_Costs!$C$32+Assum_Costs!$C$33)*Calc_COGS!BN5/1000</f>
        <v>1389.4300863584756</v>
      </c>
      <c r="BO8" s="22">
        <f>Calc_Volume!BO18*(Assum_Costs!$C$32+Assum_Costs!$C$33)*Calc_COGS!BO5/1000</f>
        <v>1307.6989048079772</v>
      </c>
      <c r="BP8" s="22">
        <f>Calc_Volume!BP18*(Assum_Costs!$C$32+Assum_Costs!$C$33)*Calc_COGS!BP5/1000</f>
        <v>1307.6989048079772</v>
      </c>
      <c r="BQ8" s="22">
        <f>Calc_Volume!BQ18*(Assum_Costs!$C$32+Assum_Costs!$C$33)*Calc_COGS!BQ5/1000</f>
        <v>1389.4300863584756</v>
      </c>
      <c r="BR8" s="22">
        <f>Calc_Volume!BR18*(Assum_Costs!$C$32+Assum_Costs!$C$33)*Calc_COGS!BR5/1000</f>
        <v>1552.8924494594726</v>
      </c>
      <c r="BS8" s="22">
        <f>Calc_Volume!BS18*(Assum_Costs!$C$32+Assum_Costs!$C$33)*Calc_COGS!BS5/1000</f>
        <v>1716.3548125604698</v>
      </c>
      <c r="BT8" s="22">
        <f>Calc_Volume!BT18*(Assum_Costs!$C$32+Assum_Costs!$C$33)*Calc_COGS!BT5/1000</f>
        <v>1879.817175661467</v>
      </c>
      <c r="BU8" s="22">
        <f>Calc_Volume!BU18*(Assum_Costs!$C$32+Assum_Costs!$C$33)*Calc_COGS!BU5/1000</f>
        <v>2288.4730834139596</v>
      </c>
      <c r="BV8" s="22">
        <f>Calc_Volume!BV18*(Assum_Costs!$C$32+Assum_Costs!$C$33)*Calc_COGS!BV5/1000</f>
        <v>2003.8851092551236</v>
      </c>
      <c r="BW8" s="22">
        <f>Calc_Volume!BW18*(Assum_Costs!$C$32+Assum_Costs!$C$33)*Calc_COGS!BW5/1000</f>
        <v>1916.7596697222925</v>
      </c>
      <c r="BX8" s="22">
        <f>Calc_Volume!BX18*(Assum_Costs!$C$32+Assum_Costs!$C$33)*Calc_COGS!BX5/1000</f>
        <v>1742.5087906566293</v>
      </c>
      <c r="BY8" s="22">
        <f>Calc_Volume!BY18*(Assum_Costs!$C$32+Assum_Costs!$C$33)*Calc_COGS!BY5/1000</f>
        <v>1568.2579115909662</v>
      </c>
      <c r="BZ8" s="22">
        <f>Calc_Volume!BZ18*(Assum_Costs!$C$32+Assum_Costs!$C$33)*Calc_COGS!BZ5/1000</f>
        <v>1481.1324720581351</v>
      </c>
      <c r="CA8" s="22">
        <f>Calc_Volume!CA18*(Assum_Costs!$C$32+Assum_Costs!$C$33)*Calc_COGS!CA5/1000</f>
        <v>1394.0070325253039</v>
      </c>
      <c r="CB8" s="22">
        <f>Calc_Volume!CB18*(Assum_Costs!$C$32+Assum_Costs!$C$33)*Calc_COGS!CB5/1000</f>
        <v>1394.0070325253039</v>
      </c>
      <c r="CC8" s="22">
        <f>Calc_Volume!CC18*(Assum_Costs!$C$32+Assum_Costs!$C$33)*Calc_COGS!CC5/1000</f>
        <v>1481.1324720581351</v>
      </c>
      <c r="CD8" s="22">
        <f>Calc_Volume!CD18*(Assum_Costs!$C$32+Assum_Costs!$C$33)*Calc_COGS!CD5/1000</f>
        <v>1655.3833511237976</v>
      </c>
      <c r="CE8" s="22">
        <f>Calc_Volume!CE18*(Assum_Costs!$C$32+Assum_Costs!$C$33)*Calc_COGS!CE5/1000</f>
        <v>1829.6342301894608</v>
      </c>
      <c r="CF8" s="22">
        <f>Calc_Volume!CF18*(Assum_Costs!$C$32+Assum_Costs!$C$33)*Calc_COGS!CF5/1000</f>
        <v>2003.8851092551236</v>
      </c>
      <c r="CG8" s="22">
        <f>Calc_Volume!CG18*(Assum_Costs!$C$32+Assum_Costs!$C$33)*Calc_COGS!CG5/1000</f>
        <v>2439.5123069192814</v>
      </c>
      <c r="CH8" s="22">
        <f>Calc_Volume!CH18*(Assum_Costs!$C$32+Assum_Costs!$C$33)*Calc_COGS!CH5/1000</f>
        <v>2136.1415264659613</v>
      </c>
      <c r="CI8" s="22">
        <f>Calc_Volume!CI18*(Assum_Costs!$C$32+Assum_Costs!$C$33)*Calc_COGS!CI5/1000</f>
        <v>2043.2658079239634</v>
      </c>
      <c r="CJ8" s="22">
        <f>Calc_Volume!CJ18*(Assum_Costs!$C$32+Assum_Costs!$C$33)*Calc_COGS!CJ5/1000</f>
        <v>1857.5143708399662</v>
      </c>
      <c r="CK8" s="22">
        <f>Calc_Volume!CK18*(Assum_Costs!$C$32+Assum_Costs!$C$33)*Calc_COGS!CK5/1000</f>
        <v>1671.7629337559699</v>
      </c>
      <c r="CL8" s="22">
        <f>Calc_Volume!CL18*(Assum_Costs!$C$32+Assum_Costs!$C$33)*Calc_COGS!CL5/1000</f>
        <v>1578.8872152139718</v>
      </c>
      <c r="CM8" s="22">
        <f>Calc_Volume!CM18*(Assum_Costs!$C$32+Assum_Costs!$C$33)*Calc_COGS!CM5/1000</f>
        <v>1486.0114966719732</v>
      </c>
      <c r="CN8" s="22">
        <f>Calc_Volume!CN18*(Assum_Costs!$C$32+Assum_Costs!$C$33)*Calc_COGS!CN5/1000</f>
        <v>1486.0114966719732</v>
      </c>
      <c r="CO8" s="22">
        <f>Calc_Volume!CO18*(Assum_Costs!$C$32+Assum_Costs!$C$33)*Calc_COGS!CO5/1000</f>
        <v>1578.8872152139718</v>
      </c>
      <c r="CP8" s="22">
        <f>Calc_Volume!CP18*(Assum_Costs!$C$32+Assum_Costs!$C$33)*Calc_COGS!CP5/1000</f>
        <v>1764.6386522979678</v>
      </c>
      <c r="CQ8" s="22">
        <f>Calc_Volume!CQ18*(Assum_Costs!$C$32+Assum_Costs!$C$33)*Calc_COGS!CQ5/1000</f>
        <v>1950.3900893819646</v>
      </c>
      <c r="CR8" s="22">
        <f>Calc_Volume!CR18*(Assum_Costs!$C$32+Assum_Costs!$C$33)*Calc_COGS!CR5/1000</f>
        <v>2136.1415264659613</v>
      </c>
      <c r="CS8" s="22">
        <f>Calc_Volume!CS18*(Assum_Costs!$C$32+Assum_Costs!$C$33)*Calc_COGS!CS5/1000</f>
        <v>2600.5201191759525</v>
      </c>
      <c r="CT8" s="22">
        <f>Calc_Volume!CT18*(Assum_Costs!$C$32+Assum_Costs!$C$33)*Calc_COGS!CT5/1000</f>
        <v>2277.1268672127144</v>
      </c>
      <c r="CU8" s="22">
        <f>Calc_Volume!CU18*(Assum_Costs!$C$32+Assum_Costs!$C$33)*Calc_COGS!CU5/1000</f>
        <v>2178.1213512469449</v>
      </c>
      <c r="CV8" s="22">
        <f>Calc_Volume!CV18*(Assum_Costs!$C$32+Assum_Costs!$C$33)*Calc_COGS!CV5/1000</f>
        <v>1980.1103193154042</v>
      </c>
      <c r="CW8" s="22">
        <f>Calc_Volume!CW18*(Assum_Costs!$C$32+Assum_Costs!$C$33)*Calc_COGS!CW5/1000</f>
        <v>1782.0992873838638</v>
      </c>
      <c r="CX8" s="22">
        <f>Calc_Volume!CX18*(Assum_Costs!$C$32+Assum_Costs!$C$33)*Calc_COGS!CX5/1000</f>
        <v>1683.0937714180934</v>
      </c>
      <c r="CY8" s="22">
        <f>Calc_Volume!CY18*(Assum_Costs!$C$32+Assum_Costs!$C$33)*Calc_COGS!CY5/1000</f>
        <v>1584.0882554523234</v>
      </c>
      <c r="CZ8" s="22">
        <f>Calc_Volume!CZ18*(Assum_Costs!$C$32+Assum_Costs!$C$33)*Calc_COGS!CZ5/1000</f>
        <v>1584.0882554523234</v>
      </c>
      <c r="DA8" s="22">
        <f>Calc_Volume!DA18*(Assum_Costs!$C$32+Assum_Costs!$C$33)*Calc_COGS!DA5/1000</f>
        <v>1683.0937714180934</v>
      </c>
      <c r="DB8" s="22">
        <f>Calc_Volume!DB18*(Assum_Costs!$C$32+Assum_Costs!$C$33)*Calc_COGS!DB5/1000</f>
        <v>1881.1048033496338</v>
      </c>
      <c r="DC8" s="22">
        <f>Calc_Volume!DC18*(Assum_Costs!$C$32+Assum_Costs!$C$33)*Calc_COGS!DC5/1000</f>
        <v>2079.1158352811744</v>
      </c>
      <c r="DD8" s="22">
        <f>Calc_Volume!DD18*(Assum_Costs!$C$32+Assum_Costs!$C$33)*Calc_COGS!DD5/1000</f>
        <v>2277.1268672127144</v>
      </c>
      <c r="DE8" s="22">
        <f>Calc_Volume!DE18*(Assum_Costs!$C$32+Assum_Costs!$C$33)*Calc_COGS!DE5/1000</f>
        <v>2772.1544470415656</v>
      </c>
      <c r="DF8" s="22">
        <f>Calc_Volume!DF18*(Assum_Costs!$C$32+Assum_Costs!$C$33)*Calc_COGS!DF5/1000</f>
        <v>2427.417240448754</v>
      </c>
      <c r="DG8" s="22">
        <f>Calc_Volume!DG18*(Assum_Costs!$C$32+Assum_Costs!$C$33)*Calc_COGS!DG5/1000</f>
        <v>2321.8773604292428</v>
      </c>
      <c r="DH8" s="22">
        <f>Calc_Volume!DH18*(Assum_Costs!$C$32+Assum_Costs!$C$33)*Calc_COGS!DH5/1000</f>
        <v>2110.7976003902204</v>
      </c>
      <c r="DI8" s="22">
        <f>Calc_Volume!DI18*(Assum_Costs!$C$32+Assum_Costs!$C$33)*Calc_COGS!DI5/1000</f>
        <v>1899.7178403511987</v>
      </c>
      <c r="DJ8" s="22">
        <f>Calc_Volume!DJ18*(Assum_Costs!$C$32+Assum_Costs!$C$33)*Calc_COGS!DJ5/1000</f>
        <v>1794.1779603316872</v>
      </c>
      <c r="DK8" s="22">
        <f>Calc_Volume!DK18*(Assum_Costs!$C$32+Assum_Costs!$C$33)*Calc_COGS!DK5/1000</f>
        <v>1688.6380803121765</v>
      </c>
      <c r="DL8" s="22">
        <f>Calc_Volume!DL18*(Assum_Costs!$C$32+Assum_Costs!$C$33)*Calc_COGS!DL5/1000</f>
        <v>1688.6380803121765</v>
      </c>
      <c r="DM8" s="22">
        <f>Calc_Volume!DM18*(Assum_Costs!$C$32+Assum_Costs!$C$33)*Calc_COGS!DM5/1000</f>
        <v>1794.1779603316872</v>
      </c>
      <c r="DN8" s="22">
        <f>Calc_Volume!DN18*(Assum_Costs!$C$32+Assum_Costs!$C$33)*Calc_COGS!DN5/1000</f>
        <v>2005.2577203707099</v>
      </c>
      <c r="DO8" s="22">
        <f>Calc_Volume!DO18*(Assum_Costs!$C$32+Assum_Costs!$C$33)*Calc_COGS!DO5/1000</f>
        <v>2216.3374804097316</v>
      </c>
      <c r="DP8" s="22">
        <f>Calc_Volume!DP18*(Assum_Costs!$C$32+Assum_Costs!$C$33)*Calc_COGS!DP5/1000</f>
        <v>2427.417240448754</v>
      </c>
      <c r="DQ8" s="22">
        <f>Calc_Volume!DQ18*(Assum_Costs!$C$32+Assum_Costs!$C$33)*Calc_COGS!DQ5/1000</f>
        <v>2955.1166405463086</v>
      </c>
    </row>
    <row r="9" spans="1:121" ht="15" customHeight="1">
      <c r="A9" t="s">
        <v>321</v>
      </c>
      <c r="B9" s="22">
        <f>Calc_Volume!B14*Assum_Costs!$C$34*Calc_COGS!B5/1000</f>
        <v>613.33333333333326</v>
      </c>
      <c r="C9" s="22">
        <f>Calc_Volume!C14*Assum_Costs!$C$34*Calc_COGS!C5/1000</f>
        <v>586.66666666666674</v>
      </c>
      <c r="D9" s="22">
        <f>Calc_Volume!D14*Assum_Costs!$C$34*Calc_COGS!D5/1000</f>
        <v>533.33333333333337</v>
      </c>
      <c r="E9" s="22">
        <f>Calc_Volume!E14*Assum_Costs!$C$34*Calc_COGS!E5/1000</f>
        <v>480</v>
      </c>
      <c r="F9" s="22">
        <f>Calc_Volume!F14*Assum_Costs!$C$34*Calc_COGS!F5/1000</f>
        <v>453.33333333333337</v>
      </c>
      <c r="G9" s="22">
        <f>Calc_Volume!G14*Assum_Costs!$C$34*Calc_COGS!G5/1000</f>
        <v>426.66666666666674</v>
      </c>
      <c r="H9" s="22">
        <f>Calc_Volume!H14*Assum_Costs!$C$34*Calc_COGS!H5/1000</f>
        <v>426.66666666666674</v>
      </c>
      <c r="I9" s="22">
        <f>Calc_Volume!I14*Assum_Costs!$C$34*Calc_COGS!I5/1000</f>
        <v>453.33333333333337</v>
      </c>
      <c r="J9" s="22">
        <f>Calc_Volume!J14*Assum_Costs!$C$34*Calc_COGS!J5/1000</f>
        <v>506.66666666666663</v>
      </c>
      <c r="K9" s="22">
        <f>Calc_Volume!K14*Assum_Costs!$C$34*Calc_COGS!K5/1000</f>
        <v>560</v>
      </c>
      <c r="L9" s="22">
        <f>Calc_Volume!L14*Assum_Costs!$C$34*Calc_COGS!L5/1000</f>
        <v>613.33333333333326</v>
      </c>
      <c r="M9" s="22">
        <f>Calc_Volume!M14*Assum_Costs!$C$34*Calc_COGS!M5/1000</f>
        <v>746.66666666666663</v>
      </c>
      <c r="N9" s="22">
        <f>Calc_Volume!N14*Assum_Costs!$C$34*Calc_COGS!N5/1000</f>
        <v>678.95999999999992</v>
      </c>
      <c r="O9" s="22">
        <f>Calc_Volume!O14*Assum_Costs!$C$34*Calc_COGS!O5/1000</f>
        <v>649.44000000000017</v>
      </c>
      <c r="P9" s="22">
        <f>Calc_Volume!P14*Assum_Costs!$C$34*Calc_COGS!P5/1000</f>
        <v>590.4</v>
      </c>
      <c r="Q9" s="22">
        <f>Calc_Volume!Q14*Assum_Costs!$C$34*Calc_COGS!Q5/1000</f>
        <v>531.36</v>
      </c>
      <c r="R9" s="22">
        <f>Calc_Volume!R14*Assum_Costs!$C$34*Calc_COGS!R5/1000</f>
        <v>501.83999999999992</v>
      </c>
      <c r="S9" s="22">
        <f>Calc_Volume!S14*Assum_Costs!$C$34*Calc_COGS!S5/1000</f>
        <v>472.32000000000005</v>
      </c>
      <c r="T9" s="22">
        <f>Calc_Volume!T14*Assum_Costs!$C$34*Calc_COGS!T5/1000</f>
        <v>472.32000000000005</v>
      </c>
      <c r="U9" s="22">
        <f>Calc_Volume!U14*Assum_Costs!$C$34*Calc_COGS!U5/1000</f>
        <v>501.83999999999992</v>
      </c>
      <c r="V9" s="22">
        <f>Calc_Volume!V14*Assum_Costs!$C$34*Calc_COGS!V5/1000</f>
        <v>560.88</v>
      </c>
      <c r="W9" s="22">
        <f>Calc_Volume!W14*Assum_Costs!$C$34*Calc_COGS!W5/1000</f>
        <v>619.91999999999996</v>
      </c>
      <c r="X9" s="22">
        <f>Calc_Volume!X14*Assum_Costs!$C$34*Calc_COGS!X5/1000</f>
        <v>678.95999999999992</v>
      </c>
      <c r="Y9" s="22">
        <f>Calc_Volume!Y14*Assum_Costs!$C$34*Calc_COGS!Y5/1000</f>
        <v>826.55999999999983</v>
      </c>
      <c r="Z9" s="22">
        <f>Calc_Volume!Z14*Assum_Costs!$C$34*Calc_COGS!Z5/1000</f>
        <v>751.60871999999995</v>
      </c>
      <c r="AA9" s="22">
        <f>Calc_Volume!AA14*Assum_Costs!$C$34*Calc_COGS!AA5/1000</f>
        <v>718.9300800000002</v>
      </c>
      <c r="AB9" s="22">
        <f>Calc_Volume!AB14*Assum_Costs!$C$34*Calc_COGS!AB5/1000</f>
        <v>653.57279999999992</v>
      </c>
      <c r="AC9" s="22">
        <f>Calc_Volume!AC14*Assum_Costs!$C$34*Calc_COGS!AC5/1000</f>
        <v>588.21551999999986</v>
      </c>
      <c r="AD9" s="22">
        <f>Calc_Volume!AD14*Assum_Costs!$C$34*Calc_COGS!AD5/1000</f>
        <v>555.53688000000011</v>
      </c>
      <c r="AE9" s="22">
        <f>Calc_Volume!AE14*Assum_Costs!$C$34*Calc_COGS!AE5/1000</f>
        <v>522.85824000000014</v>
      </c>
      <c r="AF9" s="22">
        <f>Calc_Volume!AF14*Assum_Costs!$C$34*Calc_COGS!AF5/1000</f>
        <v>522.85824000000014</v>
      </c>
      <c r="AG9" s="22">
        <f>Calc_Volume!AG14*Assum_Costs!$C$34*Calc_COGS!AG5/1000</f>
        <v>555.53688000000011</v>
      </c>
      <c r="AH9" s="22">
        <f>Calc_Volume!AH14*Assum_Costs!$C$34*Calc_COGS!AH5/1000</f>
        <v>620.89415999999994</v>
      </c>
      <c r="AI9" s="22">
        <f>Calc_Volume!AI14*Assum_Costs!$C$34*Calc_COGS!AI5/1000</f>
        <v>686.25144000000012</v>
      </c>
      <c r="AJ9" s="22">
        <f>Calc_Volume!AJ14*Assum_Costs!$C$34*Calc_COGS!AJ5/1000</f>
        <v>751.60871999999995</v>
      </c>
      <c r="AK9" s="22">
        <f>Calc_Volume!AK14*Assum_Costs!$C$34*Calc_COGS!AK5/1000</f>
        <v>915.00192000000004</v>
      </c>
      <c r="AL9" s="22">
        <f>Calc_Volume!AL14*Assum_Costs!$C$34*Calc_COGS!AL5/1000</f>
        <v>816.62287427999991</v>
      </c>
      <c r="AM9" s="22">
        <f>Calc_Volume!AM14*Assum_Costs!$C$34*Calc_COGS!AM5/1000</f>
        <v>781.11753192000026</v>
      </c>
      <c r="AN9" s="22">
        <f>Calc_Volume!AN14*Assum_Costs!$C$34*Calc_COGS!AN5/1000</f>
        <v>710.10684719999995</v>
      </c>
      <c r="AO9" s="22">
        <f>Calc_Volume!AO14*Assum_Costs!$C$34*Calc_COGS!AO5/1000</f>
        <v>639.09616247999998</v>
      </c>
      <c r="AP9" s="22">
        <f>Calc_Volume!AP14*Assum_Costs!$C$34*Calc_COGS!AP5/1000</f>
        <v>603.5908201200001</v>
      </c>
      <c r="AQ9" s="22">
        <f>Calc_Volume!AQ14*Assum_Costs!$C$34*Calc_COGS!AQ5/1000</f>
        <v>568.08547776</v>
      </c>
      <c r="AR9" s="22">
        <f>Calc_Volume!AR14*Assum_Costs!$C$34*Calc_COGS!AR5/1000</f>
        <v>568.08547776</v>
      </c>
      <c r="AS9" s="22">
        <f>Calc_Volume!AS14*Assum_Costs!$C$34*Calc_COGS!AS5/1000</f>
        <v>603.5908201200001</v>
      </c>
      <c r="AT9" s="22">
        <f>Calc_Volume!AT14*Assum_Costs!$C$34*Calc_COGS!AT5/1000</f>
        <v>674.60150483999996</v>
      </c>
      <c r="AU9" s="22">
        <f>Calc_Volume!AU14*Assum_Costs!$C$34*Calc_COGS!AU5/1000</f>
        <v>745.61218956000005</v>
      </c>
      <c r="AV9" s="22">
        <f>Calc_Volume!AV14*Assum_Costs!$C$34*Calc_COGS!AV5/1000</f>
        <v>816.62287427999991</v>
      </c>
      <c r="AW9" s="22">
        <f>Calc_Volume!AW14*Assum_Costs!$C$34*Calc_COGS!AW5/1000</f>
        <v>994.14958608000006</v>
      </c>
      <c r="AX9" s="22">
        <f>Calc_Volume!AX14*Assum_Costs!$C$34*Calc_COGS!AX5/1000</f>
        <v>887.26075290521976</v>
      </c>
      <c r="AY9" s="22">
        <f>Calc_Volume!AY14*Assum_Costs!$C$34*Calc_COGS!AY5/1000</f>
        <v>848.68419843108018</v>
      </c>
      <c r="AZ9" s="22">
        <f>Calc_Volume!AZ14*Assum_Costs!$C$34*Calc_COGS!AZ5/1000</f>
        <v>771.53108948279998</v>
      </c>
      <c r="BA9" s="22">
        <f>Calc_Volume!BA14*Assum_Costs!$C$34*Calc_COGS!BA5/1000</f>
        <v>694.37798053452002</v>
      </c>
      <c r="BB9" s="22">
        <f>Calc_Volume!BB14*Assum_Costs!$C$34*Calc_COGS!BB5/1000</f>
        <v>655.80142606037998</v>
      </c>
      <c r="BC9" s="22">
        <f>Calc_Volume!BC14*Assum_Costs!$C$34*Calc_COGS!BC5/1000</f>
        <v>617.22487158624006</v>
      </c>
      <c r="BD9" s="22">
        <f>Calc_Volume!BD14*Assum_Costs!$C$34*Calc_COGS!BD5/1000</f>
        <v>617.22487158624006</v>
      </c>
      <c r="BE9" s="22">
        <f>Calc_Volume!BE14*Assum_Costs!$C$34*Calc_COGS!BE5/1000</f>
        <v>655.80142606037998</v>
      </c>
      <c r="BF9" s="22">
        <f>Calc_Volume!BF14*Assum_Costs!$C$34*Calc_COGS!BF5/1000</f>
        <v>732.95453500865995</v>
      </c>
      <c r="BG9" s="22">
        <f>Calc_Volume!BG14*Assum_Costs!$C$34*Calc_COGS!BG5/1000</f>
        <v>810.10764395694002</v>
      </c>
      <c r="BH9" s="22">
        <f>Calc_Volume!BH14*Assum_Costs!$C$34*Calc_COGS!BH5/1000</f>
        <v>887.26075290521976</v>
      </c>
      <c r="BI9" s="22">
        <f>Calc_Volume!BI14*Assum_Costs!$C$34*Calc_COGS!BI5/1000</f>
        <v>1080.1435252759197</v>
      </c>
      <c r="BJ9" s="22">
        <f>Calc_Volume!BJ14*Assum_Costs!$C$34*Calc_COGS!BJ5/1000</f>
        <v>945.81996259696427</v>
      </c>
      <c r="BK9" s="22">
        <f>Calc_Volume!BK14*Assum_Costs!$C$34*Calc_COGS!BK5/1000</f>
        <v>904.69735552753139</v>
      </c>
      <c r="BL9" s="22">
        <f>Calc_Volume!BL14*Assum_Costs!$C$34*Calc_COGS!BL5/1000</f>
        <v>822.4521413886647</v>
      </c>
      <c r="BM9" s="22">
        <f>Calc_Volume!BM14*Assum_Costs!$C$34*Calc_COGS!BM5/1000</f>
        <v>740.20692724979824</v>
      </c>
      <c r="BN9" s="22">
        <f>Calc_Volume!BN14*Assum_Costs!$C$34*Calc_COGS!BN5/1000</f>
        <v>699.08432018036501</v>
      </c>
      <c r="BO9" s="22">
        <f>Calc_Volume!BO14*Assum_Costs!$C$34*Calc_COGS!BO5/1000</f>
        <v>657.9617131109319</v>
      </c>
      <c r="BP9" s="22">
        <f>Calc_Volume!BP14*Assum_Costs!$C$34*Calc_COGS!BP5/1000</f>
        <v>657.9617131109319</v>
      </c>
      <c r="BQ9" s="22">
        <f>Calc_Volume!BQ14*Assum_Costs!$C$34*Calc_COGS!BQ5/1000</f>
        <v>699.08432018036501</v>
      </c>
      <c r="BR9" s="22">
        <f>Calc_Volume!BR14*Assum_Costs!$C$34*Calc_COGS!BR5/1000</f>
        <v>781.32953431923136</v>
      </c>
      <c r="BS9" s="22">
        <f>Calc_Volume!BS14*Assum_Costs!$C$34*Calc_COGS!BS5/1000</f>
        <v>863.57474845809793</v>
      </c>
      <c r="BT9" s="22">
        <f>Calc_Volume!BT14*Assum_Costs!$C$34*Calc_COGS!BT5/1000</f>
        <v>945.81996259696427</v>
      </c>
      <c r="BU9" s="22">
        <f>Calc_Volume!BU14*Assum_Costs!$C$34*Calc_COGS!BU5/1000</f>
        <v>1151.4329979441306</v>
      </c>
      <c r="BV9" s="22">
        <f>Calc_Volume!BV14*Assum_Costs!$C$34*Calc_COGS!BV5/1000</f>
        <v>1008.2440801283637</v>
      </c>
      <c r="BW9" s="22">
        <f>Calc_Volume!BW14*Assum_Costs!$C$34*Calc_COGS!BW5/1000</f>
        <v>964.40738099234829</v>
      </c>
      <c r="BX9" s="22">
        <f>Calc_Volume!BX14*Assum_Costs!$C$34*Calc_COGS!BX5/1000</f>
        <v>876.73398272031636</v>
      </c>
      <c r="BY9" s="22">
        <f>Calc_Volume!BY14*Assum_Costs!$C$34*Calc_COGS!BY5/1000</f>
        <v>789.06058444828477</v>
      </c>
      <c r="BZ9" s="22">
        <f>Calc_Volume!BZ14*Assum_Costs!$C$34*Calc_COGS!BZ5/1000</f>
        <v>745.22388531226909</v>
      </c>
      <c r="CA9" s="22">
        <f>Calc_Volume!CA14*Assum_Costs!$C$34*Calc_COGS!CA5/1000</f>
        <v>701.38718617625329</v>
      </c>
      <c r="CB9" s="22">
        <f>Calc_Volume!CB14*Assum_Costs!$C$34*Calc_COGS!CB5/1000</f>
        <v>701.38718617625329</v>
      </c>
      <c r="CC9" s="22">
        <f>Calc_Volume!CC14*Assum_Costs!$C$34*Calc_COGS!CC5/1000</f>
        <v>745.22388531226909</v>
      </c>
      <c r="CD9" s="22">
        <f>Calc_Volume!CD14*Assum_Costs!$C$34*Calc_COGS!CD5/1000</f>
        <v>832.89728358430068</v>
      </c>
      <c r="CE9" s="22">
        <f>Calc_Volume!CE14*Assum_Costs!$C$34*Calc_COGS!CE5/1000</f>
        <v>920.57068185633238</v>
      </c>
      <c r="CF9" s="22">
        <f>Calc_Volume!CF14*Assum_Costs!$C$34*Calc_COGS!CF5/1000</f>
        <v>1008.2440801283637</v>
      </c>
      <c r="CG9" s="22">
        <f>Calc_Volume!CG14*Assum_Costs!$C$34*Calc_COGS!CG5/1000</f>
        <v>1227.4275758084432</v>
      </c>
      <c r="CH9" s="22">
        <f>Calc_Volume!CH14*Assum_Costs!$C$34*Calc_COGS!CH5/1000</f>
        <v>1074.7881894168358</v>
      </c>
      <c r="CI9" s="22">
        <f>Calc_Volume!CI14*Assum_Costs!$C$34*Calc_COGS!CI5/1000</f>
        <v>1028.058268137843</v>
      </c>
      <c r="CJ9" s="22">
        <f>Calc_Volume!CJ14*Assum_Costs!$C$34*Calc_COGS!CJ5/1000</f>
        <v>934.59842557985723</v>
      </c>
      <c r="CK9" s="22">
        <f>Calc_Volume!CK14*Assum_Costs!$C$34*Calc_COGS!CK5/1000</f>
        <v>841.13858302187157</v>
      </c>
      <c r="CL9" s="22">
        <f>Calc_Volume!CL14*Assum_Costs!$C$34*Calc_COGS!CL5/1000</f>
        <v>794.40866174287873</v>
      </c>
      <c r="CM9" s="22">
        <f>Calc_Volume!CM14*Assum_Costs!$C$34*Calc_COGS!CM5/1000</f>
        <v>747.67874046388579</v>
      </c>
      <c r="CN9" s="22">
        <f>Calc_Volume!CN14*Assum_Costs!$C$34*Calc_COGS!CN5/1000</f>
        <v>747.67874046388579</v>
      </c>
      <c r="CO9" s="22">
        <f>Calc_Volume!CO14*Assum_Costs!$C$34*Calc_COGS!CO5/1000</f>
        <v>794.40866174287873</v>
      </c>
      <c r="CP9" s="22">
        <f>Calc_Volume!CP14*Assum_Costs!$C$34*Calc_COGS!CP5/1000</f>
        <v>887.86850430086429</v>
      </c>
      <c r="CQ9" s="22">
        <f>Calc_Volume!CQ14*Assum_Costs!$C$34*Calc_COGS!CQ5/1000</f>
        <v>981.32834685884995</v>
      </c>
      <c r="CR9" s="22">
        <f>Calc_Volume!CR14*Assum_Costs!$C$34*Calc_COGS!CR5/1000</f>
        <v>1074.7881894168358</v>
      </c>
      <c r="CS9" s="22">
        <f>Calc_Volume!CS14*Assum_Costs!$C$34*Calc_COGS!CS5/1000</f>
        <v>1308.4377958117998</v>
      </c>
      <c r="CT9" s="22">
        <f>Calc_Volume!CT14*Assum_Costs!$C$34*Calc_COGS!CT5/1000</f>
        <v>1145.7242099183468</v>
      </c>
      <c r="CU9" s="22">
        <f>Calc_Volume!CU14*Assum_Costs!$C$34*Calc_COGS!CU5/1000</f>
        <v>1095.9101138349408</v>
      </c>
      <c r="CV9" s="22">
        <f>Calc_Volume!CV14*Assum_Costs!$C$34*Calc_COGS!CV5/1000</f>
        <v>996.28192166812778</v>
      </c>
      <c r="CW9" s="22">
        <f>Calc_Volume!CW14*Assum_Costs!$C$34*Calc_COGS!CW5/1000</f>
        <v>896.65372950131507</v>
      </c>
      <c r="CX9" s="22">
        <f>Calc_Volume!CX14*Assum_Costs!$C$34*Calc_COGS!CX5/1000</f>
        <v>846.83963341790854</v>
      </c>
      <c r="CY9" s="22">
        <f>Calc_Volume!CY14*Assum_Costs!$C$34*Calc_COGS!CY5/1000</f>
        <v>797.02553733450225</v>
      </c>
      <c r="CZ9" s="22">
        <f>Calc_Volume!CZ14*Assum_Costs!$C$34*Calc_COGS!CZ5/1000</f>
        <v>797.02553733450225</v>
      </c>
      <c r="DA9" s="22">
        <f>Calc_Volume!DA14*Assum_Costs!$C$34*Calc_COGS!DA5/1000</f>
        <v>846.83963341790854</v>
      </c>
      <c r="DB9" s="22">
        <f>Calc_Volume!DB14*Assum_Costs!$C$34*Calc_COGS!DB5/1000</f>
        <v>946.46782558472125</v>
      </c>
      <c r="DC9" s="22">
        <f>Calc_Volume!DC14*Assum_Costs!$C$34*Calc_COGS!DC5/1000</f>
        <v>1046.0960177515342</v>
      </c>
      <c r="DD9" s="22">
        <f>Calc_Volume!DD14*Assum_Costs!$C$34*Calc_COGS!DD5/1000</f>
        <v>1145.7242099183468</v>
      </c>
      <c r="DE9" s="22">
        <f>Calc_Volume!DE14*Assum_Costs!$C$34*Calc_COGS!DE5/1000</f>
        <v>1394.7946903353788</v>
      </c>
      <c r="DF9" s="22">
        <f>Calc_Volume!DF14*Assum_Costs!$C$34*Calc_COGS!DF5/1000</f>
        <v>1221.3420077729577</v>
      </c>
      <c r="DG9" s="22">
        <f>Calc_Volume!DG14*Assum_Costs!$C$34*Calc_COGS!DG5/1000</f>
        <v>1168.2401813480465</v>
      </c>
      <c r="DH9" s="22">
        <f>Calc_Volume!DH14*Assum_Costs!$C$34*Calc_COGS!DH5/1000</f>
        <v>1062.036528498224</v>
      </c>
      <c r="DI9" s="22">
        <f>Calc_Volume!DI14*Assum_Costs!$C$34*Calc_COGS!DI5/1000</f>
        <v>955.83287564840168</v>
      </c>
      <c r="DJ9" s="22">
        <f>Calc_Volume!DJ14*Assum_Costs!$C$34*Calc_COGS!DJ5/1000</f>
        <v>902.73104922349046</v>
      </c>
      <c r="DK9" s="22">
        <f>Calc_Volume!DK14*Assum_Costs!$C$34*Calc_COGS!DK5/1000</f>
        <v>849.62922279857924</v>
      </c>
      <c r="DL9" s="22">
        <f>Calc_Volume!DL14*Assum_Costs!$C$34*Calc_COGS!DL5/1000</f>
        <v>849.62922279857924</v>
      </c>
      <c r="DM9" s="22">
        <f>Calc_Volume!DM14*Assum_Costs!$C$34*Calc_COGS!DM5/1000</f>
        <v>902.73104922349046</v>
      </c>
      <c r="DN9" s="22">
        <f>Calc_Volume!DN14*Assum_Costs!$C$34*Calc_COGS!DN5/1000</f>
        <v>1008.9347020733129</v>
      </c>
      <c r="DO9" s="22">
        <f>Calc_Volume!DO14*Assum_Costs!$C$34*Calc_COGS!DO5/1000</f>
        <v>1115.1383549231355</v>
      </c>
      <c r="DP9" s="22">
        <f>Calc_Volume!DP14*Assum_Costs!$C$34*Calc_COGS!DP5/1000</f>
        <v>1221.3420077729577</v>
      </c>
      <c r="DQ9" s="22">
        <f>Calc_Volume!DQ14*Assum_Costs!$C$34*Calc_COGS!DQ5/1000</f>
        <v>1486.8511398975136</v>
      </c>
    </row>
    <row r="10" spans="1:121" ht="15" customHeight="1">
      <c r="A10" t="s">
        <v>454</v>
      </c>
      <c r="B10" s="22">
        <f>Calc_Volume!B27*Assum_Costs!$C$35*Calc_COGS!B5/1000</f>
        <v>187.83333333333329</v>
      </c>
      <c r="C10" s="22">
        <f>Calc_Volume!C27*Assum_Costs!$C$35*Calc_COGS!C5/1000</f>
        <v>179.66666666666669</v>
      </c>
      <c r="D10" s="22">
        <f>Calc_Volume!D27*Assum_Costs!$C$35*Calc_COGS!D5/1000</f>
        <v>163.33333333333331</v>
      </c>
      <c r="E10" s="22">
        <f>Calc_Volume!E27*Assum_Costs!$C$35*Calc_COGS!E5/1000</f>
        <v>146.99999999999997</v>
      </c>
      <c r="F10" s="22">
        <f>Calc_Volume!F27*Assum_Costs!$C$35*Calc_COGS!F5/1000</f>
        <v>138.83333333333331</v>
      </c>
      <c r="G10" s="22">
        <f>Calc_Volume!G27*Assum_Costs!$C$35*Calc_COGS!G5/1000</f>
        <v>130.66666666666666</v>
      </c>
      <c r="H10" s="22">
        <f>Calc_Volume!H27*Assum_Costs!$C$35*Calc_COGS!H5/1000</f>
        <v>130.66666666666666</v>
      </c>
      <c r="I10" s="22">
        <f>Calc_Volume!I27*Assum_Costs!$C$35*Calc_COGS!I5/1000</f>
        <v>138.83333333333331</v>
      </c>
      <c r="J10" s="22">
        <f>Calc_Volume!J27*Assum_Costs!$C$35*Calc_COGS!J5/1000</f>
        <v>155.16666666666663</v>
      </c>
      <c r="K10" s="22">
        <f>Calc_Volume!K27*Assum_Costs!$C$35*Calc_COGS!K5/1000</f>
        <v>171.5</v>
      </c>
      <c r="L10" s="22">
        <f>Calc_Volume!L27*Assum_Costs!$C$35*Calc_COGS!L5/1000</f>
        <v>187.83333333333329</v>
      </c>
      <c r="M10" s="22">
        <f>Calc_Volume!M27*Assum_Costs!$C$35*Calc_COGS!M5/1000</f>
        <v>228.66666666666663</v>
      </c>
      <c r="N10" s="22">
        <f>Calc_Volume!N27*Assum_Costs!$C$35*Calc_COGS!N5/1000</f>
        <v>207.93149999999994</v>
      </c>
      <c r="O10" s="22">
        <f>Calc_Volume!O27*Assum_Costs!$C$35*Calc_COGS!O5/1000</f>
        <v>198.89099999999996</v>
      </c>
      <c r="P10" s="22">
        <f>Calc_Volume!P27*Assum_Costs!$C$35*Calc_COGS!P5/1000</f>
        <v>180.80999999999997</v>
      </c>
      <c r="Q10" s="22">
        <f>Calc_Volume!Q27*Assum_Costs!$C$35*Calc_COGS!Q5/1000</f>
        <v>162.72899999999993</v>
      </c>
      <c r="R10" s="22">
        <f>Calc_Volume!R27*Assum_Costs!$C$35*Calc_COGS!R5/1000</f>
        <v>153.68849999999998</v>
      </c>
      <c r="S10" s="22">
        <f>Calc_Volume!S27*Assum_Costs!$C$35*Calc_COGS!S5/1000</f>
        <v>144.64800000000002</v>
      </c>
      <c r="T10" s="22">
        <f>Calc_Volume!T27*Assum_Costs!$C$35*Calc_COGS!T5/1000</f>
        <v>144.64800000000002</v>
      </c>
      <c r="U10" s="22">
        <f>Calc_Volume!U27*Assum_Costs!$C$35*Calc_COGS!U5/1000</f>
        <v>153.68849999999998</v>
      </c>
      <c r="V10" s="22">
        <f>Calc_Volume!V27*Assum_Costs!$C$35*Calc_COGS!V5/1000</f>
        <v>171.76949999999997</v>
      </c>
      <c r="W10" s="22">
        <f>Calc_Volume!W27*Assum_Costs!$C$35*Calc_COGS!W5/1000</f>
        <v>189.85049999999998</v>
      </c>
      <c r="X10" s="22">
        <f>Calc_Volume!X27*Assum_Costs!$C$35*Calc_COGS!X5/1000</f>
        <v>207.93149999999994</v>
      </c>
      <c r="Y10" s="22">
        <f>Calc_Volume!Y27*Assum_Costs!$C$35*Calc_COGS!Y5/1000</f>
        <v>253.13399999999996</v>
      </c>
      <c r="Z10" s="22">
        <f>Calc_Volume!Z27*Assum_Costs!$C$35*Calc_COGS!Z5/1000</f>
        <v>230.18017049999997</v>
      </c>
      <c r="AA10" s="22">
        <f>Calc_Volume!AA27*Assum_Costs!$C$35*Calc_COGS!AA5/1000</f>
        <v>220.17233700000006</v>
      </c>
      <c r="AB10" s="22">
        <f>Calc_Volume!AB27*Assum_Costs!$C$35*Calc_COGS!AB5/1000</f>
        <v>200.15666999999996</v>
      </c>
      <c r="AC10" s="22">
        <f>Calc_Volume!AC27*Assum_Costs!$C$35*Calc_COGS!AC5/1000</f>
        <v>180.14100299999996</v>
      </c>
      <c r="AD10" s="22">
        <f>Calc_Volume!AD27*Assum_Costs!$C$35*Calc_COGS!AD5/1000</f>
        <v>170.13316949999998</v>
      </c>
      <c r="AE10" s="22">
        <f>Calc_Volume!AE27*Assum_Costs!$C$35*Calc_COGS!AE5/1000</f>
        <v>160.12533599999998</v>
      </c>
      <c r="AF10" s="22">
        <f>Calc_Volume!AF27*Assum_Costs!$C$35*Calc_COGS!AF5/1000</f>
        <v>160.12533599999998</v>
      </c>
      <c r="AG10" s="22">
        <f>Calc_Volume!AG27*Assum_Costs!$C$35*Calc_COGS!AG5/1000</f>
        <v>170.13316949999998</v>
      </c>
      <c r="AH10" s="22">
        <f>Calc_Volume!AH27*Assum_Costs!$C$35*Calc_COGS!AH5/1000</f>
        <v>190.14883649999996</v>
      </c>
      <c r="AI10" s="22">
        <f>Calc_Volume!AI27*Assum_Costs!$C$35*Calc_COGS!AI5/1000</f>
        <v>210.16450350000002</v>
      </c>
      <c r="AJ10" s="22">
        <f>Calc_Volume!AJ27*Assum_Costs!$C$35*Calc_COGS!AJ5/1000</f>
        <v>230.18017049999997</v>
      </c>
      <c r="AK10" s="22">
        <f>Calc_Volume!AK27*Assum_Costs!$C$35*Calc_COGS!AK5/1000</f>
        <v>280.21933799999999</v>
      </c>
      <c r="AL10" s="22">
        <f>Calc_Volume!AL27*Assum_Costs!$C$35*Calc_COGS!AL5/1000</f>
        <v>250.09075524824991</v>
      </c>
      <c r="AM10" s="22">
        <f>Calc_Volume!AM27*Assum_Costs!$C$35*Calc_COGS!AM5/1000</f>
        <v>239.21724415050005</v>
      </c>
      <c r="AN10" s="22">
        <f>Calc_Volume!AN27*Assum_Costs!$C$35*Calc_COGS!AN5/1000</f>
        <v>217.47022195499997</v>
      </c>
      <c r="AO10" s="22">
        <f>Calc_Volume!AO27*Assum_Costs!$C$35*Calc_COGS!AO5/1000</f>
        <v>195.72319975949995</v>
      </c>
      <c r="AP10" s="22">
        <f>Calc_Volume!AP27*Assum_Costs!$C$35*Calc_COGS!AP5/1000</f>
        <v>184.84968866175001</v>
      </c>
      <c r="AQ10" s="22">
        <f>Calc_Volume!AQ27*Assum_Costs!$C$35*Calc_COGS!AQ5/1000</f>
        <v>173.97617756399998</v>
      </c>
      <c r="AR10" s="22">
        <f>Calc_Volume!AR27*Assum_Costs!$C$35*Calc_COGS!AR5/1000</f>
        <v>173.97617756399998</v>
      </c>
      <c r="AS10" s="22">
        <f>Calc_Volume!AS27*Assum_Costs!$C$35*Calc_COGS!AS5/1000</f>
        <v>184.84968866175001</v>
      </c>
      <c r="AT10" s="22">
        <f>Calc_Volume!AT27*Assum_Costs!$C$35*Calc_COGS!AT5/1000</f>
        <v>206.59671085725</v>
      </c>
      <c r="AU10" s="22">
        <f>Calc_Volume!AU27*Assum_Costs!$C$35*Calc_COGS!AU5/1000</f>
        <v>228.34373305274997</v>
      </c>
      <c r="AV10" s="22">
        <f>Calc_Volume!AV27*Assum_Costs!$C$35*Calc_COGS!AV5/1000</f>
        <v>250.09075524824991</v>
      </c>
      <c r="AW10" s="22">
        <f>Calc_Volume!AW27*Assum_Costs!$C$35*Calc_COGS!AW5/1000</f>
        <v>304.45831073699998</v>
      </c>
      <c r="AX10" s="22">
        <f>Calc_Volume!AX27*Assum_Costs!$C$35*Calc_COGS!AX5/1000</f>
        <v>271.72360557722351</v>
      </c>
      <c r="AY10" s="22">
        <f>Calc_Volume!AY27*Assum_Costs!$C$35*Calc_COGS!AY5/1000</f>
        <v>259.90953576951824</v>
      </c>
      <c r="AZ10" s="22">
        <f>Calc_Volume!AZ27*Assum_Costs!$C$35*Calc_COGS!AZ5/1000</f>
        <v>236.28139615410748</v>
      </c>
      <c r="BA10" s="22">
        <f>Calc_Volume!BA27*Assum_Costs!$C$35*Calc_COGS!BA5/1000</f>
        <v>212.6532565386967</v>
      </c>
      <c r="BB10" s="22">
        <f>Calc_Volume!BB27*Assum_Costs!$C$35*Calc_COGS!BB5/1000</f>
        <v>200.83918673099132</v>
      </c>
      <c r="BC10" s="22">
        <f>Calc_Volume!BC27*Assum_Costs!$C$35*Calc_COGS!BC5/1000</f>
        <v>189.02511692328599</v>
      </c>
      <c r="BD10" s="22">
        <f>Calc_Volume!BD27*Assum_Costs!$C$35*Calc_COGS!BD5/1000</f>
        <v>189.02511692328599</v>
      </c>
      <c r="BE10" s="22">
        <f>Calc_Volume!BE27*Assum_Costs!$C$35*Calc_COGS!BE5/1000</f>
        <v>200.83918673099132</v>
      </c>
      <c r="BF10" s="22">
        <f>Calc_Volume!BF27*Assum_Costs!$C$35*Calc_COGS!BF5/1000</f>
        <v>224.4673263464021</v>
      </c>
      <c r="BG10" s="22">
        <f>Calc_Volume!BG27*Assum_Costs!$C$35*Calc_COGS!BG5/1000</f>
        <v>248.09546596181286</v>
      </c>
      <c r="BH10" s="22">
        <f>Calc_Volume!BH27*Assum_Costs!$C$35*Calc_COGS!BH5/1000</f>
        <v>271.72360557722351</v>
      </c>
      <c r="BI10" s="22">
        <f>Calc_Volume!BI27*Assum_Costs!$C$35*Calc_COGS!BI5/1000</f>
        <v>330.79395461575041</v>
      </c>
      <c r="BJ10" s="22">
        <f>Calc_Volume!BJ27*Assum_Costs!$C$35*Calc_COGS!BJ5/1000</f>
        <v>289.65736354532032</v>
      </c>
      <c r="BK10" s="22">
        <f>Calc_Volume!BK27*Assum_Costs!$C$35*Calc_COGS!BK5/1000</f>
        <v>277.06356513030647</v>
      </c>
      <c r="BL10" s="22">
        <f>Calc_Volume!BL27*Assum_Costs!$C$35*Calc_COGS!BL5/1000</f>
        <v>251.87596830027852</v>
      </c>
      <c r="BM10" s="22">
        <f>Calc_Volume!BM27*Assum_Costs!$C$35*Calc_COGS!BM5/1000</f>
        <v>226.6883714702507</v>
      </c>
      <c r="BN10" s="22">
        <f>Calc_Volume!BN27*Assum_Costs!$C$35*Calc_COGS!BN5/1000</f>
        <v>214.09457305523676</v>
      </c>
      <c r="BO10" s="22">
        <f>Calc_Volume!BO27*Assum_Costs!$C$35*Calc_COGS!BO5/1000</f>
        <v>201.50077464022283</v>
      </c>
      <c r="BP10" s="22">
        <f>Calc_Volume!BP27*Assum_Costs!$C$35*Calc_COGS!BP5/1000</f>
        <v>201.50077464022283</v>
      </c>
      <c r="BQ10" s="22">
        <f>Calc_Volume!BQ27*Assum_Costs!$C$35*Calc_COGS!BQ5/1000</f>
        <v>214.09457305523676</v>
      </c>
      <c r="BR10" s="22">
        <f>Calc_Volume!BR27*Assum_Costs!$C$35*Calc_COGS!BR5/1000</f>
        <v>239.28216988526458</v>
      </c>
      <c r="BS10" s="22">
        <f>Calc_Volume!BS27*Assum_Costs!$C$35*Calc_COGS!BS5/1000</f>
        <v>264.46976671529245</v>
      </c>
      <c r="BT10" s="22">
        <f>Calc_Volume!BT27*Assum_Costs!$C$35*Calc_COGS!BT5/1000</f>
        <v>289.65736354532032</v>
      </c>
      <c r="BU10" s="22">
        <f>Calc_Volume!BU27*Assum_Costs!$C$35*Calc_COGS!BU5/1000</f>
        <v>352.62635562038986</v>
      </c>
      <c r="BV10" s="22">
        <f>Calc_Volume!BV27*Assum_Costs!$C$35*Calc_COGS!BV5/1000</f>
        <v>308.77474953931147</v>
      </c>
      <c r="BW10" s="22">
        <f>Calc_Volume!BW27*Assum_Costs!$C$35*Calc_COGS!BW5/1000</f>
        <v>295.34976042890662</v>
      </c>
      <c r="BX10" s="22">
        <f>Calc_Volume!BX27*Assum_Costs!$C$35*Calc_COGS!BX5/1000</f>
        <v>268.49978220809692</v>
      </c>
      <c r="BY10" s="22">
        <f>Calc_Volume!BY27*Assum_Costs!$C$35*Calc_COGS!BY5/1000</f>
        <v>241.64980398728721</v>
      </c>
      <c r="BZ10" s="22">
        <f>Calc_Volume!BZ27*Assum_Costs!$C$35*Calc_COGS!BZ5/1000</f>
        <v>228.22481487688233</v>
      </c>
      <c r="CA10" s="22">
        <f>Calc_Volume!CA27*Assum_Costs!$C$35*Calc_COGS!CA5/1000</f>
        <v>214.79982576647757</v>
      </c>
      <c r="CB10" s="22">
        <f>Calc_Volume!CB27*Assum_Costs!$C$35*Calc_COGS!CB5/1000</f>
        <v>214.79982576647757</v>
      </c>
      <c r="CC10" s="22">
        <f>Calc_Volume!CC27*Assum_Costs!$C$35*Calc_COGS!CC5/1000</f>
        <v>228.22481487688233</v>
      </c>
      <c r="CD10" s="22">
        <f>Calc_Volume!CD27*Assum_Costs!$C$35*Calc_COGS!CD5/1000</f>
        <v>255.07479309769201</v>
      </c>
      <c r="CE10" s="22">
        <f>Calc_Volume!CE27*Assum_Costs!$C$35*Calc_COGS!CE5/1000</f>
        <v>281.92477131850171</v>
      </c>
      <c r="CF10" s="22">
        <f>Calc_Volume!CF27*Assum_Costs!$C$35*Calc_COGS!CF5/1000</f>
        <v>308.77474953931147</v>
      </c>
      <c r="CG10" s="22">
        <f>Calc_Volume!CG27*Assum_Costs!$C$35*Calc_COGS!CG5/1000</f>
        <v>375.89969509133562</v>
      </c>
      <c r="CH10" s="22">
        <f>Calc_Volume!CH27*Assum_Costs!$C$35*Calc_COGS!CH5/1000</f>
        <v>329.15388300890584</v>
      </c>
      <c r="CI10" s="22">
        <f>Calc_Volume!CI27*Assum_Costs!$C$35*Calc_COGS!CI5/1000</f>
        <v>314.84284461721444</v>
      </c>
      <c r="CJ10" s="22">
        <f>Calc_Volume!CJ27*Assum_Costs!$C$35*Calc_COGS!CJ5/1000</f>
        <v>286.22076783383119</v>
      </c>
      <c r="CK10" s="22">
        <f>Calc_Volume!CK27*Assum_Costs!$C$35*Calc_COGS!CK5/1000</f>
        <v>257.59869105044811</v>
      </c>
      <c r="CL10" s="22">
        <f>Calc_Volume!CL27*Assum_Costs!$C$35*Calc_COGS!CL5/1000</f>
        <v>243.2876526587566</v>
      </c>
      <c r="CM10" s="22">
        <f>Calc_Volume!CM27*Assum_Costs!$C$35*Calc_COGS!CM5/1000</f>
        <v>228.97661426706497</v>
      </c>
      <c r="CN10" s="22">
        <f>Calc_Volume!CN27*Assum_Costs!$C$35*Calc_COGS!CN5/1000</f>
        <v>228.97661426706497</v>
      </c>
      <c r="CO10" s="22">
        <f>Calc_Volume!CO27*Assum_Costs!$C$35*Calc_COGS!CO5/1000</f>
        <v>243.2876526587566</v>
      </c>
      <c r="CP10" s="22">
        <f>Calc_Volume!CP27*Assum_Costs!$C$35*Calc_COGS!CP5/1000</f>
        <v>271.90972944213962</v>
      </c>
      <c r="CQ10" s="22">
        <f>Calc_Volume!CQ27*Assum_Costs!$C$35*Calc_COGS!CQ5/1000</f>
        <v>300.53180622552276</v>
      </c>
      <c r="CR10" s="22">
        <f>Calc_Volume!CR27*Assum_Costs!$C$35*Calc_COGS!CR5/1000</f>
        <v>329.15388300890584</v>
      </c>
      <c r="CS10" s="22">
        <f>Calc_Volume!CS27*Assum_Costs!$C$35*Calc_COGS!CS5/1000</f>
        <v>400.70907496736362</v>
      </c>
      <c r="CT10" s="22">
        <f>Calc_Volume!CT27*Assum_Costs!$C$35*Calc_COGS!CT5/1000</f>
        <v>350.87803928749366</v>
      </c>
      <c r="CU10" s="22">
        <f>Calc_Volume!CU27*Assum_Costs!$C$35*Calc_COGS!CU5/1000</f>
        <v>335.6224723619506</v>
      </c>
      <c r="CV10" s="22">
        <f>Calc_Volume!CV27*Assum_Costs!$C$35*Calc_COGS!CV5/1000</f>
        <v>305.11133851086413</v>
      </c>
      <c r="CW10" s="22">
        <f>Calc_Volume!CW27*Assum_Costs!$C$35*Calc_COGS!CW5/1000</f>
        <v>274.60020465977766</v>
      </c>
      <c r="CX10" s="22">
        <f>Calc_Volume!CX27*Assum_Costs!$C$35*Calc_COGS!CX5/1000</f>
        <v>259.34463773423448</v>
      </c>
      <c r="CY10" s="22">
        <f>Calc_Volume!CY27*Assum_Costs!$C$35*Calc_COGS!CY5/1000</f>
        <v>244.08907080869133</v>
      </c>
      <c r="CZ10" s="22">
        <f>Calc_Volume!CZ27*Assum_Costs!$C$35*Calc_COGS!CZ5/1000</f>
        <v>244.08907080869133</v>
      </c>
      <c r="DA10" s="22">
        <f>Calc_Volume!DA27*Assum_Costs!$C$35*Calc_COGS!DA5/1000</f>
        <v>259.34463773423448</v>
      </c>
      <c r="DB10" s="22">
        <f>Calc_Volume!DB27*Assum_Costs!$C$35*Calc_COGS!DB5/1000</f>
        <v>289.85577158532084</v>
      </c>
      <c r="DC10" s="22">
        <f>Calc_Volume!DC27*Assum_Costs!$C$35*Calc_COGS!DC5/1000</f>
        <v>320.36690543640731</v>
      </c>
      <c r="DD10" s="22">
        <f>Calc_Volume!DD27*Assum_Costs!$C$35*Calc_COGS!DD5/1000</f>
        <v>350.87803928749366</v>
      </c>
      <c r="DE10" s="22">
        <f>Calc_Volume!DE27*Assum_Costs!$C$35*Calc_COGS!DE5/1000</f>
        <v>427.15587391520972</v>
      </c>
      <c r="DF10" s="22">
        <f>Calc_Volume!DF27*Assum_Costs!$C$35*Calc_COGS!DF5/1000</f>
        <v>374.03598988046821</v>
      </c>
      <c r="DG10" s="22">
        <f>Calc_Volume!DG27*Assum_Costs!$C$35*Calc_COGS!DG5/1000</f>
        <v>357.77355553783917</v>
      </c>
      <c r="DH10" s="22">
        <f>Calc_Volume!DH27*Assum_Costs!$C$35*Calc_COGS!DH5/1000</f>
        <v>325.2486868525811</v>
      </c>
      <c r="DI10" s="22">
        <f>Calc_Volume!DI27*Assum_Costs!$C$35*Calc_COGS!DI5/1000</f>
        <v>292.72381816732297</v>
      </c>
      <c r="DJ10" s="22">
        <f>Calc_Volume!DJ27*Assum_Costs!$C$35*Calc_COGS!DJ5/1000</f>
        <v>276.46138382469394</v>
      </c>
      <c r="DK10" s="22">
        <f>Calc_Volume!DK27*Assum_Costs!$C$35*Calc_COGS!DK5/1000</f>
        <v>260.1989494820649</v>
      </c>
      <c r="DL10" s="22">
        <f>Calc_Volume!DL27*Assum_Costs!$C$35*Calc_COGS!DL5/1000</f>
        <v>260.1989494820649</v>
      </c>
      <c r="DM10" s="22">
        <f>Calc_Volume!DM27*Assum_Costs!$C$35*Calc_COGS!DM5/1000</f>
        <v>276.46138382469394</v>
      </c>
      <c r="DN10" s="22">
        <f>Calc_Volume!DN27*Assum_Costs!$C$35*Calc_COGS!DN5/1000</f>
        <v>308.98625250995207</v>
      </c>
      <c r="DO10" s="22">
        <f>Calc_Volume!DO27*Assum_Costs!$C$35*Calc_COGS!DO5/1000</f>
        <v>341.51112119521014</v>
      </c>
      <c r="DP10" s="22">
        <f>Calc_Volume!DP27*Assum_Costs!$C$35*Calc_COGS!DP5/1000</f>
        <v>374.03598988046821</v>
      </c>
      <c r="DQ10" s="22">
        <f>Calc_Volume!DQ27*Assum_Costs!$C$35*Calc_COGS!DQ5/1000</f>
        <v>455.3481615936135</v>
      </c>
    </row>
    <row r="11" spans="1:121" ht="15" customHeight="1">
      <c r="A11" s="14" t="s">
        <v>455</v>
      </c>
      <c r="B11" s="29">
        <f t="shared" ref="B11:AG11" si="0">SUM(B7:B10)</f>
        <v>3200.8333333333335</v>
      </c>
      <c r="C11" s="29">
        <f t="shared" si="0"/>
        <v>3061.6666666666674</v>
      </c>
      <c r="D11" s="29">
        <f t="shared" si="0"/>
        <v>2783.3333333333339</v>
      </c>
      <c r="E11" s="29">
        <f t="shared" si="0"/>
        <v>2505</v>
      </c>
      <c r="F11" s="29">
        <f t="shared" si="0"/>
        <v>2365.8333333333339</v>
      </c>
      <c r="G11" s="29">
        <f t="shared" si="0"/>
        <v>2226.6666666666665</v>
      </c>
      <c r="H11" s="29">
        <f t="shared" si="0"/>
        <v>2226.6666666666665</v>
      </c>
      <c r="I11" s="29">
        <f t="shared" si="0"/>
        <v>2365.8333333333339</v>
      </c>
      <c r="J11" s="29">
        <f t="shared" si="0"/>
        <v>2644.1666666666665</v>
      </c>
      <c r="K11" s="29">
        <f t="shared" si="0"/>
        <v>2922.5</v>
      </c>
      <c r="L11" s="29">
        <f t="shared" si="0"/>
        <v>3200.8333333333335</v>
      </c>
      <c r="M11" s="29">
        <f t="shared" si="0"/>
        <v>3896.6666666666665</v>
      </c>
      <c r="N11" s="29">
        <f t="shared" si="0"/>
        <v>3543.3224999999998</v>
      </c>
      <c r="O11" s="29">
        <f t="shared" si="0"/>
        <v>3389.2650000000008</v>
      </c>
      <c r="P11" s="29">
        <f t="shared" si="0"/>
        <v>3081.1500000000005</v>
      </c>
      <c r="Q11" s="29">
        <f t="shared" si="0"/>
        <v>2773.0349999999999</v>
      </c>
      <c r="R11" s="29">
        <f t="shared" si="0"/>
        <v>2618.9775</v>
      </c>
      <c r="S11" s="29">
        <f t="shared" si="0"/>
        <v>2464.9200000000005</v>
      </c>
      <c r="T11" s="29">
        <f t="shared" si="0"/>
        <v>2464.9200000000005</v>
      </c>
      <c r="U11" s="29">
        <f t="shared" si="0"/>
        <v>2618.9775</v>
      </c>
      <c r="V11" s="29">
        <f t="shared" si="0"/>
        <v>2927.0925000000002</v>
      </c>
      <c r="W11" s="29">
        <f t="shared" si="0"/>
        <v>3235.2075</v>
      </c>
      <c r="X11" s="29">
        <f t="shared" si="0"/>
        <v>3543.3224999999998</v>
      </c>
      <c r="Y11" s="29">
        <f t="shared" si="0"/>
        <v>4313.6099999999997</v>
      </c>
      <c r="Z11" s="29">
        <f t="shared" si="0"/>
        <v>3922.4580075000003</v>
      </c>
      <c r="AA11" s="29">
        <f t="shared" si="0"/>
        <v>3751.9163550000012</v>
      </c>
      <c r="AB11" s="29">
        <f t="shared" si="0"/>
        <v>3410.8330499999997</v>
      </c>
      <c r="AC11" s="29">
        <f t="shared" si="0"/>
        <v>3069.7497450000001</v>
      </c>
      <c r="AD11" s="29">
        <f t="shared" si="0"/>
        <v>2899.2080925000005</v>
      </c>
      <c r="AE11" s="29">
        <f t="shared" si="0"/>
        <v>2728.6664400000009</v>
      </c>
      <c r="AF11" s="29">
        <f t="shared" si="0"/>
        <v>2728.6664400000009</v>
      </c>
      <c r="AG11" s="29">
        <f t="shared" si="0"/>
        <v>2899.2080925000005</v>
      </c>
      <c r="AH11" s="29">
        <f t="shared" ref="AH11:BM11" si="1">SUM(AH7:AH10)</f>
        <v>3240.2913974999997</v>
      </c>
      <c r="AI11" s="29">
        <f t="shared" si="1"/>
        <v>3581.3747025000007</v>
      </c>
      <c r="AJ11" s="29">
        <f t="shared" si="1"/>
        <v>3922.4580075000003</v>
      </c>
      <c r="AK11" s="29">
        <f t="shared" si="1"/>
        <v>4775.1662699999997</v>
      </c>
      <c r="AL11" s="29">
        <f t="shared" si="1"/>
        <v>4261.7506251487494</v>
      </c>
      <c r="AM11" s="29">
        <f t="shared" si="1"/>
        <v>4076.4571197075011</v>
      </c>
      <c r="AN11" s="29">
        <f t="shared" si="1"/>
        <v>3705.870108825</v>
      </c>
      <c r="AO11" s="29">
        <f t="shared" si="1"/>
        <v>3335.2830979425007</v>
      </c>
      <c r="AP11" s="29">
        <f t="shared" si="1"/>
        <v>3149.9895925012502</v>
      </c>
      <c r="AQ11" s="29">
        <f t="shared" si="1"/>
        <v>2964.6960870600005</v>
      </c>
      <c r="AR11" s="29">
        <f t="shared" si="1"/>
        <v>2964.6960870600005</v>
      </c>
      <c r="AS11" s="29">
        <f t="shared" si="1"/>
        <v>3149.9895925012502</v>
      </c>
      <c r="AT11" s="29">
        <f t="shared" si="1"/>
        <v>3520.5766033837504</v>
      </c>
      <c r="AU11" s="29">
        <f t="shared" si="1"/>
        <v>3891.1636142662501</v>
      </c>
      <c r="AV11" s="29">
        <f t="shared" si="1"/>
        <v>4261.7506251487494</v>
      </c>
      <c r="AW11" s="29">
        <f t="shared" si="1"/>
        <v>5188.2181523549998</v>
      </c>
      <c r="AX11" s="29">
        <f t="shared" si="1"/>
        <v>4630.3920542241167</v>
      </c>
      <c r="AY11" s="29">
        <f t="shared" si="1"/>
        <v>4429.0706605621999</v>
      </c>
      <c r="AZ11" s="29">
        <f t="shared" si="1"/>
        <v>4026.4278732383623</v>
      </c>
      <c r="BA11" s="29">
        <f t="shared" si="1"/>
        <v>3623.785085914526</v>
      </c>
      <c r="BB11" s="29">
        <f t="shared" si="1"/>
        <v>3422.4636922526088</v>
      </c>
      <c r="BC11" s="29">
        <f t="shared" si="1"/>
        <v>3221.1422985906902</v>
      </c>
      <c r="BD11" s="29">
        <f t="shared" si="1"/>
        <v>3221.1422985906902</v>
      </c>
      <c r="BE11" s="29">
        <f t="shared" si="1"/>
        <v>3422.4636922526088</v>
      </c>
      <c r="BF11" s="29">
        <f t="shared" si="1"/>
        <v>3825.1064795764441</v>
      </c>
      <c r="BG11" s="29">
        <f t="shared" si="1"/>
        <v>4227.7492669002813</v>
      </c>
      <c r="BH11" s="29">
        <f t="shared" si="1"/>
        <v>4630.3920542241167</v>
      </c>
      <c r="BI11" s="29">
        <f t="shared" si="1"/>
        <v>5636.9990225337078</v>
      </c>
      <c r="BJ11" s="29">
        <f t="shared" si="1"/>
        <v>4935.9979298029084</v>
      </c>
      <c r="BK11" s="29">
        <f t="shared" si="1"/>
        <v>4721.3893241593041</v>
      </c>
      <c r="BL11" s="29">
        <f t="shared" si="1"/>
        <v>4292.1721128720937</v>
      </c>
      <c r="BM11" s="29">
        <f t="shared" si="1"/>
        <v>3862.9549015848852</v>
      </c>
      <c r="BN11" s="29">
        <f t="shared" ref="BN11:CS11" si="2">SUM(BN7:BN10)</f>
        <v>3648.34629594128</v>
      </c>
      <c r="BO11" s="29">
        <f t="shared" si="2"/>
        <v>3433.7376902976753</v>
      </c>
      <c r="BP11" s="29">
        <f t="shared" si="2"/>
        <v>3433.7376902976753</v>
      </c>
      <c r="BQ11" s="29">
        <f t="shared" si="2"/>
        <v>3648.34629594128</v>
      </c>
      <c r="BR11" s="29">
        <f t="shared" si="2"/>
        <v>4077.5635072284886</v>
      </c>
      <c r="BS11" s="29">
        <f t="shared" si="2"/>
        <v>4506.780718515698</v>
      </c>
      <c r="BT11" s="29">
        <f t="shared" si="2"/>
        <v>4935.9979298029084</v>
      </c>
      <c r="BU11" s="29">
        <f t="shared" si="2"/>
        <v>6009.0409580209307</v>
      </c>
      <c r="BV11" s="29">
        <f t="shared" si="2"/>
        <v>5261.7737931698994</v>
      </c>
      <c r="BW11" s="29">
        <f t="shared" si="2"/>
        <v>5033.001019553818</v>
      </c>
      <c r="BX11" s="29">
        <f t="shared" si="2"/>
        <v>4575.4554723216515</v>
      </c>
      <c r="BY11" s="29">
        <f t="shared" si="2"/>
        <v>4117.9099250894869</v>
      </c>
      <c r="BZ11" s="29">
        <f t="shared" si="2"/>
        <v>3889.1371514734037</v>
      </c>
      <c r="CA11" s="29">
        <f t="shared" si="2"/>
        <v>3660.3643778573219</v>
      </c>
      <c r="CB11" s="29">
        <f t="shared" si="2"/>
        <v>3660.3643778573219</v>
      </c>
      <c r="CC11" s="29">
        <f t="shared" si="2"/>
        <v>3889.1371514734037</v>
      </c>
      <c r="CD11" s="29">
        <f t="shared" si="2"/>
        <v>4346.6826987055692</v>
      </c>
      <c r="CE11" s="29">
        <f t="shared" si="2"/>
        <v>4804.2282459377338</v>
      </c>
      <c r="CF11" s="29">
        <f t="shared" si="2"/>
        <v>5261.7737931698994</v>
      </c>
      <c r="CG11" s="29">
        <f t="shared" si="2"/>
        <v>6405.6376612503136</v>
      </c>
      <c r="CH11" s="29">
        <f t="shared" si="2"/>
        <v>5609.0508635191109</v>
      </c>
      <c r="CI11" s="29">
        <f t="shared" si="2"/>
        <v>5365.1790868443686</v>
      </c>
      <c r="CJ11" s="29">
        <f t="shared" si="2"/>
        <v>4877.4355334948796</v>
      </c>
      <c r="CK11" s="29">
        <f t="shared" si="2"/>
        <v>4389.6919801453923</v>
      </c>
      <c r="CL11" s="29">
        <f t="shared" si="2"/>
        <v>4145.8202034706483</v>
      </c>
      <c r="CM11" s="29">
        <f t="shared" si="2"/>
        <v>3901.9484267959042</v>
      </c>
      <c r="CN11" s="29">
        <f t="shared" si="2"/>
        <v>3901.9484267959042</v>
      </c>
      <c r="CO11" s="29">
        <f t="shared" si="2"/>
        <v>4145.8202034706483</v>
      </c>
      <c r="CP11" s="29">
        <f t="shared" si="2"/>
        <v>4633.5637568201355</v>
      </c>
      <c r="CQ11" s="29">
        <f t="shared" si="2"/>
        <v>5121.3073101696236</v>
      </c>
      <c r="CR11" s="29">
        <f t="shared" si="2"/>
        <v>5609.0508635191109</v>
      </c>
      <c r="CS11" s="29">
        <f t="shared" si="2"/>
        <v>6828.4097468928294</v>
      </c>
      <c r="CT11" s="29">
        <f t="shared" ref="CT11:DY11" si="3">SUM(CT7:CT10)</f>
        <v>5979.248220511372</v>
      </c>
      <c r="CU11" s="29">
        <f t="shared" si="3"/>
        <v>5719.2809065760966</v>
      </c>
      <c r="CV11" s="29">
        <f t="shared" si="3"/>
        <v>5199.3462787055414</v>
      </c>
      <c r="CW11" s="29">
        <f t="shared" si="3"/>
        <v>4679.411650834988</v>
      </c>
      <c r="CX11" s="29">
        <f t="shared" si="3"/>
        <v>4419.4443368997099</v>
      </c>
      <c r="CY11" s="29">
        <f t="shared" si="3"/>
        <v>4159.4770229644337</v>
      </c>
      <c r="CZ11" s="29">
        <f t="shared" si="3"/>
        <v>4159.4770229644337</v>
      </c>
      <c r="DA11" s="29">
        <f t="shared" si="3"/>
        <v>4419.4443368997099</v>
      </c>
      <c r="DB11" s="29">
        <f t="shared" si="3"/>
        <v>4939.3789647702642</v>
      </c>
      <c r="DC11" s="29">
        <f t="shared" si="3"/>
        <v>5459.3135926408186</v>
      </c>
      <c r="DD11" s="29">
        <f t="shared" si="3"/>
        <v>5979.248220511372</v>
      </c>
      <c r="DE11" s="29">
        <f t="shared" si="3"/>
        <v>7279.0847901877578</v>
      </c>
      <c r="DF11" s="29">
        <f t="shared" si="3"/>
        <v>6373.8786030651236</v>
      </c>
      <c r="DG11" s="29">
        <f t="shared" si="3"/>
        <v>6096.7534464101182</v>
      </c>
      <c r="DH11" s="29">
        <f t="shared" si="3"/>
        <v>5542.5031331001064</v>
      </c>
      <c r="DI11" s="29">
        <f t="shared" si="3"/>
        <v>4988.2528197900965</v>
      </c>
      <c r="DJ11" s="29">
        <f t="shared" si="3"/>
        <v>4711.1276631350902</v>
      </c>
      <c r="DK11" s="29">
        <f t="shared" si="3"/>
        <v>4434.0025064800857</v>
      </c>
      <c r="DL11" s="29">
        <f t="shared" si="3"/>
        <v>4434.0025064800857</v>
      </c>
      <c r="DM11" s="29">
        <f t="shared" si="3"/>
        <v>4711.1276631350902</v>
      </c>
      <c r="DN11" s="29">
        <f t="shared" si="3"/>
        <v>5265.3779764451019</v>
      </c>
      <c r="DO11" s="29">
        <f t="shared" si="3"/>
        <v>5819.6282897551118</v>
      </c>
      <c r="DP11" s="29">
        <f t="shared" si="3"/>
        <v>6373.8786030651236</v>
      </c>
      <c r="DQ11" s="29">
        <f t="shared" si="3"/>
        <v>7759.5043863401488</v>
      </c>
    </row>
    <row r="13" spans="1:121" ht="15" customHeight="1">
      <c r="A13" s="5" t="s">
        <v>456</v>
      </c>
    </row>
    <row r="14" spans="1:121" ht="15" customHeight="1">
      <c r="A14" t="s">
        <v>324</v>
      </c>
      <c r="B14" s="22">
        <f>Calc_Revenue!B12*Assum_Costs!$C$39</f>
        <v>1884.1523333333334</v>
      </c>
      <c r="C14" s="22">
        <f>Calc_Revenue!C12*Assum_Costs!$C$39</f>
        <v>1802.232666666667</v>
      </c>
      <c r="D14" s="22">
        <f>Calc_Revenue!D12*Assum_Costs!$C$39</f>
        <v>1638.3933333333334</v>
      </c>
      <c r="E14" s="22">
        <f>Calc_Revenue!E12*Assum_Costs!$C$39</f>
        <v>1474.5539999999999</v>
      </c>
      <c r="F14" s="22">
        <f>Calc_Revenue!F12*Assum_Costs!$C$39</f>
        <v>1392.6343333333334</v>
      </c>
      <c r="G14" s="22">
        <f>Calc_Revenue!G12*Assum_Costs!$C$39</f>
        <v>1310.714666666667</v>
      </c>
      <c r="H14" s="22">
        <f>Calc_Revenue!H12*Assum_Costs!$C$39</f>
        <v>1310.714666666667</v>
      </c>
      <c r="I14" s="22">
        <f>Calc_Revenue!I12*Assum_Costs!$C$39</f>
        <v>1392.6343333333334</v>
      </c>
      <c r="J14" s="22">
        <f>Calc_Revenue!J12*Assum_Costs!$C$39</f>
        <v>1556.4736666666668</v>
      </c>
      <c r="K14" s="22">
        <f>Calc_Revenue!K12*Assum_Costs!$C$39</f>
        <v>1720.3130000000001</v>
      </c>
      <c r="L14" s="22">
        <f>Calc_Revenue!L12*Assum_Costs!$C$39</f>
        <v>1884.1523333333334</v>
      </c>
      <c r="M14" s="22">
        <f>Calc_Revenue!M12*Assum_Costs!$C$39</f>
        <v>2293.7506666666663</v>
      </c>
      <c r="N14" s="22">
        <f>Calc_Revenue!N12*Assum_Costs!$C$39</f>
        <v>2085.756633</v>
      </c>
      <c r="O14" s="22">
        <f>Calc_Revenue!O12*Assum_Costs!$C$39</f>
        <v>1995.0715620000003</v>
      </c>
      <c r="P14" s="22">
        <f>Calc_Revenue!P12*Assum_Costs!$C$39</f>
        <v>1813.7014199999999</v>
      </c>
      <c r="Q14" s="22">
        <f>Calc_Revenue!Q12*Assum_Costs!$C$39</f>
        <v>1632.3312779999999</v>
      </c>
      <c r="R14" s="22">
        <f>Calc_Revenue!R12*Assum_Costs!$C$39</f>
        <v>1541.646207</v>
      </c>
      <c r="S14" s="22">
        <f>Calc_Revenue!S12*Assum_Costs!$C$39</f>
        <v>1450.9611360000001</v>
      </c>
      <c r="T14" s="22">
        <f>Calc_Revenue!T12*Assum_Costs!$C$39</f>
        <v>1450.9611360000001</v>
      </c>
      <c r="U14" s="22">
        <f>Calc_Revenue!U12*Assum_Costs!$C$39</f>
        <v>1541.646207</v>
      </c>
      <c r="V14" s="22">
        <f>Calc_Revenue!V12*Assum_Costs!$C$39</f>
        <v>1723.0163489999998</v>
      </c>
      <c r="W14" s="22">
        <f>Calc_Revenue!W12*Assum_Costs!$C$39</f>
        <v>1904.3864910000002</v>
      </c>
      <c r="X14" s="22">
        <f>Calc_Revenue!X12*Assum_Costs!$C$39</f>
        <v>2085.756633</v>
      </c>
      <c r="Y14" s="22">
        <f>Calc_Revenue!Y12*Assum_Costs!$C$39</f>
        <v>2539.1819879999998</v>
      </c>
      <c r="Z14" s="22">
        <f>Calc_Revenue!Z12*Assum_Costs!$C$39</f>
        <v>2308.9325927310001</v>
      </c>
      <c r="AA14" s="22">
        <f>Calc_Revenue!AA12*Assum_Costs!$C$39</f>
        <v>2208.5442191340007</v>
      </c>
      <c r="AB14" s="22">
        <f>Calc_Revenue!AB12*Assum_Costs!$C$39</f>
        <v>2007.76747194</v>
      </c>
      <c r="AC14" s="22">
        <f>Calc_Revenue!AC12*Assum_Costs!$C$39</f>
        <v>1806.9907247459998</v>
      </c>
      <c r="AD14" s="22">
        <f>Calc_Revenue!AD12*Assum_Costs!$C$39</f>
        <v>1706.6023511490005</v>
      </c>
      <c r="AE14" s="22">
        <f>Calc_Revenue!AE12*Assum_Costs!$C$39</f>
        <v>1606.2139775520002</v>
      </c>
      <c r="AF14" s="22">
        <f>Calc_Revenue!AF12*Assum_Costs!$C$39</f>
        <v>1606.2139775520002</v>
      </c>
      <c r="AG14" s="22">
        <f>Calc_Revenue!AG12*Assum_Costs!$C$39</f>
        <v>1706.6023511490005</v>
      </c>
      <c r="AH14" s="22">
        <f>Calc_Revenue!AH12*Assum_Costs!$C$39</f>
        <v>1907.3790983429999</v>
      </c>
      <c r="AI14" s="22">
        <f>Calc_Revenue!AI12*Assum_Costs!$C$39</f>
        <v>2108.155845537</v>
      </c>
      <c r="AJ14" s="22">
        <f>Calc_Revenue!AJ12*Assum_Costs!$C$39</f>
        <v>2308.9325927310001</v>
      </c>
      <c r="AK14" s="22">
        <f>Calc_Revenue!AK12*Assum_Costs!$C$39</f>
        <v>2810.8744607159997</v>
      </c>
      <c r="AL14" s="22">
        <f>Calc_Revenue!AL12*Assum_Costs!$C$39</f>
        <v>2508.6552620022312</v>
      </c>
      <c r="AM14" s="22">
        <f>Calc_Revenue!AM12*Assum_Costs!$C$39</f>
        <v>2399.5832940890919</v>
      </c>
      <c r="AN14" s="22">
        <f>Calc_Revenue!AN12*Assum_Costs!$C$39</f>
        <v>2181.4393582628104</v>
      </c>
      <c r="AO14" s="22">
        <f>Calc_Revenue!AO12*Assum_Costs!$C$39</f>
        <v>1963.295422436529</v>
      </c>
      <c r="AP14" s="22">
        <f>Calc_Revenue!AP12*Assum_Costs!$C$39</f>
        <v>1854.2234545233887</v>
      </c>
      <c r="AQ14" s="22">
        <f>Calc_Revenue!AQ12*Assum_Costs!$C$39</f>
        <v>1745.1514866102482</v>
      </c>
      <c r="AR14" s="22">
        <f>Calc_Revenue!AR12*Assum_Costs!$C$39</f>
        <v>1745.1514866102482</v>
      </c>
      <c r="AS14" s="22">
        <f>Calc_Revenue!AS12*Assum_Costs!$C$39</f>
        <v>1854.2234545233887</v>
      </c>
      <c r="AT14" s="22">
        <f>Calc_Revenue!AT12*Assum_Costs!$C$39</f>
        <v>2072.3673903496692</v>
      </c>
      <c r="AU14" s="22">
        <f>Calc_Revenue!AU12*Assum_Costs!$C$39</f>
        <v>2290.5113261759507</v>
      </c>
      <c r="AV14" s="22">
        <f>Calc_Revenue!AV12*Assum_Costs!$C$39</f>
        <v>2508.6552620022312</v>
      </c>
      <c r="AW14" s="22">
        <f>Calc_Revenue!AW12*Assum_Costs!$C$39</f>
        <v>3054.0151015679339</v>
      </c>
      <c r="AX14" s="22">
        <f>Calc_Revenue!AX12*Assum_Costs!$C$39</f>
        <v>2725.6539421654243</v>
      </c>
      <c r="AY14" s="22">
        <f>Calc_Revenue!AY12*Assum_Costs!$C$39</f>
        <v>2607.1472490277979</v>
      </c>
      <c r="AZ14" s="22">
        <f>Calc_Revenue!AZ12*Assum_Costs!$C$39</f>
        <v>2370.1338627525433</v>
      </c>
      <c r="BA14" s="22">
        <f>Calc_Revenue!BA12*Assum_Costs!$C$39</f>
        <v>2133.1204764772883</v>
      </c>
      <c r="BB14" s="22">
        <f>Calc_Revenue!BB12*Assum_Costs!$C$39</f>
        <v>2014.6137833396617</v>
      </c>
      <c r="BC14" s="22">
        <f>Calc_Revenue!BC12*Assum_Costs!$C$39</f>
        <v>1896.1070902020347</v>
      </c>
      <c r="BD14" s="22">
        <f>Calc_Revenue!BD12*Assum_Costs!$C$39</f>
        <v>1896.1070902020347</v>
      </c>
      <c r="BE14" s="22">
        <f>Calc_Revenue!BE12*Assum_Costs!$C$39</f>
        <v>2014.6137833396617</v>
      </c>
      <c r="BF14" s="22">
        <f>Calc_Revenue!BF12*Assum_Costs!$C$39</f>
        <v>2251.6271696149161</v>
      </c>
      <c r="BG14" s="22">
        <f>Calc_Revenue!BG12*Assum_Costs!$C$39</f>
        <v>2488.6405558901706</v>
      </c>
      <c r="BH14" s="22">
        <f>Calc_Revenue!BH12*Assum_Costs!$C$39</f>
        <v>2725.6539421654243</v>
      </c>
      <c r="BI14" s="22">
        <f>Calc_Revenue!BI12*Assum_Costs!$C$39</f>
        <v>3318.1874078535602</v>
      </c>
      <c r="BJ14" s="22">
        <f>Calc_Revenue!BJ12*Assum_Costs!$C$39</f>
        <v>2905.5471023483419</v>
      </c>
      <c r="BK14" s="22">
        <f>Calc_Revenue!BK12*Assum_Costs!$C$39</f>
        <v>2779.2189674636325</v>
      </c>
      <c r="BL14" s="22">
        <f>Calc_Revenue!BL12*Assum_Costs!$C$39</f>
        <v>2526.5626976942108</v>
      </c>
      <c r="BM14" s="22">
        <f>Calc_Revenue!BM12*Assum_Costs!$C$39</f>
        <v>2273.9064279247896</v>
      </c>
      <c r="BN14" s="22">
        <f>Calc_Revenue!BN12*Assum_Costs!$C$39</f>
        <v>2147.5782930400792</v>
      </c>
      <c r="BO14" s="22">
        <f>Calc_Revenue!BO12*Assum_Costs!$C$39</f>
        <v>2021.250158155369</v>
      </c>
      <c r="BP14" s="22">
        <f>Calc_Revenue!BP12*Assum_Costs!$C$39</f>
        <v>2021.250158155369</v>
      </c>
      <c r="BQ14" s="22">
        <f>Calc_Revenue!BQ12*Assum_Costs!$C$39</f>
        <v>2147.5782930400792</v>
      </c>
      <c r="BR14" s="22">
        <f>Calc_Revenue!BR12*Assum_Costs!$C$39</f>
        <v>2400.2345628094995</v>
      </c>
      <c r="BS14" s="22">
        <f>Calc_Revenue!BS12*Assum_Costs!$C$39</f>
        <v>2652.8908325789212</v>
      </c>
      <c r="BT14" s="22">
        <f>Calc_Revenue!BT12*Assum_Costs!$C$39</f>
        <v>2905.5471023483419</v>
      </c>
      <c r="BU14" s="22">
        <f>Calc_Revenue!BU12*Assum_Costs!$C$39</f>
        <v>3537.1877767718943</v>
      </c>
      <c r="BV14" s="22">
        <f>Calc_Revenue!BV12*Assum_Costs!$C$39</f>
        <v>3097.3132111033328</v>
      </c>
      <c r="BW14" s="22">
        <f>Calc_Revenue!BW12*Assum_Costs!$C$39</f>
        <v>2962.6474193162317</v>
      </c>
      <c r="BX14" s="22">
        <f>Calc_Revenue!BX12*Assum_Costs!$C$39</f>
        <v>2693.3158357420284</v>
      </c>
      <c r="BY14" s="22">
        <f>Calc_Revenue!BY12*Assum_Costs!$C$39</f>
        <v>2423.9842521678256</v>
      </c>
      <c r="BZ14" s="22">
        <f>Calc_Revenue!BZ12*Assum_Costs!$C$39</f>
        <v>2289.318460380724</v>
      </c>
      <c r="CA14" s="22">
        <f>Calc_Revenue!CA12*Assum_Costs!$C$39</f>
        <v>2154.6526685936228</v>
      </c>
      <c r="CB14" s="22">
        <f>Calc_Revenue!CB12*Assum_Costs!$C$39</f>
        <v>2154.6526685936228</v>
      </c>
      <c r="CC14" s="22">
        <f>Calc_Revenue!CC12*Assum_Costs!$C$39</f>
        <v>2289.318460380724</v>
      </c>
      <c r="CD14" s="22">
        <f>Calc_Revenue!CD12*Assum_Costs!$C$39</f>
        <v>2558.6500439549268</v>
      </c>
      <c r="CE14" s="22">
        <f>Calc_Revenue!CE12*Assum_Costs!$C$39</f>
        <v>2827.9816275291296</v>
      </c>
      <c r="CF14" s="22">
        <f>Calc_Revenue!CF12*Assum_Costs!$C$39</f>
        <v>3097.3132111033328</v>
      </c>
      <c r="CG14" s="22">
        <f>Calc_Revenue!CG12*Assum_Costs!$C$39</f>
        <v>3770.6421700388391</v>
      </c>
      <c r="CH14" s="22">
        <f>Calc_Revenue!CH12*Assum_Costs!$C$39</f>
        <v>3301.7358830361518</v>
      </c>
      <c r="CI14" s="22">
        <f>Calc_Revenue!CI12*Assum_Costs!$C$39</f>
        <v>3158.1821489911022</v>
      </c>
      <c r="CJ14" s="22">
        <f>Calc_Revenue!CJ12*Assum_Costs!$C$39</f>
        <v>2871.0746809010011</v>
      </c>
      <c r="CK14" s="22">
        <f>Calc_Revenue!CK12*Assum_Costs!$C$39</f>
        <v>2583.9672128109019</v>
      </c>
      <c r="CL14" s="22">
        <f>Calc_Revenue!CL12*Assum_Costs!$C$39</f>
        <v>2440.4134787658518</v>
      </c>
      <c r="CM14" s="22">
        <f>Calc_Revenue!CM12*Assum_Costs!$C$39</f>
        <v>2296.8597447208012</v>
      </c>
      <c r="CN14" s="22">
        <f>Calc_Revenue!CN12*Assum_Costs!$C$39</f>
        <v>2296.8597447208012</v>
      </c>
      <c r="CO14" s="22">
        <f>Calc_Revenue!CO12*Assum_Costs!$C$39</f>
        <v>2440.4134787658518</v>
      </c>
      <c r="CP14" s="22">
        <f>Calc_Revenue!CP12*Assum_Costs!$C$39</f>
        <v>2727.5209468559515</v>
      </c>
      <c r="CQ14" s="22">
        <f>Calc_Revenue!CQ12*Assum_Costs!$C$39</f>
        <v>3014.6284149460512</v>
      </c>
      <c r="CR14" s="22">
        <f>Calc_Revenue!CR12*Assum_Costs!$C$39</f>
        <v>3301.7358830361518</v>
      </c>
      <c r="CS14" s="22">
        <f>Calc_Revenue!CS12*Assum_Costs!$C$39</f>
        <v>4019.5045532614017</v>
      </c>
      <c r="CT14" s="22">
        <f>Calc_Revenue!CT12*Assum_Costs!$C$39</f>
        <v>3519.6504513165378</v>
      </c>
      <c r="CU14" s="22">
        <f>Calc_Revenue!CU12*Assum_Costs!$C$39</f>
        <v>3366.6221708245143</v>
      </c>
      <c r="CV14" s="22">
        <f>Calc_Revenue!CV12*Assum_Costs!$C$39</f>
        <v>3060.5656098404675</v>
      </c>
      <c r="CW14" s="22">
        <f>Calc_Revenue!CW12*Assum_Costs!$C$39</f>
        <v>2754.509048856421</v>
      </c>
      <c r="CX14" s="22">
        <f>Calc_Revenue!CX12*Assum_Costs!$C$39</f>
        <v>2601.4807683643976</v>
      </c>
      <c r="CY14" s="22">
        <f>Calc_Revenue!CY12*Assum_Costs!$C$39</f>
        <v>2448.4524878723741</v>
      </c>
      <c r="CZ14" s="22">
        <f>Calc_Revenue!CZ12*Assum_Costs!$C$39</f>
        <v>2448.4524878723741</v>
      </c>
      <c r="DA14" s="22">
        <f>Calc_Revenue!DA12*Assum_Costs!$C$39</f>
        <v>2601.4807683643976</v>
      </c>
      <c r="DB14" s="22">
        <f>Calc_Revenue!DB12*Assum_Costs!$C$39</f>
        <v>2907.537329348444</v>
      </c>
      <c r="DC14" s="22">
        <f>Calc_Revenue!DC12*Assum_Costs!$C$39</f>
        <v>3213.5938903324904</v>
      </c>
      <c r="DD14" s="22">
        <f>Calc_Revenue!DD12*Assum_Costs!$C$39</f>
        <v>3519.6504513165378</v>
      </c>
      <c r="DE14" s="22">
        <f>Calc_Revenue!DE12*Assum_Costs!$C$39</f>
        <v>4284.7918537766536</v>
      </c>
      <c r="DF14" s="22">
        <f>Calc_Revenue!DF12*Assum_Costs!$C$39</f>
        <v>3751.9473811034277</v>
      </c>
      <c r="DG14" s="22">
        <f>Calc_Revenue!DG12*Assum_Costs!$C$39</f>
        <v>3588.8192340989326</v>
      </c>
      <c r="DH14" s="22">
        <f>Calc_Revenue!DH12*Assum_Costs!$C$39</f>
        <v>3262.5629400899384</v>
      </c>
      <c r="DI14" s="22">
        <f>Calc_Revenue!DI12*Assum_Costs!$C$39</f>
        <v>2936.3066460809446</v>
      </c>
      <c r="DJ14" s="22">
        <f>Calc_Revenue!DJ12*Assum_Costs!$C$39</f>
        <v>2773.1784990764472</v>
      </c>
      <c r="DK14" s="22">
        <f>Calc_Revenue!DK12*Assum_Costs!$C$39</f>
        <v>2610.0503520719508</v>
      </c>
      <c r="DL14" s="22">
        <f>Calc_Revenue!DL12*Assum_Costs!$C$39</f>
        <v>2610.0503520719508</v>
      </c>
      <c r="DM14" s="22">
        <f>Calc_Revenue!DM12*Assum_Costs!$C$39</f>
        <v>2773.1784990764472</v>
      </c>
      <c r="DN14" s="22">
        <f>Calc_Revenue!DN12*Assum_Costs!$C$39</f>
        <v>3099.4347930854415</v>
      </c>
      <c r="DO14" s="22">
        <f>Calc_Revenue!DO12*Assum_Costs!$C$39</f>
        <v>3425.6910870944348</v>
      </c>
      <c r="DP14" s="22">
        <f>Calc_Revenue!DP12*Assum_Costs!$C$39</f>
        <v>3751.9473811034277</v>
      </c>
      <c r="DQ14" s="22">
        <f>Calc_Revenue!DQ12*Assum_Costs!$C$39</f>
        <v>4567.588116125914</v>
      </c>
    </row>
    <row r="15" spans="1:121" ht="15" customHeight="1">
      <c r="A15" t="s">
        <v>325</v>
      </c>
      <c r="B15" s="22">
        <f>Calc_Revenue!B12*Assum_Costs!$C$40</f>
        <v>2826.2285000000002</v>
      </c>
      <c r="C15" s="22">
        <f>Calc_Revenue!C12*Assum_Costs!$C$40</f>
        <v>2703.3490000000002</v>
      </c>
      <c r="D15" s="22">
        <f>Calc_Revenue!D12*Assum_Costs!$C$40</f>
        <v>2457.59</v>
      </c>
      <c r="E15" s="22">
        <f>Calc_Revenue!E12*Assum_Costs!$C$40</f>
        <v>2211.8309999999997</v>
      </c>
      <c r="F15" s="22">
        <f>Calc_Revenue!F12*Assum_Costs!$C$40</f>
        <v>2088.9515000000001</v>
      </c>
      <c r="G15" s="22">
        <f>Calc_Revenue!G12*Assum_Costs!$C$40</f>
        <v>1966.0720000000003</v>
      </c>
      <c r="H15" s="22">
        <f>Calc_Revenue!H12*Assum_Costs!$C$40</f>
        <v>1966.0720000000003</v>
      </c>
      <c r="I15" s="22">
        <f>Calc_Revenue!I12*Assum_Costs!$C$40</f>
        <v>2088.9515000000001</v>
      </c>
      <c r="J15" s="22">
        <f>Calc_Revenue!J12*Assum_Costs!$C$40</f>
        <v>2334.7105000000001</v>
      </c>
      <c r="K15" s="22">
        <f>Calc_Revenue!K12*Assum_Costs!$C$40</f>
        <v>2580.4695000000002</v>
      </c>
      <c r="L15" s="22">
        <f>Calc_Revenue!L12*Assum_Costs!$C$40</f>
        <v>2826.2285000000002</v>
      </c>
      <c r="M15" s="22">
        <f>Calc_Revenue!M12*Assum_Costs!$C$40</f>
        <v>3440.6259999999997</v>
      </c>
      <c r="N15" s="22">
        <f>Calc_Revenue!N12*Assum_Costs!$C$40</f>
        <v>3128.6349494999999</v>
      </c>
      <c r="O15" s="22">
        <f>Calc_Revenue!O12*Assum_Costs!$C$40</f>
        <v>2992.6073430000001</v>
      </c>
      <c r="P15" s="22">
        <f>Calc_Revenue!P12*Assum_Costs!$C$40</f>
        <v>2720.5521299999996</v>
      </c>
      <c r="Q15" s="22">
        <f>Calc_Revenue!Q12*Assum_Costs!$C$40</f>
        <v>2448.4969169999999</v>
      </c>
      <c r="R15" s="22">
        <f>Calc_Revenue!R12*Assum_Costs!$C$40</f>
        <v>2312.4693105000001</v>
      </c>
      <c r="S15" s="22">
        <f>Calc_Revenue!S12*Assum_Costs!$C$40</f>
        <v>2176.4417040000003</v>
      </c>
      <c r="T15" s="22">
        <f>Calc_Revenue!T12*Assum_Costs!$C$40</f>
        <v>2176.4417040000003</v>
      </c>
      <c r="U15" s="22">
        <f>Calc_Revenue!U12*Assum_Costs!$C$40</f>
        <v>2312.4693105000001</v>
      </c>
      <c r="V15" s="22">
        <f>Calc_Revenue!V12*Assum_Costs!$C$40</f>
        <v>2584.5245234999998</v>
      </c>
      <c r="W15" s="22">
        <f>Calc_Revenue!W12*Assum_Costs!$C$40</f>
        <v>2856.5797364999999</v>
      </c>
      <c r="X15" s="22">
        <f>Calc_Revenue!X12*Assum_Costs!$C$40</f>
        <v>3128.6349494999999</v>
      </c>
      <c r="Y15" s="22">
        <f>Calc_Revenue!Y12*Assum_Costs!$C$40</f>
        <v>3808.7729819999995</v>
      </c>
      <c r="Z15" s="22">
        <f>Calc_Revenue!Z12*Assum_Costs!$C$40</f>
        <v>3463.3988890964997</v>
      </c>
      <c r="AA15" s="22">
        <f>Calc_Revenue!AA12*Assum_Costs!$C$40</f>
        <v>3312.8163287010007</v>
      </c>
      <c r="AB15" s="22">
        <f>Calc_Revenue!AB12*Assum_Costs!$C$40</f>
        <v>3011.6512079099998</v>
      </c>
      <c r="AC15" s="22">
        <f>Calc_Revenue!AC12*Assum_Costs!$C$40</f>
        <v>2710.4860871189999</v>
      </c>
      <c r="AD15" s="22">
        <f>Calc_Revenue!AD12*Assum_Costs!$C$40</f>
        <v>2559.9035267235008</v>
      </c>
      <c r="AE15" s="22">
        <f>Calc_Revenue!AE12*Assum_Costs!$C$40</f>
        <v>2409.3209663279999</v>
      </c>
      <c r="AF15" s="22">
        <f>Calc_Revenue!AF12*Assum_Costs!$C$40</f>
        <v>2409.3209663279999</v>
      </c>
      <c r="AG15" s="22">
        <f>Calc_Revenue!AG12*Assum_Costs!$C$40</f>
        <v>2559.9035267235008</v>
      </c>
      <c r="AH15" s="22">
        <f>Calc_Revenue!AH12*Assum_Costs!$C$40</f>
        <v>2861.0686475144998</v>
      </c>
      <c r="AI15" s="22">
        <f>Calc_Revenue!AI12*Assum_Costs!$C$40</f>
        <v>3162.2337683054998</v>
      </c>
      <c r="AJ15" s="22">
        <f>Calc_Revenue!AJ12*Assum_Costs!$C$40</f>
        <v>3463.3988890964997</v>
      </c>
      <c r="AK15" s="22">
        <f>Calc_Revenue!AK12*Assum_Costs!$C$40</f>
        <v>4216.3116910739991</v>
      </c>
      <c r="AL15" s="22">
        <f>Calc_Revenue!AL12*Assum_Costs!$C$40</f>
        <v>3762.9828930033468</v>
      </c>
      <c r="AM15" s="22">
        <f>Calc_Revenue!AM12*Assum_Costs!$C$40</f>
        <v>3599.374941133638</v>
      </c>
      <c r="AN15" s="22">
        <f>Calc_Revenue!AN12*Assum_Costs!$C$40</f>
        <v>3272.1590373942154</v>
      </c>
      <c r="AO15" s="22">
        <f>Calc_Revenue!AO12*Assum_Costs!$C$40</f>
        <v>2944.9431336547932</v>
      </c>
      <c r="AP15" s="22">
        <f>Calc_Revenue!AP12*Assum_Costs!$C$40</f>
        <v>2781.335181785083</v>
      </c>
      <c r="AQ15" s="22">
        <f>Calc_Revenue!AQ12*Assum_Costs!$C$40</f>
        <v>2617.7272299153719</v>
      </c>
      <c r="AR15" s="22">
        <f>Calc_Revenue!AR12*Assum_Costs!$C$40</f>
        <v>2617.7272299153719</v>
      </c>
      <c r="AS15" s="22">
        <f>Calc_Revenue!AS12*Assum_Costs!$C$40</f>
        <v>2781.335181785083</v>
      </c>
      <c r="AT15" s="22">
        <f>Calc_Revenue!AT12*Assum_Costs!$C$40</f>
        <v>3108.5510855245038</v>
      </c>
      <c r="AU15" s="22">
        <f>Calc_Revenue!AU12*Assum_Costs!$C$40</f>
        <v>3435.766989263926</v>
      </c>
      <c r="AV15" s="22">
        <f>Calc_Revenue!AV12*Assum_Costs!$C$40</f>
        <v>3762.9828930033468</v>
      </c>
      <c r="AW15" s="22">
        <f>Calc_Revenue!AW12*Assum_Costs!$C$40</f>
        <v>4581.0226523519004</v>
      </c>
      <c r="AX15" s="22">
        <f>Calc_Revenue!AX12*Assum_Costs!$C$40</f>
        <v>4088.4809132481364</v>
      </c>
      <c r="AY15" s="22">
        <f>Calc_Revenue!AY12*Assum_Costs!$C$40</f>
        <v>3910.7208735416966</v>
      </c>
      <c r="AZ15" s="22">
        <f>Calc_Revenue!AZ12*Assum_Costs!$C$40</f>
        <v>3555.2007941288143</v>
      </c>
      <c r="BA15" s="22">
        <f>Calc_Revenue!BA12*Assum_Costs!$C$40</f>
        <v>3199.6807147159325</v>
      </c>
      <c r="BB15" s="22">
        <f>Calc_Revenue!BB12*Assum_Costs!$C$40</f>
        <v>3021.9206750094922</v>
      </c>
      <c r="BC15" s="22">
        <f>Calc_Revenue!BC12*Assum_Costs!$C$40</f>
        <v>2844.160635303052</v>
      </c>
      <c r="BD15" s="22">
        <f>Calc_Revenue!BD12*Assum_Costs!$C$40</f>
        <v>2844.160635303052</v>
      </c>
      <c r="BE15" s="22">
        <f>Calc_Revenue!BE12*Assum_Costs!$C$40</f>
        <v>3021.9206750094922</v>
      </c>
      <c r="BF15" s="22">
        <f>Calc_Revenue!BF12*Assum_Costs!$C$40</f>
        <v>3377.4407544223736</v>
      </c>
      <c r="BG15" s="22">
        <f>Calc_Revenue!BG12*Assum_Costs!$C$40</f>
        <v>3732.9608338352555</v>
      </c>
      <c r="BH15" s="22">
        <f>Calc_Revenue!BH12*Assum_Costs!$C$40</f>
        <v>4088.4809132481364</v>
      </c>
      <c r="BI15" s="22">
        <f>Calc_Revenue!BI12*Assum_Costs!$C$40</f>
        <v>4977.2811117803403</v>
      </c>
      <c r="BJ15" s="22">
        <f>Calc_Revenue!BJ12*Assum_Costs!$C$40</f>
        <v>4358.3206535225127</v>
      </c>
      <c r="BK15" s="22">
        <f>Calc_Revenue!BK12*Assum_Costs!$C$40</f>
        <v>4168.8284511954489</v>
      </c>
      <c r="BL15" s="22">
        <f>Calc_Revenue!BL12*Assum_Costs!$C$40</f>
        <v>3789.8440465413159</v>
      </c>
      <c r="BM15" s="22">
        <f>Calc_Revenue!BM12*Assum_Costs!$C$40</f>
        <v>3410.8596418871844</v>
      </c>
      <c r="BN15" s="22">
        <f>Calc_Revenue!BN12*Assum_Costs!$C$40</f>
        <v>3221.3674395601183</v>
      </c>
      <c r="BO15" s="22">
        <f>Calc_Revenue!BO12*Assum_Costs!$C$40</f>
        <v>3031.8752372330532</v>
      </c>
      <c r="BP15" s="22">
        <f>Calc_Revenue!BP12*Assum_Costs!$C$40</f>
        <v>3031.8752372330532</v>
      </c>
      <c r="BQ15" s="22">
        <f>Calc_Revenue!BQ12*Assum_Costs!$C$40</f>
        <v>3221.3674395601183</v>
      </c>
      <c r="BR15" s="22">
        <f>Calc_Revenue!BR12*Assum_Costs!$C$40</f>
        <v>3600.3518442142495</v>
      </c>
      <c r="BS15" s="22">
        <f>Calc_Revenue!BS12*Assum_Costs!$C$40</f>
        <v>3979.3362488683815</v>
      </c>
      <c r="BT15" s="22">
        <f>Calc_Revenue!BT12*Assum_Costs!$C$40</f>
        <v>4358.3206535225127</v>
      </c>
      <c r="BU15" s="22">
        <f>Calc_Revenue!BU12*Assum_Costs!$C$40</f>
        <v>5305.7816651578414</v>
      </c>
      <c r="BV15" s="22">
        <f>Calc_Revenue!BV12*Assum_Costs!$C$40</f>
        <v>4645.9698166549988</v>
      </c>
      <c r="BW15" s="22">
        <f>Calc_Revenue!BW12*Assum_Costs!$C$40</f>
        <v>4443.9711289743473</v>
      </c>
      <c r="BX15" s="22">
        <f>Calc_Revenue!BX12*Assum_Costs!$C$40</f>
        <v>4039.9737536130424</v>
      </c>
      <c r="BY15" s="22">
        <f>Calc_Revenue!BY12*Assum_Costs!$C$40</f>
        <v>3635.976378251738</v>
      </c>
      <c r="BZ15" s="22">
        <f>Calc_Revenue!BZ12*Assum_Costs!$C$40</f>
        <v>3433.977690571086</v>
      </c>
      <c r="CA15" s="22">
        <f>Calc_Revenue!CA12*Assum_Costs!$C$40</f>
        <v>3231.979002890434</v>
      </c>
      <c r="CB15" s="22">
        <f>Calc_Revenue!CB12*Assum_Costs!$C$40</f>
        <v>3231.979002890434</v>
      </c>
      <c r="CC15" s="22">
        <f>Calc_Revenue!CC12*Assum_Costs!$C$40</f>
        <v>3433.977690571086</v>
      </c>
      <c r="CD15" s="22">
        <f>Calc_Revenue!CD12*Assum_Costs!$C$40</f>
        <v>3837.97506593239</v>
      </c>
      <c r="CE15" s="22">
        <f>Calc_Revenue!CE12*Assum_Costs!$C$40</f>
        <v>4241.9724412936939</v>
      </c>
      <c r="CF15" s="22">
        <f>Calc_Revenue!CF12*Assum_Costs!$C$40</f>
        <v>4645.9698166549988</v>
      </c>
      <c r="CG15" s="22">
        <f>Calc_Revenue!CG12*Assum_Costs!$C$40</f>
        <v>5655.9632550582583</v>
      </c>
      <c r="CH15" s="22">
        <f>Calc_Revenue!CH12*Assum_Costs!$C$40</f>
        <v>4952.6038245542277</v>
      </c>
      <c r="CI15" s="22">
        <f>Calc_Revenue!CI12*Assum_Costs!$C$40</f>
        <v>4737.2732234866526</v>
      </c>
      <c r="CJ15" s="22">
        <f>Calc_Revenue!CJ12*Assum_Costs!$C$40</f>
        <v>4306.6120213515014</v>
      </c>
      <c r="CK15" s="22">
        <f>Calc_Revenue!CK12*Assum_Costs!$C$40</f>
        <v>3875.9508192163526</v>
      </c>
      <c r="CL15" s="22">
        <f>Calc_Revenue!CL12*Assum_Costs!$C$40</f>
        <v>3660.6202181487774</v>
      </c>
      <c r="CM15" s="22">
        <f>Calc_Revenue!CM12*Assum_Costs!$C$40</f>
        <v>3445.2896170812019</v>
      </c>
      <c r="CN15" s="22">
        <f>Calc_Revenue!CN12*Assum_Costs!$C$40</f>
        <v>3445.2896170812019</v>
      </c>
      <c r="CO15" s="22">
        <f>Calc_Revenue!CO12*Assum_Costs!$C$40</f>
        <v>3660.6202181487774</v>
      </c>
      <c r="CP15" s="22">
        <f>Calc_Revenue!CP12*Assum_Costs!$C$40</f>
        <v>4091.2814202839268</v>
      </c>
      <c r="CQ15" s="22">
        <f>Calc_Revenue!CQ12*Assum_Costs!$C$40</f>
        <v>4521.9426224190765</v>
      </c>
      <c r="CR15" s="22">
        <f>Calc_Revenue!CR12*Assum_Costs!$C$40</f>
        <v>4952.6038245542277</v>
      </c>
      <c r="CS15" s="22">
        <f>Calc_Revenue!CS12*Assum_Costs!$C$40</f>
        <v>6029.2568298921024</v>
      </c>
      <c r="CT15" s="22">
        <f>Calc_Revenue!CT12*Assum_Costs!$C$40</f>
        <v>5279.4756769748064</v>
      </c>
      <c r="CU15" s="22">
        <f>Calc_Revenue!CU12*Assum_Costs!$C$40</f>
        <v>5049.9332562367717</v>
      </c>
      <c r="CV15" s="22">
        <f>Calc_Revenue!CV12*Assum_Costs!$C$40</f>
        <v>4590.8484147607005</v>
      </c>
      <c r="CW15" s="22">
        <f>Calc_Revenue!CW12*Assum_Costs!$C$40</f>
        <v>4131.763573284632</v>
      </c>
      <c r="CX15" s="22">
        <f>Calc_Revenue!CX12*Assum_Costs!$C$40</f>
        <v>3902.2211525465959</v>
      </c>
      <c r="CY15" s="22">
        <f>Calc_Revenue!CY12*Assum_Costs!$C$40</f>
        <v>3672.6787318085608</v>
      </c>
      <c r="CZ15" s="22">
        <f>Calc_Revenue!CZ12*Assum_Costs!$C$40</f>
        <v>3672.6787318085608</v>
      </c>
      <c r="DA15" s="22">
        <f>Calc_Revenue!DA12*Assum_Costs!$C$40</f>
        <v>3902.2211525465959</v>
      </c>
      <c r="DB15" s="22">
        <f>Calc_Revenue!DB12*Assum_Costs!$C$40</f>
        <v>4361.3059940226658</v>
      </c>
      <c r="DC15" s="22">
        <f>Calc_Revenue!DC12*Assum_Costs!$C$40</f>
        <v>4820.3908354987352</v>
      </c>
      <c r="DD15" s="22">
        <f>Calc_Revenue!DD12*Assum_Costs!$C$40</f>
        <v>5279.4756769748064</v>
      </c>
      <c r="DE15" s="22">
        <f>Calc_Revenue!DE12*Assum_Costs!$C$40</f>
        <v>6427.1877806649809</v>
      </c>
      <c r="DF15" s="22">
        <f>Calc_Revenue!DF12*Assum_Costs!$C$40</f>
        <v>5627.9210716551415</v>
      </c>
      <c r="DG15" s="22">
        <f>Calc_Revenue!DG12*Assum_Costs!$C$40</f>
        <v>5383.2288511483985</v>
      </c>
      <c r="DH15" s="22">
        <f>Calc_Revenue!DH12*Assum_Costs!$C$40</f>
        <v>4893.8444101349078</v>
      </c>
      <c r="DI15" s="22">
        <f>Calc_Revenue!DI12*Assum_Costs!$C$40</f>
        <v>4404.4599691214162</v>
      </c>
      <c r="DJ15" s="22">
        <f>Calc_Revenue!DJ12*Assum_Costs!$C$40</f>
        <v>4159.7677486146713</v>
      </c>
      <c r="DK15" s="22">
        <f>Calc_Revenue!DK12*Assum_Costs!$C$40</f>
        <v>3915.0755281079264</v>
      </c>
      <c r="DL15" s="22">
        <f>Calc_Revenue!DL12*Assum_Costs!$C$40</f>
        <v>3915.0755281079264</v>
      </c>
      <c r="DM15" s="22">
        <f>Calc_Revenue!DM12*Assum_Costs!$C$40</f>
        <v>4159.7677486146713</v>
      </c>
      <c r="DN15" s="22">
        <f>Calc_Revenue!DN12*Assum_Costs!$C$40</f>
        <v>4649.152189628162</v>
      </c>
      <c r="DO15" s="22">
        <f>Calc_Revenue!DO12*Assum_Costs!$C$40</f>
        <v>5138.5366306416518</v>
      </c>
      <c r="DP15" s="22">
        <f>Calc_Revenue!DP12*Assum_Costs!$C$40</f>
        <v>5627.9210716551415</v>
      </c>
      <c r="DQ15" s="22">
        <f>Calc_Revenue!DQ12*Assum_Costs!$C$40</f>
        <v>6851.3821741888705</v>
      </c>
    </row>
    <row r="16" spans="1:121" ht="15" customHeight="1">
      <c r="A16" t="s">
        <v>326</v>
      </c>
      <c r="B16" s="22">
        <f>Calc_Revenue!B12*Assum_Costs!$C$41</f>
        <v>1413.1142500000001</v>
      </c>
      <c r="C16" s="22">
        <f>Calc_Revenue!C12*Assum_Costs!$C$41</f>
        <v>1351.6745000000001</v>
      </c>
      <c r="D16" s="22">
        <f>Calc_Revenue!D12*Assum_Costs!$C$41</f>
        <v>1228.7950000000001</v>
      </c>
      <c r="E16" s="22">
        <f>Calc_Revenue!E12*Assum_Costs!$C$41</f>
        <v>1105.9154999999998</v>
      </c>
      <c r="F16" s="22">
        <f>Calc_Revenue!F12*Assum_Costs!$C$41</f>
        <v>1044.4757500000001</v>
      </c>
      <c r="G16" s="22">
        <f>Calc_Revenue!G12*Assum_Costs!$C$41</f>
        <v>983.03600000000017</v>
      </c>
      <c r="H16" s="22">
        <f>Calc_Revenue!H12*Assum_Costs!$C$41</f>
        <v>983.03600000000017</v>
      </c>
      <c r="I16" s="22">
        <f>Calc_Revenue!I12*Assum_Costs!$C$41</f>
        <v>1044.4757500000001</v>
      </c>
      <c r="J16" s="22">
        <f>Calc_Revenue!J12*Assum_Costs!$C$41</f>
        <v>1167.3552500000001</v>
      </c>
      <c r="K16" s="22">
        <f>Calc_Revenue!K12*Assum_Costs!$C$41</f>
        <v>1290.2347500000001</v>
      </c>
      <c r="L16" s="22">
        <f>Calc_Revenue!L12*Assum_Costs!$C$41</f>
        <v>1413.1142500000001</v>
      </c>
      <c r="M16" s="22">
        <f>Calc_Revenue!M12*Assum_Costs!$C$41</f>
        <v>1720.3129999999999</v>
      </c>
      <c r="N16" s="22">
        <f>Calc_Revenue!N12*Assum_Costs!$C$41</f>
        <v>1564.31747475</v>
      </c>
      <c r="O16" s="22">
        <f>Calc_Revenue!O12*Assum_Costs!$C$41</f>
        <v>1496.3036715000001</v>
      </c>
      <c r="P16" s="22">
        <f>Calc_Revenue!P12*Assum_Costs!$C$41</f>
        <v>1360.2760649999998</v>
      </c>
      <c r="Q16" s="22">
        <f>Calc_Revenue!Q12*Assum_Costs!$C$41</f>
        <v>1224.2484585</v>
      </c>
      <c r="R16" s="22">
        <f>Calc_Revenue!R12*Assum_Costs!$C$41</f>
        <v>1156.2346552500001</v>
      </c>
      <c r="S16" s="22">
        <f>Calc_Revenue!S12*Assum_Costs!$C$41</f>
        <v>1088.2208520000001</v>
      </c>
      <c r="T16" s="22">
        <f>Calc_Revenue!T12*Assum_Costs!$C$41</f>
        <v>1088.2208520000001</v>
      </c>
      <c r="U16" s="22">
        <f>Calc_Revenue!U12*Assum_Costs!$C$41</f>
        <v>1156.2346552500001</v>
      </c>
      <c r="V16" s="22">
        <f>Calc_Revenue!V12*Assum_Costs!$C$41</f>
        <v>1292.2622617499999</v>
      </c>
      <c r="W16" s="22">
        <f>Calc_Revenue!W12*Assum_Costs!$C$41</f>
        <v>1428.2898682499999</v>
      </c>
      <c r="X16" s="22">
        <f>Calc_Revenue!X12*Assum_Costs!$C$41</f>
        <v>1564.31747475</v>
      </c>
      <c r="Y16" s="22">
        <f>Calc_Revenue!Y12*Assum_Costs!$C$41</f>
        <v>1904.3864909999998</v>
      </c>
      <c r="Z16" s="22">
        <f>Calc_Revenue!Z12*Assum_Costs!$C$41</f>
        <v>1731.6994445482499</v>
      </c>
      <c r="AA16" s="22">
        <f>Calc_Revenue!AA12*Assum_Costs!$C$41</f>
        <v>1656.4081643505003</v>
      </c>
      <c r="AB16" s="22">
        <f>Calc_Revenue!AB12*Assum_Costs!$C$41</f>
        <v>1505.8256039549999</v>
      </c>
      <c r="AC16" s="22">
        <f>Calc_Revenue!AC12*Assum_Costs!$C$41</f>
        <v>1355.2430435594999</v>
      </c>
      <c r="AD16" s="22">
        <f>Calc_Revenue!AD12*Assum_Costs!$C$41</f>
        <v>1279.9517633617504</v>
      </c>
      <c r="AE16" s="22">
        <f>Calc_Revenue!AE12*Assum_Costs!$C$41</f>
        <v>1204.660483164</v>
      </c>
      <c r="AF16" s="22">
        <f>Calc_Revenue!AF12*Assum_Costs!$C$41</f>
        <v>1204.660483164</v>
      </c>
      <c r="AG16" s="22">
        <f>Calc_Revenue!AG12*Assum_Costs!$C$41</f>
        <v>1279.9517633617504</v>
      </c>
      <c r="AH16" s="22">
        <f>Calc_Revenue!AH12*Assum_Costs!$C$41</f>
        <v>1430.5343237572499</v>
      </c>
      <c r="AI16" s="22">
        <f>Calc_Revenue!AI12*Assum_Costs!$C$41</f>
        <v>1581.1168841527499</v>
      </c>
      <c r="AJ16" s="22">
        <f>Calc_Revenue!AJ12*Assum_Costs!$C$41</f>
        <v>1731.6994445482499</v>
      </c>
      <c r="AK16" s="22">
        <f>Calc_Revenue!AK12*Assum_Costs!$C$41</f>
        <v>2108.1558455369995</v>
      </c>
      <c r="AL16" s="22">
        <f>Calc_Revenue!AL12*Assum_Costs!$C$41</f>
        <v>1881.4914465016734</v>
      </c>
      <c r="AM16" s="22">
        <f>Calc_Revenue!AM12*Assum_Costs!$C$41</f>
        <v>1799.687470566819</v>
      </c>
      <c r="AN16" s="22">
        <f>Calc_Revenue!AN12*Assum_Costs!$C$41</f>
        <v>1636.0795186971077</v>
      </c>
      <c r="AO16" s="22">
        <f>Calc_Revenue!AO12*Assum_Costs!$C$41</f>
        <v>1472.4715668273966</v>
      </c>
      <c r="AP16" s="22">
        <f>Calc_Revenue!AP12*Assum_Costs!$C$41</f>
        <v>1390.6675908925415</v>
      </c>
      <c r="AQ16" s="22">
        <f>Calc_Revenue!AQ12*Assum_Costs!$C$41</f>
        <v>1308.863614957686</v>
      </c>
      <c r="AR16" s="22">
        <f>Calc_Revenue!AR12*Assum_Costs!$C$41</f>
        <v>1308.863614957686</v>
      </c>
      <c r="AS16" s="22">
        <f>Calc_Revenue!AS12*Assum_Costs!$C$41</f>
        <v>1390.6675908925415</v>
      </c>
      <c r="AT16" s="22">
        <f>Calc_Revenue!AT12*Assum_Costs!$C$41</f>
        <v>1554.2755427622519</v>
      </c>
      <c r="AU16" s="22">
        <f>Calc_Revenue!AU12*Assum_Costs!$C$41</f>
        <v>1717.883494631963</v>
      </c>
      <c r="AV16" s="22">
        <f>Calc_Revenue!AV12*Assum_Costs!$C$41</f>
        <v>1881.4914465016734</v>
      </c>
      <c r="AW16" s="22">
        <f>Calc_Revenue!AW12*Assum_Costs!$C$41</f>
        <v>2290.5113261759502</v>
      </c>
      <c r="AX16" s="22">
        <f>Calc_Revenue!AX12*Assum_Costs!$C$41</f>
        <v>2044.2404566240682</v>
      </c>
      <c r="AY16" s="22">
        <f>Calc_Revenue!AY12*Assum_Costs!$C$41</f>
        <v>1955.3604367708483</v>
      </c>
      <c r="AZ16" s="22">
        <f>Calc_Revenue!AZ12*Assum_Costs!$C$41</f>
        <v>1777.6003970644072</v>
      </c>
      <c r="BA16" s="22">
        <f>Calc_Revenue!BA12*Assum_Costs!$C$41</f>
        <v>1599.8403573579662</v>
      </c>
      <c r="BB16" s="22">
        <f>Calc_Revenue!BB12*Assum_Costs!$C$41</f>
        <v>1510.9603375047461</v>
      </c>
      <c r="BC16" s="22">
        <f>Calc_Revenue!BC12*Assum_Costs!$C$41</f>
        <v>1422.080317651526</v>
      </c>
      <c r="BD16" s="22">
        <f>Calc_Revenue!BD12*Assum_Costs!$C$41</f>
        <v>1422.080317651526</v>
      </c>
      <c r="BE16" s="22">
        <f>Calc_Revenue!BE12*Assum_Costs!$C$41</f>
        <v>1510.9603375047461</v>
      </c>
      <c r="BF16" s="22">
        <f>Calc_Revenue!BF12*Assum_Costs!$C$41</f>
        <v>1688.7203772111868</v>
      </c>
      <c r="BG16" s="22">
        <f>Calc_Revenue!BG12*Assum_Costs!$C$41</f>
        <v>1866.4804169176277</v>
      </c>
      <c r="BH16" s="22">
        <f>Calc_Revenue!BH12*Assum_Costs!$C$41</f>
        <v>2044.2404566240682</v>
      </c>
      <c r="BI16" s="22">
        <f>Calc_Revenue!BI12*Assum_Costs!$C$41</f>
        <v>2488.6405558901702</v>
      </c>
      <c r="BJ16" s="22">
        <f>Calc_Revenue!BJ12*Assum_Costs!$C$41</f>
        <v>2179.1603267612563</v>
      </c>
      <c r="BK16" s="22">
        <f>Calc_Revenue!BK12*Assum_Costs!$C$41</f>
        <v>2084.4142255977245</v>
      </c>
      <c r="BL16" s="22">
        <f>Calc_Revenue!BL12*Assum_Costs!$C$41</f>
        <v>1894.922023270658</v>
      </c>
      <c r="BM16" s="22">
        <f>Calc_Revenue!BM12*Assum_Costs!$C$41</f>
        <v>1705.4298209435922</v>
      </c>
      <c r="BN16" s="22">
        <f>Calc_Revenue!BN12*Assum_Costs!$C$41</f>
        <v>1610.6837197800592</v>
      </c>
      <c r="BO16" s="22">
        <f>Calc_Revenue!BO12*Assum_Costs!$C$41</f>
        <v>1515.9376186165266</v>
      </c>
      <c r="BP16" s="22">
        <f>Calc_Revenue!BP12*Assum_Costs!$C$41</f>
        <v>1515.9376186165266</v>
      </c>
      <c r="BQ16" s="22">
        <f>Calc_Revenue!BQ12*Assum_Costs!$C$41</f>
        <v>1610.6837197800592</v>
      </c>
      <c r="BR16" s="22">
        <f>Calc_Revenue!BR12*Assum_Costs!$C$41</f>
        <v>1800.1759221071247</v>
      </c>
      <c r="BS16" s="22">
        <f>Calc_Revenue!BS12*Assum_Costs!$C$41</f>
        <v>1989.6681244341908</v>
      </c>
      <c r="BT16" s="22">
        <f>Calc_Revenue!BT12*Assum_Costs!$C$41</f>
        <v>2179.1603267612563</v>
      </c>
      <c r="BU16" s="22">
        <f>Calc_Revenue!BU12*Assum_Costs!$C$41</f>
        <v>2652.8908325789207</v>
      </c>
      <c r="BV16" s="22">
        <f>Calc_Revenue!BV12*Assum_Costs!$C$41</f>
        <v>2322.9849083274994</v>
      </c>
      <c r="BW16" s="22">
        <f>Calc_Revenue!BW12*Assum_Costs!$C$41</f>
        <v>2221.9855644871736</v>
      </c>
      <c r="BX16" s="22">
        <f>Calc_Revenue!BX12*Assum_Costs!$C$41</f>
        <v>2019.9868768065212</v>
      </c>
      <c r="BY16" s="22">
        <f>Calc_Revenue!BY12*Assum_Costs!$C$41</f>
        <v>1817.988189125869</v>
      </c>
      <c r="BZ16" s="22">
        <f>Calc_Revenue!BZ12*Assum_Costs!$C$41</f>
        <v>1716.988845285543</v>
      </c>
      <c r="CA16" s="22">
        <f>Calc_Revenue!CA12*Assum_Costs!$C$41</f>
        <v>1615.989501445217</v>
      </c>
      <c r="CB16" s="22">
        <f>Calc_Revenue!CB12*Assum_Costs!$C$41</f>
        <v>1615.989501445217</v>
      </c>
      <c r="CC16" s="22">
        <f>Calc_Revenue!CC12*Assum_Costs!$C$41</f>
        <v>1716.988845285543</v>
      </c>
      <c r="CD16" s="22">
        <f>Calc_Revenue!CD12*Assum_Costs!$C$41</f>
        <v>1918.987532966195</v>
      </c>
      <c r="CE16" s="22">
        <f>Calc_Revenue!CE12*Assum_Costs!$C$41</f>
        <v>2120.986220646847</v>
      </c>
      <c r="CF16" s="22">
        <f>Calc_Revenue!CF12*Assum_Costs!$C$41</f>
        <v>2322.9849083274994</v>
      </c>
      <c r="CG16" s="22">
        <f>Calc_Revenue!CG12*Assum_Costs!$C$41</f>
        <v>2827.9816275291291</v>
      </c>
      <c r="CH16" s="22">
        <f>Calc_Revenue!CH12*Assum_Costs!$C$41</f>
        <v>2476.3019122771138</v>
      </c>
      <c r="CI16" s="22">
        <f>Calc_Revenue!CI12*Assum_Costs!$C$41</f>
        <v>2368.6366117433263</v>
      </c>
      <c r="CJ16" s="22">
        <f>Calc_Revenue!CJ12*Assum_Costs!$C$41</f>
        <v>2153.3060106757507</v>
      </c>
      <c r="CK16" s="22">
        <f>Calc_Revenue!CK12*Assum_Costs!$C$41</f>
        <v>1937.9754096081763</v>
      </c>
      <c r="CL16" s="22">
        <f>Calc_Revenue!CL12*Assum_Costs!$C$41</f>
        <v>1830.3101090743887</v>
      </c>
      <c r="CM16" s="22">
        <f>Calc_Revenue!CM12*Assum_Costs!$C$41</f>
        <v>1722.6448085406009</v>
      </c>
      <c r="CN16" s="22">
        <f>Calc_Revenue!CN12*Assum_Costs!$C$41</f>
        <v>1722.6448085406009</v>
      </c>
      <c r="CO16" s="22">
        <f>Calc_Revenue!CO12*Assum_Costs!$C$41</f>
        <v>1830.3101090743887</v>
      </c>
      <c r="CP16" s="22">
        <f>Calc_Revenue!CP12*Assum_Costs!$C$41</f>
        <v>2045.6407101419634</v>
      </c>
      <c r="CQ16" s="22">
        <f>Calc_Revenue!CQ12*Assum_Costs!$C$41</f>
        <v>2260.9713112095383</v>
      </c>
      <c r="CR16" s="22">
        <f>Calc_Revenue!CR12*Assum_Costs!$C$41</f>
        <v>2476.3019122771138</v>
      </c>
      <c r="CS16" s="22">
        <f>Calc_Revenue!CS12*Assum_Costs!$C$41</f>
        <v>3014.6284149460512</v>
      </c>
      <c r="CT16" s="22">
        <f>Calc_Revenue!CT12*Assum_Costs!$C$41</f>
        <v>2639.7378384874032</v>
      </c>
      <c r="CU16" s="22">
        <f>Calc_Revenue!CU12*Assum_Costs!$C$41</f>
        <v>2524.9666281183859</v>
      </c>
      <c r="CV16" s="22">
        <f>Calc_Revenue!CV12*Assum_Costs!$C$41</f>
        <v>2295.4242073803503</v>
      </c>
      <c r="CW16" s="22">
        <f>Calc_Revenue!CW12*Assum_Costs!$C$41</f>
        <v>2065.881786642316</v>
      </c>
      <c r="CX16" s="22">
        <f>Calc_Revenue!CX12*Assum_Costs!$C$41</f>
        <v>1951.110576273298</v>
      </c>
      <c r="CY16" s="22">
        <f>Calc_Revenue!CY12*Assum_Costs!$C$41</f>
        <v>1836.3393659042804</v>
      </c>
      <c r="CZ16" s="22">
        <f>Calc_Revenue!CZ12*Assum_Costs!$C$41</f>
        <v>1836.3393659042804</v>
      </c>
      <c r="DA16" s="22">
        <f>Calc_Revenue!DA12*Assum_Costs!$C$41</f>
        <v>1951.110576273298</v>
      </c>
      <c r="DB16" s="22">
        <f>Calc_Revenue!DB12*Assum_Costs!$C$41</f>
        <v>2180.6529970113329</v>
      </c>
      <c r="DC16" s="22">
        <f>Calc_Revenue!DC12*Assum_Costs!$C$41</f>
        <v>2410.1954177493676</v>
      </c>
      <c r="DD16" s="22">
        <f>Calc_Revenue!DD12*Assum_Costs!$C$41</f>
        <v>2639.7378384874032</v>
      </c>
      <c r="DE16" s="22">
        <f>Calc_Revenue!DE12*Assum_Costs!$C$41</f>
        <v>3213.5938903324904</v>
      </c>
      <c r="DF16" s="22">
        <f>Calc_Revenue!DF12*Assum_Costs!$C$41</f>
        <v>2813.9605358275708</v>
      </c>
      <c r="DG16" s="22">
        <f>Calc_Revenue!DG12*Assum_Costs!$C$41</f>
        <v>2691.6144255741992</v>
      </c>
      <c r="DH16" s="22">
        <f>Calc_Revenue!DH12*Assum_Costs!$C$41</f>
        <v>2446.9222050674539</v>
      </c>
      <c r="DI16" s="22">
        <f>Calc_Revenue!DI12*Assum_Costs!$C$41</f>
        <v>2202.2299845607081</v>
      </c>
      <c r="DJ16" s="22">
        <f>Calc_Revenue!DJ12*Assum_Costs!$C$41</f>
        <v>2079.8838743073356</v>
      </c>
      <c r="DK16" s="22">
        <f>Calc_Revenue!DK12*Assum_Costs!$C$41</f>
        <v>1957.5377640539632</v>
      </c>
      <c r="DL16" s="22">
        <f>Calc_Revenue!DL12*Assum_Costs!$C$41</f>
        <v>1957.5377640539632</v>
      </c>
      <c r="DM16" s="22">
        <f>Calc_Revenue!DM12*Assum_Costs!$C$41</f>
        <v>2079.8838743073356</v>
      </c>
      <c r="DN16" s="22">
        <f>Calc_Revenue!DN12*Assum_Costs!$C$41</f>
        <v>2324.576094814081</v>
      </c>
      <c r="DO16" s="22">
        <f>Calc_Revenue!DO12*Assum_Costs!$C$41</f>
        <v>2569.2683153208259</v>
      </c>
      <c r="DP16" s="22">
        <f>Calc_Revenue!DP12*Assum_Costs!$C$41</f>
        <v>2813.9605358275708</v>
      </c>
      <c r="DQ16" s="22">
        <f>Calc_Revenue!DQ12*Assum_Costs!$C$41</f>
        <v>3425.6910870944353</v>
      </c>
    </row>
    <row r="17" spans="1:121" ht="15" customHeight="1">
      <c r="A17" t="s">
        <v>327</v>
      </c>
      <c r="B17" s="22">
        <f>Calc_Revenue!B12*Assum_Costs!$C$42</f>
        <v>1884.1523333333334</v>
      </c>
      <c r="C17" s="22">
        <f>Calc_Revenue!C12*Assum_Costs!$C$42</f>
        <v>1802.232666666667</v>
      </c>
      <c r="D17" s="22">
        <f>Calc_Revenue!D12*Assum_Costs!$C$42</f>
        <v>1638.3933333333334</v>
      </c>
      <c r="E17" s="22">
        <f>Calc_Revenue!E12*Assum_Costs!$C$42</f>
        <v>1474.5539999999999</v>
      </c>
      <c r="F17" s="22">
        <f>Calc_Revenue!F12*Assum_Costs!$C$42</f>
        <v>1392.6343333333334</v>
      </c>
      <c r="G17" s="22">
        <f>Calc_Revenue!G12*Assum_Costs!$C$42</f>
        <v>1310.714666666667</v>
      </c>
      <c r="H17" s="22">
        <f>Calc_Revenue!H12*Assum_Costs!$C$42</f>
        <v>1310.714666666667</v>
      </c>
      <c r="I17" s="22">
        <f>Calc_Revenue!I12*Assum_Costs!$C$42</f>
        <v>1392.6343333333334</v>
      </c>
      <c r="J17" s="22">
        <f>Calc_Revenue!J12*Assum_Costs!$C$42</f>
        <v>1556.4736666666668</v>
      </c>
      <c r="K17" s="22">
        <f>Calc_Revenue!K12*Assum_Costs!$C$42</f>
        <v>1720.3130000000001</v>
      </c>
      <c r="L17" s="22">
        <f>Calc_Revenue!L12*Assum_Costs!$C$42</f>
        <v>1884.1523333333334</v>
      </c>
      <c r="M17" s="22">
        <f>Calc_Revenue!M12*Assum_Costs!$C$42</f>
        <v>2293.7506666666663</v>
      </c>
      <c r="N17" s="22">
        <f>Calc_Revenue!N12*Assum_Costs!$C$42</f>
        <v>2085.756633</v>
      </c>
      <c r="O17" s="22">
        <f>Calc_Revenue!O12*Assum_Costs!$C$42</f>
        <v>1995.0715620000003</v>
      </c>
      <c r="P17" s="22">
        <f>Calc_Revenue!P12*Assum_Costs!$C$42</f>
        <v>1813.7014199999999</v>
      </c>
      <c r="Q17" s="22">
        <f>Calc_Revenue!Q12*Assum_Costs!$C$42</f>
        <v>1632.3312779999999</v>
      </c>
      <c r="R17" s="22">
        <f>Calc_Revenue!R12*Assum_Costs!$C$42</f>
        <v>1541.646207</v>
      </c>
      <c r="S17" s="22">
        <f>Calc_Revenue!S12*Assum_Costs!$C$42</f>
        <v>1450.9611360000001</v>
      </c>
      <c r="T17" s="22">
        <f>Calc_Revenue!T12*Assum_Costs!$C$42</f>
        <v>1450.9611360000001</v>
      </c>
      <c r="U17" s="22">
        <f>Calc_Revenue!U12*Assum_Costs!$C$42</f>
        <v>1541.646207</v>
      </c>
      <c r="V17" s="22">
        <f>Calc_Revenue!V12*Assum_Costs!$C$42</f>
        <v>1723.0163489999998</v>
      </c>
      <c r="W17" s="22">
        <f>Calc_Revenue!W12*Assum_Costs!$C$42</f>
        <v>1904.3864910000002</v>
      </c>
      <c r="X17" s="22">
        <f>Calc_Revenue!X12*Assum_Costs!$C$42</f>
        <v>2085.756633</v>
      </c>
      <c r="Y17" s="22">
        <f>Calc_Revenue!Y12*Assum_Costs!$C$42</f>
        <v>2539.1819879999998</v>
      </c>
      <c r="Z17" s="22">
        <f>Calc_Revenue!Z12*Assum_Costs!$C$42</f>
        <v>2308.9325927310001</v>
      </c>
      <c r="AA17" s="22">
        <f>Calc_Revenue!AA12*Assum_Costs!$C$42</f>
        <v>2208.5442191340007</v>
      </c>
      <c r="AB17" s="22">
        <f>Calc_Revenue!AB12*Assum_Costs!$C$42</f>
        <v>2007.76747194</v>
      </c>
      <c r="AC17" s="22">
        <f>Calc_Revenue!AC12*Assum_Costs!$C$42</f>
        <v>1806.9907247459998</v>
      </c>
      <c r="AD17" s="22">
        <f>Calc_Revenue!AD12*Assum_Costs!$C$42</f>
        <v>1706.6023511490005</v>
      </c>
      <c r="AE17" s="22">
        <f>Calc_Revenue!AE12*Assum_Costs!$C$42</f>
        <v>1606.2139775520002</v>
      </c>
      <c r="AF17" s="22">
        <f>Calc_Revenue!AF12*Assum_Costs!$C$42</f>
        <v>1606.2139775520002</v>
      </c>
      <c r="AG17" s="22">
        <f>Calc_Revenue!AG12*Assum_Costs!$C$42</f>
        <v>1706.6023511490005</v>
      </c>
      <c r="AH17" s="22">
        <f>Calc_Revenue!AH12*Assum_Costs!$C$42</f>
        <v>1907.3790983429999</v>
      </c>
      <c r="AI17" s="22">
        <f>Calc_Revenue!AI12*Assum_Costs!$C$42</f>
        <v>2108.155845537</v>
      </c>
      <c r="AJ17" s="22">
        <f>Calc_Revenue!AJ12*Assum_Costs!$C$42</f>
        <v>2308.9325927310001</v>
      </c>
      <c r="AK17" s="22">
        <f>Calc_Revenue!AK12*Assum_Costs!$C$42</f>
        <v>2810.8744607159997</v>
      </c>
      <c r="AL17" s="22">
        <f>Calc_Revenue!AL12*Assum_Costs!$C$42</f>
        <v>2508.6552620022312</v>
      </c>
      <c r="AM17" s="22">
        <f>Calc_Revenue!AM12*Assum_Costs!$C$42</f>
        <v>2399.5832940890919</v>
      </c>
      <c r="AN17" s="22">
        <f>Calc_Revenue!AN12*Assum_Costs!$C$42</f>
        <v>2181.4393582628104</v>
      </c>
      <c r="AO17" s="22">
        <f>Calc_Revenue!AO12*Assum_Costs!$C$42</f>
        <v>1963.295422436529</v>
      </c>
      <c r="AP17" s="22">
        <f>Calc_Revenue!AP12*Assum_Costs!$C$42</f>
        <v>1854.2234545233887</v>
      </c>
      <c r="AQ17" s="22">
        <f>Calc_Revenue!AQ12*Assum_Costs!$C$42</f>
        <v>1745.1514866102482</v>
      </c>
      <c r="AR17" s="22">
        <f>Calc_Revenue!AR12*Assum_Costs!$C$42</f>
        <v>1745.1514866102482</v>
      </c>
      <c r="AS17" s="22">
        <f>Calc_Revenue!AS12*Assum_Costs!$C$42</f>
        <v>1854.2234545233887</v>
      </c>
      <c r="AT17" s="22">
        <f>Calc_Revenue!AT12*Assum_Costs!$C$42</f>
        <v>2072.3673903496692</v>
      </c>
      <c r="AU17" s="22">
        <f>Calc_Revenue!AU12*Assum_Costs!$C$42</f>
        <v>2290.5113261759507</v>
      </c>
      <c r="AV17" s="22">
        <f>Calc_Revenue!AV12*Assum_Costs!$C$42</f>
        <v>2508.6552620022312</v>
      </c>
      <c r="AW17" s="22">
        <f>Calc_Revenue!AW12*Assum_Costs!$C$42</f>
        <v>3054.0151015679339</v>
      </c>
      <c r="AX17" s="22">
        <f>Calc_Revenue!AX12*Assum_Costs!$C$42</f>
        <v>2725.6539421654243</v>
      </c>
      <c r="AY17" s="22">
        <f>Calc_Revenue!AY12*Assum_Costs!$C$42</f>
        <v>2607.1472490277979</v>
      </c>
      <c r="AZ17" s="22">
        <f>Calc_Revenue!AZ12*Assum_Costs!$C$42</f>
        <v>2370.1338627525433</v>
      </c>
      <c r="BA17" s="22">
        <f>Calc_Revenue!BA12*Assum_Costs!$C$42</f>
        <v>2133.1204764772883</v>
      </c>
      <c r="BB17" s="22">
        <f>Calc_Revenue!BB12*Assum_Costs!$C$42</f>
        <v>2014.6137833396617</v>
      </c>
      <c r="BC17" s="22">
        <f>Calc_Revenue!BC12*Assum_Costs!$C$42</f>
        <v>1896.1070902020347</v>
      </c>
      <c r="BD17" s="22">
        <f>Calc_Revenue!BD12*Assum_Costs!$C$42</f>
        <v>1896.1070902020347</v>
      </c>
      <c r="BE17" s="22">
        <f>Calc_Revenue!BE12*Assum_Costs!$C$42</f>
        <v>2014.6137833396617</v>
      </c>
      <c r="BF17" s="22">
        <f>Calc_Revenue!BF12*Assum_Costs!$C$42</f>
        <v>2251.6271696149161</v>
      </c>
      <c r="BG17" s="22">
        <f>Calc_Revenue!BG12*Assum_Costs!$C$42</f>
        <v>2488.6405558901706</v>
      </c>
      <c r="BH17" s="22">
        <f>Calc_Revenue!BH12*Assum_Costs!$C$42</f>
        <v>2725.6539421654243</v>
      </c>
      <c r="BI17" s="22">
        <f>Calc_Revenue!BI12*Assum_Costs!$C$42</f>
        <v>3318.1874078535602</v>
      </c>
      <c r="BJ17" s="22">
        <f>Calc_Revenue!BJ12*Assum_Costs!$C$42</f>
        <v>2905.5471023483419</v>
      </c>
      <c r="BK17" s="22">
        <f>Calc_Revenue!BK12*Assum_Costs!$C$42</f>
        <v>2779.2189674636325</v>
      </c>
      <c r="BL17" s="22">
        <f>Calc_Revenue!BL12*Assum_Costs!$C$42</f>
        <v>2526.5626976942108</v>
      </c>
      <c r="BM17" s="22">
        <f>Calc_Revenue!BM12*Assum_Costs!$C$42</f>
        <v>2273.9064279247896</v>
      </c>
      <c r="BN17" s="22">
        <f>Calc_Revenue!BN12*Assum_Costs!$C$42</f>
        <v>2147.5782930400792</v>
      </c>
      <c r="BO17" s="22">
        <f>Calc_Revenue!BO12*Assum_Costs!$C$42</f>
        <v>2021.250158155369</v>
      </c>
      <c r="BP17" s="22">
        <f>Calc_Revenue!BP12*Assum_Costs!$C$42</f>
        <v>2021.250158155369</v>
      </c>
      <c r="BQ17" s="22">
        <f>Calc_Revenue!BQ12*Assum_Costs!$C$42</f>
        <v>2147.5782930400792</v>
      </c>
      <c r="BR17" s="22">
        <f>Calc_Revenue!BR12*Assum_Costs!$C$42</f>
        <v>2400.2345628094995</v>
      </c>
      <c r="BS17" s="22">
        <f>Calc_Revenue!BS12*Assum_Costs!$C$42</f>
        <v>2652.8908325789212</v>
      </c>
      <c r="BT17" s="22">
        <f>Calc_Revenue!BT12*Assum_Costs!$C$42</f>
        <v>2905.5471023483419</v>
      </c>
      <c r="BU17" s="22">
        <f>Calc_Revenue!BU12*Assum_Costs!$C$42</f>
        <v>3537.1877767718943</v>
      </c>
      <c r="BV17" s="22">
        <f>Calc_Revenue!BV12*Assum_Costs!$C$42</f>
        <v>3097.3132111033328</v>
      </c>
      <c r="BW17" s="22">
        <f>Calc_Revenue!BW12*Assum_Costs!$C$42</f>
        <v>2962.6474193162317</v>
      </c>
      <c r="BX17" s="22">
        <f>Calc_Revenue!BX12*Assum_Costs!$C$42</f>
        <v>2693.3158357420284</v>
      </c>
      <c r="BY17" s="22">
        <f>Calc_Revenue!BY12*Assum_Costs!$C$42</f>
        <v>2423.9842521678256</v>
      </c>
      <c r="BZ17" s="22">
        <f>Calc_Revenue!BZ12*Assum_Costs!$C$42</f>
        <v>2289.318460380724</v>
      </c>
      <c r="CA17" s="22">
        <f>Calc_Revenue!CA12*Assum_Costs!$C$42</f>
        <v>2154.6526685936228</v>
      </c>
      <c r="CB17" s="22">
        <f>Calc_Revenue!CB12*Assum_Costs!$C$42</f>
        <v>2154.6526685936228</v>
      </c>
      <c r="CC17" s="22">
        <f>Calc_Revenue!CC12*Assum_Costs!$C$42</f>
        <v>2289.318460380724</v>
      </c>
      <c r="CD17" s="22">
        <f>Calc_Revenue!CD12*Assum_Costs!$C$42</f>
        <v>2558.6500439549268</v>
      </c>
      <c r="CE17" s="22">
        <f>Calc_Revenue!CE12*Assum_Costs!$C$42</f>
        <v>2827.9816275291296</v>
      </c>
      <c r="CF17" s="22">
        <f>Calc_Revenue!CF12*Assum_Costs!$C$42</f>
        <v>3097.3132111033328</v>
      </c>
      <c r="CG17" s="22">
        <f>Calc_Revenue!CG12*Assum_Costs!$C$42</f>
        <v>3770.6421700388391</v>
      </c>
      <c r="CH17" s="22">
        <f>Calc_Revenue!CH12*Assum_Costs!$C$42</f>
        <v>3301.7358830361518</v>
      </c>
      <c r="CI17" s="22">
        <f>Calc_Revenue!CI12*Assum_Costs!$C$42</f>
        <v>3158.1821489911022</v>
      </c>
      <c r="CJ17" s="22">
        <f>Calc_Revenue!CJ12*Assum_Costs!$C$42</f>
        <v>2871.0746809010011</v>
      </c>
      <c r="CK17" s="22">
        <f>Calc_Revenue!CK12*Assum_Costs!$C$42</f>
        <v>2583.9672128109019</v>
      </c>
      <c r="CL17" s="22">
        <f>Calc_Revenue!CL12*Assum_Costs!$C$42</f>
        <v>2440.4134787658518</v>
      </c>
      <c r="CM17" s="22">
        <f>Calc_Revenue!CM12*Assum_Costs!$C$42</f>
        <v>2296.8597447208012</v>
      </c>
      <c r="CN17" s="22">
        <f>Calc_Revenue!CN12*Assum_Costs!$C$42</f>
        <v>2296.8597447208012</v>
      </c>
      <c r="CO17" s="22">
        <f>Calc_Revenue!CO12*Assum_Costs!$C$42</f>
        <v>2440.4134787658518</v>
      </c>
      <c r="CP17" s="22">
        <f>Calc_Revenue!CP12*Assum_Costs!$C$42</f>
        <v>2727.5209468559515</v>
      </c>
      <c r="CQ17" s="22">
        <f>Calc_Revenue!CQ12*Assum_Costs!$C$42</f>
        <v>3014.6284149460512</v>
      </c>
      <c r="CR17" s="22">
        <f>Calc_Revenue!CR12*Assum_Costs!$C$42</f>
        <v>3301.7358830361518</v>
      </c>
      <c r="CS17" s="22">
        <f>Calc_Revenue!CS12*Assum_Costs!$C$42</f>
        <v>4019.5045532614017</v>
      </c>
      <c r="CT17" s="22">
        <f>Calc_Revenue!CT12*Assum_Costs!$C$42</f>
        <v>3519.6504513165378</v>
      </c>
      <c r="CU17" s="22">
        <f>Calc_Revenue!CU12*Assum_Costs!$C$42</f>
        <v>3366.6221708245143</v>
      </c>
      <c r="CV17" s="22">
        <f>Calc_Revenue!CV12*Assum_Costs!$C$42</f>
        <v>3060.5656098404675</v>
      </c>
      <c r="CW17" s="22">
        <f>Calc_Revenue!CW12*Assum_Costs!$C$42</f>
        <v>2754.509048856421</v>
      </c>
      <c r="CX17" s="22">
        <f>Calc_Revenue!CX12*Assum_Costs!$C$42</f>
        <v>2601.4807683643976</v>
      </c>
      <c r="CY17" s="22">
        <f>Calc_Revenue!CY12*Assum_Costs!$C$42</f>
        <v>2448.4524878723741</v>
      </c>
      <c r="CZ17" s="22">
        <f>Calc_Revenue!CZ12*Assum_Costs!$C$42</f>
        <v>2448.4524878723741</v>
      </c>
      <c r="DA17" s="22">
        <f>Calc_Revenue!DA12*Assum_Costs!$C$42</f>
        <v>2601.4807683643976</v>
      </c>
      <c r="DB17" s="22">
        <f>Calc_Revenue!DB12*Assum_Costs!$C$42</f>
        <v>2907.537329348444</v>
      </c>
      <c r="DC17" s="22">
        <f>Calc_Revenue!DC12*Assum_Costs!$C$42</f>
        <v>3213.5938903324904</v>
      </c>
      <c r="DD17" s="22">
        <f>Calc_Revenue!DD12*Assum_Costs!$C$42</f>
        <v>3519.6504513165378</v>
      </c>
      <c r="DE17" s="22">
        <f>Calc_Revenue!DE12*Assum_Costs!$C$42</f>
        <v>4284.7918537766536</v>
      </c>
      <c r="DF17" s="22">
        <f>Calc_Revenue!DF12*Assum_Costs!$C$42</f>
        <v>3751.9473811034277</v>
      </c>
      <c r="DG17" s="22">
        <f>Calc_Revenue!DG12*Assum_Costs!$C$42</f>
        <v>3588.8192340989326</v>
      </c>
      <c r="DH17" s="22">
        <f>Calc_Revenue!DH12*Assum_Costs!$C$42</f>
        <v>3262.5629400899384</v>
      </c>
      <c r="DI17" s="22">
        <f>Calc_Revenue!DI12*Assum_Costs!$C$42</f>
        <v>2936.3066460809446</v>
      </c>
      <c r="DJ17" s="22">
        <f>Calc_Revenue!DJ12*Assum_Costs!$C$42</f>
        <v>2773.1784990764472</v>
      </c>
      <c r="DK17" s="22">
        <f>Calc_Revenue!DK12*Assum_Costs!$C$42</f>
        <v>2610.0503520719508</v>
      </c>
      <c r="DL17" s="22">
        <f>Calc_Revenue!DL12*Assum_Costs!$C$42</f>
        <v>2610.0503520719508</v>
      </c>
      <c r="DM17" s="22">
        <f>Calc_Revenue!DM12*Assum_Costs!$C$42</f>
        <v>2773.1784990764472</v>
      </c>
      <c r="DN17" s="22">
        <f>Calc_Revenue!DN12*Assum_Costs!$C$42</f>
        <v>3099.4347930854415</v>
      </c>
      <c r="DO17" s="22">
        <f>Calc_Revenue!DO12*Assum_Costs!$C$42</f>
        <v>3425.6910870944348</v>
      </c>
      <c r="DP17" s="22">
        <f>Calc_Revenue!DP12*Assum_Costs!$C$42</f>
        <v>3751.9473811034277</v>
      </c>
      <c r="DQ17" s="22">
        <f>Calc_Revenue!DQ12*Assum_Costs!$C$42</f>
        <v>4567.588116125914</v>
      </c>
    </row>
    <row r="18" spans="1:121" ht="15" customHeight="1">
      <c r="A18" s="14" t="s">
        <v>457</v>
      </c>
      <c r="B18" s="29">
        <f t="shared" ref="B18:AG18" si="4">SUM(B14:B17)</f>
        <v>8007.6474166666667</v>
      </c>
      <c r="C18" s="29">
        <f t="shared" si="4"/>
        <v>7659.4888333333338</v>
      </c>
      <c r="D18" s="29">
        <f t="shared" si="4"/>
        <v>6963.1716666666671</v>
      </c>
      <c r="E18" s="29">
        <f t="shared" si="4"/>
        <v>6266.8544999999995</v>
      </c>
      <c r="F18" s="29">
        <f t="shared" si="4"/>
        <v>5918.6959166666675</v>
      </c>
      <c r="G18" s="29">
        <f t="shared" si="4"/>
        <v>5570.5373333333346</v>
      </c>
      <c r="H18" s="29">
        <f t="shared" si="4"/>
        <v>5570.5373333333346</v>
      </c>
      <c r="I18" s="29">
        <f t="shared" si="4"/>
        <v>5918.6959166666675</v>
      </c>
      <c r="J18" s="29">
        <f t="shared" si="4"/>
        <v>6615.0130833333333</v>
      </c>
      <c r="K18" s="29">
        <f t="shared" si="4"/>
        <v>7311.3302500000009</v>
      </c>
      <c r="L18" s="29">
        <f t="shared" si="4"/>
        <v>8007.6474166666667</v>
      </c>
      <c r="M18" s="29">
        <f t="shared" si="4"/>
        <v>9748.4403333333321</v>
      </c>
      <c r="N18" s="29">
        <f t="shared" si="4"/>
        <v>8864.4656902499992</v>
      </c>
      <c r="O18" s="29">
        <f t="shared" si="4"/>
        <v>8479.0541385000015</v>
      </c>
      <c r="P18" s="29">
        <f t="shared" si="4"/>
        <v>7708.2310349999989</v>
      </c>
      <c r="Q18" s="29">
        <f t="shared" si="4"/>
        <v>6937.4079314999999</v>
      </c>
      <c r="R18" s="29">
        <f t="shared" si="4"/>
        <v>6551.9963797500004</v>
      </c>
      <c r="S18" s="29">
        <f t="shared" si="4"/>
        <v>6166.5848280000009</v>
      </c>
      <c r="T18" s="29">
        <f t="shared" si="4"/>
        <v>6166.5848280000009</v>
      </c>
      <c r="U18" s="29">
        <f t="shared" si="4"/>
        <v>6551.9963797500004</v>
      </c>
      <c r="V18" s="29">
        <f t="shared" si="4"/>
        <v>7322.8194832499994</v>
      </c>
      <c r="W18" s="29">
        <f t="shared" si="4"/>
        <v>8093.6425867500002</v>
      </c>
      <c r="X18" s="29">
        <f t="shared" si="4"/>
        <v>8864.4656902499992</v>
      </c>
      <c r="Y18" s="29">
        <f t="shared" si="4"/>
        <v>10791.523448999998</v>
      </c>
      <c r="Z18" s="29">
        <f t="shared" si="4"/>
        <v>9812.96351910675</v>
      </c>
      <c r="AA18" s="29">
        <f t="shared" si="4"/>
        <v>9386.3129313195022</v>
      </c>
      <c r="AB18" s="29">
        <f t="shared" si="4"/>
        <v>8533.0117557449994</v>
      </c>
      <c r="AC18" s="29">
        <f t="shared" si="4"/>
        <v>7679.7105801704993</v>
      </c>
      <c r="AD18" s="29">
        <f t="shared" si="4"/>
        <v>7253.0599923832524</v>
      </c>
      <c r="AE18" s="29">
        <f t="shared" si="4"/>
        <v>6826.4094045960001</v>
      </c>
      <c r="AF18" s="29">
        <f t="shared" si="4"/>
        <v>6826.4094045960001</v>
      </c>
      <c r="AG18" s="29">
        <f t="shared" si="4"/>
        <v>7253.0599923832524</v>
      </c>
      <c r="AH18" s="29">
        <f t="shared" ref="AH18:BM18" si="5">SUM(AH14:AH17)</f>
        <v>8106.3611679577498</v>
      </c>
      <c r="AI18" s="29">
        <f t="shared" si="5"/>
        <v>8959.662343532249</v>
      </c>
      <c r="AJ18" s="29">
        <f t="shared" si="5"/>
        <v>9812.96351910675</v>
      </c>
      <c r="AK18" s="29">
        <f t="shared" si="5"/>
        <v>11946.216458043</v>
      </c>
      <c r="AL18" s="29">
        <f t="shared" si="5"/>
        <v>10661.784863509482</v>
      </c>
      <c r="AM18" s="29">
        <f t="shared" si="5"/>
        <v>10198.22899987864</v>
      </c>
      <c r="AN18" s="29">
        <f t="shared" si="5"/>
        <v>9271.1172726169443</v>
      </c>
      <c r="AO18" s="29">
        <f t="shared" si="5"/>
        <v>8344.0055453552486</v>
      </c>
      <c r="AP18" s="29">
        <f t="shared" si="5"/>
        <v>7880.4496817244017</v>
      </c>
      <c r="AQ18" s="29">
        <f t="shared" si="5"/>
        <v>7416.8938180935538</v>
      </c>
      <c r="AR18" s="29">
        <f t="shared" si="5"/>
        <v>7416.8938180935538</v>
      </c>
      <c r="AS18" s="29">
        <f t="shared" si="5"/>
        <v>7880.4496817244017</v>
      </c>
      <c r="AT18" s="29">
        <f t="shared" si="5"/>
        <v>8807.5614089860937</v>
      </c>
      <c r="AU18" s="29">
        <f t="shared" si="5"/>
        <v>9734.6731362477913</v>
      </c>
      <c r="AV18" s="29">
        <f t="shared" si="5"/>
        <v>10661.784863509482</v>
      </c>
      <c r="AW18" s="29">
        <f t="shared" si="5"/>
        <v>12979.564181663718</v>
      </c>
      <c r="AX18" s="29">
        <f t="shared" si="5"/>
        <v>11584.029254203051</v>
      </c>
      <c r="AY18" s="29">
        <f t="shared" si="5"/>
        <v>11080.37580836814</v>
      </c>
      <c r="AZ18" s="29">
        <f t="shared" si="5"/>
        <v>10073.068916698308</v>
      </c>
      <c r="BA18" s="29">
        <f t="shared" si="5"/>
        <v>9065.7620250284745</v>
      </c>
      <c r="BB18" s="29">
        <f t="shared" si="5"/>
        <v>8562.108579193562</v>
      </c>
      <c r="BC18" s="29">
        <f t="shared" si="5"/>
        <v>8058.4551333586478</v>
      </c>
      <c r="BD18" s="29">
        <f t="shared" si="5"/>
        <v>8058.4551333586478</v>
      </c>
      <c r="BE18" s="29">
        <f t="shared" si="5"/>
        <v>8562.108579193562</v>
      </c>
      <c r="BF18" s="29">
        <f t="shared" si="5"/>
        <v>9569.4154708633941</v>
      </c>
      <c r="BG18" s="29">
        <f t="shared" si="5"/>
        <v>10576.722362533224</v>
      </c>
      <c r="BH18" s="29">
        <f t="shared" si="5"/>
        <v>11584.029254203051</v>
      </c>
      <c r="BI18" s="29">
        <f t="shared" si="5"/>
        <v>14102.296483377631</v>
      </c>
      <c r="BJ18" s="29">
        <f t="shared" si="5"/>
        <v>12348.575184980453</v>
      </c>
      <c r="BK18" s="29">
        <f t="shared" si="5"/>
        <v>11811.680611720438</v>
      </c>
      <c r="BL18" s="29">
        <f t="shared" si="5"/>
        <v>10737.891465200395</v>
      </c>
      <c r="BM18" s="29">
        <f t="shared" si="5"/>
        <v>9664.1023186803559</v>
      </c>
      <c r="BN18" s="29">
        <f t="shared" ref="BN18:CS18" si="6">SUM(BN14:BN17)</f>
        <v>9127.2077454203354</v>
      </c>
      <c r="BO18" s="29">
        <f t="shared" si="6"/>
        <v>8590.3131721603186</v>
      </c>
      <c r="BP18" s="29">
        <f t="shared" si="6"/>
        <v>8590.3131721603186</v>
      </c>
      <c r="BQ18" s="29">
        <f t="shared" si="6"/>
        <v>9127.2077454203354</v>
      </c>
      <c r="BR18" s="29">
        <f t="shared" si="6"/>
        <v>10200.996891940373</v>
      </c>
      <c r="BS18" s="29">
        <f t="shared" si="6"/>
        <v>11274.786038460416</v>
      </c>
      <c r="BT18" s="29">
        <f t="shared" si="6"/>
        <v>12348.575184980453</v>
      </c>
      <c r="BU18" s="29">
        <f t="shared" si="6"/>
        <v>15033.048051280552</v>
      </c>
      <c r="BV18" s="29">
        <f t="shared" si="6"/>
        <v>13163.581147189165</v>
      </c>
      <c r="BW18" s="29">
        <f t="shared" si="6"/>
        <v>12591.251532093984</v>
      </c>
      <c r="BX18" s="29">
        <f t="shared" si="6"/>
        <v>11446.59230190362</v>
      </c>
      <c r="BY18" s="29">
        <f t="shared" si="6"/>
        <v>10301.933071713258</v>
      </c>
      <c r="BZ18" s="29">
        <f t="shared" si="6"/>
        <v>9729.603456618077</v>
      </c>
      <c r="CA18" s="29">
        <f t="shared" si="6"/>
        <v>9157.273841522896</v>
      </c>
      <c r="CB18" s="29">
        <f t="shared" si="6"/>
        <v>9157.273841522896</v>
      </c>
      <c r="CC18" s="29">
        <f t="shared" si="6"/>
        <v>9729.603456618077</v>
      </c>
      <c r="CD18" s="29">
        <f t="shared" si="6"/>
        <v>10874.262686808439</v>
      </c>
      <c r="CE18" s="29">
        <f t="shared" si="6"/>
        <v>12018.921916998799</v>
      </c>
      <c r="CF18" s="29">
        <f t="shared" si="6"/>
        <v>13163.581147189165</v>
      </c>
      <c r="CG18" s="29">
        <f t="shared" si="6"/>
        <v>16025.229222665064</v>
      </c>
      <c r="CH18" s="29">
        <f t="shared" si="6"/>
        <v>14032.377502903644</v>
      </c>
      <c r="CI18" s="29">
        <f t="shared" si="6"/>
        <v>13422.274133212182</v>
      </c>
      <c r="CJ18" s="29">
        <f t="shared" si="6"/>
        <v>12202.067393829255</v>
      </c>
      <c r="CK18" s="29">
        <f t="shared" si="6"/>
        <v>10981.860654446333</v>
      </c>
      <c r="CL18" s="29">
        <f t="shared" si="6"/>
        <v>10371.757284754869</v>
      </c>
      <c r="CM18" s="29">
        <f t="shared" si="6"/>
        <v>9761.6539150634053</v>
      </c>
      <c r="CN18" s="29">
        <f t="shared" si="6"/>
        <v>9761.6539150634053</v>
      </c>
      <c r="CO18" s="29">
        <f t="shared" si="6"/>
        <v>10371.757284754869</v>
      </c>
      <c r="CP18" s="29">
        <f t="shared" si="6"/>
        <v>11591.964024137793</v>
      </c>
      <c r="CQ18" s="29">
        <f t="shared" si="6"/>
        <v>12812.170763520717</v>
      </c>
      <c r="CR18" s="29">
        <f t="shared" si="6"/>
        <v>14032.377502903644</v>
      </c>
      <c r="CS18" s="29">
        <f t="shared" si="6"/>
        <v>17082.894351360956</v>
      </c>
      <c r="CT18" s="29">
        <f t="shared" ref="CT18:DY18" si="7">SUM(CT14:CT17)</f>
        <v>14958.514418095285</v>
      </c>
      <c r="CU18" s="29">
        <f t="shared" si="7"/>
        <v>14308.144226004186</v>
      </c>
      <c r="CV18" s="29">
        <f t="shared" si="7"/>
        <v>13007.403841821986</v>
      </c>
      <c r="CW18" s="29">
        <f t="shared" si="7"/>
        <v>11706.663457639788</v>
      </c>
      <c r="CX18" s="29">
        <f t="shared" si="7"/>
        <v>11056.293265548689</v>
      </c>
      <c r="CY18" s="29">
        <f t="shared" si="7"/>
        <v>10405.92307345759</v>
      </c>
      <c r="CZ18" s="29">
        <f t="shared" si="7"/>
        <v>10405.92307345759</v>
      </c>
      <c r="DA18" s="29">
        <f t="shared" si="7"/>
        <v>11056.293265548689</v>
      </c>
      <c r="DB18" s="29">
        <f t="shared" si="7"/>
        <v>12357.033649730887</v>
      </c>
      <c r="DC18" s="29">
        <f t="shared" si="7"/>
        <v>13657.774033913083</v>
      </c>
      <c r="DD18" s="29">
        <f t="shared" si="7"/>
        <v>14958.514418095285</v>
      </c>
      <c r="DE18" s="29">
        <f t="shared" si="7"/>
        <v>18210.365378550778</v>
      </c>
      <c r="DF18" s="29">
        <f t="shared" si="7"/>
        <v>15945.776369689567</v>
      </c>
      <c r="DG18" s="29">
        <f t="shared" si="7"/>
        <v>15252.481744920464</v>
      </c>
      <c r="DH18" s="29">
        <f t="shared" si="7"/>
        <v>13865.892495382239</v>
      </c>
      <c r="DI18" s="29">
        <f t="shared" si="7"/>
        <v>12479.303245844014</v>
      </c>
      <c r="DJ18" s="29">
        <f t="shared" si="7"/>
        <v>11786.0086210749</v>
      </c>
      <c r="DK18" s="29">
        <f t="shared" si="7"/>
        <v>11092.713996305791</v>
      </c>
      <c r="DL18" s="29">
        <f t="shared" si="7"/>
        <v>11092.713996305791</v>
      </c>
      <c r="DM18" s="29">
        <f t="shared" si="7"/>
        <v>11786.0086210749</v>
      </c>
      <c r="DN18" s="29">
        <f t="shared" si="7"/>
        <v>13172.597870613126</v>
      </c>
      <c r="DO18" s="29">
        <f t="shared" si="7"/>
        <v>14559.187120151346</v>
      </c>
      <c r="DP18" s="29">
        <f t="shared" si="7"/>
        <v>15945.776369689567</v>
      </c>
      <c r="DQ18" s="29">
        <f t="shared" si="7"/>
        <v>19412.249493535135</v>
      </c>
    </row>
    <row r="20" spans="1:121" ht="15" customHeight="1">
      <c r="A20" s="5" t="s">
        <v>458</v>
      </c>
    </row>
    <row r="21" spans="1:121" ht="15" customHeight="1">
      <c r="A21" s="14" t="s">
        <v>459</v>
      </c>
      <c r="B21" s="29">
        <f t="shared" ref="B21:AG21" si="8">B11+B18</f>
        <v>11208.480750000001</v>
      </c>
      <c r="C21" s="29">
        <f t="shared" si="8"/>
        <v>10721.155500000001</v>
      </c>
      <c r="D21" s="29">
        <f t="shared" si="8"/>
        <v>9746.505000000001</v>
      </c>
      <c r="E21" s="29">
        <f t="shared" si="8"/>
        <v>8771.8544999999995</v>
      </c>
      <c r="F21" s="29">
        <f t="shared" si="8"/>
        <v>8284.5292500000014</v>
      </c>
      <c r="G21" s="29">
        <f t="shared" si="8"/>
        <v>7797.2040000000015</v>
      </c>
      <c r="H21" s="29">
        <f t="shared" si="8"/>
        <v>7797.2040000000015</v>
      </c>
      <c r="I21" s="29">
        <f t="shared" si="8"/>
        <v>8284.5292500000014</v>
      </c>
      <c r="J21" s="29">
        <f t="shared" si="8"/>
        <v>9259.1797499999993</v>
      </c>
      <c r="K21" s="29">
        <f t="shared" si="8"/>
        <v>10233.830250000001</v>
      </c>
      <c r="L21" s="29">
        <f t="shared" si="8"/>
        <v>11208.480750000001</v>
      </c>
      <c r="M21" s="29">
        <f t="shared" si="8"/>
        <v>13645.106999999998</v>
      </c>
      <c r="N21" s="29">
        <f t="shared" si="8"/>
        <v>12407.788190249999</v>
      </c>
      <c r="O21" s="29">
        <f t="shared" si="8"/>
        <v>11868.319138500003</v>
      </c>
      <c r="P21" s="29">
        <f t="shared" si="8"/>
        <v>10789.381034999999</v>
      </c>
      <c r="Q21" s="29">
        <f t="shared" si="8"/>
        <v>9710.4429314999998</v>
      </c>
      <c r="R21" s="29">
        <f t="shared" si="8"/>
        <v>9170.9738797499995</v>
      </c>
      <c r="S21" s="29">
        <f t="shared" si="8"/>
        <v>8631.504828000001</v>
      </c>
      <c r="T21" s="29">
        <f t="shared" si="8"/>
        <v>8631.504828000001</v>
      </c>
      <c r="U21" s="29">
        <f t="shared" si="8"/>
        <v>9170.9738797499995</v>
      </c>
      <c r="V21" s="29">
        <f t="shared" si="8"/>
        <v>10249.91198325</v>
      </c>
      <c r="W21" s="29">
        <f t="shared" si="8"/>
        <v>11328.850086750001</v>
      </c>
      <c r="X21" s="29">
        <f t="shared" si="8"/>
        <v>12407.788190249999</v>
      </c>
      <c r="Y21" s="29">
        <f t="shared" si="8"/>
        <v>15105.133448999997</v>
      </c>
      <c r="Z21" s="29">
        <f t="shared" si="8"/>
        <v>13735.421526606751</v>
      </c>
      <c r="AA21" s="29">
        <f t="shared" si="8"/>
        <v>13138.229286319503</v>
      </c>
      <c r="AB21" s="29">
        <f t="shared" si="8"/>
        <v>11943.844805744999</v>
      </c>
      <c r="AC21" s="29">
        <f t="shared" si="8"/>
        <v>10749.460325170499</v>
      </c>
      <c r="AD21" s="29">
        <f t="shared" si="8"/>
        <v>10152.268084883253</v>
      </c>
      <c r="AE21" s="29">
        <f t="shared" si="8"/>
        <v>9555.0758445960018</v>
      </c>
      <c r="AF21" s="29">
        <f t="shared" si="8"/>
        <v>9555.0758445960018</v>
      </c>
      <c r="AG21" s="29">
        <f t="shared" si="8"/>
        <v>10152.268084883253</v>
      </c>
      <c r="AH21" s="29">
        <f t="shared" ref="AH21:BM21" si="9">AH11+AH18</f>
        <v>11346.652565457749</v>
      </c>
      <c r="AI21" s="29">
        <f t="shared" si="9"/>
        <v>12541.03704603225</v>
      </c>
      <c r="AJ21" s="29">
        <f t="shared" si="9"/>
        <v>13735.421526606751</v>
      </c>
      <c r="AK21" s="29">
        <f t="shared" si="9"/>
        <v>16721.382728042998</v>
      </c>
      <c r="AL21" s="29">
        <f t="shared" si="9"/>
        <v>14923.535488658232</v>
      </c>
      <c r="AM21" s="29">
        <f t="shared" si="9"/>
        <v>14274.686119586142</v>
      </c>
      <c r="AN21" s="29">
        <f t="shared" si="9"/>
        <v>12976.987381441944</v>
      </c>
      <c r="AO21" s="29">
        <f t="shared" si="9"/>
        <v>11679.28864329775</v>
      </c>
      <c r="AP21" s="29">
        <f t="shared" si="9"/>
        <v>11030.439274225651</v>
      </c>
      <c r="AQ21" s="29">
        <f t="shared" si="9"/>
        <v>10381.589905153554</v>
      </c>
      <c r="AR21" s="29">
        <f t="shared" si="9"/>
        <v>10381.589905153554</v>
      </c>
      <c r="AS21" s="29">
        <f t="shared" si="9"/>
        <v>11030.439274225651</v>
      </c>
      <c r="AT21" s="29">
        <f t="shared" si="9"/>
        <v>12328.138012369844</v>
      </c>
      <c r="AU21" s="29">
        <f t="shared" si="9"/>
        <v>13625.836750514041</v>
      </c>
      <c r="AV21" s="29">
        <f t="shared" si="9"/>
        <v>14923.535488658232</v>
      </c>
      <c r="AW21" s="29">
        <f t="shared" si="9"/>
        <v>18167.782334018717</v>
      </c>
      <c r="AX21" s="29">
        <f t="shared" si="9"/>
        <v>16214.421308427169</v>
      </c>
      <c r="AY21" s="29">
        <f t="shared" si="9"/>
        <v>15509.44646893034</v>
      </c>
      <c r="AZ21" s="29">
        <f t="shared" si="9"/>
        <v>14099.496789936671</v>
      </c>
      <c r="BA21" s="29">
        <f t="shared" si="9"/>
        <v>12689.547110943</v>
      </c>
      <c r="BB21" s="29">
        <f t="shared" si="9"/>
        <v>11984.57227144617</v>
      </c>
      <c r="BC21" s="29">
        <f t="shared" si="9"/>
        <v>11279.597431949338</v>
      </c>
      <c r="BD21" s="29">
        <f t="shared" si="9"/>
        <v>11279.597431949338</v>
      </c>
      <c r="BE21" s="29">
        <f t="shared" si="9"/>
        <v>11984.57227144617</v>
      </c>
      <c r="BF21" s="29">
        <f t="shared" si="9"/>
        <v>13394.521950439837</v>
      </c>
      <c r="BG21" s="29">
        <f t="shared" si="9"/>
        <v>14804.471629433505</v>
      </c>
      <c r="BH21" s="29">
        <f t="shared" si="9"/>
        <v>16214.421308427169</v>
      </c>
      <c r="BI21" s="29">
        <f t="shared" si="9"/>
        <v>19739.295505911337</v>
      </c>
      <c r="BJ21" s="29">
        <f t="shared" si="9"/>
        <v>17284.573114783361</v>
      </c>
      <c r="BK21" s="29">
        <f t="shared" si="9"/>
        <v>16533.069935879743</v>
      </c>
      <c r="BL21" s="29">
        <f t="shared" si="9"/>
        <v>15030.063578072488</v>
      </c>
      <c r="BM21" s="29">
        <f t="shared" si="9"/>
        <v>13527.05722026524</v>
      </c>
      <c r="BN21" s="29">
        <f t="shared" ref="BN21:CS21" si="10">BN11+BN18</f>
        <v>12775.554041361615</v>
      </c>
      <c r="BO21" s="29">
        <f t="shared" si="10"/>
        <v>12024.050862457994</v>
      </c>
      <c r="BP21" s="29">
        <f t="shared" si="10"/>
        <v>12024.050862457994</v>
      </c>
      <c r="BQ21" s="29">
        <f t="shared" si="10"/>
        <v>12775.554041361615</v>
      </c>
      <c r="BR21" s="29">
        <f t="shared" si="10"/>
        <v>14278.560399168862</v>
      </c>
      <c r="BS21" s="29">
        <f t="shared" si="10"/>
        <v>15781.566756976114</v>
      </c>
      <c r="BT21" s="29">
        <f t="shared" si="10"/>
        <v>17284.573114783361</v>
      </c>
      <c r="BU21" s="29">
        <f t="shared" si="10"/>
        <v>21042.089009301482</v>
      </c>
      <c r="BV21" s="29">
        <f t="shared" si="10"/>
        <v>18425.354940359066</v>
      </c>
      <c r="BW21" s="29">
        <f t="shared" si="10"/>
        <v>17624.252551647802</v>
      </c>
      <c r="BX21" s="29">
        <f t="shared" si="10"/>
        <v>16022.047774225271</v>
      </c>
      <c r="BY21" s="29">
        <f t="shared" si="10"/>
        <v>14419.842996802745</v>
      </c>
      <c r="BZ21" s="29">
        <f t="shared" si="10"/>
        <v>13618.740608091481</v>
      </c>
      <c r="CA21" s="29">
        <f t="shared" si="10"/>
        <v>12817.638219380218</v>
      </c>
      <c r="CB21" s="29">
        <f t="shared" si="10"/>
        <v>12817.638219380218</v>
      </c>
      <c r="CC21" s="29">
        <f t="shared" si="10"/>
        <v>13618.740608091481</v>
      </c>
      <c r="CD21" s="29">
        <f t="shared" si="10"/>
        <v>15220.945385514009</v>
      </c>
      <c r="CE21" s="29">
        <f t="shared" si="10"/>
        <v>16823.150162936534</v>
      </c>
      <c r="CF21" s="29">
        <f t="shared" si="10"/>
        <v>18425.354940359066</v>
      </c>
      <c r="CG21" s="29">
        <f t="shared" si="10"/>
        <v>22430.866883915376</v>
      </c>
      <c r="CH21" s="29">
        <f t="shared" si="10"/>
        <v>19641.428366422755</v>
      </c>
      <c r="CI21" s="29">
        <f t="shared" si="10"/>
        <v>18787.453220056552</v>
      </c>
      <c r="CJ21" s="29">
        <f t="shared" si="10"/>
        <v>17079.502927324134</v>
      </c>
      <c r="CK21" s="29">
        <f t="shared" si="10"/>
        <v>15371.552634591724</v>
      </c>
      <c r="CL21" s="29">
        <f t="shared" si="10"/>
        <v>14517.577488225517</v>
      </c>
      <c r="CM21" s="29">
        <f t="shared" si="10"/>
        <v>13663.60234185931</v>
      </c>
      <c r="CN21" s="29">
        <f t="shared" si="10"/>
        <v>13663.60234185931</v>
      </c>
      <c r="CO21" s="29">
        <f t="shared" si="10"/>
        <v>14517.577488225517</v>
      </c>
      <c r="CP21" s="29">
        <f t="shared" si="10"/>
        <v>16225.527780957927</v>
      </c>
      <c r="CQ21" s="29">
        <f t="shared" si="10"/>
        <v>17933.478073690341</v>
      </c>
      <c r="CR21" s="29">
        <f t="shared" si="10"/>
        <v>19641.428366422755</v>
      </c>
      <c r="CS21" s="29">
        <f t="shared" si="10"/>
        <v>23911.304098253786</v>
      </c>
      <c r="CT21" s="29">
        <f t="shared" ref="CT21:DQ21" si="11">CT11+CT18</f>
        <v>20937.762638606655</v>
      </c>
      <c r="CU21" s="29">
        <f t="shared" si="11"/>
        <v>20027.425132580283</v>
      </c>
      <c r="CV21" s="29">
        <f t="shared" si="11"/>
        <v>18206.750120527526</v>
      </c>
      <c r="CW21" s="29">
        <f t="shared" si="11"/>
        <v>16386.075108474775</v>
      </c>
      <c r="CX21" s="29">
        <f t="shared" si="11"/>
        <v>15475.7376024484</v>
      </c>
      <c r="CY21" s="29">
        <f t="shared" si="11"/>
        <v>14565.400096422025</v>
      </c>
      <c r="CZ21" s="29">
        <f t="shared" si="11"/>
        <v>14565.400096422025</v>
      </c>
      <c r="DA21" s="29">
        <f t="shared" si="11"/>
        <v>15475.7376024484</v>
      </c>
      <c r="DB21" s="29">
        <f t="shared" si="11"/>
        <v>17296.412614501151</v>
      </c>
      <c r="DC21" s="29">
        <f t="shared" si="11"/>
        <v>19117.087626553901</v>
      </c>
      <c r="DD21" s="29">
        <f t="shared" si="11"/>
        <v>20937.762638606655</v>
      </c>
      <c r="DE21" s="29">
        <f t="shared" si="11"/>
        <v>25489.450168738535</v>
      </c>
      <c r="DF21" s="29">
        <f t="shared" si="11"/>
        <v>22319.654972754692</v>
      </c>
      <c r="DG21" s="29">
        <f t="shared" si="11"/>
        <v>21349.235191330583</v>
      </c>
      <c r="DH21" s="29">
        <f t="shared" si="11"/>
        <v>19408.395628482343</v>
      </c>
      <c r="DI21" s="29">
        <f t="shared" si="11"/>
        <v>17467.556065634111</v>
      </c>
      <c r="DJ21" s="29">
        <f t="shared" si="11"/>
        <v>16497.136284209992</v>
      </c>
      <c r="DK21" s="29">
        <f t="shared" si="11"/>
        <v>15526.716502785875</v>
      </c>
      <c r="DL21" s="29">
        <f t="shared" si="11"/>
        <v>15526.716502785875</v>
      </c>
      <c r="DM21" s="29">
        <f t="shared" si="11"/>
        <v>16497.136284209992</v>
      </c>
      <c r="DN21" s="29">
        <f t="shared" si="11"/>
        <v>18437.975847058227</v>
      </c>
      <c r="DO21" s="29">
        <f t="shared" si="11"/>
        <v>20378.815409906456</v>
      </c>
      <c r="DP21" s="29">
        <f t="shared" si="11"/>
        <v>22319.654972754692</v>
      </c>
      <c r="DQ21" s="29">
        <f t="shared" si="11"/>
        <v>27171.753879875283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Q25"/>
  <sheetViews>
    <sheetView zoomScaleNormal="100" workbookViewId="0"/>
  </sheetViews>
  <sheetFormatPr defaultColWidth="8.7109375" defaultRowHeight="15"/>
  <cols>
    <col min="1" max="1" width="35" customWidth="1"/>
    <col min="2" max="121" width="10" customWidth="1"/>
  </cols>
  <sheetData>
    <row r="1" spans="1:121" ht="17.25" customHeight="1">
      <c r="A1" s="4" t="s">
        <v>460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461</v>
      </c>
    </row>
    <row r="7" spans="1:121" ht="15" customHeight="1">
      <c r="A7" t="s">
        <v>462</v>
      </c>
      <c r="B7" s="22">
        <f>Assum_Capex!$B$13/1000</f>
        <v>62000</v>
      </c>
      <c r="C7" s="22">
        <f t="shared" ref="C7:AH7" si="0">B18</f>
        <v>62103.333333333336</v>
      </c>
      <c r="D7" s="22">
        <f t="shared" si="0"/>
        <v>62206.838888888895</v>
      </c>
      <c r="E7" s="22">
        <f t="shared" si="0"/>
        <v>62310.516953703707</v>
      </c>
      <c r="F7" s="22">
        <f t="shared" si="0"/>
        <v>62414.367815293212</v>
      </c>
      <c r="G7" s="22">
        <f t="shared" si="0"/>
        <v>62518.391761652034</v>
      </c>
      <c r="H7" s="22">
        <f t="shared" si="0"/>
        <v>62622.589081254788</v>
      </c>
      <c r="I7" s="22">
        <f t="shared" si="0"/>
        <v>62726.960063056882</v>
      </c>
      <c r="J7" s="22">
        <f t="shared" si="0"/>
        <v>62831.504996495307</v>
      </c>
      <c r="K7" s="22">
        <f t="shared" si="0"/>
        <v>62936.224171489463</v>
      </c>
      <c r="L7" s="22">
        <f t="shared" si="0"/>
        <v>63041.117878441946</v>
      </c>
      <c r="M7" s="22">
        <f t="shared" si="0"/>
        <v>63146.186408239351</v>
      </c>
      <c r="N7" s="22">
        <f t="shared" si="0"/>
        <v>63251.430052253083</v>
      </c>
      <c r="O7" s="22">
        <f t="shared" si="0"/>
        <v>63356.849102340173</v>
      </c>
      <c r="P7" s="22">
        <f t="shared" si="0"/>
        <v>63462.443850844073</v>
      </c>
      <c r="Q7" s="22">
        <f t="shared" si="0"/>
        <v>63568.214590595482</v>
      </c>
      <c r="R7" s="22">
        <f t="shared" si="0"/>
        <v>63674.161614913144</v>
      </c>
      <c r="S7" s="22">
        <f t="shared" si="0"/>
        <v>63780.285217604665</v>
      </c>
      <c r="T7" s="22">
        <f t="shared" si="0"/>
        <v>63886.585692967339</v>
      </c>
      <c r="U7" s="22">
        <f t="shared" si="0"/>
        <v>63993.063335788953</v>
      </c>
      <c r="V7" s="22">
        <f t="shared" si="0"/>
        <v>64099.718441348603</v>
      </c>
      <c r="W7" s="22">
        <f t="shared" si="0"/>
        <v>64206.551305417517</v>
      </c>
      <c r="X7" s="22">
        <f t="shared" si="0"/>
        <v>64313.562224259877</v>
      </c>
      <c r="Y7" s="22">
        <f t="shared" si="0"/>
        <v>64420.751494633645</v>
      </c>
      <c r="Z7" s="22">
        <f t="shared" si="0"/>
        <v>64528.11941379137</v>
      </c>
      <c r="AA7" s="22">
        <f t="shared" si="0"/>
        <v>64635.666279481025</v>
      </c>
      <c r="AB7" s="22">
        <f t="shared" si="0"/>
        <v>64743.392389946828</v>
      </c>
      <c r="AC7" s="22">
        <f t="shared" si="0"/>
        <v>64851.298043930074</v>
      </c>
      <c r="AD7" s="22">
        <f t="shared" si="0"/>
        <v>64959.383540669958</v>
      </c>
      <c r="AE7" s="22">
        <f t="shared" si="0"/>
        <v>65067.649179904409</v>
      </c>
      <c r="AF7" s="22">
        <f t="shared" si="0"/>
        <v>65176.09526187092</v>
      </c>
      <c r="AG7" s="22">
        <f t="shared" si="0"/>
        <v>65284.722087307375</v>
      </c>
      <c r="AH7" s="22">
        <f t="shared" si="0"/>
        <v>65393.529957452884</v>
      </c>
      <c r="AI7" s="22">
        <f t="shared" ref="AI7:BN7" si="1">AH18</f>
        <v>65502.519174048641</v>
      </c>
      <c r="AJ7" s="22">
        <f t="shared" si="1"/>
        <v>65611.690039338719</v>
      </c>
      <c r="AK7" s="22">
        <f t="shared" si="1"/>
        <v>65721.042856070955</v>
      </c>
      <c r="AL7" s="22">
        <f t="shared" si="1"/>
        <v>65830.577927497739</v>
      </c>
      <c r="AM7" s="22">
        <f t="shared" si="1"/>
        <v>65940.2955573769</v>
      </c>
      <c r="AN7" s="22">
        <f t="shared" si="1"/>
        <v>66050.196049972525</v>
      </c>
      <c r="AO7" s="22">
        <f t="shared" si="1"/>
        <v>66160.279710055809</v>
      </c>
      <c r="AP7" s="22">
        <f t="shared" si="1"/>
        <v>66270.546842905896</v>
      </c>
      <c r="AQ7" s="22">
        <f t="shared" si="1"/>
        <v>66380.997754310738</v>
      </c>
      <c r="AR7" s="22">
        <f t="shared" si="1"/>
        <v>66491.632750567922</v>
      </c>
      <c r="AS7" s="22">
        <f t="shared" si="1"/>
        <v>66602.452138485532</v>
      </c>
      <c r="AT7" s="22">
        <f t="shared" si="1"/>
        <v>66713.456225383008</v>
      </c>
      <c r="AU7" s="22">
        <f t="shared" si="1"/>
        <v>66824.645319091986</v>
      </c>
      <c r="AV7" s="22">
        <f t="shared" si="1"/>
        <v>66936.019727957144</v>
      </c>
      <c r="AW7" s="22">
        <f t="shared" si="1"/>
        <v>67047.579760837078</v>
      </c>
      <c r="AX7" s="22">
        <f t="shared" si="1"/>
        <v>67159.325727105141</v>
      </c>
      <c r="AY7" s="22">
        <f t="shared" si="1"/>
        <v>67271.25793665032</v>
      </c>
      <c r="AZ7" s="22">
        <f t="shared" si="1"/>
        <v>67383.376699878063</v>
      </c>
      <c r="BA7" s="22">
        <f t="shared" si="1"/>
        <v>67495.682327711198</v>
      </c>
      <c r="BB7" s="22">
        <f t="shared" si="1"/>
        <v>67608.175131590717</v>
      </c>
      <c r="BC7" s="22">
        <f t="shared" si="1"/>
        <v>67720.855423476707</v>
      </c>
      <c r="BD7" s="22">
        <f t="shared" si="1"/>
        <v>67833.723515849168</v>
      </c>
      <c r="BE7" s="22">
        <f t="shared" si="1"/>
        <v>67946.77972170891</v>
      </c>
      <c r="BF7" s="22">
        <f t="shared" si="1"/>
        <v>68060.024354578418</v>
      </c>
      <c r="BG7" s="22">
        <f t="shared" si="1"/>
        <v>68173.457728502719</v>
      </c>
      <c r="BH7" s="22">
        <f t="shared" si="1"/>
        <v>68287.08015805023</v>
      </c>
      <c r="BI7" s="22">
        <f t="shared" si="1"/>
        <v>68400.891958313645</v>
      </c>
      <c r="BJ7" s="22">
        <f t="shared" si="1"/>
        <v>68514.893444910835</v>
      </c>
      <c r="BK7" s="22">
        <f t="shared" si="1"/>
        <v>68629.08493398568</v>
      </c>
      <c r="BL7" s="22">
        <f t="shared" si="1"/>
        <v>68743.466742208984</v>
      </c>
      <c r="BM7" s="22">
        <f t="shared" si="1"/>
        <v>68858.039186779337</v>
      </c>
      <c r="BN7" s="22">
        <f t="shared" si="1"/>
        <v>68972.802585423968</v>
      </c>
      <c r="BO7" s="22">
        <f t="shared" ref="BO7:CT7" si="2">BN18</f>
        <v>69087.75725639968</v>
      </c>
      <c r="BP7" s="22">
        <f t="shared" si="2"/>
        <v>69202.90351849368</v>
      </c>
      <c r="BQ7" s="22">
        <f t="shared" si="2"/>
        <v>69318.241691024508</v>
      </c>
      <c r="BR7" s="22">
        <f t="shared" si="2"/>
        <v>69433.772093842883</v>
      </c>
      <c r="BS7" s="22">
        <f t="shared" si="2"/>
        <v>69549.495047332617</v>
      </c>
      <c r="BT7" s="22">
        <f t="shared" si="2"/>
        <v>69665.410872411507</v>
      </c>
      <c r="BU7" s="22">
        <f t="shared" si="2"/>
        <v>69781.519890532189</v>
      </c>
      <c r="BV7" s="22">
        <f t="shared" si="2"/>
        <v>69897.822423683072</v>
      </c>
      <c r="BW7" s="22">
        <f t="shared" si="2"/>
        <v>70014.318794389212</v>
      </c>
      <c r="BX7" s="22">
        <f t="shared" si="2"/>
        <v>70131.009325713196</v>
      </c>
      <c r="BY7" s="22">
        <f t="shared" si="2"/>
        <v>70247.894341256047</v>
      </c>
      <c r="BZ7" s="22">
        <f t="shared" si="2"/>
        <v>70364.974165158143</v>
      </c>
      <c r="CA7" s="22">
        <f t="shared" si="2"/>
        <v>70482.249122100067</v>
      </c>
      <c r="CB7" s="22">
        <f t="shared" si="2"/>
        <v>70599.719537303565</v>
      </c>
      <c r="CC7" s="22">
        <f t="shared" si="2"/>
        <v>70717.385736532407</v>
      </c>
      <c r="CD7" s="22">
        <f t="shared" si="2"/>
        <v>70835.2480460933</v>
      </c>
      <c r="CE7" s="22">
        <f t="shared" si="2"/>
        <v>70953.306792836782</v>
      </c>
      <c r="CF7" s="22">
        <f t="shared" si="2"/>
        <v>71071.562304158171</v>
      </c>
      <c r="CG7" s="22">
        <f t="shared" si="2"/>
        <v>71190.01490799844</v>
      </c>
      <c r="CH7" s="22">
        <f t="shared" si="2"/>
        <v>71308.664932845102</v>
      </c>
      <c r="CI7" s="22">
        <f t="shared" si="2"/>
        <v>71427.512707733171</v>
      </c>
      <c r="CJ7" s="22">
        <f t="shared" si="2"/>
        <v>71546.558562246064</v>
      </c>
      <c r="CK7" s="22">
        <f t="shared" si="2"/>
        <v>71665.802826516476</v>
      </c>
      <c r="CL7" s="22">
        <f t="shared" si="2"/>
        <v>71785.245831227337</v>
      </c>
      <c r="CM7" s="22">
        <f t="shared" si="2"/>
        <v>71904.88790761272</v>
      </c>
      <c r="CN7" s="22">
        <f t="shared" si="2"/>
        <v>72024.729387458734</v>
      </c>
      <c r="CO7" s="22">
        <f t="shared" si="2"/>
        <v>72144.770603104495</v>
      </c>
      <c r="CP7" s="22">
        <f t="shared" si="2"/>
        <v>72265.011887443005</v>
      </c>
      <c r="CQ7" s="22">
        <f t="shared" si="2"/>
        <v>72385.453573922074</v>
      </c>
      <c r="CR7" s="22">
        <f t="shared" si="2"/>
        <v>72506.095996545278</v>
      </c>
      <c r="CS7" s="22">
        <f t="shared" si="2"/>
        <v>72626.93948987285</v>
      </c>
      <c r="CT7" s="22">
        <f t="shared" si="2"/>
        <v>72747.984389022633</v>
      </c>
      <c r="CU7" s="22">
        <f t="shared" ref="CU7:DQ7" si="3">CT18</f>
        <v>72869.231029671006</v>
      </c>
      <c r="CV7" s="22">
        <f t="shared" si="3"/>
        <v>72990.679748053793</v>
      </c>
      <c r="CW7" s="22">
        <f t="shared" si="3"/>
        <v>73112.330880967216</v>
      </c>
      <c r="CX7" s="22">
        <f t="shared" si="3"/>
        <v>73234.184765768834</v>
      </c>
      <c r="CY7" s="22">
        <f t="shared" si="3"/>
        <v>73356.241740378449</v>
      </c>
      <c r="CZ7" s="22">
        <f t="shared" si="3"/>
        <v>73478.502143279082</v>
      </c>
      <c r="DA7" s="22">
        <f t="shared" si="3"/>
        <v>73600.966313517885</v>
      </c>
      <c r="DB7" s="22">
        <f t="shared" si="3"/>
        <v>73723.634590707079</v>
      </c>
      <c r="DC7" s="22">
        <f t="shared" si="3"/>
        <v>73846.507315024923</v>
      </c>
      <c r="DD7" s="22">
        <f t="shared" si="3"/>
        <v>73969.584827216633</v>
      </c>
      <c r="DE7" s="22">
        <f t="shared" si="3"/>
        <v>74092.86746859533</v>
      </c>
      <c r="DF7" s="22">
        <f t="shared" si="3"/>
        <v>74216.355581042983</v>
      </c>
      <c r="DG7" s="22">
        <f t="shared" si="3"/>
        <v>74340.049507011383</v>
      </c>
      <c r="DH7" s="22">
        <f t="shared" si="3"/>
        <v>74463.949589523065</v>
      </c>
      <c r="DI7" s="22">
        <f t="shared" si="3"/>
        <v>74588.056172172277</v>
      </c>
      <c r="DJ7" s="22">
        <f t="shared" si="3"/>
        <v>74712.369599125901</v>
      </c>
      <c r="DK7" s="22">
        <f t="shared" si="3"/>
        <v>74836.89021512444</v>
      </c>
      <c r="DL7" s="22">
        <f t="shared" si="3"/>
        <v>74961.61836548298</v>
      </c>
      <c r="DM7" s="22">
        <f t="shared" si="3"/>
        <v>75086.55439609212</v>
      </c>
      <c r="DN7" s="22">
        <f t="shared" si="3"/>
        <v>75211.698653418935</v>
      </c>
      <c r="DO7" s="22">
        <f t="shared" si="3"/>
        <v>75337.05148450796</v>
      </c>
      <c r="DP7" s="22">
        <f t="shared" si="3"/>
        <v>75462.613236982143</v>
      </c>
      <c r="DQ7" s="22">
        <f t="shared" si="3"/>
        <v>75588.384259043785</v>
      </c>
    </row>
    <row r="8" spans="1:121" ht="15" customHeight="1">
      <c r="A8" t="s">
        <v>463</v>
      </c>
      <c r="B8" s="22">
        <f>Assum_Capex!$C$13/1000</f>
        <v>21000</v>
      </c>
      <c r="C8" s="22">
        <f t="shared" ref="C8:AH8" si="4">B19</f>
        <v>21375.694444444445</v>
      </c>
      <c r="D8" s="22">
        <f t="shared" si="4"/>
        <v>21751.388888888891</v>
      </c>
      <c r="E8" s="22">
        <f t="shared" si="4"/>
        <v>22127.083333333336</v>
      </c>
      <c r="F8" s="22">
        <f t="shared" si="4"/>
        <v>22502.777777777781</v>
      </c>
      <c r="G8" s="22">
        <f t="shared" si="4"/>
        <v>22878.472222222226</v>
      </c>
      <c r="H8" s="22">
        <f t="shared" si="4"/>
        <v>23254.166666666672</v>
      </c>
      <c r="I8" s="22">
        <f t="shared" si="4"/>
        <v>23629.861111111117</v>
      </c>
      <c r="J8" s="22">
        <f t="shared" si="4"/>
        <v>24005.555555555562</v>
      </c>
      <c r="K8" s="22">
        <f t="shared" si="4"/>
        <v>24381.250000000007</v>
      </c>
      <c r="L8" s="22">
        <f t="shared" si="4"/>
        <v>24756.944444444453</v>
      </c>
      <c r="M8" s="22">
        <f t="shared" si="4"/>
        <v>25132.638888888898</v>
      </c>
      <c r="N8" s="22">
        <f t="shared" si="4"/>
        <v>25508.333333333343</v>
      </c>
      <c r="O8" s="22">
        <f t="shared" si="4"/>
        <v>25884.027777777788</v>
      </c>
      <c r="P8" s="22">
        <f t="shared" si="4"/>
        <v>26259.722222222234</v>
      </c>
      <c r="Q8" s="22">
        <f t="shared" si="4"/>
        <v>26635.416666666679</v>
      </c>
      <c r="R8" s="22">
        <f t="shared" si="4"/>
        <v>27011.111111111124</v>
      </c>
      <c r="S8" s="22">
        <f t="shared" si="4"/>
        <v>27386.805555555569</v>
      </c>
      <c r="T8" s="22">
        <f t="shared" si="4"/>
        <v>27762.500000000015</v>
      </c>
      <c r="U8" s="22">
        <f t="shared" si="4"/>
        <v>28138.19444444446</v>
      </c>
      <c r="V8" s="22">
        <f t="shared" si="4"/>
        <v>28513.888888888905</v>
      </c>
      <c r="W8" s="22">
        <f t="shared" si="4"/>
        <v>28889.58333333335</v>
      </c>
      <c r="X8" s="22">
        <f t="shared" si="4"/>
        <v>29265.277777777796</v>
      </c>
      <c r="Y8" s="22">
        <f t="shared" si="4"/>
        <v>29640.972222222241</v>
      </c>
      <c r="Z8" s="22">
        <f t="shared" si="4"/>
        <v>30016.666666666686</v>
      </c>
      <c r="AA8" s="22">
        <f t="shared" si="4"/>
        <v>30392.361111111131</v>
      </c>
      <c r="AB8" s="22">
        <f t="shared" si="4"/>
        <v>30768.055555555577</v>
      </c>
      <c r="AC8" s="22">
        <f t="shared" si="4"/>
        <v>31143.750000000022</v>
      </c>
      <c r="AD8" s="22">
        <f t="shared" si="4"/>
        <v>31519.444444444467</v>
      </c>
      <c r="AE8" s="22">
        <f t="shared" si="4"/>
        <v>31895.138888888912</v>
      </c>
      <c r="AF8" s="22">
        <f t="shared" si="4"/>
        <v>32270.833333333358</v>
      </c>
      <c r="AG8" s="22">
        <f t="shared" si="4"/>
        <v>32646.527777777803</v>
      </c>
      <c r="AH8" s="22">
        <f t="shared" si="4"/>
        <v>33022.222222222248</v>
      </c>
      <c r="AI8" s="22">
        <f t="shared" ref="AI8:BN8" si="5">AH19</f>
        <v>33397.916666666693</v>
      </c>
      <c r="AJ8" s="22">
        <f t="shared" si="5"/>
        <v>33773.611111111139</v>
      </c>
      <c r="AK8" s="22">
        <f t="shared" si="5"/>
        <v>34149.305555555584</v>
      </c>
      <c r="AL8" s="22">
        <f t="shared" si="5"/>
        <v>34525.000000000029</v>
      </c>
      <c r="AM8" s="22">
        <f t="shared" si="5"/>
        <v>34900.694444444474</v>
      </c>
      <c r="AN8" s="22">
        <f t="shared" si="5"/>
        <v>35276.38888888892</v>
      </c>
      <c r="AO8" s="22">
        <f t="shared" si="5"/>
        <v>35652.083333333365</v>
      </c>
      <c r="AP8" s="22">
        <f t="shared" si="5"/>
        <v>36027.77777777781</v>
      </c>
      <c r="AQ8" s="22">
        <f t="shared" si="5"/>
        <v>36403.472222222255</v>
      </c>
      <c r="AR8" s="22">
        <f t="shared" si="5"/>
        <v>36779.166666666701</v>
      </c>
      <c r="AS8" s="22">
        <f t="shared" si="5"/>
        <v>37154.861111111146</v>
      </c>
      <c r="AT8" s="22">
        <f t="shared" si="5"/>
        <v>37530.555555555591</v>
      </c>
      <c r="AU8" s="22">
        <f t="shared" si="5"/>
        <v>37906.250000000036</v>
      </c>
      <c r="AV8" s="22">
        <f t="shared" si="5"/>
        <v>38281.944444444482</v>
      </c>
      <c r="AW8" s="22">
        <f t="shared" si="5"/>
        <v>38657.638888888927</v>
      </c>
      <c r="AX8" s="22">
        <f t="shared" si="5"/>
        <v>39033.333333333372</v>
      </c>
      <c r="AY8" s="22">
        <f t="shared" si="5"/>
        <v>39409.027777777817</v>
      </c>
      <c r="AZ8" s="22">
        <f t="shared" si="5"/>
        <v>39784.722222222263</v>
      </c>
      <c r="BA8" s="22">
        <f t="shared" si="5"/>
        <v>40160.416666666708</v>
      </c>
      <c r="BB8" s="22">
        <f t="shared" si="5"/>
        <v>40536.111111111153</v>
      </c>
      <c r="BC8" s="22">
        <f t="shared" si="5"/>
        <v>40911.805555555598</v>
      </c>
      <c r="BD8" s="22">
        <f t="shared" si="5"/>
        <v>41287.500000000044</v>
      </c>
      <c r="BE8" s="22">
        <f t="shared" si="5"/>
        <v>41663.194444444489</v>
      </c>
      <c r="BF8" s="22">
        <f t="shared" si="5"/>
        <v>42038.888888888934</v>
      </c>
      <c r="BG8" s="22">
        <f t="shared" si="5"/>
        <v>42414.583333333379</v>
      </c>
      <c r="BH8" s="22">
        <f t="shared" si="5"/>
        <v>42790.277777777825</v>
      </c>
      <c r="BI8" s="22">
        <f t="shared" si="5"/>
        <v>43165.97222222227</v>
      </c>
      <c r="BJ8" s="22">
        <f t="shared" si="5"/>
        <v>43541.666666666715</v>
      </c>
      <c r="BK8" s="22">
        <f t="shared" si="5"/>
        <v>43917.36111111116</v>
      </c>
      <c r="BL8" s="22">
        <f t="shared" si="5"/>
        <v>44293.055555555606</v>
      </c>
      <c r="BM8" s="22">
        <f t="shared" si="5"/>
        <v>44668.750000000051</v>
      </c>
      <c r="BN8" s="22">
        <f t="shared" si="5"/>
        <v>45044.444444444496</v>
      </c>
      <c r="BO8" s="22">
        <f t="shared" ref="BO8:CT8" si="6">BN19</f>
        <v>45420.138888888941</v>
      </c>
      <c r="BP8" s="22">
        <f t="shared" si="6"/>
        <v>45795.833333333387</v>
      </c>
      <c r="BQ8" s="22">
        <f t="shared" si="6"/>
        <v>46171.527777777832</v>
      </c>
      <c r="BR8" s="22">
        <f t="shared" si="6"/>
        <v>46547.222222222277</v>
      </c>
      <c r="BS8" s="22">
        <f t="shared" si="6"/>
        <v>46922.916666666722</v>
      </c>
      <c r="BT8" s="22">
        <f t="shared" si="6"/>
        <v>47298.611111111168</v>
      </c>
      <c r="BU8" s="22">
        <f t="shared" si="6"/>
        <v>47674.305555555613</v>
      </c>
      <c r="BV8" s="22">
        <f t="shared" si="6"/>
        <v>48050.000000000058</v>
      </c>
      <c r="BW8" s="22">
        <f t="shared" si="6"/>
        <v>48425.694444444503</v>
      </c>
      <c r="BX8" s="22">
        <f t="shared" si="6"/>
        <v>48801.388888888949</v>
      </c>
      <c r="BY8" s="22">
        <f t="shared" si="6"/>
        <v>49177.083333333394</v>
      </c>
      <c r="BZ8" s="22">
        <f t="shared" si="6"/>
        <v>49552.777777777839</v>
      </c>
      <c r="CA8" s="22">
        <f t="shared" si="6"/>
        <v>49928.472222222284</v>
      </c>
      <c r="CB8" s="22">
        <f t="shared" si="6"/>
        <v>50304.16666666673</v>
      </c>
      <c r="CC8" s="22">
        <f t="shared" si="6"/>
        <v>50679.861111111175</v>
      </c>
      <c r="CD8" s="22">
        <f t="shared" si="6"/>
        <v>51055.55555555562</v>
      </c>
      <c r="CE8" s="22">
        <f t="shared" si="6"/>
        <v>51431.250000000065</v>
      </c>
      <c r="CF8" s="22">
        <f t="shared" si="6"/>
        <v>51806.944444444511</v>
      </c>
      <c r="CG8" s="22">
        <f t="shared" si="6"/>
        <v>52182.638888888956</v>
      </c>
      <c r="CH8" s="22">
        <f t="shared" si="6"/>
        <v>52558.333333333401</v>
      </c>
      <c r="CI8" s="22">
        <f t="shared" si="6"/>
        <v>52934.027777777846</v>
      </c>
      <c r="CJ8" s="22">
        <f t="shared" si="6"/>
        <v>53309.722222222292</v>
      </c>
      <c r="CK8" s="22">
        <f t="shared" si="6"/>
        <v>53685.416666666737</v>
      </c>
      <c r="CL8" s="22">
        <f t="shared" si="6"/>
        <v>54061.111111111182</v>
      </c>
      <c r="CM8" s="22">
        <f t="shared" si="6"/>
        <v>54436.805555555628</v>
      </c>
      <c r="CN8" s="22">
        <f t="shared" si="6"/>
        <v>54812.500000000073</v>
      </c>
      <c r="CO8" s="22">
        <f t="shared" si="6"/>
        <v>55188.194444444518</v>
      </c>
      <c r="CP8" s="22">
        <f t="shared" si="6"/>
        <v>55563.888888888963</v>
      </c>
      <c r="CQ8" s="22">
        <f t="shared" si="6"/>
        <v>55939.583333333409</v>
      </c>
      <c r="CR8" s="22">
        <f t="shared" si="6"/>
        <v>56315.277777777854</v>
      </c>
      <c r="CS8" s="22">
        <f t="shared" si="6"/>
        <v>56690.972222222299</v>
      </c>
      <c r="CT8" s="22">
        <f t="shared" si="6"/>
        <v>57066.666666666744</v>
      </c>
      <c r="CU8" s="22">
        <f t="shared" ref="CU8:DQ8" si="7">CT19</f>
        <v>57442.36111111119</v>
      </c>
      <c r="CV8" s="22">
        <f t="shared" si="7"/>
        <v>57818.055555555635</v>
      </c>
      <c r="CW8" s="22">
        <f t="shared" si="7"/>
        <v>58193.75000000008</v>
      </c>
      <c r="CX8" s="22">
        <f t="shared" si="7"/>
        <v>58569.444444444525</v>
      </c>
      <c r="CY8" s="22">
        <f t="shared" si="7"/>
        <v>58945.138888888971</v>
      </c>
      <c r="CZ8" s="22">
        <f t="shared" si="7"/>
        <v>59320.833333333416</v>
      </c>
      <c r="DA8" s="22">
        <f t="shared" si="7"/>
        <v>59696.527777777861</v>
      </c>
      <c r="DB8" s="22">
        <f t="shared" si="7"/>
        <v>60072.222222222306</v>
      </c>
      <c r="DC8" s="22">
        <f t="shared" si="7"/>
        <v>60447.916666666752</v>
      </c>
      <c r="DD8" s="22">
        <f t="shared" si="7"/>
        <v>60823.611111111197</v>
      </c>
      <c r="DE8" s="22">
        <f t="shared" si="7"/>
        <v>61199.305555555642</v>
      </c>
      <c r="DF8" s="22">
        <f t="shared" si="7"/>
        <v>61575.000000000087</v>
      </c>
      <c r="DG8" s="22">
        <f t="shared" si="7"/>
        <v>61950.694444444533</v>
      </c>
      <c r="DH8" s="22">
        <f t="shared" si="7"/>
        <v>62326.388888888978</v>
      </c>
      <c r="DI8" s="22">
        <f t="shared" si="7"/>
        <v>62702.083333333423</v>
      </c>
      <c r="DJ8" s="22">
        <f t="shared" si="7"/>
        <v>63077.777777777868</v>
      </c>
      <c r="DK8" s="22">
        <f t="shared" si="7"/>
        <v>63453.472222222314</v>
      </c>
      <c r="DL8" s="22">
        <f t="shared" si="7"/>
        <v>63829.166666666759</v>
      </c>
      <c r="DM8" s="22">
        <f t="shared" si="7"/>
        <v>64204.861111111204</v>
      </c>
      <c r="DN8" s="22">
        <f t="shared" si="7"/>
        <v>64580.555555555649</v>
      </c>
      <c r="DO8" s="22">
        <f t="shared" si="7"/>
        <v>64956.250000000095</v>
      </c>
      <c r="DP8" s="22">
        <f t="shared" si="7"/>
        <v>65331.94444444454</v>
      </c>
      <c r="DQ8" s="22">
        <f t="shared" si="7"/>
        <v>65707.638888888978</v>
      </c>
    </row>
    <row r="9" spans="1:121" ht="15" customHeight="1">
      <c r="A9" s="14" t="s">
        <v>464</v>
      </c>
      <c r="B9" s="29">
        <f t="shared" ref="B9:AG9" si="8">B7-B8</f>
        <v>41000</v>
      </c>
      <c r="C9" s="29">
        <f t="shared" si="8"/>
        <v>40727.638888888891</v>
      </c>
      <c r="D9" s="29">
        <f t="shared" si="8"/>
        <v>40455.450000000004</v>
      </c>
      <c r="E9" s="29">
        <f t="shared" si="8"/>
        <v>40183.433620370372</v>
      </c>
      <c r="F9" s="29">
        <f t="shared" si="8"/>
        <v>39911.590037515431</v>
      </c>
      <c r="G9" s="29">
        <f t="shared" si="8"/>
        <v>39639.919539429808</v>
      </c>
      <c r="H9" s="29">
        <f t="shared" si="8"/>
        <v>39368.422414588116</v>
      </c>
      <c r="I9" s="29">
        <f t="shared" si="8"/>
        <v>39097.098951945765</v>
      </c>
      <c r="J9" s="29">
        <f t="shared" si="8"/>
        <v>38825.949440939745</v>
      </c>
      <c r="K9" s="29">
        <f t="shared" si="8"/>
        <v>38554.974171489455</v>
      </c>
      <c r="L9" s="29">
        <f t="shared" si="8"/>
        <v>38284.173433997494</v>
      </c>
      <c r="M9" s="29">
        <f t="shared" si="8"/>
        <v>38013.547519350454</v>
      </c>
      <c r="N9" s="29">
        <f t="shared" si="8"/>
        <v>37743.09671891974</v>
      </c>
      <c r="O9" s="29">
        <f t="shared" si="8"/>
        <v>37472.821324562385</v>
      </c>
      <c r="P9" s="29">
        <f t="shared" si="8"/>
        <v>37202.721628621839</v>
      </c>
      <c r="Q9" s="29">
        <f t="shared" si="8"/>
        <v>36932.797923928803</v>
      </c>
      <c r="R9" s="29">
        <f t="shared" si="8"/>
        <v>36663.05050380202</v>
      </c>
      <c r="S9" s="29">
        <f t="shared" si="8"/>
        <v>36393.479662049096</v>
      </c>
      <c r="T9" s="29">
        <f t="shared" si="8"/>
        <v>36124.085692967325</v>
      </c>
      <c r="U9" s="29">
        <f t="shared" si="8"/>
        <v>35854.868891344493</v>
      </c>
      <c r="V9" s="29">
        <f t="shared" si="8"/>
        <v>35585.829552459698</v>
      </c>
      <c r="W9" s="29">
        <f t="shared" si="8"/>
        <v>35316.967972084167</v>
      </c>
      <c r="X9" s="29">
        <f t="shared" si="8"/>
        <v>35048.284446482081</v>
      </c>
      <c r="Y9" s="29">
        <f t="shared" si="8"/>
        <v>34779.779272411404</v>
      </c>
      <c r="Z9" s="29">
        <f t="shared" si="8"/>
        <v>34511.452747124684</v>
      </c>
      <c r="AA9" s="29">
        <f t="shared" si="8"/>
        <v>34243.305168369894</v>
      </c>
      <c r="AB9" s="29">
        <f t="shared" si="8"/>
        <v>33975.336834391252</v>
      </c>
      <c r="AC9" s="29">
        <f t="shared" si="8"/>
        <v>33707.548043930052</v>
      </c>
      <c r="AD9" s="29">
        <f t="shared" si="8"/>
        <v>33439.939096225491</v>
      </c>
      <c r="AE9" s="29">
        <f t="shared" si="8"/>
        <v>33172.510291015496</v>
      </c>
      <c r="AF9" s="29">
        <f t="shared" si="8"/>
        <v>32905.261928537562</v>
      </c>
      <c r="AG9" s="29">
        <f t="shared" si="8"/>
        <v>32638.194309529572</v>
      </c>
      <c r="AH9" s="29">
        <f t="shared" ref="AH9:BM9" si="9">AH7-AH8</f>
        <v>32371.307735230635</v>
      </c>
      <c r="AI9" s="29">
        <f t="shared" si="9"/>
        <v>32104.602507381947</v>
      </c>
      <c r="AJ9" s="29">
        <f t="shared" si="9"/>
        <v>31838.07892822758</v>
      </c>
      <c r="AK9" s="29">
        <f t="shared" si="9"/>
        <v>31571.737300515371</v>
      </c>
      <c r="AL9" s="29">
        <f t="shared" si="9"/>
        <v>31305.57792749771</v>
      </c>
      <c r="AM9" s="29">
        <f t="shared" si="9"/>
        <v>31039.601112932425</v>
      </c>
      <c r="AN9" s="29">
        <f t="shared" si="9"/>
        <v>30773.807161083605</v>
      </c>
      <c r="AO9" s="29">
        <f t="shared" si="9"/>
        <v>30508.196376722444</v>
      </c>
      <c r="AP9" s="29">
        <f t="shared" si="9"/>
        <v>30242.769065128086</v>
      </c>
      <c r="AQ9" s="29">
        <f t="shared" si="9"/>
        <v>29977.525532088483</v>
      </c>
      <c r="AR9" s="29">
        <f t="shared" si="9"/>
        <v>29712.466083901221</v>
      </c>
      <c r="AS9" s="29">
        <f t="shared" si="9"/>
        <v>29447.591027374387</v>
      </c>
      <c r="AT9" s="29">
        <f t="shared" si="9"/>
        <v>29182.900669827417</v>
      </c>
      <c r="AU9" s="29">
        <f t="shared" si="9"/>
        <v>28918.395319091949</v>
      </c>
      <c r="AV9" s="29">
        <f t="shared" si="9"/>
        <v>28654.075283512662</v>
      </c>
      <c r="AW9" s="29">
        <f t="shared" si="9"/>
        <v>28389.940871948151</v>
      </c>
      <c r="AX9" s="29">
        <f t="shared" si="9"/>
        <v>28125.992393771769</v>
      </c>
      <c r="AY9" s="29">
        <f t="shared" si="9"/>
        <v>27862.230158872502</v>
      </c>
      <c r="AZ9" s="29">
        <f t="shared" si="9"/>
        <v>27598.6544776558</v>
      </c>
      <c r="BA9" s="29">
        <f t="shared" si="9"/>
        <v>27335.26566104449</v>
      </c>
      <c r="BB9" s="29">
        <f t="shared" si="9"/>
        <v>27072.064020479564</v>
      </c>
      <c r="BC9" s="29">
        <f t="shared" si="9"/>
        <v>26809.049867921109</v>
      </c>
      <c r="BD9" s="29">
        <f t="shared" si="9"/>
        <v>26546.223515849124</v>
      </c>
      <c r="BE9" s="29">
        <f t="shared" si="9"/>
        <v>26283.585277264421</v>
      </c>
      <c r="BF9" s="29">
        <f t="shared" si="9"/>
        <v>26021.135465689484</v>
      </c>
      <c r="BG9" s="29">
        <f t="shared" si="9"/>
        <v>25758.87439516934</v>
      </c>
      <c r="BH9" s="29">
        <f t="shared" si="9"/>
        <v>25496.802380272406</v>
      </c>
      <c r="BI9" s="29">
        <f t="shared" si="9"/>
        <v>25234.919736091375</v>
      </c>
      <c r="BJ9" s="29">
        <f t="shared" si="9"/>
        <v>24973.226778244119</v>
      </c>
      <c r="BK9" s="29">
        <f t="shared" si="9"/>
        <v>24711.723822874519</v>
      </c>
      <c r="BL9" s="29">
        <f t="shared" si="9"/>
        <v>24450.411186653379</v>
      </c>
      <c r="BM9" s="29">
        <f t="shared" si="9"/>
        <v>24189.289186779286</v>
      </c>
      <c r="BN9" s="29">
        <f t="shared" ref="BN9:CS9" si="10">BN7-BN8</f>
        <v>23928.358140979472</v>
      </c>
      <c r="BO9" s="29">
        <f t="shared" si="10"/>
        <v>23667.618367510739</v>
      </c>
      <c r="BP9" s="29">
        <f t="shared" si="10"/>
        <v>23407.070185160293</v>
      </c>
      <c r="BQ9" s="29">
        <f t="shared" si="10"/>
        <v>23146.713913246676</v>
      </c>
      <c r="BR9" s="29">
        <f t="shared" si="10"/>
        <v>22886.549871620606</v>
      </c>
      <c r="BS9" s="29">
        <f t="shared" si="10"/>
        <v>22626.578380665895</v>
      </c>
      <c r="BT9" s="29">
        <f t="shared" si="10"/>
        <v>22366.799761300339</v>
      </c>
      <c r="BU9" s="29">
        <f t="shared" si="10"/>
        <v>22107.214334976576</v>
      </c>
      <c r="BV9" s="29">
        <f t="shared" si="10"/>
        <v>21847.822423683014</v>
      </c>
      <c r="BW9" s="29">
        <f t="shared" si="10"/>
        <v>21588.624349944708</v>
      </c>
      <c r="BX9" s="29">
        <f t="shared" si="10"/>
        <v>21329.620436824247</v>
      </c>
      <c r="BY9" s="29">
        <f t="shared" si="10"/>
        <v>21070.811007922654</v>
      </c>
      <c r="BZ9" s="29">
        <f t="shared" si="10"/>
        <v>20812.196387380303</v>
      </c>
      <c r="CA9" s="29">
        <f t="shared" si="10"/>
        <v>20553.776899877783</v>
      </c>
      <c r="CB9" s="29">
        <f t="shared" si="10"/>
        <v>20295.552870636835</v>
      </c>
      <c r="CC9" s="29">
        <f t="shared" si="10"/>
        <v>20037.524625421232</v>
      </c>
      <c r="CD9" s="29">
        <f t="shared" si="10"/>
        <v>19779.69249053768</v>
      </c>
      <c r="CE9" s="29">
        <f t="shared" si="10"/>
        <v>19522.056792836716</v>
      </c>
      <c r="CF9" s="29">
        <f t="shared" si="10"/>
        <v>19264.61785971366</v>
      </c>
      <c r="CG9" s="29">
        <f t="shared" si="10"/>
        <v>19007.376019109484</v>
      </c>
      <c r="CH9" s="29">
        <f t="shared" si="10"/>
        <v>18750.331599511701</v>
      </c>
      <c r="CI9" s="29">
        <f t="shared" si="10"/>
        <v>18493.484929955324</v>
      </c>
      <c r="CJ9" s="29">
        <f t="shared" si="10"/>
        <v>18236.836340023772</v>
      </c>
      <c r="CK9" s="29">
        <f t="shared" si="10"/>
        <v>17980.386159849739</v>
      </c>
      <c r="CL9" s="29">
        <f t="shared" si="10"/>
        <v>17724.134720116155</v>
      </c>
      <c r="CM9" s="29">
        <f t="shared" si="10"/>
        <v>17468.082352057092</v>
      </c>
      <c r="CN9" s="29">
        <f t="shared" si="10"/>
        <v>17212.229387458661</v>
      </c>
      <c r="CO9" s="29">
        <f t="shared" si="10"/>
        <v>16956.576158659976</v>
      </c>
      <c r="CP9" s="29">
        <f t="shared" si="10"/>
        <v>16701.122998554041</v>
      </c>
      <c r="CQ9" s="29">
        <f t="shared" si="10"/>
        <v>16445.870240588665</v>
      </c>
      <c r="CR9" s="29">
        <f t="shared" si="10"/>
        <v>16190.818218767425</v>
      </c>
      <c r="CS9" s="29">
        <f t="shared" si="10"/>
        <v>15935.967267650551</v>
      </c>
      <c r="CT9" s="29">
        <f t="shared" ref="CT9:DY9" si="11">CT7-CT8</f>
        <v>15681.317722355889</v>
      </c>
      <c r="CU9" s="29">
        <f t="shared" si="11"/>
        <v>15426.869918559816</v>
      </c>
      <c r="CV9" s="29">
        <f t="shared" si="11"/>
        <v>15172.624192498159</v>
      </c>
      <c r="CW9" s="29">
        <f t="shared" si="11"/>
        <v>14918.580880967136</v>
      </c>
      <c r="CX9" s="29">
        <f t="shared" si="11"/>
        <v>14664.740321324309</v>
      </c>
      <c r="CY9" s="29">
        <f t="shared" si="11"/>
        <v>14411.102851489479</v>
      </c>
      <c r="CZ9" s="29">
        <f t="shared" si="11"/>
        <v>14157.668809945666</v>
      </c>
      <c r="DA9" s="29">
        <f t="shared" si="11"/>
        <v>13904.438535740024</v>
      </c>
      <c r="DB9" s="29">
        <f t="shared" si="11"/>
        <v>13651.412368484773</v>
      </c>
      <c r="DC9" s="29">
        <f t="shared" si="11"/>
        <v>13398.590648358171</v>
      </c>
      <c r="DD9" s="29">
        <f t="shared" si="11"/>
        <v>13145.973716105436</v>
      </c>
      <c r="DE9" s="29">
        <f t="shared" si="11"/>
        <v>12893.561913039688</v>
      </c>
      <c r="DF9" s="29">
        <f t="shared" si="11"/>
        <v>12641.355581042895</v>
      </c>
      <c r="DG9" s="29">
        <f t="shared" si="11"/>
        <v>12389.35506256685</v>
      </c>
      <c r="DH9" s="29">
        <f t="shared" si="11"/>
        <v>12137.560700634087</v>
      </c>
      <c r="DI9" s="29">
        <f t="shared" si="11"/>
        <v>11885.972838838854</v>
      </c>
      <c r="DJ9" s="29">
        <f t="shared" si="11"/>
        <v>11634.591821348033</v>
      </c>
      <c r="DK9" s="29">
        <f t="shared" si="11"/>
        <v>11383.417992902127</v>
      </c>
      <c r="DL9" s="29">
        <f t="shared" si="11"/>
        <v>11132.451698816221</v>
      </c>
      <c r="DM9" s="29">
        <f t="shared" si="11"/>
        <v>10881.693284980916</v>
      </c>
      <c r="DN9" s="29">
        <f t="shared" si="11"/>
        <v>10631.143097863285</v>
      </c>
      <c r="DO9" s="29">
        <f t="shared" si="11"/>
        <v>10380.801484507865</v>
      </c>
      <c r="DP9" s="29">
        <f t="shared" si="11"/>
        <v>10130.668792537603</v>
      </c>
      <c r="DQ9" s="29">
        <f t="shared" si="11"/>
        <v>9880.7453701548075</v>
      </c>
    </row>
    <row r="11" spans="1:121" ht="15" customHeight="1">
      <c r="A11" s="5" t="s">
        <v>465</v>
      </c>
    </row>
    <row r="12" spans="1:121" ht="15" customHeight="1">
      <c r="A12" t="s">
        <v>466</v>
      </c>
      <c r="B12" s="22">
        <f>B7*Assum_Capex!$C$31/12</f>
        <v>103.33333333333333</v>
      </c>
      <c r="C12" s="22">
        <f>C7*Assum_Capex!$C$31/12</f>
        <v>103.50555555555557</v>
      </c>
      <c r="D12" s="22">
        <f>D7*Assum_Capex!$C$31/12</f>
        <v>103.67806481481483</v>
      </c>
      <c r="E12" s="22">
        <f>E7*Assum_Capex!$C$31/12</f>
        <v>103.85086158950618</v>
      </c>
      <c r="F12" s="22">
        <f>F7*Assum_Capex!$C$31/12</f>
        <v>104.02394635882202</v>
      </c>
      <c r="G12" s="22">
        <f>G7*Assum_Capex!$C$31/12</f>
        <v>104.1973196027534</v>
      </c>
      <c r="H12" s="22">
        <f>H7*Assum_Capex!$C$31/12</f>
        <v>104.37098180209131</v>
      </c>
      <c r="I12" s="22">
        <f>I7*Assum_Capex!$C$31/12</f>
        <v>104.54493343842813</v>
      </c>
      <c r="J12" s="22">
        <f>J7*Assum_Capex!$C$31/12</f>
        <v>104.71917499415885</v>
      </c>
      <c r="K12" s="22">
        <f>K7*Assum_Capex!$C$31/12</f>
        <v>104.89370695248243</v>
      </c>
      <c r="L12" s="22">
        <f>L7*Assum_Capex!$C$31/12</f>
        <v>105.06852979740324</v>
      </c>
      <c r="M12" s="22">
        <f>M7*Assum_Capex!$C$31/12</f>
        <v>105.24364401373225</v>
      </c>
      <c r="N12" s="22">
        <f>N7*Assum_Capex!$C$31/12</f>
        <v>105.41905008708846</v>
      </c>
      <c r="O12" s="22">
        <f>O7*Assum_Capex!$C$31/12</f>
        <v>105.59474850390029</v>
      </c>
      <c r="P12" s="22">
        <f>P7*Assum_Capex!$C$31/12</f>
        <v>105.77073975140679</v>
      </c>
      <c r="Q12" s="22">
        <f>Q7*Assum_Capex!$C$31/12</f>
        <v>105.94702431765914</v>
      </c>
      <c r="R12" s="22">
        <f>R7*Assum_Capex!$C$31/12</f>
        <v>106.12360269152191</v>
      </c>
      <c r="S12" s="22">
        <f>S7*Assum_Capex!$C$31/12</f>
        <v>106.30047536267445</v>
      </c>
      <c r="T12" s="22">
        <f>T7*Assum_Capex!$C$31/12</f>
        <v>106.47764282161224</v>
      </c>
      <c r="U12" s="22">
        <f>U7*Assum_Capex!$C$31/12</f>
        <v>106.65510555964825</v>
      </c>
      <c r="V12" s="22">
        <f>V7*Assum_Capex!$C$31/12</f>
        <v>106.83286406891433</v>
      </c>
      <c r="W12" s="22">
        <f>W7*Assum_Capex!$C$31/12</f>
        <v>107.01091884236253</v>
      </c>
      <c r="X12" s="22">
        <f>X7*Assum_Capex!$C$31/12</f>
        <v>107.18927037376646</v>
      </c>
      <c r="Y12" s="22">
        <f>Y7*Assum_Capex!$C$31/12</f>
        <v>107.36791915772274</v>
      </c>
      <c r="Z12" s="22">
        <f>Z7*Assum_Capex!$C$31/12</f>
        <v>107.54686568965229</v>
      </c>
      <c r="AA12" s="22">
        <f>AA7*Assum_Capex!$C$31/12</f>
        <v>107.72611046580171</v>
      </c>
      <c r="AB12" s="22">
        <f>AB7*Assum_Capex!$C$31/12</f>
        <v>107.9056539832447</v>
      </c>
      <c r="AC12" s="22">
        <f>AC7*Assum_Capex!$C$31/12</f>
        <v>108.08549673988347</v>
      </c>
      <c r="AD12" s="22">
        <f>AD7*Assum_Capex!$C$31/12</f>
        <v>108.26563923444992</v>
      </c>
      <c r="AE12" s="22">
        <f>AE7*Assum_Capex!$C$31/12</f>
        <v>108.44608196650735</v>
      </c>
      <c r="AF12" s="22">
        <f>AF7*Assum_Capex!$C$31/12</f>
        <v>108.62682543645154</v>
      </c>
      <c r="AG12" s="22">
        <f>AG7*Assum_Capex!$C$31/12</f>
        <v>108.8078701455123</v>
      </c>
      <c r="AH12" s="22">
        <f>AH7*Assum_Capex!$C$31/12</f>
        <v>108.9892165957548</v>
      </c>
      <c r="AI12" s="22">
        <f>AI7*Assum_Capex!$C$31/12</f>
        <v>109.17086529008107</v>
      </c>
      <c r="AJ12" s="22">
        <f>AJ7*Assum_Capex!$C$31/12</f>
        <v>109.3528167322312</v>
      </c>
      <c r="AK12" s="22">
        <f>AK7*Assum_Capex!$C$31/12</f>
        <v>109.53507142678494</v>
      </c>
      <c r="AL12" s="22">
        <f>AL7*Assum_Capex!$C$31/12</f>
        <v>109.71762987916291</v>
      </c>
      <c r="AM12" s="22">
        <f>AM7*Assum_Capex!$C$31/12</f>
        <v>109.90049259562817</v>
      </c>
      <c r="AN12" s="22">
        <f>AN7*Assum_Capex!$C$31/12</f>
        <v>110.08366008328754</v>
      </c>
      <c r="AO12" s="22">
        <f>AO7*Assum_Capex!$C$31/12</f>
        <v>110.26713285009301</v>
      </c>
      <c r="AP12" s="22">
        <f>AP7*Assum_Capex!$C$31/12</f>
        <v>110.45091140484317</v>
      </c>
      <c r="AQ12" s="22">
        <f>AQ7*Assum_Capex!$C$31/12</f>
        <v>110.63499625718457</v>
      </c>
      <c r="AR12" s="22">
        <f>AR7*Assum_Capex!$C$31/12</f>
        <v>110.8193879176132</v>
      </c>
      <c r="AS12" s="22">
        <f>AS7*Assum_Capex!$C$31/12</f>
        <v>111.00408689747589</v>
      </c>
      <c r="AT12" s="22">
        <f>AT7*Assum_Capex!$C$31/12</f>
        <v>111.18909370897167</v>
      </c>
      <c r="AU12" s="22">
        <f>AU7*Assum_Capex!$C$31/12</f>
        <v>111.37440886515331</v>
      </c>
      <c r="AV12" s="22">
        <f>AV7*Assum_Capex!$C$31/12</f>
        <v>111.56003287992858</v>
      </c>
      <c r="AW12" s="22">
        <f>AW7*Assum_Capex!$C$31/12</f>
        <v>111.74596626806181</v>
      </c>
      <c r="AX12" s="22">
        <f>AX7*Assum_Capex!$C$31/12</f>
        <v>111.93220954517524</v>
      </c>
      <c r="AY12" s="22">
        <f>AY7*Assum_Capex!$C$31/12</f>
        <v>112.11876322775053</v>
      </c>
      <c r="AZ12" s="22">
        <f>AZ7*Assum_Capex!$C$31/12</f>
        <v>112.30562783313012</v>
      </c>
      <c r="BA12" s="22">
        <f>BA7*Assum_Capex!$C$31/12</f>
        <v>112.49280387951866</v>
      </c>
      <c r="BB12" s="22">
        <f>BB7*Assum_Capex!$C$31/12</f>
        <v>112.68029188598452</v>
      </c>
      <c r="BC12" s="22">
        <f>BC7*Assum_Capex!$C$31/12</f>
        <v>112.86809237246119</v>
      </c>
      <c r="BD12" s="22">
        <f>BD7*Assum_Capex!$C$31/12</f>
        <v>113.05620585974862</v>
      </c>
      <c r="BE12" s="22">
        <f>BE7*Assum_Capex!$C$31/12</f>
        <v>113.24463286951486</v>
      </c>
      <c r="BF12" s="22">
        <f>BF7*Assum_Capex!$C$31/12</f>
        <v>113.43337392429737</v>
      </c>
      <c r="BG12" s="22">
        <f>BG7*Assum_Capex!$C$31/12</f>
        <v>113.62242954750452</v>
      </c>
      <c r="BH12" s="22">
        <f>BH7*Assum_Capex!$C$31/12</f>
        <v>113.81180026341706</v>
      </c>
      <c r="BI12" s="22">
        <f>BI7*Assum_Capex!$C$31/12</f>
        <v>114.00148659718941</v>
      </c>
      <c r="BJ12" s="22">
        <f>BJ7*Assum_Capex!$C$31/12</f>
        <v>114.19148907485139</v>
      </c>
      <c r="BK12" s="22">
        <f>BK7*Assum_Capex!$C$31/12</f>
        <v>114.38180822330946</v>
      </c>
      <c r="BL12" s="22">
        <f>BL7*Assum_Capex!$C$31/12</f>
        <v>114.57244457034831</v>
      </c>
      <c r="BM12" s="22">
        <f>BM7*Assum_Capex!$C$31/12</f>
        <v>114.76339864463223</v>
      </c>
      <c r="BN12" s="22">
        <f>BN7*Assum_Capex!$C$31/12</f>
        <v>114.95467097570662</v>
      </c>
      <c r="BO12" s="22">
        <f>BO7*Assum_Capex!$C$31/12</f>
        <v>115.14626209399948</v>
      </c>
      <c r="BP12" s="22">
        <f>BP7*Assum_Capex!$C$31/12</f>
        <v>115.3381725308228</v>
      </c>
      <c r="BQ12" s="22">
        <f>BQ7*Assum_Capex!$C$31/12</f>
        <v>115.53040281837418</v>
      </c>
      <c r="BR12" s="22">
        <f>BR7*Assum_Capex!$C$31/12</f>
        <v>115.72295348973813</v>
      </c>
      <c r="BS12" s="22">
        <f>BS7*Assum_Capex!$C$31/12</f>
        <v>115.91582507888769</v>
      </c>
      <c r="BT12" s="22">
        <f>BT7*Assum_Capex!$C$31/12</f>
        <v>116.10901812068585</v>
      </c>
      <c r="BU12" s="22">
        <f>BU7*Assum_Capex!$C$31/12</f>
        <v>116.30253315088699</v>
      </c>
      <c r="BV12" s="22">
        <f>BV7*Assum_Capex!$C$31/12</f>
        <v>116.49637070613846</v>
      </c>
      <c r="BW12" s="22">
        <f>BW7*Assum_Capex!$C$31/12</f>
        <v>116.69053132398203</v>
      </c>
      <c r="BX12" s="22">
        <f>BX7*Assum_Capex!$C$31/12</f>
        <v>116.88501554285533</v>
      </c>
      <c r="BY12" s="22">
        <f>BY7*Assum_Capex!$C$31/12</f>
        <v>117.07982390209342</v>
      </c>
      <c r="BZ12" s="22">
        <f>BZ7*Assum_Capex!$C$31/12</f>
        <v>117.27495694193023</v>
      </c>
      <c r="CA12" s="22">
        <f>CA7*Assum_Capex!$C$31/12</f>
        <v>117.47041520350011</v>
      </c>
      <c r="CB12" s="22">
        <f>CB7*Assum_Capex!$C$31/12</f>
        <v>117.66619922883928</v>
      </c>
      <c r="CC12" s="22">
        <f>CC7*Assum_Capex!$C$31/12</f>
        <v>117.86230956088735</v>
      </c>
      <c r="CD12" s="22">
        <f>CD7*Assum_Capex!$C$31/12</f>
        <v>118.05874674348884</v>
      </c>
      <c r="CE12" s="22">
        <f>CE7*Assum_Capex!$C$31/12</f>
        <v>118.25551132139464</v>
      </c>
      <c r="CF12" s="22">
        <f>CF7*Assum_Capex!$C$31/12</f>
        <v>118.45260384026362</v>
      </c>
      <c r="CG12" s="22">
        <f>CG7*Assum_Capex!$C$31/12</f>
        <v>118.65002484666407</v>
      </c>
      <c r="CH12" s="22">
        <f>CH7*Assum_Capex!$C$31/12</f>
        <v>118.84777488807516</v>
      </c>
      <c r="CI12" s="22">
        <f>CI7*Assum_Capex!$C$31/12</f>
        <v>119.04585451288862</v>
      </c>
      <c r="CJ12" s="22">
        <f>CJ7*Assum_Capex!$C$31/12</f>
        <v>119.24426427041011</v>
      </c>
      <c r="CK12" s="22">
        <f>CK7*Assum_Capex!$C$31/12</f>
        <v>119.44300471086079</v>
      </c>
      <c r="CL12" s="22">
        <f>CL7*Assum_Capex!$C$31/12</f>
        <v>119.6420763853789</v>
      </c>
      <c r="CM12" s="22">
        <f>CM7*Assum_Capex!$C$31/12</f>
        <v>119.84147984602122</v>
      </c>
      <c r="CN12" s="22">
        <f>CN7*Assum_Capex!$C$31/12</f>
        <v>120.04121564576457</v>
      </c>
      <c r="CO12" s="22">
        <f>CO7*Assum_Capex!$C$31/12</f>
        <v>120.2412843385075</v>
      </c>
      <c r="CP12" s="22">
        <f>CP7*Assum_Capex!$C$31/12</f>
        <v>120.44168647907168</v>
      </c>
      <c r="CQ12" s="22">
        <f>CQ7*Assum_Capex!$C$31/12</f>
        <v>120.64242262320346</v>
      </c>
      <c r="CR12" s="22">
        <f>CR7*Assum_Capex!$C$31/12</f>
        <v>120.84349332757546</v>
      </c>
      <c r="CS12" s="22">
        <f>CS7*Assum_Capex!$C$31/12</f>
        <v>121.04489914978808</v>
      </c>
      <c r="CT12" s="22">
        <f>CT7*Assum_Capex!$C$31/12</f>
        <v>121.24664064837106</v>
      </c>
      <c r="CU12" s="22">
        <f>CU7*Assum_Capex!$C$31/12</f>
        <v>121.448718382785</v>
      </c>
      <c r="CV12" s="22">
        <f>CV7*Assum_Capex!$C$31/12</f>
        <v>121.651132913423</v>
      </c>
      <c r="CW12" s="22">
        <f>CW7*Assum_Capex!$C$31/12</f>
        <v>121.85388480161203</v>
      </c>
      <c r="CX12" s="22">
        <f>CX7*Assum_Capex!$C$31/12</f>
        <v>122.05697460961473</v>
      </c>
      <c r="CY12" s="22">
        <f>CY7*Assum_Capex!$C$31/12</f>
        <v>122.26040290063075</v>
      </c>
      <c r="CZ12" s="22">
        <f>CZ7*Assum_Capex!$C$31/12</f>
        <v>122.46417023879847</v>
      </c>
      <c r="DA12" s="22">
        <f>DA7*Assum_Capex!$C$31/12</f>
        <v>122.66827718919647</v>
      </c>
      <c r="DB12" s="22">
        <f>DB7*Assum_Capex!$C$31/12</f>
        <v>122.87272431784514</v>
      </c>
      <c r="DC12" s="22">
        <f>DC7*Assum_Capex!$C$31/12</f>
        <v>123.07751219170821</v>
      </c>
      <c r="DD12" s="22">
        <f>DD7*Assum_Capex!$C$31/12</f>
        <v>123.28264137869439</v>
      </c>
      <c r="DE12" s="22">
        <f>DE7*Assum_Capex!$C$31/12</f>
        <v>123.48811244765888</v>
      </c>
      <c r="DF12" s="22">
        <f>DF7*Assum_Capex!$C$31/12</f>
        <v>123.69392596840497</v>
      </c>
      <c r="DG12" s="22">
        <f>DG7*Assum_Capex!$C$31/12</f>
        <v>123.90008251168564</v>
      </c>
      <c r="DH12" s="22">
        <f>DH7*Assum_Capex!$C$31/12</f>
        <v>124.10658264920511</v>
      </c>
      <c r="DI12" s="22">
        <f>DI7*Assum_Capex!$C$31/12</f>
        <v>124.31342695362046</v>
      </c>
      <c r="DJ12" s="22">
        <f>DJ7*Assum_Capex!$C$31/12</f>
        <v>124.52061599854318</v>
      </c>
      <c r="DK12" s="22">
        <f>DK7*Assum_Capex!$C$31/12</f>
        <v>124.72815035854074</v>
      </c>
      <c r="DL12" s="22">
        <f>DL7*Assum_Capex!$C$31/12</f>
        <v>124.9360306091383</v>
      </c>
      <c r="DM12" s="22">
        <f>DM7*Assum_Capex!$C$31/12</f>
        <v>125.1442573268202</v>
      </c>
      <c r="DN12" s="22">
        <f>DN7*Assum_Capex!$C$31/12</f>
        <v>125.35283108903155</v>
      </c>
      <c r="DO12" s="22">
        <f>DO7*Assum_Capex!$C$31/12</f>
        <v>125.56175247417993</v>
      </c>
      <c r="DP12" s="22">
        <f>DP7*Assum_Capex!$C$31/12</f>
        <v>125.77102206163691</v>
      </c>
      <c r="DQ12" s="22">
        <f>DQ7*Assum_Capex!$C$31/12</f>
        <v>125.98064043173964</v>
      </c>
    </row>
    <row r="13" spans="1:121" ht="15" customHeight="1">
      <c r="A13" t="s">
        <v>467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v>0</v>
      </c>
    </row>
    <row r="14" spans="1:121" ht="15" customHeight="1">
      <c r="A14" s="14" t="s">
        <v>468</v>
      </c>
      <c r="B14" s="29">
        <f t="shared" ref="B14:AG14" si="12">B12+B13</f>
        <v>103.33333333333333</v>
      </c>
      <c r="C14" s="29">
        <f t="shared" si="12"/>
        <v>103.50555555555557</v>
      </c>
      <c r="D14" s="29">
        <f t="shared" si="12"/>
        <v>103.67806481481483</v>
      </c>
      <c r="E14" s="29">
        <f t="shared" si="12"/>
        <v>103.85086158950618</v>
      </c>
      <c r="F14" s="29">
        <f t="shared" si="12"/>
        <v>104.02394635882202</v>
      </c>
      <c r="G14" s="29">
        <f t="shared" si="12"/>
        <v>104.1973196027534</v>
      </c>
      <c r="H14" s="29">
        <f t="shared" si="12"/>
        <v>104.37098180209131</v>
      </c>
      <c r="I14" s="29">
        <f t="shared" si="12"/>
        <v>104.54493343842813</v>
      </c>
      <c r="J14" s="29">
        <f t="shared" si="12"/>
        <v>104.71917499415885</v>
      </c>
      <c r="K14" s="29">
        <f t="shared" si="12"/>
        <v>104.89370695248243</v>
      </c>
      <c r="L14" s="29">
        <f t="shared" si="12"/>
        <v>105.06852979740324</v>
      </c>
      <c r="M14" s="29">
        <f t="shared" si="12"/>
        <v>105.24364401373225</v>
      </c>
      <c r="N14" s="29">
        <f t="shared" si="12"/>
        <v>105.41905008708846</v>
      </c>
      <c r="O14" s="29">
        <f t="shared" si="12"/>
        <v>105.59474850390029</v>
      </c>
      <c r="P14" s="29">
        <f t="shared" si="12"/>
        <v>105.77073975140679</v>
      </c>
      <c r="Q14" s="29">
        <f t="shared" si="12"/>
        <v>105.94702431765914</v>
      </c>
      <c r="R14" s="29">
        <f t="shared" si="12"/>
        <v>106.12360269152191</v>
      </c>
      <c r="S14" s="29">
        <f t="shared" si="12"/>
        <v>106.30047536267445</v>
      </c>
      <c r="T14" s="29">
        <f t="shared" si="12"/>
        <v>106.47764282161224</v>
      </c>
      <c r="U14" s="29">
        <f t="shared" si="12"/>
        <v>106.65510555964825</v>
      </c>
      <c r="V14" s="29">
        <f t="shared" si="12"/>
        <v>106.83286406891433</v>
      </c>
      <c r="W14" s="29">
        <f t="shared" si="12"/>
        <v>107.01091884236253</v>
      </c>
      <c r="X14" s="29">
        <f t="shared" si="12"/>
        <v>107.18927037376646</v>
      </c>
      <c r="Y14" s="29">
        <f t="shared" si="12"/>
        <v>107.36791915772274</v>
      </c>
      <c r="Z14" s="29">
        <f t="shared" si="12"/>
        <v>107.54686568965229</v>
      </c>
      <c r="AA14" s="29">
        <f t="shared" si="12"/>
        <v>107.72611046580171</v>
      </c>
      <c r="AB14" s="29">
        <f t="shared" si="12"/>
        <v>107.9056539832447</v>
      </c>
      <c r="AC14" s="29">
        <f t="shared" si="12"/>
        <v>108.08549673988347</v>
      </c>
      <c r="AD14" s="29">
        <f t="shared" si="12"/>
        <v>108.26563923444992</v>
      </c>
      <c r="AE14" s="29">
        <f t="shared" si="12"/>
        <v>108.44608196650735</v>
      </c>
      <c r="AF14" s="29">
        <f t="shared" si="12"/>
        <v>108.62682543645154</v>
      </c>
      <c r="AG14" s="29">
        <f t="shared" si="12"/>
        <v>108.8078701455123</v>
      </c>
      <c r="AH14" s="29">
        <f t="shared" ref="AH14:BM14" si="13">AH12+AH13</f>
        <v>108.9892165957548</v>
      </c>
      <c r="AI14" s="29">
        <f t="shared" si="13"/>
        <v>109.17086529008107</v>
      </c>
      <c r="AJ14" s="29">
        <f t="shared" si="13"/>
        <v>109.3528167322312</v>
      </c>
      <c r="AK14" s="29">
        <f t="shared" si="13"/>
        <v>109.53507142678494</v>
      </c>
      <c r="AL14" s="29">
        <f t="shared" si="13"/>
        <v>109.71762987916291</v>
      </c>
      <c r="AM14" s="29">
        <f t="shared" si="13"/>
        <v>109.90049259562817</v>
      </c>
      <c r="AN14" s="29">
        <f t="shared" si="13"/>
        <v>110.08366008328754</v>
      </c>
      <c r="AO14" s="29">
        <f t="shared" si="13"/>
        <v>110.26713285009301</v>
      </c>
      <c r="AP14" s="29">
        <f t="shared" si="13"/>
        <v>110.45091140484317</v>
      </c>
      <c r="AQ14" s="29">
        <f t="shared" si="13"/>
        <v>110.63499625718457</v>
      </c>
      <c r="AR14" s="29">
        <f t="shared" si="13"/>
        <v>110.8193879176132</v>
      </c>
      <c r="AS14" s="29">
        <f t="shared" si="13"/>
        <v>111.00408689747589</v>
      </c>
      <c r="AT14" s="29">
        <f t="shared" si="13"/>
        <v>111.18909370897167</v>
      </c>
      <c r="AU14" s="29">
        <f t="shared" si="13"/>
        <v>111.37440886515331</v>
      </c>
      <c r="AV14" s="29">
        <f t="shared" si="13"/>
        <v>111.56003287992858</v>
      </c>
      <c r="AW14" s="29">
        <f t="shared" si="13"/>
        <v>111.74596626806181</v>
      </c>
      <c r="AX14" s="29">
        <f t="shared" si="13"/>
        <v>111.93220954517524</v>
      </c>
      <c r="AY14" s="29">
        <f t="shared" si="13"/>
        <v>112.11876322775053</v>
      </c>
      <c r="AZ14" s="29">
        <f t="shared" si="13"/>
        <v>112.30562783313012</v>
      </c>
      <c r="BA14" s="29">
        <f t="shared" si="13"/>
        <v>112.49280387951866</v>
      </c>
      <c r="BB14" s="29">
        <f t="shared" si="13"/>
        <v>112.68029188598452</v>
      </c>
      <c r="BC14" s="29">
        <f t="shared" si="13"/>
        <v>112.86809237246119</v>
      </c>
      <c r="BD14" s="29">
        <f t="shared" si="13"/>
        <v>113.05620585974862</v>
      </c>
      <c r="BE14" s="29">
        <f t="shared" si="13"/>
        <v>113.24463286951486</v>
      </c>
      <c r="BF14" s="29">
        <f t="shared" si="13"/>
        <v>113.43337392429737</v>
      </c>
      <c r="BG14" s="29">
        <f t="shared" si="13"/>
        <v>113.62242954750452</v>
      </c>
      <c r="BH14" s="29">
        <f t="shared" si="13"/>
        <v>113.81180026341706</v>
      </c>
      <c r="BI14" s="29">
        <f t="shared" si="13"/>
        <v>114.00148659718941</v>
      </c>
      <c r="BJ14" s="29">
        <f t="shared" si="13"/>
        <v>114.19148907485139</v>
      </c>
      <c r="BK14" s="29">
        <f t="shared" si="13"/>
        <v>114.38180822330946</v>
      </c>
      <c r="BL14" s="29">
        <f t="shared" si="13"/>
        <v>114.57244457034831</v>
      </c>
      <c r="BM14" s="29">
        <f t="shared" si="13"/>
        <v>114.76339864463223</v>
      </c>
      <c r="BN14" s="29">
        <f t="shared" ref="BN14:CS14" si="14">BN12+BN13</f>
        <v>114.95467097570662</v>
      </c>
      <c r="BO14" s="29">
        <f t="shared" si="14"/>
        <v>115.14626209399948</v>
      </c>
      <c r="BP14" s="29">
        <f t="shared" si="14"/>
        <v>115.3381725308228</v>
      </c>
      <c r="BQ14" s="29">
        <f t="shared" si="14"/>
        <v>115.53040281837418</v>
      </c>
      <c r="BR14" s="29">
        <f t="shared" si="14"/>
        <v>115.72295348973813</v>
      </c>
      <c r="BS14" s="29">
        <f t="shared" si="14"/>
        <v>115.91582507888769</v>
      </c>
      <c r="BT14" s="29">
        <f t="shared" si="14"/>
        <v>116.10901812068585</v>
      </c>
      <c r="BU14" s="29">
        <f t="shared" si="14"/>
        <v>116.30253315088699</v>
      </c>
      <c r="BV14" s="29">
        <f t="shared" si="14"/>
        <v>116.49637070613846</v>
      </c>
      <c r="BW14" s="29">
        <f t="shared" si="14"/>
        <v>116.69053132398203</v>
      </c>
      <c r="BX14" s="29">
        <f t="shared" si="14"/>
        <v>116.88501554285533</v>
      </c>
      <c r="BY14" s="29">
        <f t="shared" si="14"/>
        <v>117.07982390209342</v>
      </c>
      <c r="BZ14" s="29">
        <f t="shared" si="14"/>
        <v>117.27495694193023</v>
      </c>
      <c r="CA14" s="29">
        <f t="shared" si="14"/>
        <v>117.47041520350011</v>
      </c>
      <c r="CB14" s="29">
        <f t="shared" si="14"/>
        <v>117.66619922883928</v>
      </c>
      <c r="CC14" s="29">
        <f t="shared" si="14"/>
        <v>117.86230956088735</v>
      </c>
      <c r="CD14" s="29">
        <f t="shared" si="14"/>
        <v>118.05874674348884</v>
      </c>
      <c r="CE14" s="29">
        <f t="shared" si="14"/>
        <v>118.25551132139464</v>
      </c>
      <c r="CF14" s="29">
        <f t="shared" si="14"/>
        <v>118.45260384026362</v>
      </c>
      <c r="CG14" s="29">
        <f t="shared" si="14"/>
        <v>118.65002484666407</v>
      </c>
      <c r="CH14" s="29">
        <f t="shared" si="14"/>
        <v>118.84777488807516</v>
      </c>
      <c r="CI14" s="29">
        <f t="shared" si="14"/>
        <v>119.04585451288862</v>
      </c>
      <c r="CJ14" s="29">
        <f t="shared" si="14"/>
        <v>119.24426427041011</v>
      </c>
      <c r="CK14" s="29">
        <f t="shared" si="14"/>
        <v>119.44300471086079</v>
      </c>
      <c r="CL14" s="29">
        <f t="shared" si="14"/>
        <v>119.6420763853789</v>
      </c>
      <c r="CM14" s="29">
        <f t="shared" si="14"/>
        <v>119.84147984602122</v>
      </c>
      <c r="CN14" s="29">
        <f t="shared" si="14"/>
        <v>120.04121564576457</v>
      </c>
      <c r="CO14" s="29">
        <f t="shared" si="14"/>
        <v>120.2412843385075</v>
      </c>
      <c r="CP14" s="29">
        <f t="shared" si="14"/>
        <v>120.44168647907168</v>
      </c>
      <c r="CQ14" s="29">
        <f t="shared" si="14"/>
        <v>120.64242262320346</v>
      </c>
      <c r="CR14" s="29">
        <f t="shared" si="14"/>
        <v>120.84349332757546</v>
      </c>
      <c r="CS14" s="29">
        <f t="shared" si="14"/>
        <v>121.04489914978808</v>
      </c>
      <c r="CT14" s="29">
        <f t="shared" ref="CT14:DY14" si="15">CT12+CT13</f>
        <v>121.24664064837106</v>
      </c>
      <c r="CU14" s="29">
        <f t="shared" si="15"/>
        <v>121.448718382785</v>
      </c>
      <c r="CV14" s="29">
        <f t="shared" si="15"/>
        <v>121.651132913423</v>
      </c>
      <c r="CW14" s="29">
        <f t="shared" si="15"/>
        <v>121.85388480161203</v>
      </c>
      <c r="CX14" s="29">
        <f t="shared" si="15"/>
        <v>122.05697460961473</v>
      </c>
      <c r="CY14" s="29">
        <f t="shared" si="15"/>
        <v>122.26040290063075</v>
      </c>
      <c r="CZ14" s="29">
        <f t="shared" si="15"/>
        <v>122.46417023879847</v>
      </c>
      <c r="DA14" s="29">
        <f t="shared" si="15"/>
        <v>122.66827718919647</v>
      </c>
      <c r="DB14" s="29">
        <f t="shared" si="15"/>
        <v>122.87272431784514</v>
      </c>
      <c r="DC14" s="29">
        <f t="shared" si="15"/>
        <v>123.07751219170821</v>
      </c>
      <c r="DD14" s="29">
        <f t="shared" si="15"/>
        <v>123.28264137869439</v>
      </c>
      <c r="DE14" s="29">
        <f t="shared" si="15"/>
        <v>123.48811244765888</v>
      </c>
      <c r="DF14" s="29">
        <f t="shared" si="15"/>
        <v>123.69392596840497</v>
      </c>
      <c r="DG14" s="29">
        <f t="shared" si="15"/>
        <v>123.90008251168564</v>
      </c>
      <c r="DH14" s="29">
        <f t="shared" si="15"/>
        <v>124.10658264920511</v>
      </c>
      <c r="DI14" s="29">
        <f t="shared" si="15"/>
        <v>124.31342695362046</v>
      </c>
      <c r="DJ14" s="29">
        <f t="shared" si="15"/>
        <v>124.52061599854318</v>
      </c>
      <c r="DK14" s="29">
        <f t="shared" si="15"/>
        <v>124.72815035854074</v>
      </c>
      <c r="DL14" s="29">
        <f t="shared" si="15"/>
        <v>124.9360306091383</v>
      </c>
      <c r="DM14" s="29">
        <f t="shared" si="15"/>
        <v>125.1442573268202</v>
      </c>
      <c r="DN14" s="29">
        <f t="shared" si="15"/>
        <v>125.35283108903155</v>
      </c>
      <c r="DO14" s="29">
        <f t="shared" si="15"/>
        <v>125.56175247417993</v>
      </c>
      <c r="DP14" s="29">
        <f t="shared" si="15"/>
        <v>125.77102206163691</v>
      </c>
      <c r="DQ14" s="29">
        <f t="shared" si="15"/>
        <v>125.98064043173964</v>
      </c>
    </row>
    <row r="15" spans="1:121" ht="15" customHeight="1">
      <c r="A15" s="14" t="s">
        <v>469</v>
      </c>
      <c r="B15" s="29">
        <f>Assum_Capex!$F$13/12/1000</f>
        <v>375.69444444444446</v>
      </c>
      <c r="C15" s="29">
        <f>Assum_Capex!$F$13/12/1000</f>
        <v>375.69444444444446</v>
      </c>
      <c r="D15" s="29">
        <f>Assum_Capex!$F$13/12/1000</f>
        <v>375.69444444444446</v>
      </c>
      <c r="E15" s="29">
        <f>Assum_Capex!$F$13/12/1000</f>
        <v>375.69444444444446</v>
      </c>
      <c r="F15" s="29">
        <f>Assum_Capex!$F$13/12/1000</f>
        <v>375.69444444444446</v>
      </c>
      <c r="G15" s="29">
        <f>Assum_Capex!$F$13/12/1000</f>
        <v>375.69444444444446</v>
      </c>
      <c r="H15" s="29">
        <f>Assum_Capex!$F$13/12/1000</f>
        <v>375.69444444444446</v>
      </c>
      <c r="I15" s="29">
        <f>Assum_Capex!$F$13/12/1000</f>
        <v>375.69444444444446</v>
      </c>
      <c r="J15" s="29">
        <f>Assum_Capex!$F$13/12/1000</f>
        <v>375.69444444444446</v>
      </c>
      <c r="K15" s="29">
        <f>Assum_Capex!$F$13/12/1000</f>
        <v>375.69444444444446</v>
      </c>
      <c r="L15" s="29">
        <f>Assum_Capex!$F$13/12/1000</f>
        <v>375.69444444444446</v>
      </c>
      <c r="M15" s="29">
        <f>Assum_Capex!$F$13/12/1000</f>
        <v>375.69444444444446</v>
      </c>
      <c r="N15" s="29">
        <f>Assum_Capex!$F$13/12/1000</f>
        <v>375.69444444444446</v>
      </c>
      <c r="O15" s="29">
        <f>Assum_Capex!$F$13/12/1000</f>
        <v>375.69444444444446</v>
      </c>
      <c r="P15" s="29">
        <f>Assum_Capex!$F$13/12/1000</f>
        <v>375.69444444444446</v>
      </c>
      <c r="Q15" s="29">
        <f>Assum_Capex!$F$13/12/1000</f>
        <v>375.69444444444446</v>
      </c>
      <c r="R15" s="29">
        <f>Assum_Capex!$F$13/12/1000</f>
        <v>375.69444444444446</v>
      </c>
      <c r="S15" s="29">
        <f>Assum_Capex!$F$13/12/1000</f>
        <v>375.69444444444446</v>
      </c>
      <c r="T15" s="29">
        <f>Assum_Capex!$F$13/12/1000</f>
        <v>375.69444444444446</v>
      </c>
      <c r="U15" s="29">
        <f>Assum_Capex!$F$13/12/1000</f>
        <v>375.69444444444446</v>
      </c>
      <c r="V15" s="29">
        <f>Assum_Capex!$F$13/12/1000</f>
        <v>375.69444444444446</v>
      </c>
      <c r="W15" s="29">
        <f>Assum_Capex!$F$13/12/1000</f>
        <v>375.69444444444446</v>
      </c>
      <c r="X15" s="29">
        <f>Assum_Capex!$F$13/12/1000</f>
        <v>375.69444444444446</v>
      </c>
      <c r="Y15" s="29">
        <f>Assum_Capex!$F$13/12/1000</f>
        <v>375.69444444444446</v>
      </c>
      <c r="Z15" s="29">
        <f>Assum_Capex!$F$13/12/1000</f>
        <v>375.69444444444446</v>
      </c>
      <c r="AA15" s="29">
        <f>Assum_Capex!$F$13/12/1000</f>
        <v>375.69444444444446</v>
      </c>
      <c r="AB15" s="29">
        <f>Assum_Capex!$F$13/12/1000</f>
        <v>375.69444444444446</v>
      </c>
      <c r="AC15" s="29">
        <f>Assum_Capex!$F$13/12/1000</f>
        <v>375.69444444444446</v>
      </c>
      <c r="AD15" s="29">
        <f>Assum_Capex!$F$13/12/1000</f>
        <v>375.69444444444446</v>
      </c>
      <c r="AE15" s="29">
        <f>Assum_Capex!$F$13/12/1000</f>
        <v>375.69444444444446</v>
      </c>
      <c r="AF15" s="29">
        <f>Assum_Capex!$F$13/12/1000</f>
        <v>375.69444444444446</v>
      </c>
      <c r="AG15" s="29">
        <f>Assum_Capex!$F$13/12/1000</f>
        <v>375.69444444444446</v>
      </c>
      <c r="AH15" s="29">
        <f>Assum_Capex!$F$13/12/1000</f>
        <v>375.69444444444446</v>
      </c>
      <c r="AI15" s="29">
        <f>Assum_Capex!$F$13/12/1000</f>
        <v>375.69444444444446</v>
      </c>
      <c r="AJ15" s="29">
        <f>Assum_Capex!$F$13/12/1000</f>
        <v>375.69444444444446</v>
      </c>
      <c r="AK15" s="29">
        <f>Assum_Capex!$F$13/12/1000</f>
        <v>375.69444444444446</v>
      </c>
      <c r="AL15" s="29">
        <f>Assum_Capex!$F$13/12/1000</f>
        <v>375.69444444444446</v>
      </c>
      <c r="AM15" s="29">
        <f>Assum_Capex!$F$13/12/1000</f>
        <v>375.69444444444446</v>
      </c>
      <c r="AN15" s="29">
        <f>Assum_Capex!$F$13/12/1000</f>
        <v>375.69444444444446</v>
      </c>
      <c r="AO15" s="29">
        <f>Assum_Capex!$F$13/12/1000</f>
        <v>375.69444444444446</v>
      </c>
      <c r="AP15" s="29">
        <f>Assum_Capex!$F$13/12/1000</f>
        <v>375.69444444444446</v>
      </c>
      <c r="AQ15" s="29">
        <f>Assum_Capex!$F$13/12/1000</f>
        <v>375.69444444444446</v>
      </c>
      <c r="AR15" s="29">
        <f>Assum_Capex!$F$13/12/1000</f>
        <v>375.69444444444446</v>
      </c>
      <c r="AS15" s="29">
        <f>Assum_Capex!$F$13/12/1000</f>
        <v>375.69444444444446</v>
      </c>
      <c r="AT15" s="29">
        <f>Assum_Capex!$F$13/12/1000</f>
        <v>375.69444444444446</v>
      </c>
      <c r="AU15" s="29">
        <f>Assum_Capex!$F$13/12/1000</f>
        <v>375.69444444444446</v>
      </c>
      <c r="AV15" s="29">
        <f>Assum_Capex!$F$13/12/1000</f>
        <v>375.69444444444446</v>
      </c>
      <c r="AW15" s="29">
        <f>Assum_Capex!$F$13/12/1000</f>
        <v>375.69444444444446</v>
      </c>
      <c r="AX15" s="29">
        <f>Assum_Capex!$F$13/12/1000</f>
        <v>375.69444444444446</v>
      </c>
      <c r="AY15" s="29">
        <f>Assum_Capex!$F$13/12/1000</f>
        <v>375.69444444444446</v>
      </c>
      <c r="AZ15" s="29">
        <f>Assum_Capex!$F$13/12/1000</f>
        <v>375.69444444444446</v>
      </c>
      <c r="BA15" s="29">
        <f>Assum_Capex!$F$13/12/1000</f>
        <v>375.69444444444446</v>
      </c>
      <c r="BB15" s="29">
        <f>Assum_Capex!$F$13/12/1000</f>
        <v>375.69444444444446</v>
      </c>
      <c r="BC15" s="29">
        <f>Assum_Capex!$F$13/12/1000</f>
        <v>375.69444444444446</v>
      </c>
      <c r="BD15" s="29">
        <f>Assum_Capex!$F$13/12/1000</f>
        <v>375.69444444444446</v>
      </c>
      <c r="BE15" s="29">
        <f>Assum_Capex!$F$13/12/1000</f>
        <v>375.69444444444446</v>
      </c>
      <c r="BF15" s="29">
        <f>Assum_Capex!$F$13/12/1000</f>
        <v>375.69444444444446</v>
      </c>
      <c r="BG15" s="29">
        <f>Assum_Capex!$F$13/12/1000</f>
        <v>375.69444444444446</v>
      </c>
      <c r="BH15" s="29">
        <f>Assum_Capex!$F$13/12/1000</f>
        <v>375.69444444444446</v>
      </c>
      <c r="BI15" s="29">
        <f>Assum_Capex!$F$13/12/1000</f>
        <v>375.69444444444446</v>
      </c>
      <c r="BJ15" s="29">
        <f>Assum_Capex!$F$13/12/1000</f>
        <v>375.69444444444446</v>
      </c>
      <c r="BK15" s="29">
        <f>Assum_Capex!$F$13/12/1000</f>
        <v>375.69444444444446</v>
      </c>
      <c r="BL15" s="29">
        <f>Assum_Capex!$F$13/12/1000</f>
        <v>375.69444444444446</v>
      </c>
      <c r="BM15" s="29">
        <f>Assum_Capex!$F$13/12/1000</f>
        <v>375.69444444444446</v>
      </c>
      <c r="BN15" s="29">
        <f>Assum_Capex!$F$13/12/1000</f>
        <v>375.69444444444446</v>
      </c>
      <c r="BO15" s="29">
        <f>Assum_Capex!$F$13/12/1000</f>
        <v>375.69444444444446</v>
      </c>
      <c r="BP15" s="29">
        <f>Assum_Capex!$F$13/12/1000</f>
        <v>375.69444444444446</v>
      </c>
      <c r="BQ15" s="29">
        <f>Assum_Capex!$F$13/12/1000</f>
        <v>375.69444444444446</v>
      </c>
      <c r="BR15" s="29">
        <f>Assum_Capex!$F$13/12/1000</f>
        <v>375.69444444444446</v>
      </c>
      <c r="BS15" s="29">
        <f>Assum_Capex!$F$13/12/1000</f>
        <v>375.69444444444446</v>
      </c>
      <c r="BT15" s="29">
        <f>Assum_Capex!$F$13/12/1000</f>
        <v>375.69444444444446</v>
      </c>
      <c r="BU15" s="29">
        <f>Assum_Capex!$F$13/12/1000</f>
        <v>375.69444444444446</v>
      </c>
      <c r="BV15" s="29">
        <f>Assum_Capex!$F$13/12/1000</f>
        <v>375.69444444444446</v>
      </c>
      <c r="BW15" s="29">
        <f>Assum_Capex!$F$13/12/1000</f>
        <v>375.69444444444446</v>
      </c>
      <c r="BX15" s="29">
        <f>Assum_Capex!$F$13/12/1000</f>
        <v>375.69444444444446</v>
      </c>
      <c r="BY15" s="29">
        <f>Assum_Capex!$F$13/12/1000</f>
        <v>375.69444444444446</v>
      </c>
      <c r="BZ15" s="29">
        <f>Assum_Capex!$F$13/12/1000</f>
        <v>375.69444444444446</v>
      </c>
      <c r="CA15" s="29">
        <f>Assum_Capex!$F$13/12/1000</f>
        <v>375.69444444444446</v>
      </c>
      <c r="CB15" s="29">
        <f>Assum_Capex!$F$13/12/1000</f>
        <v>375.69444444444446</v>
      </c>
      <c r="CC15" s="29">
        <f>Assum_Capex!$F$13/12/1000</f>
        <v>375.69444444444446</v>
      </c>
      <c r="CD15" s="29">
        <f>Assum_Capex!$F$13/12/1000</f>
        <v>375.69444444444446</v>
      </c>
      <c r="CE15" s="29">
        <f>Assum_Capex!$F$13/12/1000</f>
        <v>375.69444444444446</v>
      </c>
      <c r="CF15" s="29">
        <f>Assum_Capex!$F$13/12/1000</f>
        <v>375.69444444444446</v>
      </c>
      <c r="CG15" s="29">
        <f>Assum_Capex!$F$13/12/1000</f>
        <v>375.69444444444446</v>
      </c>
      <c r="CH15" s="29">
        <f>Assum_Capex!$F$13/12/1000</f>
        <v>375.69444444444446</v>
      </c>
      <c r="CI15" s="29">
        <f>Assum_Capex!$F$13/12/1000</f>
        <v>375.69444444444446</v>
      </c>
      <c r="CJ15" s="29">
        <f>Assum_Capex!$F$13/12/1000</f>
        <v>375.69444444444446</v>
      </c>
      <c r="CK15" s="29">
        <f>Assum_Capex!$F$13/12/1000</f>
        <v>375.69444444444446</v>
      </c>
      <c r="CL15" s="29">
        <f>Assum_Capex!$F$13/12/1000</f>
        <v>375.69444444444446</v>
      </c>
      <c r="CM15" s="29">
        <f>Assum_Capex!$F$13/12/1000</f>
        <v>375.69444444444446</v>
      </c>
      <c r="CN15" s="29">
        <f>Assum_Capex!$F$13/12/1000</f>
        <v>375.69444444444446</v>
      </c>
      <c r="CO15" s="29">
        <f>Assum_Capex!$F$13/12/1000</f>
        <v>375.69444444444446</v>
      </c>
      <c r="CP15" s="29">
        <f>Assum_Capex!$F$13/12/1000</f>
        <v>375.69444444444446</v>
      </c>
      <c r="CQ15" s="29">
        <f>Assum_Capex!$F$13/12/1000</f>
        <v>375.69444444444446</v>
      </c>
      <c r="CR15" s="29">
        <f>Assum_Capex!$F$13/12/1000</f>
        <v>375.69444444444446</v>
      </c>
      <c r="CS15" s="29">
        <f>Assum_Capex!$F$13/12/1000</f>
        <v>375.69444444444446</v>
      </c>
      <c r="CT15" s="29">
        <f>Assum_Capex!$F$13/12/1000</f>
        <v>375.69444444444446</v>
      </c>
      <c r="CU15" s="29">
        <f>Assum_Capex!$F$13/12/1000</f>
        <v>375.69444444444446</v>
      </c>
      <c r="CV15" s="29">
        <f>Assum_Capex!$F$13/12/1000</f>
        <v>375.69444444444446</v>
      </c>
      <c r="CW15" s="29">
        <f>Assum_Capex!$F$13/12/1000</f>
        <v>375.69444444444446</v>
      </c>
      <c r="CX15" s="29">
        <f>Assum_Capex!$F$13/12/1000</f>
        <v>375.69444444444446</v>
      </c>
      <c r="CY15" s="29">
        <f>Assum_Capex!$F$13/12/1000</f>
        <v>375.69444444444446</v>
      </c>
      <c r="CZ15" s="29">
        <f>Assum_Capex!$F$13/12/1000</f>
        <v>375.69444444444446</v>
      </c>
      <c r="DA15" s="29">
        <f>Assum_Capex!$F$13/12/1000</f>
        <v>375.69444444444446</v>
      </c>
      <c r="DB15" s="29">
        <f>Assum_Capex!$F$13/12/1000</f>
        <v>375.69444444444446</v>
      </c>
      <c r="DC15" s="29">
        <f>Assum_Capex!$F$13/12/1000</f>
        <v>375.69444444444446</v>
      </c>
      <c r="DD15" s="29">
        <f>Assum_Capex!$F$13/12/1000</f>
        <v>375.69444444444446</v>
      </c>
      <c r="DE15" s="29">
        <f>Assum_Capex!$F$13/12/1000</f>
        <v>375.69444444444446</v>
      </c>
      <c r="DF15" s="29">
        <f>Assum_Capex!$F$13/12/1000</f>
        <v>375.69444444444446</v>
      </c>
      <c r="DG15" s="29">
        <f>Assum_Capex!$F$13/12/1000</f>
        <v>375.69444444444446</v>
      </c>
      <c r="DH15" s="29">
        <f>Assum_Capex!$F$13/12/1000</f>
        <v>375.69444444444446</v>
      </c>
      <c r="DI15" s="29">
        <f>Assum_Capex!$F$13/12/1000</f>
        <v>375.69444444444446</v>
      </c>
      <c r="DJ15" s="29">
        <f>Assum_Capex!$F$13/12/1000</f>
        <v>375.69444444444446</v>
      </c>
      <c r="DK15" s="29">
        <f>Assum_Capex!$F$13/12/1000</f>
        <v>375.69444444444446</v>
      </c>
      <c r="DL15" s="29">
        <f>Assum_Capex!$F$13/12/1000</f>
        <v>375.69444444444446</v>
      </c>
      <c r="DM15" s="29">
        <f>Assum_Capex!$F$13/12/1000</f>
        <v>375.69444444444446</v>
      </c>
      <c r="DN15" s="29">
        <f>Assum_Capex!$F$13/12/1000</f>
        <v>375.69444444444446</v>
      </c>
      <c r="DO15" s="29">
        <f>Assum_Capex!$F$13/12/1000</f>
        <v>375.69444444444446</v>
      </c>
      <c r="DP15" s="29">
        <f>Assum_Capex!$F$13/12/1000</f>
        <v>375.69444444444446</v>
      </c>
      <c r="DQ15" s="29">
        <f>Assum_Capex!$F$13/12/1000</f>
        <v>375.69444444444446</v>
      </c>
    </row>
    <row r="17" spans="1:121" ht="15" customHeight="1">
      <c r="A17" s="5" t="s">
        <v>470</v>
      </c>
    </row>
    <row r="18" spans="1:121" ht="15" customHeight="1">
      <c r="A18" t="s">
        <v>471</v>
      </c>
      <c r="B18" s="22">
        <f t="shared" ref="B18:AG18" si="16">B7+B14</f>
        <v>62103.333333333336</v>
      </c>
      <c r="C18" s="22">
        <f t="shared" si="16"/>
        <v>62206.838888888895</v>
      </c>
      <c r="D18" s="22">
        <f t="shared" si="16"/>
        <v>62310.516953703707</v>
      </c>
      <c r="E18" s="22">
        <f t="shared" si="16"/>
        <v>62414.367815293212</v>
      </c>
      <c r="F18" s="22">
        <f t="shared" si="16"/>
        <v>62518.391761652034</v>
      </c>
      <c r="G18" s="22">
        <f t="shared" si="16"/>
        <v>62622.589081254788</v>
      </c>
      <c r="H18" s="22">
        <f t="shared" si="16"/>
        <v>62726.960063056882</v>
      </c>
      <c r="I18" s="22">
        <f t="shared" si="16"/>
        <v>62831.504996495307</v>
      </c>
      <c r="J18" s="22">
        <f t="shared" si="16"/>
        <v>62936.224171489463</v>
      </c>
      <c r="K18" s="22">
        <f t="shared" si="16"/>
        <v>63041.117878441946</v>
      </c>
      <c r="L18" s="22">
        <f t="shared" si="16"/>
        <v>63146.186408239351</v>
      </c>
      <c r="M18" s="22">
        <f t="shared" si="16"/>
        <v>63251.430052253083</v>
      </c>
      <c r="N18" s="22">
        <f t="shared" si="16"/>
        <v>63356.849102340173</v>
      </c>
      <c r="O18" s="22">
        <f t="shared" si="16"/>
        <v>63462.443850844073</v>
      </c>
      <c r="P18" s="22">
        <f t="shared" si="16"/>
        <v>63568.214590595482</v>
      </c>
      <c r="Q18" s="22">
        <f t="shared" si="16"/>
        <v>63674.161614913144</v>
      </c>
      <c r="R18" s="22">
        <f t="shared" si="16"/>
        <v>63780.285217604665</v>
      </c>
      <c r="S18" s="22">
        <f t="shared" si="16"/>
        <v>63886.585692967339</v>
      </c>
      <c r="T18" s="22">
        <f t="shared" si="16"/>
        <v>63993.063335788953</v>
      </c>
      <c r="U18" s="22">
        <f t="shared" si="16"/>
        <v>64099.718441348603</v>
      </c>
      <c r="V18" s="22">
        <f t="shared" si="16"/>
        <v>64206.551305417517</v>
      </c>
      <c r="W18" s="22">
        <f t="shared" si="16"/>
        <v>64313.562224259877</v>
      </c>
      <c r="X18" s="22">
        <f t="shared" si="16"/>
        <v>64420.751494633645</v>
      </c>
      <c r="Y18" s="22">
        <f t="shared" si="16"/>
        <v>64528.11941379137</v>
      </c>
      <c r="Z18" s="22">
        <f t="shared" si="16"/>
        <v>64635.666279481025</v>
      </c>
      <c r="AA18" s="22">
        <f t="shared" si="16"/>
        <v>64743.392389946828</v>
      </c>
      <c r="AB18" s="22">
        <f t="shared" si="16"/>
        <v>64851.298043930074</v>
      </c>
      <c r="AC18" s="22">
        <f t="shared" si="16"/>
        <v>64959.383540669958</v>
      </c>
      <c r="AD18" s="22">
        <f t="shared" si="16"/>
        <v>65067.649179904409</v>
      </c>
      <c r="AE18" s="22">
        <f t="shared" si="16"/>
        <v>65176.09526187092</v>
      </c>
      <c r="AF18" s="22">
        <f t="shared" si="16"/>
        <v>65284.722087307375</v>
      </c>
      <c r="AG18" s="22">
        <f t="shared" si="16"/>
        <v>65393.529957452884</v>
      </c>
      <c r="AH18" s="22">
        <f t="shared" ref="AH18:BM18" si="17">AH7+AH14</f>
        <v>65502.519174048641</v>
      </c>
      <c r="AI18" s="22">
        <f t="shared" si="17"/>
        <v>65611.690039338719</v>
      </c>
      <c r="AJ18" s="22">
        <f t="shared" si="17"/>
        <v>65721.042856070955</v>
      </c>
      <c r="AK18" s="22">
        <f t="shared" si="17"/>
        <v>65830.577927497739</v>
      </c>
      <c r="AL18" s="22">
        <f t="shared" si="17"/>
        <v>65940.2955573769</v>
      </c>
      <c r="AM18" s="22">
        <f t="shared" si="17"/>
        <v>66050.196049972525</v>
      </c>
      <c r="AN18" s="22">
        <f t="shared" si="17"/>
        <v>66160.279710055809</v>
      </c>
      <c r="AO18" s="22">
        <f t="shared" si="17"/>
        <v>66270.546842905896</v>
      </c>
      <c r="AP18" s="22">
        <f t="shared" si="17"/>
        <v>66380.997754310738</v>
      </c>
      <c r="AQ18" s="22">
        <f t="shared" si="17"/>
        <v>66491.632750567922</v>
      </c>
      <c r="AR18" s="22">
        <f t="shared" si="17"/>
        <v>66602.452138485532</v>
      </c>
      <c r="AS18" s="22">
        <f t="shared" si="17"/>
        <v>66713.456225383008</v>
      </c>
      <c r="AT18" s="22">
        <f t="shared" si="17"/>
        <v>66824.645319091986</v>
      </c>
      <c r="AU18" s="22">
        <f t="shared" si="17"/>
        <v>66936.019727957144</v>
      </c>
      <c r="AV18" s="22">
        <f t="shared" si="17"/>
        <v>67047.579760837078</v>
      </c>
      <c r="AW18" s="22">
        <f t="shared" si="17"/>
        <v>67159.325727105141</v>
      </c>
      <c r="AX18" s="22">
        <f t="shared" si="17"/>
        <v>67271.25793665032</v>
      </c>
      <c r="AY18" s="22">
        <f t="shared" si="17"/>
        <v>67383.376699878063</v>
      </c>
      <c r="AZ18" s="22">
        <f t="shared" si="17"/>
        <v>67495.682327711198</v>
      </c>
      <c r="BA18" s="22">
        <f t="shared" si="17"/>
        <v>67608.175131590717</v>
      </c>
      <c r="BB18" s="22">
        <f t="shared" si="17"/>
        <v>67720.855423476707</v>
      </c>
      <c r="BC18" s="22">
        <f t="shared" si="17"/>
        <v>67833.723515849168</v>
      </c>
      <c r="BD18" s="22">
        <f t="shared" si="17"/>
        <v>67946.77972170891</v>
      </c>
      <c r="BE18" s="22">
        <f t="shared" si="17"/>
        <v>68060.024354578418</v>
      </c>
      <c r="BF18" s="22">
        <f t="shared" si="17"/>
        <v>68173.457728502719</v>
      </c>
      <c r="BG18" s="22">
        <f t="shared" si="17"/>
        <v>68287.08015805023</v>
      </c>
      <c r="BH18" s="22">
        <f t="shared" si="17"/>
        <v>68400.891958313645</v>
      </c>
      <c r="BI18" s="22">
        <f t="shared" si="17"/>
        <v>68514.893444910835</v>
      </c>
      <c r="BJ18" s="22">
        <f t="shared" si="17"/>
        <v>68629.08493398568</v>
      </c>
      <c r="BK18" s="22">
        <f t="shared" si="17"/>
        <v>68743.466742208984</v>
      </c>
      <c r="BL18" s="22">
        <f t="shared" si="17"/>
        <v>68858.039186779337</v>
      </c>
      <c r="BM18" s="22">
        <f t="shared" si="17"/>
        <v>68972.802585423968</v>
      </c>
      <c r="BN18" s="22">
        <f t="shared" ref="BN18:CS18" si="18">BN7+BN14</f>
        <v>69087.75725639968</v>
      </c>
      <c r="BO18" s="22">
        <f t="shared" si="18"/>
        <v>69202.90351849368</v>
      </c>
      <c r="BP18" s="22">
        <f t="shared" si="18"/>
        <v>69318.241691024508</v>
      </c>
      <c r="BQ18" s="22">
        <f t="shared" si="18"/>
        <v>69433.772093842883</v>
      </c>
      <c r="BR18" s="22">
        <f t="shared" si="18"/>
        <v>69549.495047332617</v>
      </c>
      <c r="BS18" s="22">
        <f t="shared" si="18"/>
        <v>69665.410872411507</v>
      </c>
      <c r="BT18" s="22">
        <f t="shared" si="18"/>
        <v>69781.519890532189</v>
      </c>
      <c r="BU18" s="22">
        <f t="shared" si="18"/>
        <v>69897.822423683072</v>
      </c>
      <c r="BV18" s="22">
        <f t="shared" si="18"/>
        <v>70014.318794389212</v>
      </c>
      <c r="BW18" s="22">
        <f t="shared" si="18"/>
        <v>70131.009325713196</v>
      </c>
      <c r="BX18" s="22">
        <f t="shared" si="18"/>
        <v>70247.894341256047</v>
      </c>
      <c r="BY18" s="22">
        <f t="shared" si="18"/>
        <v>70364.974165158143</v>
      </c>
      <c r="BZ18" s="22">
        <f t="shared" si="18"/>
        <v>70482.249122100067</v>
      </c>
      <c r="CA18" s="22">
        <f t="shared" si="18"/>
        <v>70599.719537303565</v>
      </c>
      <c r="CB18" s="22">
        <f t="shared" si="18"/>
        <v>70717.385736532407</v>
      </c>
      <c r="CC18" s="22">
        <f t="shared" si="18"/>
        <v>70835.2480460933</v>
      </c>
      <c r="CD18" s="22">
        <f t="shared" si="18"/>
        <v>70953.306792836782</v>
      </c>
      <c r="CE18" s="22">
        <f t="shared" si="18"/>
        <v>71071.562304158171</v>
      </c>
      <c r="CF18" s="22">
        <f t="shared" si="18"/>
        <v>71190.01490799844</v>
      </c>
      <c r="CG18" s="22">
        <f t="shared" si="18"/>
        <v>71308.664932845102</v>
      </c>
      <c r="CH18" s="22">
        <f t="shared" si="18"/>
        <v>71427.512707733171</v>
      </c>
      <c r="CI18" s="22">
        <f t="shared" si="18"/>
        <v>71546.558562246064</v>
      </c>
      <c r="CJ18" s="22">
        <f t="shared" si="18"/>
        <v>71665.802826516476</v>
      </c>
      <c r="CK18" s="22">
        <f t="shared" si="18"/>
        <v>71785.245831227337</v>
      </c>
      <c r="CL18" s="22">
        <f t="shared" si="18"/>
        <v>71904.88790761272</v>
      </c>
      <c r="CM18" s="22">
        <f t="shared" si="18"/>
        <v>72024.729387458734</v>
      </c>
      <c r="CN18" s="22">
        <f t="shared" si="18"/>
        <v>72144.770603104495</v>
      </c>
      <c r="CO18" s="22">
        <f t="shared" si="18"/>
        <v>72265.011887443005</v>
      </c>
      <c r="CP18" s="22">
        <f t="shared" si="18"/>
        <v>72385.453573922074</v>
      </c>
      <c r="CQ18" s="22">
        <f t="shared" si="18"/>
        <v>72506.095996545278</v>
      </c>
      <c r="CR18" s="22">
        <f t="shared" si="18"/>
        <v>72626.93948987285</v>
      </c>
      <c r="CS18" s="22">
        <f t="shared" si="18"/>
        <v>72747.984389022633</v>
      </c>
      <c r="CT18" s="22">
        <f t="shared" ref="CT18:DQ18" si="19">CT7+CT14</f>
        <v>72869.231029671006</v>
      </c>
      <c r="CU18" s="22">
        <f t="shared" si="19"/>
        <v>72990.679748053793</v>
      </c>
      <c r="CV18" s="22">
        <f t="shared" si="19"/>
        <v>73112.330880967216</v>
      </c>
      <c r="CW18" s="22">
        <f t="shared" si="19"/>
        <v>73234.184765768834</v>
      </c>
      <c r="CX18" s="22">
        <f t="shared" si="19"/>
        <v>73356.241740378449</v>
      </c>
      <c r="CY18" s="22">
        <f t="shared" si="19"/>
        <v>73478.502143279082</v>
      </c>
      <c r="CZ18" s="22">
        <f t="shared" si="19"/>
        <v>73600.966313517885</v>
      </c>
      <c r="DA18" s="22">
        <f t="shared" si="19"/>
        <v>73723.634590707079</v>
      </c>
      <c r="DB18" s="22">
        <f t="shared" si="19"/>
        <v>73846.507315024923</v>
      </c>
      <c r="DC18" s="22">
        <f t="shared" si="19"/>
        <v>73969.584827216633</v>
      </c>
      <c r="DD18" s="22">
        <f t="shared" si="19"/>
        <v>74092.86746859533</v>
      </c>
      <c r="DE18" s="22">
        <f t="shared" si="19"/>
        <v>74216.355581042983</v>
      </c>
      <c r="DF18" s="22">
        <f t="shared" si="19"/>
        <v>74340.049507011383</v>
      </c>
      <c r="DG18" s="22">
        <f t="shared" si="19"/>
        <v>74463.949589523065</v>
      </c>
      <c r="DH18" s="22">
        <f t="shared" si="19"/>
        <v>74588.056172172277</v>
      </c>
      <c r="DI18" s="22">
        <f t="shared" si="19"/>
        <v>74712.369599125901</v>
      </c>
      <c r="DJ18" s="22">
        <f t="shared" si="19"/>
        <v>74836.89021512444</v>
      </c>
      <c r="DK18" s="22">
        <f t="shared" si="19"/>
        <v>74961.61836548298</v>
      </c>
      <c r="DL18" s="22">
        <f t="shared" si="19"/>
        <v>75086.55439609212</v>
      </c>
      <c r="DM18" s="22">
        <f t="shared" si="19"/>
        <v>75211.698653418935</v>
      </c>
      <c r="DN18" s="22">
        <f t="shared" si="19"/>
        <v>75337.05148450796</v>
      </c>
      <c r="DO18" s="22">
        <f t="shared" si="19"/>
        <v>75462.613236982143</v>
      </c>
      <c r="DP18" s="22">
        <f t="shared" si="19"/>
        <v>75588.384259043785</v>
      </c>
      <c r="DQ18" s="22">
        <f t="shared" si="19"/>
        <v>75714.36489947552</v>
      </c>
    </row>
    <row r="19" spans="1:121" ht="15" customHeight="1">
      <c r="A19" t="s">
        <v>472</v>
      </c>
      <c r="B19" s="22">
        <f t="shared" ref="B19:AG19" si="20">B8+B15</f>
        <v>21375.694444444445</v>
      </c>
      <c r="C19" s="22">
        <f t="shared" si="20"/>
        <v>21751.388888888891</v>
      </c>
      <c r="D19" s="22">
        <f t="shared" si="20"/>
        <v>22127.083333333336</v>
      </c>
      <c r="E19" s="22">
        <f t="shared" si="20"/>
        <v>22502.777777777781</v>
      </c>
      <c r="F19" s="22">
        <f t="shared" si="20"/>
        <v>22878.472222222226</v>
      </c>
      <c r="G19" s="22">
        <f t="shared" si="20"/>
        <v>23254.166666666672</v>
      </c>
      <c r="H19" s="22">
        <f t="shared" si="20"/>
        <v>23629.861111111117</v>
      </c>
      <c r="I19" s="22">
        <f t="shared" si="20"/>
        <v>24005.555555555562</v>
      </c>
      <c r="J19" s="22">
        <f t="shared" si="20"/>
        <v>24381.250000000007</v>
      </c>
      <c r="K19" s="22">
        <f t="shared" si="20"/>
        <v>24756.944444444453</v>
      </c>
      <c r="L19" s="22">
        <f t="shared" si="20"/>
        <v>25132.638888888898</v>
      </c>
      <c r="M19" s="22">
        <f t="shared" si="20"/>
        <v>25508.333333333343</v>
      </c>
      <c r="N19" s="22">
        <f t="shared" si="20"/>
        <v>25884.027777777788</v>
      </c>
      <c r="O19" s="22">
        <f t="shared" si="20"/>
        <v>26259.722222222234</v>
      </c>
      <c r="P19" s="22">
        <f t="shared" si="20"/>
        <v>26635.416666666679</v>
      </c>
      <c r="Q19" s="22">
        <f t="shared" si="20"/>
        <v>27011.111111111124</v>
      </c>
      <c r="R19" s="22">
        <f t="shared" si="20"/>
        <v>27386.805555555569</v>
      </c>
      <c r="S19" s="22">
        <f t="shared" si="20"/>
        <v>27762.500000000015</v>
      </c>
      <c r="T19" s="22">
        <f t="shared" si="20"/>
        <v>28138.19444444446</v>
      </c>
      <c r="U19" s="22">
        <f t="shared" si="20"/>
        <v>28513.888888888905</v>
      </c>
      <c r="V19" s="22">
        <f t="shared" si="20"/>
        <v>28889.58333333335</v>
      </c>
      <c r="W19" s="22">
        <f t="shared" si="20"/>
        <v>29265.277777777796</v>
      </c>
      <c r="X19" s="22">
        <f t="shared" si="20"/>
        <v>29640.972222222241</v>
      </c>
      <c r="Y19" s="22">
        <f t="shared" si="20"/>
        <v>30016.666666666686</v>
      </c>
      <c r="Z19" s="22">
        <f t="shared" si="20"/>
        <v>30392.361111111131</v>
      </c>
      <c r="AA19" s="22">
        <f t="shared" si="20"/>
        <v>30768.055555555577</v>
      </c>
      <c r="AB19" s="22">
        <f t="shared" si="20"/>
        <v>31143.750000000022</v>
      </c>
      <c r="AC19" s="22">
        <f t="shared" si="20"/>
        <v>31519.444444444467</v>
      </c>
      <c r="AD19" s="22">
        <f t="shared" si="20"/>
        <v>31895.138888888912</v>
      </c>
      <c r="AE19" s="22">
        <f t="shared" si="20"/>
        <v>32270.833333333358</v>
      </c>
      <c r="AF19" s="22">
        <f t="shared" si="20"/>
        <v>32646.527777777803</v>
      </c>
      <c r="AG19" s="22">
        <f t="shared" si="20"/>
        <v>33022.222222222248</v>
      </c>
      <c r="AH19" s="22">
        <f t="shared" ref="AH19:BM19" si="21">AH8+AH15</f>
        <v>33397.916666666693</v>
      </c>
      <c r="AI19" s="22">
        <f t="shared" si="21"/>
        <v>33773.611111111139</v>
      </c>
      <c r="AJ19" s="22">
        <f t="shared" si="21"/>
        <v>34149.305555555584</v>
      </c>
      <c r="AK19" s="22">
        <f t="shared" si="21"/>
        <v>34525.000000000029</v>
      </c>
      <c r="AL19" s="22">
        <f t="shared" si="21"/>
        <v>34900.694444444474</v>
      </c>
      <c r="AM19" s="22">
        <f t="shared" si="21"/>
        <v>35276.38888888892</v>
      </c>
      <c r="AN19" s="22">
        <f t="shared" si="21"/>
        <v>35652.083333333365</v>
      </c>
      <c r="AO19" s="22">
        <f t="shared" si="21"/>
        <v>36027.77777777781</v>
      </c>
      <c r="AP19" s="22">
        <f t="shared" si="21"/>
        <v>36403.472222222255</v>
      </c>
      <c r="AQ19" s="22">
        <f t="shared" si="21"/>
        <v>36779.166666666701</v>
      </c>
      <c r="AR19" s="22">
        <f t="shared" si="21"/>
        <v>37154.861111111146</v>
      </c>
      <c r="AS19" s="22">
        <f t="shared" si="21"/>
        <v>37530.555555555591</v>
      </c>
      <c r="AT19" s="22">
        <f t="shared" si="21"/>
        <v>37906.250000000036</v>
      </c>
      <c r="AU19" s="22">
        <f t="shared" si="21"/>
        <v>38281.944444444482</v>
      </c>
      <c r="AV19" s="22">
        <f t="shared" si="21"/>
        <v>38657.638888888927</v>
      </c>
      <c r="AW19" s="22">
        <f t="shared" si="21"/>
        <v>39033.333333333372</v>
      </c>
      <c r="AX19" s="22">
        <f t="shared" si="21"/>
        <v>39409.027777777817</v>
      </c>
      <c r="AY19" s="22">
        <f t="shared" si="21"/>
        <v>39784.722222222263</v>
      </c>
      <c r="AZ19" s="22">
        <f t="shared" si="21"/>
        <v>40160.416666666708</v>
      </c>
      <c r="BA19" s="22">
        <f t="shared" si="21"/>
        <v>40536.111111111153</v>
      </c>
      <c r="BB19" s="22">
        <f t="shared" si="21"/>
        <v>40911.805555555598</v>
      </c>
      <c r="BC19" s="22">
        <f t="shared" si="21"/>
        <v>41287.500000000044</v>
      </c>
      <c r="BD19" s="22">
        <f t="shared" si="21"/>
        <v>41663.194444444489</v>
      </c>
      <c r="BE19" s="22">
        <f t="shared" si="21"/>
        <v>42038.888888888934</v>
      </c>
      <c r="BF19" s="22">
        <f t="shared" si="21"/>
        <v>42414.583333333379</v>
      </c>
      <c r="BG19" s="22">
        <f t="shared" si="21"/>
        <v>42790.277777777825</v>
      </c>
      <c r="BH19" s="22">
        <f t="shared" si="21"/>
        <v>43165.97222222227</v>
      </c>
      <c r="BI19" s="22">
        <f t="shared" si="21"/>
        <v>43541.666666666715</v>
      </c>
      <c r="BJ19" s="22">
        <f t="shared" si="21"/>
        <v>43917.36111111116</v>
      </c>
      <c r="BK19" s="22">
        <f t="shared" si="21"/>
        <v>44293.055555555606</v>
      </c>
      <c r="BL19" s="22">
        <f t="shared" si="21"/>
        <v>44668.750000000051</v>
      </c>
      <c r="BM19" s="22">
        <f t="shared" si="21"/>
        <v>45044.444444444496</v>
      </c>
      <c r="BN19" s="22">
        <f t="shared" ref="BN19:CS19" si="22">BN8+BN15</f>
        <v>45420.138888888941</v>
      </c>
      <c r="BO19" s="22">
        <f t="shared" si="22"/>
        <v>45795.833333333387</v>
      </c>
      <c r="BP19" s="22">
        <f t="shared" si="22"/>
        <v>46171.527777777832</v>
      </c>
      <c r="BQ19" s="22">
        <f t="shared" si="22"/>
        <v>46547.222222222277</v>
      </c>
      <c r="BR19" s="22">
        <f t="shared" si="22"/>
        <v>46922.916666666722</v>
      </c>
      <c r="BS19" s="22">
        <f t="shared" si="22"/>
        <v>47298.611111111168</v>
      </c>
      <c r="BT19" s="22">
        <f t="shared" si="22"/>
        <v>47674.305555555613</v>
      </c>
      <c r="BU19" s="22">
        <f t="shared" si="22"/>
        <v>48050.000000000058</v>
      </c>
      <c r="BV19" s="22">
        <f t="shared" si="22"/>
        <v>48425.694444444503</v>
      </c>
      <c r="BW19" s="22">
        <f t="shared" si="22"/>
        <v>48801.388888888949</v>
      </c>
      <c r="BX19" s="22">
        <f t="shared" si="22"/>
        <v>49177.083333333394</v>
      </c>
      <c r="BY19" s="22">
        <f t="shared" si="22"/>
        <v>49552.777777777839</v>
      </c>
      <c r="BZ19" s="22">
        <f t="shared" si="22"/>
        <v>49928.472222222284</v>
      </c>
      <c r="CA19" s="22">
        <f t="shared" si="22"/>
        <v>50304.16666666673</v>
      </c>
      <c r="CB19" s="22">
        <f t="shared" si="22"/>
        <v>50679.861111111175</v>
      </c>
      <c r="CC19" s="22">
        <f t="shared" si="22"/>
        <v>51055.55555555562</v>
      </c>
      <c r="CD19" s="22">
        <f t="shared" si="22"/>
        <v>51431.250000000065</v>
      </c>
      <c r="CE19" s="22">
        <f t="shared" si="22"/>
        <v>51806.944444444511</v>
      </c>
      <c r="CF19" s="22">
        <f t="shared" si="22"/>
        <v>52182.638888888956</v>
      </c>
      <c r="CG19" s="22">
        <f t="shared" si="22"/>
        <v>52558.333333333401</v>
      </c>
      <c r="CH19" s="22">
        <f t="shared" si="22"/>
        <v>52934.027777777846</v>
      </c>
      <c r="CI19" s="22">
        <f t="shared" si="22"/>
        <v>53309.722222222292</v>
      </c>
      <c r="CJ19" s="22">
        <f t="shared" si="22"/>
        <v>53685.416666666737</v>
      </c>
      <c r="CK19" s="22">
        <f t="shared" si="22"/>
        <v>54061.111111111182</v>
      </c>
      <c r="CL19" s="22">
        <f t="shared" si="22"/>
        <v>54436.805555555628</v>
      </c>
      <c r="CM19" s="22">
        <f t="shared" si="22"/>
        <v>54812.500000000073</v>
      </c>
      <c r="CN19" s="22">
        <f t="shared" si="22"/>
        <v>55188.194444444518</v>
      </c>
      <c r="CO19" s="22">
        <f t="shared" si="22"/>
        <v>55563.888888888963</v>
      </c>
      <c r="CP19" s="22">
        <f t="shared" si="22"/>
        <v>55939.583333333409</v>
      </c>
      <c r="CQ19" s="22">
        <f t="shared" si="22"/>
        <v>56315.277777777854</v>
      </c>
      <c r="CR19" s="22">
        <f t="shared" si="22"/>
        <v>56690.972222222299</v>
      </c>
      <c r="CS19" s="22">
        <f t="shared" si="22"/>
        <v>57066.666666666744</v>
      </c>
      <c r="CT19" s="22">
        <f t="shared" ref="CT19:DQ19" si="23">CT8+CT15</f>
        <v>57442.36111111119</v>
      </c>
      <c r="CU19" s="22">
        <f t="shared" si="23"/>
        <v>57818.055555555635</v>
      </c>
      <c r="CV19" s="22">
        <f t="shared" si="23"/>
        <v>58193.75000000008</v>
      </c>
      <c r="CW19" s="22">
        <f t="shared" si="23"/>
        <v>58569.444444444525</v>
      </c>
      <c r="CX19" s="22">
        <f t="shared" si="23"/>
        <v>58945.138888888971</v>
      </c>
      <c r="CY19" s="22">
        <f t="shared" si="23"/>
        <v>59320.833333333416</v>
      </c>
      <c r="CZ19" s="22">
        <f t="shared" si="23"/>
        <v>59696.527777777861</v>
      </c>
      <c r="DA19" s="22">
        <f t="shared" si="23"/>
        <v>60072.222222222306</v>
      </c>
      <c r="DB19" s="22">
        <f t="shared" si="23"/>
        <v>60447.916666666752</v>
      </c>
      <c r="DC19" s="22">
        <f t="shared" si="23"/>
        <v>60823.611111111197</v>
      </c>
      <c r="DD19" s="22">
        <f t="shared" si="23"/>
        <v>61199.305555555642</v>
      </c>
      <c r="DE19" s="22">
        <f t="shared" si="23"/>
        <v>61575.000000000087</v>
      </c>
      <c r="DF19" s="22">
        <f t="shared" si="23"/>
        <v>61950.694444444533</v>
      </c>
      <c r="DG19" s="22">
        <f t="shared" si="23"/>
        <v>62326.388888888978</v>
      </c>
      <c r="DH19" s="22">
        <f t="shared" si="23"/>
        <v>62702.083333333423</v>
      </c>
      <c r="DI19" s="22">
        <f t="shared" si="23"/>
        <v>63077.777777777868</v>
      </c>
      <c r="DJ19" s="22">
        <f t="shared" si="23"/>
        <v>63453.472222222314</v>
      </c>
      <c r="DK19" s="22">
        <f t="shared" si="23"/>
        <v>63829.166666666759</v>
      </c>
      <c r="DL19" s="22">
        <f t="shared" si="23"/>
        <v>64204.861111111204</v>
      </c>
      <c r="DM19" s="22">
        <f t="shared" si="23"/>
        <v>64580.555555555649</v>
      </c>
      <c r="DN19" s="22">
        <f t="shared" si="23"/>
        <v>64956.250000000095</v>
      </c>
      <c r="DO19" s="22">
        <f t="shared" si="23"/>
        <v>65331.94444444454</v>
      </c>
      <c r="DP19" s="22">
        <f t="shared" si="23"/>
        <v>65707.638888888978</v>
      </c>
      <c r="DQ19" s="22">
        <f t="shared" si="23"/>
        <v>66083.333333333416</v>
      </c>
    </row>
    <row r="20" spans="1:121" ht="15" customHeight="1">
      <c r="A20" s="14" t="s">
        <v>473</v>
      </c>
      <c r="B20" s="29">
        <f t="shared" ref="B20:AG20" si="24">B18-B19</f>
        <v>40727.638888888891</v>
      </c>
      <c r="C20" s="29">
        <f t="shared" si="24"/>
        <v>40455.450000000004</v>
      </c>
      <c r="D20" s="29">
        <f t="shared" si="24"/>
        <v>40183.433620370372</v>
      </c>
      <c r="E20" s="29">
        <f t="shared" si="24"/>
        <v>39911.590037515431</v>
      </c>
      <c r="F20" s="29">
        <f t="shared" si="24"/>
        <v>39639.919539429808</v>
      </c>
      <c r="G20" s="29">
        <f t="shared" si="24"/>
        <v>39368.422414588116</v>
      </c>
      <c r="H20" s="29">
        <f t="shared" si="24"/>
        <v>39097.098951945765</v>
      </c>
      <c r="I20" s="29">
        <f t="shared" si="24"/>
        <v>38825.949440939745</v>
      </c>
      <c r="J20" s="29">
        <f t="shared" si="24"/>
        <v>38554.974171489455</v>
      </c>
      <c r="K20" s="29">
        <f t="shared" si="24"/>
        <v>38284.173433997494</v>
      </c>
      <c r="L20" s="29">
        <f t="shared" si="24"/>
        <v>38013.547519350454</v>
      </c>
      <c r="M20" s="29">
        <f t="shared" si="24"/>
        <v>37743.09671891974</v>
      </c>
      <c r="N20" s="29">
        <f t="shared" si="24"/>
        <v>37472.821324562385</v>
      </c>
      <c r="O20" s="29">
        <f t="shared" si="24"/>
        <v>37202.721628621839</v>
      </c>
      <c r="P20" s="29">
        <f t="shared" si="24"/>
        <v>36932.797923928803</v>
      </c>
      <c r="Q20" s="29">
        <f t="shared" si="24"/>
        <v>36663.05050380202</v>
      </c>
      <c r="R20" s="29">
        <f t="shared" si="24"/>
        <v>36393.479662049096</v>
      </c>
      <c r="S20" s="29">
        <f t="shared" si="24"/>
        <v>36124.085692967325</v>
      </c>
      <c r="T20" s="29">
        <f t="shared" si="24"/>
        <v>35854.868891344493</v>
      </c>
      <c r="U20" s="29">
        <f t="shared" si="24"/>
        <v>35585.829552459698</v>
      </c>
      <c r="V20" s="29">
        <f t="shared" si="24"/>
        <v>35316.967972084167</v>
      </c>
      <c r="W20" s="29">
        <f t="shared" si="24"/>
        <v>35048.284446482081</v>
      </c>
      <c r="X20" s="29">
        <f t="shared" si="24"/>
        <v>34779.779272411404</v>
      </c>
      <c r="Y20" s="29">
        <f t="shared" si="24"/>
        <v>34511.452747124684</v>
      </c>
      <c r="Z20" s="29">
        <f t="shared" si="24"/>
        <v>34243.305168369894</v>
      </c>
      <c r="AA20" s="29">
        <f t="shared" si="24"/>
        <v>33975.336834391252</v>
      </c>
      <c r="AB20" s="29">
        <f t="shared" si="24"/>
        <v>33707.548043930052</v>
      </c>
      <c r="AC20" s="29">
        <f t="shared" si="24"/>
        <v>33439.939096225491</v>
      </c>
      <c r="AD20" s="29">
        <f t="shared" si="24"/>
        <v>33172.510291015496</v>
      </c>
      <c r="AE20" s="29">
        <f t="shared" si="24"/>
        <v>32905.261928537562</v>
      </c>
      <c r="AF20" s="29">
        <f t="shared" si="24"/>
        <v>32638.194309529572</v>
      </c>
      <c r="AG20" s="29">
        <f t="shared" si="24"/>
        <v>32371.307735230635</v>
      </c>
      <c r="AH20" s="29">
        <f t="shared" ref="AH20:BM20" si="25">AH18-AH19</f>
        <v>32104.602507381947</v>
      </c>
      <c r="AI20" s="29">
        <f t="shared" si="25"/>
        <v>31838.07892822758</v>
      </c>
      <c r="AJ20" s="29">
        <f t="shared" si="25"/>
        <v>31571.737300515371</v>
      </c>
      <c r="AK20" s="29">
        <f t="shared" si="25"/>
        <v>31305.57792749771</v>
      </c>
      <c r="AL20" s="29">
        <f t="shared" si="25"/>
        <v>31039.601112932425</v>
      </c>
      <c r="AM20" s="29">
        <f t="shared" si="25"/>
        <v>30773.807161083605</v>
      </c>
      <c r="AN20" s="29">
        <f t="shared" si="25"/>
        <v>30508.196376722444</v>
      </c>
      <c r="AO20" s="29">
        <f t="shared" si="25"/>
        <v>30242.769065128086</v>
      </c>
      <c r="AP20" s="29">
        <f t="shared" si="25"/>
        <v>29977.525532088483</v>
      </c>
      <c r="AQ20" s="29">
        <f t="shared" si="25"/>
        <v>29712.466083901221</v>
      </c>
      <c r="AR20" s="29">
        <f t="shared" si="25"/>
        <v>29447.591027374387</v>
      </c>
      <c r="AS20" s="29">
        <f t="shared" si="25"/>
        <v>29182.900669827417</v>
      </c>
      <c r="AT20" s="29">
        <f t="shared" si="25"/>
        <v>28918.395319091949</v>
      </c>
      <c r="AU20" s="29">
        <f t="shared" si="25"/>
        <v>28654.075283512662</v>
      </c>
      <c r="AV20" s="29">
        <f t="shared" si="25"/>
        <v>28389.940871948151</v>
      </c>
      <c r="AW20" s="29">
        <f t="shared" si="25"/>
        <v>28125.992393771769</v>
      </c>
      <c r="AX20" s="29">
        <f t="shared" si="25"/>
        <v>27862.230158872502</v>
      </c>
      <c r="AY20" s="29">
        <f t="shared" si="25"/>
        <v>27598.6544776558</v>
      </c>
      <c r="AZ20" s="29">
        <f t="shared" si="25"/>
        <v>27335.26566104449</v>
      </c>
      <c r="BA20" s="29">
        <f t="shared" si="25"/>
        <v>27072.064020479564</v>
      </c>
      <c r="BB20" s="29">
        <f t="shared" si="25"/>
        <v>26809.049867921109</v>
      </c>
      <c r="BC20" s="29">
        <f t="shared" si="25"/>
        <v>26546.223515849124</v>
      </c>
      <c r="BD20" s="29">
        <f t="shared" si="25"/>
        <v>26283.585277264421</v>
      </c>
      <c r="BE20" s="29">
        <f t="shared" si="25"/>
        <v>26021.135465689484</v>
      </c>
      <c r="BF20" s="29">
        <f t="shared" si="25"/>
        <v>25758.87439516934</v>
      </c>
      <c r="BG20" s="29">
        <f t="shared" si="25"/>
        <v>25496.802380272406</v>
      </c>
      <c r="BH20" s="29">
        <f t="shared" si="25"/>
        <v>25234.919736091375</v>
      </c>
      <c r="BI20" s="29">
        <f t="shared" si="25"/>
        <v>24973.226778244119</v>
      </c>
      <c r="BJ20" s="29">
        <f t="shared" si="25"/>
        <v>24711.723822874519</v>
      </c>
      <c r="BK20" s="29">
        <f t="shared" si="25"/>
        <v>24450.411186653379</v>
      </c>
      <c r="BL20" s="29">
        <f t="shared" si="25"/>
        <v>24189.289186779286</v>
      </c>
      <c r="BM20" s="29">
        <f t="shared" si="25"/>
        <v>23928.358140979472</v>
      </c>
      <c r="BN20" s="29">
        <f t="shared" ref="BN20:CS20" si="26">BN18-BN19</f>
        <v>23667.618367510739</v>
      </c>
      <c r="BO20" s="29">
        <f t="shared" si="26"/>
        <v>23407.070185160293</v>
      </c>
      <c r="BP20" s="29">
        <f t="shared" si="26"/>
        <v>23146.713913246676</v>
      </c>
      <c r="BQ20" s="29">
        <f t="shared" si="26"/>
        <v>22886.549871620606</v>
      </c>
      <c r="BR20" s="29">
        <f t="shared" si="26"/>
        <v>22626.578380665895</v>
      </c>
      <c r="BS20" s="29">
        <f t="shared" si="26"/>
        <v>22366.799761300339</v>
      </c>
      <c r="BT20" s="29">
        <f t="shared" si="26"/>
        <v>22107.214334976576</v>
      </c>
      <c r="BU20" s="29">
        <f t="shared" si="26"/>
        <v>21847.822423683014</v>
      </c>
      <c r="BV20" s="29">
        <f t="shared" si="26"/>
        <v>21588.624349944708</v>
      </c>
      <c r="BW20" s="29">
        <f t="shared" si="26"/>
        <v>21329.620436824247</v>
      </c>
      <c r="BX20" s="29">
        <f t="shared" si="26"/>
        <v>21070.811007922654</v>
      </c>
      <c r="BY20" s="29">
        <f t="shared" si="26"/>
        <v>20812.196387380303</v>
      </c>
      <c r="BZ20" s="29">
        <f t="shared" si="26"/>
        <v>20553.776899877783</v>
      </c>
      <c r="CA20" s="29">
        <f t="shared" si="26"/>
        <v>20295.552870636835</v>
      </c>
      <c r="CB20" s="29">
        <f t="shared" si="26"/>
        <v>20037.524625421232</v>
      </c>
      <c r="CC20" s="29">
        <f t="shared" si="26"/>
        <v>19779.69249053768</v>
      </c>
      <c r="CD20" s="29">
        <f t="shared" si="26"/>
        <v>19522.056792836716</v>
      </c>
      <c r="CE20" s="29">
        <f t="shared" si="26"/>
        <v>19264.61785971366</v>
      </c>
      <c r="CF20" s="29">
        <f t="shared" si="26"/>
        <v>19007.376019109484</v>
      </c>
      <c r="CG20" s="29">
        <f t="shared" si="26"/>
        <v>18750.331599511701</v>
      </c>
      <c r="CH20" s="29">
        <f t="shared" si="26"/>
        <v>18493.484929955324</v>
      </c>
      <c r="CI20" s="29">
        <f t="shared" si="26"/>
        <v>18236.836340023772</v>
      </c>
      <c r="CJ20" s="29">
        <f t="shared" si="26"/>
        <v>17980.386159849739</v>
      </c>
      <c r="CK20" s="29">
        <f t="shared" si="26"/>
        <v>17724.134720116155</v>
      </c>
      <c r="CL20" s="29">
        <f t="shared" si="26"/>
        <v>17468.082352057092</v>
      </c>
      <c r="CM20" s="29">
        <f t="shared" si="26"/>
        <v>17212.229387458661</v>
      </c>
      <c r="CN20" s="29">
        <f t="shared" si="26"/>
        <v>16956.576158659976</v>
      </c>
      <c r="CO20" s="29">
        <f t="shared" si="26"/>
        <v>16701.122998554041</v>
      </c>
      <c r="CP20" s="29">
        <f t="shared" si="26"/>
        <v>16445.870240588665</v>
      </c>
      <c r="CQ20" s="29">
        <f t="shared" si="26"/>
        <v>16190.818218767425</v>
      </c>
      <c r="CR20" s="29">
        <f t="shared" si="26"/>
        <v>15935.967267650551</v>
      </c>
      <c r="CS20" s="29">
        <f t="shared" si="26"/>
        <v>15681.317722355889</v>
      </c>
      <c r="CT20" s="29">
        <f t="shared" ref="CT20:DY20" si="27">CT18-CT19</f>
        <v>15426.869918559816</v>
      </c>
      <c r="CU20" s="29">
        <f t="shared" si="27"/>
        <v>15172.624192498159</v>
      </c>
      <c r="CV20" s="29">
        <f t="shared" si="27"/>
        <v>14918.580880967136</v>
      </c>
      <c r="CW20" s="29">
        <f t="shared" si="27"/>
        <v>14664.740321324309</v>
      </c>
      <c r="CX20" s="29">
        <f t="shared" si="27"/>
        <v>14411.102851489479</v>
      </c>
      <c r="CY20" s="29">
        <f t="shared" si="27"/>
        <v>14157.668809945666</v>
      </c>
      <c r="CZ20" s="29">
        <f t="shared" si="27"/>
        <v>13904.438535740024</v>
      </c>
      <c r="DA20" s="29">
        <f t="shared" si="27"/>
        <v>13651.412368484773</v>
      </c>
      <c r="DB20" s="29">
        <f t="shared" si="27"/>
        <v>13398.590648358171</v>
      </c>
      <c r="DC20" s="29">
        <f t="shared" si="27"/>
        <v>13145.973716105436</v>
      </c>
      <c r="DD20" s="29">
        <f t="shared" si="27"/>
        <v>12893.561913039688</v>
      </c>
      <c r="DE20" s="29">
        <f t="shared" si="27"/>
        <v>12641.355581042895</v>
      </c>
      <c r="DF20" s="29">
        <f t="shared" si="27"/>
        <v>12389.35506256685</v>
      </c>
      <c r="DG20" s="29">
        <f t="shared" si="27"/>
        <v>12137.560700634087</v>
      </c>
      <c r="DH20" s="29">
        <f t="shared" si="27"/>
        <v>11885.972838838854</v>
      </c>
      <c r="DI20" s="29">
        <f t="shared" si="27"/>
        <v>11634.591821348033</v>
      </c>
      <c r="DJ20" s="29">
        <f t="shared" si="27"/>
        <v>11383.417992902127</v>
      </c>
      <c r="DK20" s="29">
        <f t="shared" si="27"/>
        <v>11132.451698816221</v>
      </c>
      <c r="DL20" s="29">
        <f t="shared" si="27"/>
        <v>10881.693284980916</v>
      </c>
      <c r="DM20" s="29">
        <f t="shared" si="27"/>
        <v>10631.143097863285</v>
      </c>
      <c r="DN20" s="29">
        <f t="shared" si="27"/>
        <v>10380.801484507865</v>
      </c>
      <c r="DO20" s="29">
        <f t="shared" si="27"/>
        <v>10130.668792537603</v>
      </c>
      <c r="DP20" s="29">
        <f t="shared" si="27"/>
        <v>9880.7453701548075</v>
      </c>
      <c r="DQ20" s="29">
        <f t="shared" si="27"/>
        <v>9631.0315661421046</v>
      </c>
    </row>
    <row r="22" spans="1:121" ht="15" customHeight="1">
      <c r="A22" s="5" t="s">
        <v>474</v>
      </c>
    </row>
    <row r="23" spans="1:121" ht="15" customHeight="1">
      <c r="A23" t="s">
        <v>475</v>
      </c>
      <c r="B23" s="22">
        <f>Assum_Capex!$C$17/12</f>
        <v>83333.333333333328</v>
      </c>
      <c r="C23" s="22">
        <f>Assum_Capex!$C$17/12</f>
        <v>83333.333333333328</v>
      </c>
      <c r="D23" s="22">
        <f>Assum_Capex!$C$17/12</f>
        <v>83333.333333333328</v>
      </c>
      <c r="E23" s="22">
        <f>Assum_Capex!$C$17/12</f>
        <v>83333.333333333328</v>
      </c>
      <c r="F23" s="22">
        <f>Assum_Capex!$C$17/12</f>
        <v>83333.333333333328</v>
      </c>
      <c r="G23" s="22">
        <f>Assum_Capex!$C$17/12</f>
        <v>83333.333333333328</v>
      </c>
      <c r="H23" s="22">
        <f>Assum_Capex!$C$17/12</f>
        <v>83333.333333333328</v>
      </c>
      <c r="I23" s="22">
        <f>Assum_Capex!$C$17/12</f>
        <v>83333.333333333328</v>
      </c>
      <c r="J23" s="22">
        <f>Assum_Capex!$C$17/12</f>
        <v>83333.333333333328</v>
      </c>
      <c r="K23" s="22">
        <f>Assum_Capex!$C$17/12</f>
        <v>83333.333333333328</v>
      </c>
      <c r="L23" s="22">
        <f>Assum_Capex!$C$17/12</f>
        <v>83333.333333333328</v>
      </c>
      <c r="M23" s="22">
        <f>Assum_Capex!$C$17/12</f>
        <v>83333.333333333328</v>
      </c>
      <c r="N23" s="22">
        <f>Assum_Capex!$C$17/12</f>
        <v>83333.333333333328</v>
      </c>
      <c r="O23" s="22">
        <f>Assum_Capex!$C$17/12</f>
        <v>83333.333333333328</v>
      </c>
      <c r="P23" s="22">
        <f>Assum_Capex!$C$17/12</f>
        <v>83333.333333333328</v>
      </c>
      <c r="Q23" s="22">
        <f>Assum_Capex!$C$17/12</f>
        <v>83333.333333333328</v>
      </c>
      <c r="R23" s="22">
        <f>Assum_Capex!$C$17/12</f>
        <v>83333.333333333328</v>
      </c>
      <c r="S23" s="22">
        <f>Assum_Capex!$C$17/12</f>
        <v>83333.333333333328</v>
      </c>
      <c r="T23" s="22">
        <f>Assum_Capex!$C$17/12</f>
        <v>83333.333333333328</v>
      </c>
      <c r="U23" s="22">
        <f>Assum_Capex!$C$17/12</f>
        <v>83333.333333333328</v>
      </c>
      <c r="V23" s="22">
        <f>Assum_Capex!$C$17/12</f>
        <v>83333.333333333328</v>
      </c>
      <c r="W23" s="22">
        <f>Assum_Capex!$C$17/12</f>
        <v>83333.333333333328</v>
      </c>
      <c r="X23" s="22">
        <f>Assum_Capex!$C$17/12</f>
        <v>83333.333333333328</v>
      </c>
      <c r="Y23" s="22">
        <f>Assum_Capex!$C$17/12</f>
        <v>83333.333333333328</v>
      </c>
      <c r="Z23" s="22">
        <f>Assum_Capex!$C$17/12</f>
        <v>83333.333333333328</v>
      </c>
      <c r="AA23" s="22">
        <f>Assum_Capex!$C$17/12</f>
        <v>83333.333333333328</v>
      </c>
      <c r="AB23" s="22">
        <f>Assum_Capex!$C$17/12</f>
        <v>83333.333333333328</v>
      </c>
      <c r="AC23" s="22">
        <f>Assum_Capex!$C$17/12</f>
        <v>83333.333333333328</v>
      </c>
      <c r="AD23" s="22">
        <f>Assum_Capex!$C$17/12</f>
        <v>83333.333333333328</v>
      </c>
      <c r="AE23" s="22">
        <f>Assum_Capex!$C$17/12</f>
        <v>83333.333333333328</v>
      </c>
      <c r="AF23" s="22">
        <f>Assum_Capex!$C$17/12</f>
        <v>83333.333333333328</v>
      </c>
      <c r="AG23" s="22">
        <f>Assum_Capex!$C$17/12</f>
        <v>83333.333333333328</v>
      </c>
      <c r="AH23" s="22">
        <f>Assum_Capex!$C$17/12</f>
        <v>83333.333333333328</v>
      </c>
      <c r="AI23" s="22">
        <f>Assum_Capex!$C$17/12</f>
        <v>83333.333333333328</v>
      </c>
      <c r="AJ23" s="22">
        <f>Assum_Capex!$C$17/12</f>
        <v>83333.333333333328</v>
      </c>
      <c r="AK23" s="22">
        <f>Assum_Capex!$C$17/12</f>
        <v>83333.333333333328</v>
      </c>
      <c r="AL23" s="22">
        <f>Assum_Capex!$C$17/12</f>
        <v>83333.333333333328</v>
      </c>
      <c r="AM23" s="22">
        <f>Assum_Capex!$C$17/12</f>
        <v>83333.333333333328</v>
      </c>
      <c r="AN23" s="22">
        <f>Assum_Capex!$C$17/12</f>
        <v>83333.333333333328</v>
      </c>
      <c r="AO23" s="22">
        <f>Assum_Capex!$C$17/12</f>
        <v>83333.333333333328</v>
      </c>
      <c r="AP23" s="22">
        <f>Assum_Capex!$C$17/12</f>
        <v>83333.333333333328</v>
      </c>
      <c r="AQ23" s="22">
        <f>Assum_Capex!$C$17/12</f>
        <v>83333.333333333328</v>
      </c>
      <c r="AR23" s="22">
        <f>Assum_Capex!$C$17/12</f>
        <v>83333.333333333328</v>
      </c>
      <c r="AS23" s="22">
        <f>Assum_Capex!$C$17/12</f>
        <v>83333.333333333328</v>
      </c>
      <c r="AT23" s="22">
        <f>Assum_Capex!$C$17/12</f>
        <v>83333.333333333328</v>
      </c>
      <c r="AU23" s="22">
        <f>Assum_Capex!$C$17/12</f>
        <v>83333.333333333328</v>
      </c>
      <c r="AV23" s="22">
        <f>Assum_Capex!$C$17/12</f>
        <v>83333.333333333328</v>
      </c>
      <c r="AW23" s="22">
        <f>Assum_Capex!$C$17/12</f>
        <v>83333.333333333328</v>
      </c>
      <c r="AX23" s="22">
        <f>Assum_Capex!$C$17/12</f>
        <v>83333.333333333328</v>
      </c>
      <c r="AY23" s="22">
        <f>Assum_Capex!$C$17/12</f>
        <v>83333.333333333328</v>
      </c>
      <c r="AZ23" s="22">
        <f>Assum_Capex!$C$17/12</f>
        <v>83333.333333333328</v>
      </c>
      <c r="BA23" s="22">
        <f>Assum_Capex!$C$17/12</f>
        <v>83333.333333333328</v>
      </c>
      <c r="BB23" s="22">
        <f>Assum_Capex!$C$17/12</f>
        <v>83333.333333333328</v>
      </c>
      <c r="BC23" s="22">
        <f>Assum_Capex!$C$17/12</f>
        <v>83333.333333333328</v>
      </c>
      <c r="BD23" s="22">
        <f>Assum_Capex!$C$17/12</f>
        <v>83333.333333333328</v>
      </c>
      <c r="BE23" s="22">
        <f>Assum_Capex!$C$17/12</f>
        <v>83333.333333333328</v>
      </c>
      <c r="BF23" s="22">
        <f>Assum_Capex!$C$17/12</f>
        <v>83333.333333333328</v>
      </c>
      <c r="BG23" s="22">
        <f>Assum_Capex!$C$17/12</f>
        <v>83333.333333333328</v>
      </c>
      <c r="BH23" s="22">
        <f>Assum_Capex!$C$17/12</f>
        <v>83333.333333333328</v>
      </c>
      <c r="BI23" s="22">
        <f>Assum_Capex!$C$17/12</f>
        <v>83333.333333333328</v>
      </c>
      <c r="BJ23" s="22">
        <f>Assum_Capex!$C$17/12</f>
        <v>83333.333333333328</v>
      </c>
      <c r="BK23" s="22">
        <f>Assum_Capex!$C$17/12</f>
        <v>83333.333333333328</v>
      </c>
      <c r="BL23" s="22">
        <f>Assum_Capex!$C$17/12</f>
        <v>83333.333333333328</v>
      </c>
      <c r="BM23" s="22">
        <f>Assum_Capex!$C$17/12</f>
        <v>83333.333333333328</v>
      </c>
      <c r="BN23" s="22">
        <f>Assum_Capex!$C$17/12</f>
        <v>83333.333333333328</v>
      </c>
      <c r="BO23" s="22">
        <f>Assum_Capex!$C$17/12</f>
        <v>83333.333333333328</v>
      </c>
      <c r="BP23" s="22">
        <f>Assum_Capex!$C$17/12</f>
        <v>83333.333333333328</v>
      </c>
      <c r="BQ23" s="22">
        <f>Assum_Capex!$C$17/12</f>
        <v>83333.333333333328</v>
      </c>
      <c r="BR23" s="22">
        <f>Assum_Capex!$C$17/12</f>
        <v>83333.333333333328</v>
      </c>
      <c r="BS23" s="22">
        <f>Assum_Capex!$C$17/12</f>
        <v>83333.333333333328</v>
      </c>
      <c r="BT23" s="22">
        <f>Assum_Capex!$C$17/12</f>
        <v>83333.333333333328</v>
      </c>
      <c r="BU23" s="22">
        <f>Assum_Capex!$C$17/12</f>
        <v>83333.333333333328</v>
      </c>
      <c r="BV23" s="22">
        <f>Assum_Capex!$C$17/12</f>
        <v>83333.333333333328</v>
      </c>
      <c r="BW23" s="22">
        <f>Assum_Capex!$C$17/12</f>
        <v>83333.333333333328</v>
      </c>
      <c r="BX23" s="22">
        <f>Assum_Capex!$C$17/12</f>
        <v>83333.333333333328</v>
      </c>
      <c r="BY23" s="22">
        <f>Assum_Capex!$C$17/12</f>
        <v>83333.333333333328</v>
      </c>
      <c r="BZ23" s="22">
        <f>Assum_Capex!$C$17/12</f>
        <v>83333.333333333328</v>
      </c>
      <c r="CA23" s="22">
        <f>Assum_Capex!$C$17/12</f>
        <v>83333.333333333328</v>
      </c>
      <c r="CB23" s="22">
        <f>Assum_Capex!$C$17/12</f>
        <v>83333.333333333328</v>
      </c>
      <c r="CC23" s="22">
        <f>Assum_Capex!$C$17/12</f>
        <v>83333.333333333328</v>
      </c>
      <c r="CD23" s="22">
        <f>Assum_Capex!$C$17/12</f>
        <v>83333.333333333328</v>
      </c>
      <c r="CE23" s="22">
        <f>Assum_Capex!$C$17/12</f>
        <v>83333.333333333328</v>
      </c>
      <c r="CF23" s="22">
        <f>Assum_Capex!$C$17/12</f>
        <v>83333.333333333328</v>
      </c>
      <c r="CG23" s="22">
        <f>Assum_Capex!$C$17/12</f>
        <v>83333.333333333328</v>
      </c>
      <c r="CH23" s="22">
        <f>Assum_Capex!$C$17/12</f>
        <v>83333.333333333328</v>
      </c>
      <c r="CI23" s="22">
        <f>Assum_Capex!$C$17/12</f>
        <v>83333.333333333328</v>
      </c>
      <c r="CJ23" s="22">
        <f>Assum_Capex!$C$17/12</f>
        <v>83333.333333333328</v>
      </c>
      <c r="CK23" s="22">
        <f>Assum_Capex!$C$17/12</f>
        <v>83333.333333333328</v>
      </c>
      <c r="CL23" s="22">
        <f>Assum_Capex!$C$17/12</f>
        <v>83333.333333333328</v>
      </c>
      <c r="CM23" s="22">
        <f>Assum_Capex!$C$17/12</f>
        <v>83333.333333333328</v>
      </c>
      <c r="CN23" s="22">
        <f>Assum_Capex!$C$17/12</f>
        <v>83333.333333333328</v>
      </c>
      <c r="CO23" s="22">
        <f>Assum_Capex!$C$17/12</f>
        <v>83333.333333333328</v>
      </c>
      <c r="CP23" s="22">
        <f>Assum_Capex!$C$17/12</f>
        <v>83333.333333333328</v>
      </c>
      <c r="CQ23" s="22">
        <f>Assum_Capex!$C$17/12</f>
        <v>83333.333333333328</v>
      </c>
      <c r="CR23" s="22">
        <f>Assum_Capex!$C$17/12</f>
        <v>83333.333333333328</v>
      </c>
      <c r="CS23" s="22">
        <f>Assum_Capex!$C$17/12</f>
        <v>83333.333333333328</v>
      </c>
      <c r="CT23" s="22">
        <f>Assum_Capex!$C$17/12</f>
        <v>83333.333333333328</v>
      </c>
      <c r="CU23" s="22">
        <f>Assum_Capex!$C$17/12</f>
        <v>83333.333333333328</v>
      </c>
      <c r="CV23" s="22">
        <f>Assum_Capex!$C$17/12</f>
        <v>83333.333333333328</v>
      </c>
      <c r="CW23" s="22">
        <f>Assum_Capex!$C$17/12</f>
        <v>83333.333333333328</v>
      </c>
      <c r="CX23" s="22">
        <f>Assum_Capex!$C$17/12</f>
        <v>83333.333333333328</v>
      </c>
      <c r="CY23" s="22">
        <f>Assum_Capex!$C$17/12</f>
        <v>83333.333333333328</v>
      </c>
      <c r="CZ23" s="22">
        <f>Assum_Capex!$C$17/12</f>
        <v>83333.333333333328</v>
      </c>
      <c r="DA23" s="22">
        <f>Assum_Capex!$C$17/12</f>
        <v>83333.333333333328</v>
      </c>
      <c r="DB23" s="22">
        <f>Assum_Capex!$C$17/12</f>
        <v>83333.333333333328</v>
      </c>
      <c r="DC23" s="22">
        <f>Assum_Capex!$C$17/12</f>
        <v>83333.333333333328</v>
      </c>
      <c r="DD23" s="22">
        <f>Assum_Capex!$C$17/12</f>
        <v>83333.333333333328</v>
      </c>
      <c r="DE23" s="22">
        <f>Assum_Capex!$C$17/12</f>
        <v>83333.333333333328</v>
      </c>
      <c r="DF23" s="22">
        <f>Assum_Capex!$C$17/12</f>
        <v>83333.333333333328</v>
      </c>
      <c r="DG23" s="22">
        <f>Assum_Capex!$C$17/12</f>
        <v>83333.333333333328</v>
      </c>
      <c r="DH23" s="22">
        <f>Assum_Capex!$C$17/12</f>
        <v>83333.333333333328</v>
      </c>
      <c r="DI23" s="22">
        <f>Assum_Capex!$C$17/12</f>
        <v>83333.333333333328</v>
      </c>
      <c r="DJ23" s="22">
        <f>Assum_Capex!$C$17/12</f>
        <v>83333.333333333328</v>
      </c>
      <c r="DK23" s="22">
        <f>Assum_Capex!$C$17/12</f>
        <v>83333.333333333328</v>
      </c>
      <c r="DL23" s="22">
        <f>Assum_Capex!$C$17/12</f>
        <v>83333.333333333328</v>
      </c>
      <c r="DM23" s="22">
        <f>Assum_Capex!$C$17/12</f>
        <v>83333.333333333328</v>
      </c>
      <c r="DN23" s="22">
        <f>Assum_Capex!$C$17/12</f>
        <v>83333.333333333328</v>
      </c>
      <c r="DO23" s="22">
        <f>Assum_Capex!$C$17/12</f>
        <v>83333.333333333328</v>
      </c>
      <c r="DP23" s="22">
        <f>Assum_Capex!$C$17/12</f>
        <v>83333.333333333328</v>
      </c>
      <c r="DQ23" s="22">
        <f>Assum_Capex!$C$17/12</f>
        <v>83333.333333333328</v>
      </c>
    </row>
    <row r="24" spans="1:121" ht="15" customHeight="1">
      <c r="A24" t="s">
        <v>476</v>
      </c>
      <c r="B24" s="22">
        <f>Calc_Volume!B14</f>
        <v>76666.666666666657</v>
      </c>
      <c r="C24" s="22">
        <f>Calc_Volume!C14</f>
        <v>73333.333333333343</v>
      </c>
      <c r="D24" s="22">
        <f>Calc_Volume!D14</f>
        <v>66666.666666666672</v>
      </c>
      <c r="E24" s="22">
        <f>Calc_Volume!E14</f>
        <v>60000</v>
      </c>
      <c r="F24" s="22">
        <f>Calc_Volume!F14</f>
        <v>56666.666666666672</v>
      </c>
      <c r="G24" s="22">
        <f>Calc_Volume!G14</f>
        <v>53333.333333333343</v>
      </c>
      <c r="H24" s="22">
        <f>Calc_Volume!H14</f>
        <v>53333.333333333343</v>
      </c>
      <c r="I24" s="22">
        <f>Calc_Volume!I14</f>
        <v>56666.666666666672</v>
      </c>
      <c r="J24" s="22">
        <f>Calc_Volume!J14</f>
        <v>63333.333333333328</v>
      </c>
      <c r="K24" s="22">
        <f>Calc_Volume!K14</f>
        <v>70000</v>
      </c>
      <c r="L24" s="22">
        <f>Calc_Volume!L14</f>
        <v>76666.666666666657</v>
      </c>
      <c r="M24" s="22">
        <f>Calc_Volume!M14</f>
        <v>93333.333333333328</v>
      </c>
      <c r="N24" s="22">
        <f>Calc_Volume!N14</f>
        <v>82800</v>
      </c>
      <c r="O24" s="22">
        <f>Calc_Volume!O14</f>
        <v>79200.000000000015</v>
      </c>
      <c r="P24" s="22">
        <f>Calc_Volume!P14</f>
        <v>72000</v>
      </c>
      <c r="Q24" s="22">
        <f>Calc_Volume!Q14</f>
        <v>64800</v>
      </c>
      <c r="R24" s="22">
        <f>Calc_Volume!R14</f>
        <v>61200</v>
      </c>
      <c r="S24" s="22">
        <f>Calc_Volume!S14</f>
        <v>57600.000000000015</v>
      </c>
      <c r="T24" s="22">
        <f>Calc_Volume!T14</f>
        <v>57600.000000000015</v>
      </c>
      <c r="U24" s="22">
        <f>Calc_Volume!U14</f>
        <v>61200</v>
      </c>
      <c r="V24" s="22">
        <f>Calc_Volume!V14</f>
        <v>68400</v>
      </c>
      <c r="W24" s="22">
        <f>Calc_Volume!W14</f>
        <v>75600</v>
      </c>
      <c r="X24" s="22">
        <f>Calc_Volume!X14</f>
        <v>82800</v>
      </c>
      <c r="Y24" s="22">
        <f>Calc_Volume!Y14</f>
        <v>100800</v>
      </c>
      <c r="Z24" s="22">
        <f>Calc_Volume!Z14</f>
        <v>89424</v>
      </c>
      <c r="AA24" s="22">
        <f>Calc_Volume!AA14</f>
        <v>85536.000000000029</v>
      </c>
      <c r="AB24" s="22">
        <f>Calc_Volume!AB14</f>
        <v>77760</v>
      </c>
      <c r="AC24" s="22">
        <f>Calc_Volume!AC14</f>
        <v>69984</v>
      </c>
      <c r="AD24" s="22">
        <f>Calc_Volume!AD14</f>
        <v>66096.000000000015</v>
      </c>
      <c r="AE24" s="22">
        <f>Calc_Volume!AE14</f>
        <v>62208.000000000015</v>
      </c>
      <c r="AF24" s="22">
        <f>Calc_Volume!AF14</f>
        <v>62208.000000000015</v>
      </c>
      <c r="AG24" s="22">
        <f>Calc_Volume!AG14</f>
        <v>66096.000000000015</v>
      </c>
      <c r="AH24" s="22">
        <f>Calc_Volume!AH14</f>
        <v>73872</v>
      </c>
      <c r="AI24" s="22">
        <f>Calc_Volume!AI14</f>
        <v>81648.000000000015</v>
      </c>
      <c r="AJ24" s="22">
        <f>Calc_Volume!AJ14</f>
        <v>89424</v>
      </c>
      <c r="AK24" s="22">
        <f>Calc_Volume!AK14</f>
        <v>108864.00000000001</v>
      </c>
      <c r="AL24" s="22">
        <f>Calc_Volume!AL14</f>
        <v>94789.440000000002</v>
      </c>
      <c r="AM24" s="22">
        <f>Calc_Volume!AM14</f>
        <v>90668.160000000033</v>
      </c>
      <c r="AN24" s="22">
        <f>Calc_Volume!AN14</f>
        <v>82425.600000000006</v>
      </c>
      <c r="AO24" s="22">
        <f>Calc_Volume!AO14</f>
        <v>74183.040000000008</v>
      </c>
      <c r="AP24" s="22">
        <f>Calc_Volume!AP14</f>
        <v>70061.760000000009</v>
      </c>
      <c r="AQ24" s="22">
        <f>Calc_Volume!AQ14</f>
        <v>65940.48000000001</v>
      </c>
      <c r="AR24" s="22">
        <f>Calc_Volume!AR14</f>
        <v>65940.48000000001</v>
      </c>
      <c r="AS24" s="22">
        <f>Calc_Volume!AS14</f>
        <v>70061.760000000009</v>
      </c>
      <c r="AT24" s="22">
        <f>Calc_Volume!AT14</f>
        <v>78304.320000000007</v>
      </c>
      <c r="AU24" s="22">
        <f>Calc_Volume!AU14</f>
        <v>86546.880000000019</v>
      </c>
      <c r="AV24" s="22">
        <f>Calc_Volume!AV14</f>
        <v>94789.440000000002</v>
      </c>
      <c r="AW24" s="22">
        <f>Calc_Volume!AW14</f>
        <v>115395.84000000001</v>
      </c>
      <c r="AX24" s="22">
        <f>Calc_Volume!AX14</f>
        <v>100476.8064</v>
      </c>
      <c r="AY24" s="22">
        <f>Calc_Volume!AY14</f>
        <v>96108.249600000039</v>
      </c>
      <c r="AZ24" s="22">
        <f>Calc_Volume!AZ14</f>
        <v>87371.136000000013</v>
      </c>
      <c r="BA24" s="22">
        <f>Calc_Volume!BA14</f>
        <v>78634.022400000016</v>
      </c>
      <c r="BB24" s="22">
        <f>Calc_Volume!BB14</f>
        <v>74265.46560000001</v>
      </c>
      <c r="BC24" s="22">
        <f>Calc_Volume!BC14</f>
        <v>69896.908800000019</v>
      </c>
      <c r="BD24" s="22">
        <f>Calc_Volume!BD14</f>
        <v>69896.908800000019</v>
      </c>
      <c r="BE24" s="22">
        <f>Calc_Volume!BE14</f>
        <v>74265.46560000001</v>
      </c>
      <c r="BF24" s="22">
        <f>Calc_Volume!BF14</f>
        <v>83002.579200000007</v>
      </c>
      <c r="BG24" s="22">
        <f>Calc_Volume!BG14</f>
        <v>91739.692800000019</v>
      </c>
      <c r="BH24" s="22">
        <f>Calc_Volume!BH14</f>
        <v>100476.8064</v>
      </c>
      <c r="BI24" s="22">
        <f>Calc_Volume!BI14</f>
        <v>122319.59040000002</v>
      </c>
      <c r="BJ24" s="22">
        <f>Calc_Volume!BJ14</f>
        <v>104495.87865600002</v>
      </c>
      <c r="BK24" s="22">
        <f>Calc_Volume!BK14</f>
        <v>99952.579584000036</v>
      </c>
      <c r="BL24" s="22">
        <f>Calc_Volume!BL14</f>
        <v>90865.981440000018</v>
      </c>
      <c r="BM24" s="22">
        <f>Calc_Volume!BM14</f>
        <v>81779.383296000015</v>
      </c>
      <c r="BN24" s="22">
        <f>Calc_Volume!BN14</f>
        <v>77236.08422400002</v>
      </c>
      <c r="BO24" s="22">
        <f>Calc_Volume!BO14</f>
        <v>72692.785152000026</v>
      </c>
      <c r="BP24" s="22">
        <f>Calc_Volume!BP14</f>
        <v>72692.785152000026</v>
      </c>
      <c r="BQ24" s="22">
        <f>Calc_Volume!BQ14</f>
        <v>77236.08422400002</v>
      </c>
      <c r="BR24" s="22">
        <f>Calc_Volume!BR14</f>
        <v>86322.682368000009</v>
      </c>
      <c r="BS24" s="22">
        <f>Calc_Volume!BS14</f>
        <v>95409.280512000012</v>
      </c>
      <c r="BT24" s="22">
        <f>Calc_Volume!BT14</f>
        <v>104495.87865600002</v>
      </c>
      <c r="BU24" s="22">
        <f>Calc_Volume!BU14</f>
        <v>127212.37401600002</v>
      </c>
      <c r="BV24" s="22">
        <f>Calc_Volume!BV14</f>
        <v>108675.71380224</v>
      </c>
      <c r="BW24" s="22">
        <f>Calc_Volume!BW14</f>
        <v>103950.68276736003</v>
      </c>
      <c r="BX24" s="22">
        <f>Calc_Volume!BX14</f>
        <v>94500.62069760001</v>
      </c>
      <c r="BY24" s="22">
        <f>Calc_Volume!BY14</f>
        <v>85050.558627840015</v>
      </c>
      <c r="BZ24" s="22">
        <f>Calc_Volume!BZ14</f>
        <v>80325.527592960018</v>
      </c>
      <c r="CA24" s="22">
        <f>Calc_Volume!CA14</f>
        <v>75600.49655808002</v>
      </c>
      <c r="CB24" s="22">
        <f>Calc_Volume!CB14</f>
        <v>75600.49655808002</v>
      </c>
      <c r="CC24" s="22">
        <f>Calc_Volume!CC14</f>
        <v>80325.527592960018</v>
      </c>
      <c r="CD24" s="22">
        <f>Calc_Volume!CD14</f>
        <v>89775.589662720013</v>
      </c>
      <c r="CE24" s="22">
        <f>Calc_Volume!CE14</f>
        <v>99225.651732480022</v>
      </c>
      <c r="CF24" s="22">
        <f>Calc_Volume!CF14</f>
        <v>108675.71380224</v>
      </c>
      <c r="CG24" s="22">
        <f>Calc_Volume!CG14</f>
        <v>132300.86897664002</v>
      </c>
      <c r="CH24" s="22">
        <f>Calc_Volume!CH14</f>
        <v>113022.7423543296</v>
      </c>
      <c r="CI24" s="22">
        <f>Calc_Volume!CI14</f>
        <v>108108.71007805443</v>
      </c>
      <c r="CJ24" s="22">
        <f>Calc_Volume!CJ14</f>
        <v>98280.645525504005</v>
      </c>
      <c r="CK24" s="22">
        <f>Calc_Volume!CK14</f>
        <v>88452.580972953612</v>
      </c>
      <c r="CL24" s="22">
        <f>Calc_Volume!CL14</f>
        <v>83538.548696678423</v>
      </c>
      <c r="CM24" s="22">
        <f>Calc_Volume!CM14</f>
        <v>78624.516420403219</v>
      </c>
      <c r="CN24" s="22">
        <f>Calc_Volume!CN14</f>
        <v>78624.516420403219</v>
      </c>
      <c r="CO24" s="22">
        <f>Calc_Volume!CO14</f>
        <v>83538.548696678423</v>
      </c>
      <c r="CP24" s="22">
        <f>Calc_Volume!CP14</f>
        <v>93366.613249228802</v>
      </c>
      <c r="CQ24" s="22">
        <f>Calc_Volume!CQ14</f>
        <v>103194.67780177921</v>
      </c>
      <c r="CR24" s="22">
        <f>Calc_Volume!CR14</f>
        <v>113022.7423543296</v>
      </c>
      <c r="CS24" s="22">
        <f>Calc_Volume!CS14</f>
        <v>137592.90373570559</v>
      </c>
      <c r="CT24" s="22">
        <f>Calc_Volume!CT14</f>
        <v>117543.65204850279</v>
      </c>
      <c r="CU24" s="22">
        <f>Calc_Volume!CU14</f>
        <v>112433.05848117662</v>
      </c>
      <c r="CV24" s="22">
        <f>Calc_Volume!CV14</f>
        <v>102211.87134652417</v>
      </c>
      <c r="CW24" s="22">
        <f>Calc_Volume!CW14</f>
        <v>91990.684211871761</v>
      </c>
      <c r="CX24" s="22">
        <f>Calc_Volume!CX14</f>
        <v>86880.090644545548</v>
      </c>
      <c r="CY24" s="22">
        <f>Calc_Volume!CY14</f>
        <v>81769.497077219348</v>
      </c>
      <c r="CZ24" s="22">
        <f>Calc_Volume!CZ14</f>
        <v>81769.497077219348</v>
      </c>
      <c r="DA24" s="22">
        <f>Calc_Volume!DA14</f>
        <v>86880.090644545548</v>
      </c>
      <c r="DB24" s="22">
        <f>Calc_Volume!DB14</f>
        <v>97101.277779197961</v>
      </c>
      <c r="DC24" s="22">
        <f>Calc_Volume!DC14</f>
        <v>107322.46491385039</v>
      </c>
      <c r="DD24" s="22">
        <f>Calc_Volume!DD14</f>
        <v>117543.65204850279</v>
      </c>
      <c r="DE24" s="22">
        <f>Calc_Volume!DE14</f>
        <v>143096.61988513384</v>
      </c>
      <c r="DF24" s="22">
        <f>Calc_Volume!DF14</f>
        <v>122245.39813044292</v>
      </c>
      <c r="DG24" s="22">
        <f>Calc_Volume!DG14</f>
        <v>116930.38082042367</v>
      </c>
      <c r="DH24" s="22">
        <f>Calc_Volume!DH14</f>
        <v>106300.34620038515</v>
      </c>
      <c r="DI24" s="22">
        <f>Calc_Volume!DI14</f>
        <v>95670.311580346635</v>
      </c>
      <c r="DJ24" s="22">
        <f>Calc_Volume!DJ14</f>
        <v>90355.294270327373</v>
      </c>
      <c r="DK24" s="22">
        <f>Calc_Volume!DK14</f>
        <v>85040.276960308125</v>
      </c>
      <c r="DL24" s="22">
        <f>Calc_Volume!DL14</f>
        <v>85040.276960308125</v>
      </c>
      <c r="DM24" s="22">
        <f>Calc_Volume!DM14</f>
        <v>90355.294270327373</v>
      </c>
      <c r="DN24" s="22">
        <f>Calc_Volume!DN14</f>
        <v>100985.3288903659</v>
      </c>
      <c r="DO24" s="22">
        <f>Calc_Volume!DO14</f>
        <v>111615.36351040441</v>
      </c>
      <c r="DP24" s="22">
        <f>Calc_Volume!DP14</f>
        <v>122245.39813044292</v>
      </c>
      <c r="DQ24" s="22">
        <f>Calc_Volume!DQ14</f>
        <v>148820.4846805392</v>
      </c>
    </row>
    <row r="25" spans="1:121" ht="15" customHeight="1">
      <c r="A25" t="s">
        <v>477</v>
      </c>
      <c r="B25" s="13">
        <f t="shared" ref="B25:AG25" si="28">IF(B23&gt;0,B24/B23,0)</f>
        <v>0.91999999999999993</v>
      </c>
      <c r="C25" s="13">
        <f t="shared" si="28"/>
        <v>0.88000000000000012</v>
      </c>
      <c r="D25" s="13">
        <f t="shared" si="28"/>
        <v>0.80000000000000016</v>
      </c>
      <c r="E25" s="13">
        <f t="shared" si="28"/>
        <v>0.72000000000000008</v>
      </c>
      <c r="F25" s="13">
        <f t="shared" si="28"/>
        <v>0.68</v>
      </c>
      <c r="G25" s="13">
        <f t="shared" si="28"/>
        <v>0.64000000000000012</v>
      </c>
      <c r="H25" s="13">
        <f t="shared" si="28"/>
        <v>0.64000000000000012</v>
      </c>
      <c r="I25" s="13">
        <f t="shared" si="28"/>
        <v>0.68</v>
      </c>
      <c r="J25" s="13">
        <f t="shared" si="28"/>
        <v>0.76</v>
      </c>
      <c r="K25" s="13">
        <f t="shared" si="28"/>
        <v>0.84000000000000008</v>
      </c>
      <c r="L25" s="13">
        <f t="shared" si="28"/>
        <v>0.91999999999999993</v>
      </c>
      <c r="M25" s="13">
        <f t="shared" si="28"/>
        <v>1.1200000000000001</v>
      </c>
      <c r="N25" s="13">
        <f t="shared" si="28"/>
        <v>0.99360000000000004</v>
      </c>
      <c r="O25" s="13">
        <f t="shared" si="28"/>
        <v>0.95040000000000024</v>
      </c>
      <c r="P25" s="13">
        <f t="shared" si="28"/>
        <v>0.8640000000000001</v>
      </c>
      <c r="Q25" s="13">
        <f t="shared" si="28"/>
        <v>0.77760000000000007</v>
      </c>
      <c r="R25" s="13">
        <f t="shared" si="28"/>
        <v>0.73440000000000005</v>
      </c>
      <c r="S25" s="13">
        <f t="shared" si="28"/>
        <v>0.69120000000000026</v>
      </c>
      <c r="T25" s="13">
        <f t="shared" si="28"/>
        <v>0.69120000000000026</v>
      </c>
      <c r="U25" s="13">
        <f t="shared" si="28"/>
        <v>0.73440000000000005</v>
      </c>
      <c r="V25" s="13">
        <f t="shared" si="28"/>
        <v>0.82080000000000009</v>
      </c>
      <c r="W25" s="13">
        <f t="shared" si="28"/>
        <v>0.90720000000000001</v>
      </c>
      <c r="X25" s="13">
        <f t="shared" si="28"/>
        <v>0.99360000000000004</v>
      </c>
      <c r="Y25" s="13">
        <f t="shared" si="28"/>
        <v>1.2096</v>
      </c>
      <c r="Z25" s="13">
        <f t="shared" si="28"/>
        <v>1.073088</v>
      </c>
      <c r="AA25" s="13">
        <f t="shared" si="28"/>
        <v>1.0264320000000005</v>
      </c>
      <c r="AB25" s="13">
        <f t="shared" si="28"/>
        <v>0.93312000000000006</v>
      </c>
      <c r="AC25" s="13">
        <f t="shared" si="28"/>
        <v>0.839808</v>
      </c>
      <c r="AD25" s="13">
        <f t="shared" si="28"/>
        <v>0.79315200000000019</v>
      </c>
      <c r="AE25" s="13">
        <f t="shared" si="28"/>
        <v>0.74649600000000027</v>
      </c>
      <c r="AF25" s="13">
        <f t="shared" si="28"/>
        <v>0.74649600000000027</v>
      </c>
      <c r="AG25" s="13">
        <f t="shared" si="28"/>
        <v>0.79315200000000019</v>
      </c>
      <c r="AH25" s="13">
        <f t="shared" ref="AH25:BM25" si="29">IF(AH23&gt;0,AH24/AH23,0)</f>
        <v>0.88646400000000003</v>
      </c>
      <c r="AI25" s="13">
        <f t="shared" si="29"/>
        <v>0.9797760000000002</v>
      </c>
      <c r="AJ25" s="13">
        <f t="shared" si="29"/>
        <v>1.073088</v>
      </c>
      <c r="AK25" s="13">
        <f t="shared" si="29"/>
        <v>1.3063680000000002</v>
      </c>
      <c r="AL25" s="13">
        <f t="shared" si="29"/>
        <v>1.13747328</v>
      </c>
      <c r="AM25" s="13">
        <f t="shared" si="29"/>
        <v>1.0880179200000004</v>
      </c>
      <c r="AN25" s="13">
        <f t="shared" si="29"/>
        <v>0.98910720000000008</v>
      </c>
      <c r="AO25" s="13">
        <f t="shared" si="29"/>
        <v>0.89019648000000018</v>
      </c>
      <c r="AP25" s="13">
        <f t="shared" si="29"/>
        <v>0.84074112000000012</v>
      </c>
      <c r="AQ25" s="13">
        <f t="shared" si="29"/>
        <v>0.79128576000000017</v>
      </c>
      <c r="AR25" s="13">
        <f t="shared" si="29"/>
        <v>0.79128576000000017</v>
      </c>
      <c r="AS25" s="13">
        <f t="shared" si="29"/>
        <v>0.84074112000000012</v>
      </c>
      <c r="AT25" s="13">
        <f t="shared" si="29"/>
        <v>0.93965184000000013</v>
      </c>
      <c r="AU25" s="13">
        <f t="shared" si="29"/>
        <v>1.0385625600000004</v>
      </c>
      <c r="AV25" s="13">
        <f t="shared" si="29"/>
        <v>1.13747328</v>
      </c>
      <c r="AW25" s="13">
        <f t="shared" si="29"/>
        <v>1.3847500800000001</v>
      </c>
      <c r="AX25" s="13">
        <f t="shared" si="29"/>
        <v>1.2057216768000001</v>
      </c>
      <c r="AY25" s="13">
        <f t="shared" si="29"/>
        <v>1.1532989952000006</v>
      </c>
      <c r="AZ25" s="13">
        <f t="shared" si="29"/>
        <v>1.0484536320000002</v>
      </c>
      <c r="BA25" s="13">
        <f t="shared" si="29"/>
        <v>0.94360826880000026</v>
      </c>
      <c r="BB25" s="13">
        <f t="shared" si="29"/>
        <v>0.89118558720000018</v>
      </c>
      <c r="BC25" s="13">
        <f t="shared" si="29"/>
        <v>0.83876290560000033</v>
      </c>
      <c r="BD25" s="13">
        <f t="shared" si="29"/>
        <v>0.83876290560000033</v>
      </c>
      <c r="BE25" s="13">
        <f t="shared" si="29"/>
        <v>0.89118558720000018</v>
      </c>
      <c r="BF25" s="13">
        <f t="shared" si="29"/>
        <v>0.99603095040000011</v>
      </c>
      <c r="BG25" s="13">
        <f t="shared" si="29"/>
        <v>1.1008763136000004</v>
      </c>
      <c r="BH25" s="13">
        <f t="shared" si="29"/>
        <v>1.2057216768000001</v>
      </c>
      <c r="BI25" s="13">
        <f t="shared" si="29"/>
        <v>1.4678350848000004</v>
      </c>
      <c r="BJ25" s="13">
        <f t="shared" si="29"/>
        <v>1.2539505438720002</v>
      </c>
      <c r="BK25" s="13">
        <f t="shared" si="29"/>
        <v>1.1994309550080005</v>
      </c>
      <c r="BL25" s="13">
        <f t="shared" si="29"/>
        <v>1.0903917772800003</v>
      </c>
      <c r="BM25" s="13">
        <f t="shared" si="29"/>
        <v>0.98135259955200027</v>
      </c>
      <c r="BN25" s="13">
        <f t="shared" ref="BN25:CS25" si="30">IF(BN23&gt;0,BN24/BN23,0)</f>
        <v>0.92683301068800028</v>
      </c>
      <c r="BO25" s="13">
        <f t="shared" si="30"/>
        <v>0.8723134218240004</v>
      </c>
      <c r="BP25" s="13">
        <f t="shared" si="30"/>
        <v>0.8723134218240004</v>
      </c>
      <c r="BQ25" s="13">
        <f t="shared" si="30"/>
        <v>0.92683301068800028</v>
      </c>
      <c r="BR25" s="13">
        <f t="shared" si="30"/>
        <v>1.0358721884160003</v>
      </c>
      <c r="BS25" s="13">
        <f t="shared" si="30"/>
        <v>1.1449113661440002</v>
      </c>
      <c r="BT25" s="13">
        <f t="shared" si="30"/>
        <v>1.2539505438720002</v>
      </c>
      <c r="BU25" s="13">
        <f t="shared" si="30"/>
        <v>1.5265484881920002</v>
      </c>
      <c r="BV25" s="13">
        <f t="shared" si="30"/>
        <v>1.30410856562688</v>
      </c>
      <c r="BW25" s="13">
        <f t="shared" si="30"/>
        <v>1.2474081932083205</v>
      </c>
      <c r="BX25" s="13">
        <f t="shared" si="30"/>
        <v>1.1340074483712002</v>
      </c>
      <c r="BY25" s="13">
        <f t="shared" si="30"/>
        <v>1.0206067035340802</v>
      </c>
      <c r="BZ25" s="13">
        <f t="shared" si="30"/>
        <v>0.96390633111552027</v>
      </c>
      <c r="CA25" s="13">
        <f t="shared" si="30"/>
        <v>0.9072059586969603</v>
      </c>
      <c r="CB25" s="13">
        <f t="shared" si="30"/>
        <v>0.9072059586969603</v>
      </c>
      <c r="CC25" s="13">
        <f t="shared" si="30"/>
        <v>0.96390633111552027</v>
      </c>
      <c r="CD25" s="13">
        <f t="shared" si="30"/>
        <v>1.0773070759526402</v>
      </c>
      <c r="CE25" s="13">
        <f t="shared" si="30"/>
        <v>1.1907078207897603</v>
      </c>
      <c r="CF25" s="13">
        <f t="shared" si="30"/>
        <v>1.30410856562688</v>
      </c>
      <c r="CG25" s="13">
        <f t="shared" si="30"/>
        <v>1.5876104277196803</v>
      </c>
      <c r="CH25" s="13">
        <f t="shared" si="30"/>
        <v>1.3562729082519553</v>
      </c>
      <c r="CI25" s="13">
        <f t="shared" si="30"/>
        <v>1.2973045209366532</v>
      </c>
      <c r="CJ25" s="13">
        <f t="shared" si="30"/>
        <v>1.1793677463060481</v>
      </c>
      <c r="CK25" s="13">
        <f t="shared" si="30"/>
        <v>1.0614309716754433</v>
      </c>
      <c r="CL25" s="13">
        <f t="shared" si="30"/>
        <v>1.0024625843601411</v>
      </c>
      <c r="CM25" s="13">
        <f t="shared" si="30"/>
        <v>0.94349419704483872</v>
      </c>
      <c r="CN25" s="13">
        <f t="shared" si="30"/>
        <v>0.94349419704483872</v>
      </c>
      <c r="CO25" s="13">
        <f t="shared" si="30"/>
        <v>1.0024625843601411</v>
      </c>
      <c r="CP25" s="13">
        <f t="shared" si="30"/>
        <v>1.1203993589907457</v>
      </c>
      <c r="CQ25" s="13">
        <f t="shared" si="30"/>
        <v>1.2383361336213505</v>
      </c>
      <c r="CR25" s="13">
        <f t="shared" si="30"/>
        <v>1.3562729082519553</v>
      </c>
      <c r="CS25" s="13">
        <f t="shared" si="30"/>
        <v>1.6511148448284672</v>
      </c>
      <c r="CT25" s="13">
        <f t="shared" ref="CT25:DY25" si="31">IF(CT23&gt;0,CT24/CT23,0)</f>
        <v>1.4105238245820335</v>
      </c>
      <c r="CU25" s="13">
        <f t="shared" si="31"/>
        <v>1.3491967017741195</v>
      </c>
      <c r="CV25" s="13">
        <f t="shared" si="31"/>
        <v>1.2265424561582903</v>
      </c>
      <c r="CW25" s="13">
        <f t="shared" si="31"/>
        <v>1.1038882105424612</v>
      </c>
      <c r="CX25" s="13">
        <f t="shared" si="31"/>
        <v>1.0425610877345466</v>
      </c>
      <c r="CY25" s="13">
        <f t="shared" si="31"/>
        <v>0.98123396492663228</v>
      </c>
      <c r="CZ25" s="13">
        <f t="shared" si="31"/>
        <v>0.98123396492663228</v>
      </c>
      <c r="DA25" s="13">
        <f t="shared" si="31"/>
        <v>1.0425610877345466</v>
      </c>
      <c r="DB25" s="13">
        <f t="shared" si="31"/>
        <v>1.1652153333503756</v>
      </c>
      <c r="DC25" s="13">
        <f t="shared" si="31"/>
        <v>1.2878695789662047</v>
      </c>
      <c r="DD25" s="13">
        <f t="shared" si="31"/>
        <v>1.4105238245820335</v>
      </c>
      <c r="DE25" s="13">
        <f t="shared" si="31"/>
        <v>1.7171594386216062</v>
      </c>
      <c r="DF25" s="13">
        <f t="shared" si="31"/>
        <v>1.4669447775653151</v>
      </c>
      <c r="DG25" s="13">
        <f t="shared" si="31"/>
        <v>1.4031645698450841</v>
      </c>
      <c r="DH25" s="13">
        <f t="shared" si="31"/>
        <v>1.2756041544046217</v>
      </c>
      <c r="DI25" s="13">
        <f t="shared" si="31"/>
        <v>1.1480437389641598</v>
      </c>
      <c r="DJ25" s="13">
        <f t="shared" si="31"/>
        <v>1.0842635312439286</v>
      </c>
      <c r="DK25" s="13">
        <f t="shared" si="31"/>
        <v>1.0204833235236976</v>
      </c>
      <c r="DL25" s="13">
        <f t="shared" si="31"/>
        <v>1.0204833235236976</v>
      </c>
      <c r="DM25" s="13">
        <f t="shared" si="31"/>
        <v>1.0842635312439286</v>
      </c>
      <c r="DN25" s="13">
        <f t="shared" si="31"/>
        <v>1.2118239466843908</v>
      </c>
      <c r="DO25" s="13">
        <f t="shared" si="31"/>
        <v>1.3393843621248529</v>
      </c>
      <c r="DP25" s="13">
        <f t="shared" si="31"/>
        <v>1.4669447775653151</v>
      </c>
      <c r="DQ25" s="13">
        <f t="shared" si="31"/>
        <v>1.7858458161664705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Q24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478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479</v>
      </c>
    </row>
    <row r="7" spans="1:121" ht="15" customHeight="1">
      <c r="A7" t="s">
        <v>480</v>
      </c>
      <c r="B7" s="22">
        <f>Assum_WC!$C$4*Calc_COGS!B28*12/365</f>
        <v>5627.564383561642</v>
      </c>
      <c r="C7" s="22">
        <f>Assum_WC!$C$4*Calc_COGS!C28*12/365</f>
        <v>5382.8876712328783</v>
      </c>
      <c r="D7" s="22">
        <f>Assum_WC!$C$4*Calc_COGS!D28*12/365</f>
        <v>4893.5342465753438</v>
      </c>
      <c r="E7" s="22">
        <f>Assum_WC!$C$4*Calc_COGS!E28*12/365</f>
        <v>4404.1808219178083</v>
      </c>
      <c r="F7" s="22">
        <f>Assum_WC!$C$4*Calc_COGS!F28*12/365</f>
        <v>4159.5041095890419</v>
      </c>
      <c r="G7" s="22">
        <f>Assum_WC!$C$4*Calc_COGS!G28*12/365</f>
        <v>3914.8273972602751</v>
      </c>
      <c r="H7" s="22">
        <f>Assum_WC!$C$4*Calc_COGS!H28*12/365</f>
        <v>3914.8273972602751</v>
      </c>
      <c r="I7" s="22">
        <f>Assum_WC!$C$4*Calc_COGS!I28*12/365</f>
        <v>4159.5041095890419</v>
      </c>
      <c r="J7" s="22">
        <f>Assum_WC!$C$4*Calc_COGS!J28*12/365</f>
        <v>4648.8575342465738</v>
      </c>
      <c r="K7" s="22">
        <f>Assum_WC!$C$4*Calc_COGS!K28*12/365</f>
        <v>5138.2109589041092</v>
      </c>
      <c r="L7" s="22">
        <f>Assum_WC!$C$4*Calc_COGS!L28*12/365</f>
        <v>5627.564383561642</v>
      </c>
      <c r="M7" s="22">
        <f>Assum_WC!$C$4*Calc_COGS!M28*12/365</f>
        <v>6850.9479452054784</v>
      </c>
      <c r="N7" s="22">
        <f>Assum_WC!$C$4*Calc_COGS!N28*12/365</f>
        <v>6229.7137726027395</v>
      </c>
      <c r="O7" s="22">
        <f>Assum_WC!$C$4*Calc_COGS!O28*12/365</f>
        <v>5958.8566520547956</v>
      </c>
      <c r="P7" s="22">
        <f>Assum_WC!$C$4*Calc_COGS!P28*12/365</f>
        <v>5417.1424109589034</v>
      </c>
      <c r="Q7" s="22">
        <f>Assum_WC!$C$4*Calc_COGS!Q28*12/365</f>
        <v>4875.428169863013</v>
      </c>
      <c r="R7" s="22">
        <f>Assum_WC!$C$4*Calc_COGS!R28*12/365</f>
        <v>4604.5710493150682</v>
      </c>
      <c r="S7" s="22">
        <f>Assum_WC!$C$4*Calc_COGS!S28*12/365</f>
        <v>4333.7139287671243</v>
      </c>
      <c r="T7" s="22">
        <f>Assum_WC!$C$4*Calc_COGS!T28*12/365</f>
        <v>4333.7139287671243</v>
      </c>
      <c r="U7" s="22">
        <f>Assum_WC!$C$4*Calc_COGS!U28*12/365</f>
        <v>4604.5710493150682</v>
      </c>
      <c r="V7" s="22">
        <f>Assum_WC!$C$4*Calc_COGS!V28*12/365</f>
        <v>5146.2852904109577</v>
      </c>
      <c r="W7" s="22">
        <f>Assum_WC!$C$4*Calc_COGS!W28*12/365</f>
        <v>5687.9995315068491</v>
      </c>
      <c r="X7" s="22">
        <f>Assum_WC!$C$4*Calc_COGS!X28*12/365</f>
        <v>6229.7137726027395</v>
      </c>
      <c r="Y7" s="22">
        <f>Assum_WC!$C$4*Calc_COGS!Y28*12/365</f>
        <v>7583.9993753424651</v>
      </c>
      <c r="Z7" s="22">
        <f>Assum_WC!$C$4*Calc_COGS!Z28*12/365</f>
        <v>6896.2931462712322</v>
      </c>
      <c r="AA7" s="22">
        <f>Assum_WC!$C$4*Calc_COGS!AA28*12/365</f>
        <v>6596.4543138246599</v>
      </c>
      <c r="AB7" s="22">
        <f>Assum_WC!$C$4*Calc_COGS!AB28*12/365</f>
        <v>5996.7766489315063</v>
      </c>
      <c r="AC7" s="22">
        <f>Assum_WC!$C$4*Calc_COGS!AC28*12/365</f>
        <v>5397.0989840383563</v>
      </c>
      <c r="AD7" s="22">
        <f>Assum_WC!$C$4*Calc_COGS!AD28*12/365</f>
        <v>5097.2601515917813</v>
      </c>
      <c r="AE7" s="22">
        <f>Assum_WC!$C$4*Calc_COGS!AE28*12/365</f>
        <v>4797.4213191452063</v>
      </c>
      <c r="AF7" s="22">
        <f>Assum_WC!$C$4*Calc_COGS!AF28*12/365</f>
        <v>4797.4213191452063</v>
      </c>
      <c r="AG7" s="22">
        <f>Assum_WC!$C$4*Calc_COGS!AG28*12/365</f>
        <v>5097.2601515917813</v>
      </c>
      <c r="AH7" s="22">
        <f>Assum_WC!$C$4*Calc_COGS!AH28*12/365</f>
        <v>5696.9378164849304</v>
      </c>
      <c r="AI7" s="22">
        <f>Assum_WC!$C$4*Calc_COGS!AI28*12/365</f>
        <v>6296.6154813780831</v>
      </c>
      <c r="AJ7" s="22">
        <f>Assum_WC!$C$4*Calc_COGS!AJ28*12/365</f>
        <v>6896.2931462712322</v>
      </c>
      <c r="AK7" s="22">
        <f>Assum_WC!$C$4*Calc_COGS!AK28*12/365</f>
        <v>8395.487308504109</v>
      </c>
      <c r="AL7" s="22">
        <f>Assum_WC!$C$4*Calc_COGS!AL28*12/365</f>
        <v>7492.8225034236948</v>
      </c>
      <c r="AM7" s="22">
        <f>Assum_WC!$C$4*Calc_COGS!AM28*12/365</f>
        <v>7167.0476119704917</v>
      </c>
      <c r="AN7" s="22">
        <f>Assum_WC!$C$4*Calc_COGS!AN28*12/365</f>
        <v>6515.4978290640829</v>
      </c>
      <c r="AO7" s="22">
        <f>Assum_WC!$C$4*Calc_COGS!AO28*12/365</f>
        <v>5863.9480461576741</v>
      </c>
      <c r="AP7" s="22">
        <f>Assum_WC!$C$4*Calc_COGS!AP28*12/365</f>
        <v>5538.1731547044692</v>
      </c>
      <c r="AQ7" s="22">
        <f>Assum_WC!$C$4*Calc_COGS!AQ28*12/365</f>
        <v>5212.3982632512661</v>
      </c>
      <c r="AR7" s="22">
        <f>Assum_WC!$C$4*Calc_COGS!AR28*12/365</f>
        <v>5212.3982632512661</v>
      </c>
      <c r="AS7" s="22">
        <f>Assum_WC!$C$4*Calc_COGS!AS28*12/365</f>
        <v>5538.1731547044692</v>
      </c>
      <c r="AT7" s="22">
        <f>Assum_WC!$C$4*Calc_COGS!AT28*12/365</f>
        <v>6189.722937610878</v>
      </c>
      <c r="AU7" s="22">
        <f>Assum_WC!$C$4*Calc_COGS!AU28*12/365</f>
        <v>6841.2727205172887</v>
      </c>
      <c r="AV7" s="22">
        <f>Assum_WC!$C$4*Calc_COGS!AV28*12/365</f>
        <v>7492.8225034236948</v>
      </c>
      <c r="AW7" s="22">
        <f>Assum_WC!$C$4*Calc_COGS!AW28*12/365</f>
        <v>9121.6969606897164</v>
      </c>
      <c r="AX7" s="22">
        <f>Assum_WC!$C$4*Calc_COGS!AX28*12/365</f>
        <v>8140.9516499698429</v>
      </c>
      <c r="AY7" s="22">
        <f>Assum_WC!$C$4*Calc_COGS!AY28*12/365</f>
        <v>7786.9972304059393</v>
      </c>
      <c r="AZ7" s="22">
        <f>Assum_WC!$C$4*Calc_COGS!AZ28*12/365</f>
        <v>7079.0883912781264</v>
      </c>
      <c r="BA7" s="22">
        <f>Assum_WC!$C$4*Calc_COGS!BA28*12/365</f>
        <v>6371.1795521503127</v>
      </c>
      <c r="BB7" s="22">
        <f>Assum_WC!$C$4*Calc_COGS!BB28*12/365</f>
        <v>6017.2251325864063</v>
      </c>
      <c r="BC7" s="22">
        <f>Assum_WC!$C$4*Calc_COGS!BC28*12/365</f>
        <v>5663.2707130224999</v>
      </c>
      <c r="BD7" s="22">
        <f>Assum_WC!$C$4*Calc_COGS!BD28*12/365</f>
        <v>5663.2707130224999</v>
      </c>
      <c r="BE7" s="22">
        <f>Assum_WC!$C$4*Calc_COGS!BE28*12/365</f>
        <v>6017.2251325864063</v>
      </c>
      <c r="BF7" s="22">
        <f>Assum_WC!$C$4*Calc_COGS!BF28*12/365</f>
        <v>6725.1339717142182</v>
      </c>
      <c r="BG7" s="22">
        <f>Assum_WC!$C$4*Calc_COGS!BG28*12/365</f>
        <v>7433.0428108420328</v>
      </c>
      <c r="BH7" s="22">
        <f>Assum_WC!$C$4*Calc_COGS!BH28*12/365</f>
        <v>8140.9516499698429</v>
      </c>
      <c r="BI7" s="22">
        <f>Assum_WC!$C$4*Calc_COGS!BI28*12/365</f>
        <v>9910.7237477893759</v>
      </c>
      <c r="BJ7" s="22">
        <f>Assum_WC!$C$4*Calc_COGS!BJ28*12/365</f>
        <v>8678.2544588678538</v>
      </c>
      <c r="BK7" s="22">
        <f>Assum_WC!$C$4*Calc_COGS!BK28*12/365</f>
        <v>8300.9390476127301</v>
      </c>
      <c r="BL7" s="22">
        <f>Assum_WC!$C$4*Calc_COGS!BL28*12/365</f>
        <v>7546.3082251024816</v>
      </c>
      <c r="BM7" s="22">
        <f>Assum_WC!$C$4*Calc_COGS!BM28*12/365</f>
        <v>6791.6774025922323</v>
      </c>
      <c r="BN7" s="22">
        <f>Assum_WC!$C$4*Calc_COGS!BN28*12/365</f>
        <v>6414.3619913371085</v>
      </c>
      <c r="BO7" s="22">
        <f>Assum_WC!$C$4*Calc_COGS!BO28*12/365</f>
        <v>6037.0465800819857</v>
      </c>
      <c r="BP7" s="22">
        <f>Assum_WC!$C$4*Calc_COGS!BP28*12/365</f>
        <v>6037.0465800819857</v>
      </c>
      <c r="BQ7" s="22">
        <f>Assum_WC!$C$4*Calc_COGS!BQ28*12/365</f>
        <v>6414.3619913371085</v>
      </c>
      <c r="BR7" s="22">
        <f>Assum_WC!$C$4*Calc_COGS!BR28*12/365</f>
        <v>7168.992813847356</v>
      </c>
      <c r="BS7" s="22">
        <f>Assum_WC!$C$4*Calc_COGS!BS28*12/365</f>
        <v>7923.6236363576036</v>
      </c>
      <c r="BT7" s="22">
        <f>Assum_WC!$C$4*Calc_COGS!BT28*12/365</f>
        <v>8678.2544588678538</v>
      </c>
      <c r="BU7" s="22">
        <f>Assum_WC!$C$4*Calc_COGS!BU28*12/365</f>
        <v>10564.831515143473</v>
      </c>
      <c r="BV7" s="22">
        <f>Assum_WC!$C$4*Calc_COGS!BV28*12/365</f>
        <v>9251.0192531531302</v>
      </c>
      <c r="BW7" s="22">
        <f>Assum_WC!$C$4*Calc_COGS!BW28*12/365</f>
        <v>8848.801024755172</v>
      </c>
      <c r="BX7" s="22">
        <f>Assum_WC!$C$4*Calc_COGS!BX28*12/365</f>
        <v>8044.3645679592419</v>
      </c>
      <c r="BY7" s="22">
        <f>Assum_WC!$C$4*Calc_COGS!BY28*12/365</f>
        <v>7239.92811116332</v>
      </c>
      <c r="BZ7" s="22">
        <f>Assum_WC!$C$4*Calc_COGS!BZ28*12/365</f>
        <v>6837.7098827653563</v>
      </c>
      <c r="CA7" s="22">
        <f>Assum_WC!$C$4*Calc_COGS!CA28*12/365</f>
        <v>6435.4916543673962</v>
      </c>
      <c r="CB7" s="22">
        <f>Assum_WC!$C$4*Calc_COGS!CB28*12/365</f>
        <v>6435.4916543673962</v>
      </c>
      <c r="CC7" s="22">
        <f>Assum_WC!$C$4*Calc_COGS!CC28*12/365</f>
        <v>6837.7098827653563</v>
      </c>
      <c r="CD7" s="22">
        <f>Assum_WC!$C$4*Calc_COGS!CD28*12/365</f>
        <v>7642.1463395612809</v>
      </c>
      <c r="CE7" s="22">
        <f>Assum_WC!$C$4*Calc_COGS!CE28*12/365</f>
        <v>8446.5827963572065</v>
      </c>
      <c r="CF7" s="22">
        <f>Assum_WC!$C$4*Calc_COGS!CF28*12/365</f>
        <v>9251.0192531531302</v>
      </c>
      <c r="CG7" s="22">
        <f>Assum_WC!$C$4*Calc_COGS!CG28*12/365</f>
        <v>11262.11039514294</v>
      </c>
      <c r="CH7" s="22">
        <f>Assum_WC!$C$4*Calc_COGS!CH28*12/365</f>
        <v>9861.5865238612332</v>
      </c>
      <c r="CI7" s="22">
        <f>Assum_WC!$C$4*Calc_COGS!CI28*12/365</f>
        <v>9432.821892389009</v>
      </c>
      <c r="CJ7" s="22">
        <f>Assum_WC!$C$4*Calc_COGS!CJ28*12/365</f>
        <v>8575.2926294445515</v>
      </c>
      <c r="CK7" s="22">
        <f>Assum_WC!$C$4*Calc_COGS!CK28*12/365</f>
        <v>7717.7633665000985</v>
      </c>
      <c r="CL7" s="22">
        <f>Assum_WC!$C$4*Calc_COGS!CL28*12/365</f>
        <v>7288.9987350278698</v>
      </c>
      <c r="CM7" s="22">
        <f>Assum_WC!$C$4*Calc_COGS!CM28*12/365</f>
        <v>6860.2341035556428</v>
      </c>
      <c r="CN7" s="22">
        <f>Assum_WC!$C$4*Calc_COGS!CN28*12/365</f>
        <v>6860.2341035556428</v>
      </c>
      <c r="CO7" s="22">
        <f>Assum_WC!$C$4*Calc_COGS!CO28*12/365</f>
        <v>7288.9987350278698</v>
      </c>
      <c r="CP7" s="22">
        <f>Assum_WC!$C$4*Calc_COGS!CP28*12/365</f>
        <v>8146.5279979723236</v>
      </c>
      <c r="CQ7" s="22">
        <f>Assum_WC!$C$4*Calc_COGS!CQ28*12/365</f>
        <v>9004.0572609167775</v>
      </c>
      <c r="CR7" s="22">
        <f>Assum_WC!$C$4*Calc_COGS!CR28*12/365</f>
        <v>9861.5865238612332</v>
      </c>
      <c r="CS7" s="22">
        <f>Assum_WC!$C$4*Calc_COGS!CS28*12/365</f>
        <v>12005.409681222371</v>
      </c>
      <c r="CT7" s="22">
        <f>Assum_WC!$C$4*Calc_COGS!CT28*12/365</f>
        <v>10512.451234436074</v>
      </c>
      <c r="CU7" s="22">
        <f>Assum_WC!$C$4*Calc_COGS!CU28*12/365</f>
        <v>10055.388137286684</v>
      </c>
      <c r="CV7" s="22">
        <f>Assum_WC!$C$4*Calc_COGS!CV28*12/365</f>
        <v>9141.2619429878923</v>
      </c>
      <c r="CW7" s="22">
        <f>Assum_WC!$C$4*Calc_COGS!CW28*12/365</f>
        <v>8227.1357486891029</v>
      </c>
      <c r="CX7" s="22">
        <f>Assum_WC!$C$4*Calc_COGS!CX28*12/365</f>
        <v>7770.0726515397082</v>
      </c>
      <c r="CY7" s="22">
        <f>Assum_WC!$C$4*Calc_COGS!CY28*12/365</f>
        <v>7313.0095543903144</v>
      </c>
      <c r="CZ7" s="22">
        <f>Assum_WC!$C$4*Calc_COGS!CZ28*12/365</f>
        <v>7313.0095543903144</v>
      </c>
      <c r="DA7" s="22">
        <f>Assum_WC!$C$4*Calc_COGS!DA28*12/365</f>
        <v>7770.0726515397082</v>
      </c>
      <c r="DB7" s="22">
        <f>Assum_WC!$C$4*Calc_COGS!DB28*12/365</f>
        <v>8684.1988458384985</v>
      </c>
      <c r="DC7" s="22">
        <f>Assum_WC!$C$4*Calc_COGS!DC28*12/365</f>
        <v>9598.3250401372861</v>
      </c>
      <c r="DD7" s="22">
        <f>Assum_WC!$C$4*Calc_COGS!DD28*12/365</f>
        <v>10512.451234436074</v>
      </c>
      <c r="DE7" s="22">
        <f>Assum_WC!$C$4*Calc_COGS!DE28*12/365</f>
        <v>12797.766720183048</v>
      </c>
      <c r="DF7" s="22">
        <f>Assum_WC!$C$4*Calc_COGS!DF28*12/365</f>
        <v>11206.273015908857</v>
      </c>
      <c r="DG7" s="22">
        <f>Assum_WC!$C$4*Calc_COGS!DG28*12/365</f>
        <v>10719.043754347602</v>
      </c>
      <c r="DH7" s="22">
        <f>Assum_WC!$C$4*Calc_COGS!DH28*12/365</f>
        <v>9744.58523122509</v>
      </c>
      <c r="DI7" s="22">
        <f>Assum_WC!$C$4*Calc_COGS!DI28*12/365</f>
        <v>8770.1267081025817</v>
      </c>
      <c r="DJ7" s="22">
        <f>Assum_WC!$C$4*Calc_COGS!DJ28*12/365</f>
        <v>8282.8974465413285</v>
      </c>
      <c r="DK7" s="22">
        <f>Assum_WC!$C$4*Calc_COGS!DK28*12/365</f>
        <v>7795.6681849800752</v>
      </c>
      <c r="DL7" s="22">
        <f>Assum_WC!$C$4*Calc_COGS!DL28*12/365</f>
        <v>7795.6681849800752</v>
      </c>
      <c r="DM7" s="22">
        <f>Assum_WC!$C$4*Calc_COGS!DM28*12/365</f>
        <v>8282.8974465413285</v>
      </c>
      <c r="DN7" s="22">
        <f>Assum_WC!$C$4*Calc_COGS!DN28*12/365</f>
        <v>9257.3559696638404</v>
      </c>
      <c r="DO7" s="22">
        <f>Assum_WC!$C$4*Calc_COGS!DO28*12/365</f>
        <v>10231.814492786349</v>
      </c>
      <c r="DP7" s="22">
        <f>Assum_WC!$C$4*Calc_COGS!DP28*12/365</f>
        <v>11206.273015908857</v>
      </c>
      <c r="DQ7" s="22">
        <f>Assum_WC!$C$4*Calc_COGS!DQ28*12/365</f>
        <v>13642.419323715128</v>
      </c>
    </row>
    <row r="8" spans="1:121" ht="15" customHeight="1">
      <c r="A8" t="s">
        <v>481</v>
      </c>
      <c r="B8" s="22">
        <f>Assum_WC!$C$5*Calc_COGS!B28*12/365</f>
        <v>2626.1967123287668</v>
      </c>
      <c r="C8" s="22">
        <f>Assum_WC!$C$5*Calc_COGS!C28*12/365</f>
        <v>2512.0142465753429</v>
      </c>
      <c r="D8" s="22">
        <f>Assum_WC!$C$5*Calc_COGS!D28*12/365</f>
        <v>2283.6493150684937</v>
      </c>
      <c r="E8" s="22">
        <f>Assum_WC!$C$5*Calc_COGS!E28*12/365</f>
        <v>2055.2843835616441</v>
      </c>
      <c r="F8" s="22">
        <f>Assum_WC!$C$5*Calc_COGS!F28*12/365</f>
        <v>1941.1019178082195</v>
      </c>
      <c r="G8" s="22">
        <f>Assum_WC!$C$5*Calc_COGS!G28*12/365</f>
        <v>1826.9194520547949</v>
      </c>
      <c r="H8" s="22">
        <f>Assum_WC!$C$5*Calc_COGS!H28*12/365</f>
        <v>1826.9194520547949</v>
      </c>
      <c r="I8" s="22">
        <f>Assum_WC!$C$5*Calc_COGS!I28*12/365</f>
        <v>1941.1019178082195</v>
      </c>
      <c r="J8" s="22">
        <f>Assum_WC!$C$5*Calc_COGS!J28*12/365</f>
        <v>2169.466849315068</v>
      </c>
      <c r="K8" s="22">
        <f>Assum_WC!$C$5*Calc_COGS!K28*12/365</f>
        <v>2397.8317808219181</v>
      </c>
      <c r="L8" s="22">
        <f>Assum_WC!$C$5*Calc_COGS!L28*12/365</f>
        <v>2626.1967123287668</v>
      </c>
      <c r="M8" s="22">
        <f>Assum_WC!$C$5*Calc_COGS!M28*12/365</f>
        <v>3197.10904109589</v>
      </c>
      <c r="N8" s="22">
        <f>Assum_WC!$C$5*Calc_COGS!N28*12/365</f>
        <v>2907.1997605479451</v>
      </c>
      <c r="O8" s="22">
        <f>Assum_WC!$C$5*Calc_COGS!O28*12/365</f>
        <v>2780.7997709589049</v>
      </c>
      <c r="P8" s="22">
        <f>Assum_WC!$C$5*Calc_COGS!P28*12/365</f>
        <v>2527.9997917808214</v>
      </c>
      <c r="Q8" s="22">
        <f>Assum_WC!$C$5*Calc_COGS!Q28*12/365</f>
        <v>2275.1998126027393</v>
      </c>
      <c r="R8" s="22">
        <f>Assum_WC!$C$5*Calc_COGS!R28*12/365</f>
        <v>2148.7998230136982</v>
      </c>
      <c r="S8" s="22">
        <f>Assum_WC!$C$5*Calc_COGS!S28*12/365</f>
        <v>2022.3998334246583</v>
      </c>
      <c r="T8" s="22">
        <f>Assum_WC!$C$5*Calc_COGS!T28*12/365</f>
        <v>2022.3998334246583</v>
      </c>
      <c r="U8" s="22">
        <f>Assum_WC!$C$5*Calc_COGS!U28*12/365</f>
        <v>2148.7998230136982</v>
      </c>
      <c r="V8" s="22">
        <f>Assum_WC!$C$5*Calc_COGS!V28*12/365</f>
        <v>2401.5998021917808</v>
      </c>
      <c r="W8" s="22">
        <f>Assum_WC!$C$5*Calc_COGS!W28*12/365</f>
        <v>2654.3997813698625</v>
      </c>
      <c r="X8" s="22">
        <f>Assum_WC!$C$5*Calc_COGS!X28*12/365</f>
        <v>2907.1997605479451</v>
      </c>
      <c r="Y8" s="22">
        <f>Assum_WC!$C$5*Calc_COGS!Y28*12/365</f>
        <v>3539.1997084931504</v>
      </c>
      <c r="Z8" s="22">
        <f>Assum_WC!$C$5*Calc_COGS!Z28*12/365</f>
        <v>3218.2701349265753</v>
      </c>
      <c r="AA8" s="22">
        <f>Assum_WC!$C$5*Calc_COGS!AA28*12/365</f>
        <v>3078.3453464515073</v>
      </c>
      <c r="AB8" s="22">
        <f>Assum_WC!$C$5*Calc_COGS!AB28*12/365</f>
        <v>2798.49576950137</v>
      </c>
      <c r="AC8" s="22">
        <f>Assum_WC!$C$5*Calc_COGS!AC28*12/365</f>
        <v>2518.6461925512326</v>
      </c>
      <c r="AD8" s="22">
        <f>Assum_WC!$C$5*Calc_COGS!AD28*12/365</f>
        <v>2378.7214040761646</v>
      </c>
      <c r="AE8" s="22">
        <f>Assum_WC!$C$5*Calc_COGS!AE28*12/365</f>
        <v>2238.7966156010966</v>
      </c>
      <c r="AF8" s="22">
        <f>Assum_WC!$C$5*Calc_COGS!AF28*12/365</f>
        <v>2238.7966156010966</v>
      </c>
      <c r="AG8" s="22">
        <f>Assum_WC!$C$5*Calc_COGS!AG28*12/365</f>
        <v>2378.7214040761646</v>
      </c>
      <c r="AH8" s="22">
        <f>Assum_WC!$C$5*Calc_COGS!AH28*12/365</f>
        <v>2658.5709810263011</v>
      </c>
      <c r="AI8" s="22">
        <f>Assum_WC!$C$5*Calc_COGS!AI28*12/365</f>
        <v>2938.4205579764389</v>
      </c>
      <c r="AJ8" s="22">
        <f>Assum_WC!$C$5*Calc_COGS!AJ28*12/365</f>
        <v>3218.2701349265753</v>
      </c>
      <c r="AK8" s="22">
        <f>Assum_WC!$C$5*Calc_COGS!AK28*12/365</f>
        <v>3917.8940773019185</v>
      </c>
      <c r="AL8" s="22">
        <f>Assum_WC!$C$5*Calc_COGS!AL28*12/365</f>
        <v>3496.6505015977245</v>
      </c>
      <c r="AM8" s="22">
        <f>Assum_WC!$C$5*Calc_COGS!AM28*12/365</f>
        <v>3344.6222189195628</v>
      </c>
      <c r="AN8" s="22">
        <f>Assum_WC!$C$5*Calc_COGS!AN28*12/365</f>
        <v>3040.5656535632384</v>
      </c>
      <c r="AO8" s="22">
        <f>Assum_WC!$C$5*Calc_COGS!AO28*12/365</f>
        <v>2736.5090882069139</v>
      </c>
      <c r="AP8" s="22">
        <f>Assum_WC!$C$5*Calc_COGS!AP28*12/365</f>
        <v>2584.4808055287526</v>
      </c>
      <c r="AQ8" s="22">
        <f>Assum_WC!$C$5*Calc_COGS!AQ28*12/365</f>
        <v>2432.4525228505909</v>
      </c>
      <c r="AR8" s="22">
        <f>Assum_WC!$C$5*Calc_COGS!AR28*12/365</f>
        <v>2432.4525228505909</v>
      </c>
      <c r="AS8" s="22">
        <f>Assum_WC!$C$5*Calc_COGS!AS28*12/365</f>
        <v>2584.4808055287526</v>
      </c>
      <c r="AT8" s="22">
        <f>Assum_WC!$C$5*Calc_COGS!AT28*12/365</f>
        <v>2888.5373708850766</v>
      </c>
      <c r="AU8" s="22">
        <f>Assum_WC!$C$5*Calc_COGS!AU28*12/365</f>
        <v>3192.5939362414015</v>
      </c>
      <c r="AV8" s="22">
        <f>Assum_WC!$C$5*Calc_COGS!AV28*12/365</f>
        <v>3496.6505015977245</v>
      </c>
      <c r="AW8" s="22">
        <f>Assum_WC!$C$5*Calc_COGS!AW28*12/365</f>
        <v>4256.7919149885347</v>
      </c>
      <c r="AX8" s="22">
        <f>Assum_WC!$C$5*Calc_COGS!AX28*12/365</f>
        <v>3799.1107699859267</v>
      </c>
      <c r="AY8" s="22">
        <f>Assum_WC!$C$5*Calc_COGS!AY28*12/365</f>
        <v>3633.9320408561052</v>
      </c>
      <c r="AZ8" s="22">
        <f>Assum_WC!$C$5*Calc_COGS!AZ28*12/365</f>
        <v>3303.5745825964586</v>
      </c>
      <c r="BA8" s="22">
        <f>Assum_WC!$C$5*Calc_COGS!BA28*12/365</f>
        <v>2973.2171243368125</v>
      </c>
      <c r="BB8" s="22">
        <f>Assum_WC!$C$5*Calc_COGS!BB28*12/365</f>
        <v>2808.0383952069897</v>
      </c>
      <c r="BC8" s="22">
        <f>Assum_WC!$C$5*Calc_COGS!BC28*12/365</f>
        <v>2642.8596660771668</v>
      </c>
      <c r="BD8" s="22">
        <f>Assum_WC!$C$5*Calc_COGS!BD28*12/365</f>
        <v>2642.8596660771668</v>
      </c>
      <c r="BE8" s="22">
        <f>Assum_WC!$C$5*Calc_COGS!BE28*12/365</f>
        <v>2808.0383952069897</v>
      </c>
      <c r="BF8" s="22">
        <f>Assum_WC!$C$5*Calc_COGS!BF28*12/365</f>
        <v>3138.3958534666349</v>
      </c>
      <c r="BG8" s="22">
        <f>Assum_WC!$C$5*Calc_COGS!BG28*12/365</f>
        <v>3468.753311726281</v>
      </c>
      <c r="BH8" s="22">
        <f>Assum_WC!$C$5*Calc_COGS!BH28*12/365</f>
        <v>3799.1107699859267</v>
      </c>
      <c r="BI8" s="22">
        <f>Assum_WC!$C$5*Calc_COGS!BI28*12/365</f>
        <v>4625.0044156350423</v>
      </c>
      <c r="BJ8" s="22">
        <f>Assum_WC!$C$5*Calc_COGS!BJ28*12/365</f>
        <v>4049.8520808049989</v>
      </c>
      <c r="BK8" s="22">
        <f>Assum_WC!$C$5*Calc_COGS!BK28*12/365</f>
        <v>3873.7715555526074</v>
      </c>
      <c r="BL8" s="22">
        <f>Assum_WC!$C$5*Calc_COGS!BL28*12/365</f>
        <v>3521.610505047825</v>
      </c>
      <c r="BM8" s="22">
        <f>Assum_WC!$C$5*Calc_COGS!BM28*12/365</f>
        <v>3169.4494545430416</v>
      </c>
      <c r="BN8" s="22">
        <f>Assum_WC!$C$5*Calc_COGS!BN28*12/365</f>
        <v>2993.3689292906511</v>
      </c>
      <c r="BO8" s="22">
        <f>Assum_WC!$C$5*Calc_COGS!BO28*12/365</f>
        <v>2817.2884040382596</v>
      </c>
      <c r="BP8" s="22">
        <f>Assum_WC!$C$5*Calc_COGS!BP28*12/365</f>
        <v>2817.2884040382596</v>
      </c>
      <c r="BQ8" s="22">
        <f>Assum_WC!$C$5*Calc_COGS!BQ28*12/365</f>
        <v>2993.3689292906511</v>
      </c>
      <c r="BR8" s="22">
        <f>Assum_WC!$C$5*Calc_COGS!BR28*12/365</f>
        <v>3345.5299797954326</v>
      </c>
      <c r="BS8" s="22">
        <f>Assum_WC!$C$5*Calc_COGS!BS28*12/365</f>
        <v>3697.6910303002146</v>
      </c>
      <c r="BT8" s="22">
        <f>Assum_WC!$C$5*Calc_COGS!BT28*12/365</f>
        <v>4049.8520808049989</v>
      </c>
      <c r="BU8" s="22">
        <f>Assum_WC!$C$5*Calc_COGS!BU28*12/365</f>
        <v>4930.2547070669534</v>
      </c>
      <c r="BV8" s="22">
        <f>Assum_WC!$C$5*Calc_COGS!BV28*12/365</f>
        <v>4317.1423181381269</v>
      </c>
      <c r="BW8" s="22">
        <f>Assum_WC!$C$5*Calc_COGS!BW28*12/365</f>
        <v>4129.4404782190795</v>
      </c>
      <c r="BX8" s="22">
        <f>Assum_WC!$C$5*Calc_COGS!BX28*12/365</f>
        <v>3754.0367983809801</v>
      </c>
      <c r="BY8" s="22">
        <f>Assum_WC!$C$5*Calc_COGS!BY28*12/365</f>
        <v>3378.6331185428821</v>
      </c>
      <c r="BZ8" s="22">
        <f>Assum_WC!$C$5*Calc_COGS!BZ28*12/365</f>
        <v>3190.9312786238334</v>
      </c>
      <c r="CA8" s="22">
        <f>Assum_WC!$C$5*Calc_COGS!CA28*12/365</f>
        <v>3003.229438704785</v>
      </c>
      <c r="CB8" s="22">
        <f>Assum_WC!$C$5*Calc_COGS!CB28*12/365</f>
        <v>3003.229438704785</v>
      </c>
      <c r="CC8" s="22">
        <f>Assum_WC!$C$5*Calc_COGS!CC28*12/365</f>
        <v>3190.9312786238334</v>
      </c>
      <c r="CD8" s="22">
        <f>Assum_WC!$C$5*Calc_COGS!CD28*12/365</f>
        <v>3566.3349584619318</v>
      </c>
      <c r="CE8" s="22">
        <f>Assum_WC!$C$5*Calc_COGS!CE28*12/365</f>
        <v>3941.7386383000294</v>
      </c>
      <c r="CF8" s="22">
        <f>Assum_WC!$C$5*Calc_COGS!CF28*12/365</f>
        <v>4317.1423181381269</v>
      </c>
      <c r="CG8" s="22">
        <f>Assum_WC!$C$5*Calc_COGS!CG28*12/365</f>
        <v>5255.6515177333722</v>
      </c>
      <c r="CH8" s="22">
        <f>Assum_WC!$C$5*Calc_COGS!CH28*12/365</f>
        <v>4602.0737111352419</v>
      </c>
      <c r="CI8" s="22">
        <f>Assum_WC!$C$5*Calc_COGS!CI28*12/365</f>
        <v>4401.9835497815375</v>
      </c>
      <c r="CJ8" s="22">
        <f>Assum_WC!$C$5*Calc_COGS!CJ28*12/365</f>
        <v>4001.8032270741242</v>
      </c>
      <c r="CK8" s="22">
        <f>Assum_WC!$C$5*Calc_COGS!CK28*12/365</f>
        <v>3601.6229043667122</v>
      </c>
      <c r="CL8" s="22">
        <f>Assum_WC!$C$5*Calc_COGS!CL28*12/365</f>
        <v>3401.532743013006</v>
      </c>
      <c r="CM8" s="22">
        <f>Assum_WC!$C$5*Calc_COGS!CM28*12/365</f>
        <v>3201.4425816593002</v>
      </c>
      <c r="CN8" s="22">
        <f>Assum_WC!$C$5*Calc_COGS!CN28*12/365</f>
        <v>3201.4425816593002</v>
      </c>
      <c r="CO8" s="22">
        <f>Assum_WC!$C$5*Calc_COGS!CO28*12/365</f>
        <v>3401.532743013006</v>
      </c>
      <c r="CP8" s="22">
        <f>Assum_WC!$C$5*Calc_COGS!CP28*12/365</f>
        <v>3801.713065720417</v>
      </c>
      <c r="CQ8" s="22">
        <f>Assum_WC!$C$5*Calc_COGS!CQ28*12/365</f>
        <v>4201.8933884278294</v>
      </c>
      <c r="CR8" s="22">
        <f>Assum_WC!$C$5*Calc_COGS!CR28*12/365</f>
        <v>4602.0737111352419</v>
      </c>
      <c r="CS8" s="22">
        <f>Assum_WC!$C$5*Calc_COGS!CS28*12/365</f>
        <v>5602.5245179037729</v>
      </c>
      <c r="CT8" s="22">
        <f>Assum_WC!$C$5*Calc_COGS!CT28*12/365</f>
        <v>4905.8105760701674</v>
      </c>
      <c r="CU8" s="22">
        <f>Assum_WC!$C$5*Calc_COGS!CU28*12/365</f>
        <v>4692.5144640671188</v>
      </c>
      <c r="CV8" s="22">
        <f>Assum_WC!$C$5*Calc_COGS!CV28*12/365</f>
        <v>4265.922240061017</v>
      </c>
      <c r="CW8" s="22">
        <f>Assum_WC!$C$5*Calc_COGS!CW28*12/365</f>
        <v>3839.3300160549147</v>
      </c>
      <c r="CX8" s="22">
        <f>Assum_WC!$C$5*Calc_COGS!CX28*12/365</f>
        <v>3626.0339040518638</v>
      </c>
      <c r="CY8" s="22">
        <f>Assum_WC!$C$5*Calc_COGS!CY28*12/365</f>
        <v>3412.7377920488138</v>
      </c>
      <c r="CZ8" s="22">
        <f>Assum_WC!$C$5*Calc_COGS!CZ28*12/365</f>
        <v>3412.7377920488138</v>
      </c>
      <c r="DA8" s="22">
        <f>Assum_WC!$C$5*Calc_COGS!DA28*12/365</f>
        <v>3626.0339040518638</v>
      </c>
      <c r="DB8" s="22">
        <f>Assum_WC!$C$5*Calc_COGS!DB28*12/365</f>
        <v>4052.6261280579652</v>
      </c>
      <c r="DC8" s="22">
        <f>Assum_WC!$C$5*Calc_COGS!DC28*12/365</f>
        <v>4479.2183520640674</v>
      </c>
      <c r="DD8" s="22">
        <f>Assum_WC!$C$5*Calc_COGS!DD28*12/365</f>
        <v>4905.8105760701674</v>
      </c>
      <c r="DE8" s="22">
        <f>Assum_WC!$C$5*Calc_COGS!DE28*12/365</f>
        <v>5972.2911360854232</v>
      </c>
      <c r="DF8" s="22">
        <f>Assum_WC!$C$5*Calc_COGS!DF28*12/365</f>
        <v>5229.5940740907999</v>
      </c>
      <c r="DG8" s="22">
        <f>Assum_WC!$C$5*Calc_COGS!DG28*12/365</f>
        <v>5002.2204186955478</v>
      </c>
      <c r="DH8" s="22">
        <f>Assum_WC!$C$5*Calc_COGS!DH28*12/365</f>
        <v>4547.4731079050425</v>
      </c>
      <c r="DI8" s="22">
        <f>Assum_WC!$C$5*Calc_COGS!DI28*12/365</f>
        <v>4092.7257971145391</v>
      </c>
      <c r="DJ8" s="22">
        <f>Assum_WC!$C$5*Calc_COGS!DJ28*12/365</f>
        <v>3865.3521417192865</v>
      </c>
      <c r="DK8" s="22">
        <f>Assum_WC!$C$5*Calc_COGS!DK28*12/365</f>
        <v>3637.9784863240347</v>
      </c>
      <c r="DL8" s="22">
        <f>Assum_WC!$C$5*Calc_COGS!DL28*12/365</f>
        <v>3637.9784863240347</v>
      </c>
      <c r="DM8" s="22">
        <f>Assum_WC!$C$5*Calc_COGS!DM28*12/365</f>
        <v>3865.3521417192865</v>
      </c>
      <c r="DN8" s="22">
        <f>Assum_WC!$C$5*Calc_COGS!DN28*12/365</f>
        <v>4320.0994525097922</v>
      </c>
      <c r="DO8" s="22">
        <f>Assum_WC!$C$5*Calc_COGS!DO28*12/365</f>
        <v>4774.8467633002956</v>
      </c>
      <c r="DP8" s="22">
        <f>Assum_WC!$C$5*Calc_COGS!DP28*12/365</f>
        <v>5229.5940740907999</v>
      </c>
      <c r="DQ8" s="22">
        <f>Assum_WC!$C$5*Calc_COGS!DQ28*12/365</f>
        <v>6366.4623510670608</v>
      </c>
    </row>
    <row r="9" spans="1:121" ht="15" customHeight="1">
      <c r="A9" t="s">
        <v>482</v>
      </c>
      <c r="B9" s="22">
        <f>Assum_WC!$C$6*Calc_COGS!B28*12/365</f>
        <v>3939.2950684931498</v>
      </c>
      <c r="C9" s="22">
        <f>Assum_WC!$C$6*Calc_COGS!C28*12/365</f>
        <v>3768.0213698630146</v>
      </c>
      <c r="D9" s="22">
        <f>Assum_WC!$C$6*Calc_COGS!D28*12/365</f>
        <v>3425.4739726027406</v>
      </c>
      <c r="E9" s="22">
        <f>Assum_WC!$C$6*Calc_COGS!E28*12/365</f>
        <v>3082.9265753424661</v>
      </c>
      <c r="F9" s="22">
        <f>Assum_WC!$C$6*Calc_COGS!F28*12/365</f>
        <v>2911.6528767123291</v>
      </c>
      <c r="G9" s="22">
        <f>Assum_WC!$C$6*Calc_COGS!G28*12/365</f>
        <v>2740.3791780821921</v>
      </c>
      <c r="H9" s="22">
        <f>Assum_WC!$C$6*Calc_COGS!H28*12/365</f>
        <v>2740.3791780821921</v>
      </c>
      <c r="I9" s="22">
        <f>Assum_WC!$C$6*Calc_COGS!I28*12/365</f>
        <v>2911.6528767123291</v>
      </c>
      <c r="J9" s="22">
        <f>Assum_WC!$C$6*Calc_COGS!J28*12/365</f>
        <v>3254.2002739726022</v>
      </c>
      <c r="K9" s="22">
        <f>Assum_WC!$C$6*Calc_COGS!K28*12/365</f>
        <v>3596.7476712328767</v>
      </c>
      <c r="L9" s="22">
        <f>Assum_WC!$C$6*Calc_COGS!L28*12/365</f>
        <v>3939.2950684931498</v>
      </c>
      <c r="M9" s="22">
        <f>Assum_WC!$C$6*Calc_COGS!M28*12/365</f>
        <v>4795.6635616438352</v>
      </c>
      <c r="N9" s="22">
        <f>Assum_WC!$C$6*Calc_COGS!N28*12/365</f>
        <v>4360.7996408219178</v>
      </c>
      <c r="O9" s="22">
        <f>Assum_WC!$C$6*Calc_COGS!O28*12/365</f>
        <v>4171.1996564383571</v>
      </c>
      <c r="P9" s="22">
        <f>Assum_WC!$C$6*Calc_COGS!P28*12/365</f>
        <v>3791.9996876712326</v>
      </c>
      <c r="Q9" s="22">
        <f>Assum_WC!$C$6*Calc_COGS!Q28*12/365</f>
        <v>3412.7997189041093</v>
      </c>
      <c r="R9" s="22">
        <f>Assum_WC!$C$6*Calc_COGS!R28*12/365</f>
        <v>3223.1997345205473</v>
      </c>
      <c r="S9" s="22">
        <f>Assum_WC!$C$6*Calc_COGS!S28*12/365</f>
        <v>3033.599750136987</v>
      </c>
      <c r="T9" s="22">
        <f>Assum_WC!$C$6*Calc_COGS!T28*12/365</f>
        <v>3033.599750136987</v>
      </c>
      <c r="U9" s="22">
        <f>Assum_WC!$C$6*Calc_COGS!U28*12/365</f>
        <v>3223.1997345205473</v>
      </c>
      <c r="V9" s="22">
        <f>Assum_WC!$C$6*Calc_COGS!V28*12/365</f>
        <v>3602.3997032876714</v>
      </c>
      <c r="W9" s="22">
        <f>Assum_WC!$C$6*Calc_COGS!W28*12/365</f>
        <v>3981.5996720547942</v>
      </c>
      <c r="X9" s="22">
        <f>Assum_WC!$C$6*Calc_COGS!X28*12/365</f>
        <v>4360.7996408219178</v>
      </c>
      <c r="Y9" s="22">
        <f>Assum_WC!$C$6*Calc_COGS!Y28*12/365</f>
        <v>5308.7995627397249</v>
      </c>
      <c r="Z9" s="22">
        <f>Assum_WC!$C$6*Calc_COGS!Z28*12/365</f>
        <v>4827.405202389863</v>
      </c>
      <c r="AA9" s="22">
        <f>Assum_WC!$C$6*Calc_COGS!AA28*12/365</f>
        <v>4617.5180196772626</v>
      </c>
      <c r="AB9" s="22">
        <f>Assum_WC!$C$6*Calc_COGS!AB28*12/365</f>
        <v>4197.7436542520545</v>
      </c>
      <c r="AC9" s="22">
        <f>Assum_WC!$C$6*Calc_COGS!AC28*12/365</f>
        <v>3777.9692888268487</v>
      </c>
      <c r="AD9" s="22">
        <f>Assum_WC!$C$6*Calc_COGS!AD28*12/365</f>
        <v>3568.0821061142469</v>
      </c>
      <c r="AE9" s="22">
        <f>Assum_WC!$C$6*Calc_COGS!AE28*12/365</f>
        <v>3358.1949234016452</v>
      </c>
      <c r="AF9" s="22">
        <f>Assum_WC!$C$6*Calc_COGS!AF28*12/365</f>
        <v>3358.1949234016452</v>
      </c>
      <c r="AG9" s="22">
        <f>Assum_WC!$C$6*Calc_COGS!AG28*12/365</f>
        <v>3568.0821061142469</v>
      </c>
      <c r="AH9" s="22">
        <f>Assum_WC!$C$6*Calc_COGS!AH28*12/365</f>
        <v>3987.8564715394514</v>
      </c>
      <c r="AI9" s="22">
        <f>Assum_WC!$C$6*Calc_COGS!AI28*12/365</f>
        <v>4407.6308369646586</v>
      </c>
      <c r="AJ9" s="22">
        <f>Assum_WC!$C$6*Calc_COGS!AJ28*12/365</f>
        <v>4827.405202389863</v>
      </c>
      <c r="AK9" s="22">
        <f>Assum_WC!$C$6*Calc_COGS!AK28*12/365</f>
        <v>5876.8411159528778</v>
      </c>
      <c r="AL9" s="22">
        <f>Assum_WC!$C$6*Calc_COGS!AL28*12/365</f>
        <v>5244.9757523965873</v>
      </c>
      <c r="AM9" s="22">
        <f>Assum_WC!$C$6*Calc_COGS!AM28*12/365</f>
        <v>5016.9333283793439</v>
      </c>
      <c r="AN9" s="22">
        <f>Assum_WC!$C$6*Calc_COGS!AN28*12/365</f>
        <v>4560.8484803448582</v>
      </c>
      <c r="AO9" s="22">
        <f>Assum_WC!$C$6*Calc_COGS!AO28*12/365</f>
        <v>4104.7636323103716</v>
      </c>
      <c r="AP9" s="22">
        <f>Assum_WC!$C$6*Calc_COGS!AP28*12/365</f>
        <v>3876.7212082931287</v>
      </c>
      <c r="AQ9" s="22">
        <f>Assum_WC!$C$6*Calc_COGS!AQ28*12/365</f>
        <v>3648.6787842758863</v>
      </c>
      <c r="AR9" s="22">
        <f>Assum_WC!$C$6*Calc_COGS!AR28*12/365</f>
        <v>3648.6787842758863</v>
      </c>
      <c r="AS9" s="22">
        <f>Assum_WC!$C$6*Calc_COGS!AS28*12/365</f>
        <v>3876.7212082931287</v>
      </c>
      <c r="AT9" s="22">
        <f>Assum_WC!$C$6*Calc_COGS!AT28*12/365</f>
        <v>4332.8060563276149</v>
      </c>
      <c r="AU9" s="22">
        <f>Assum_WC!$C$6*Calc_COGS!AU28*12/365</f>
        <v>4788.8909043621024</v>
      </c>
      <c r="AV9" s="22">
        <f>Assum_WC!$C$6*Calc_COGS!AV28*12/365</f>
        <v>5244.9757523965873</v>
      </c>
      <c r="AW9" s="22">
        <f>Assum_WC!$C$6*Calc_COGS!AW28*12/365</f>
        <v>6385.187872482802</v>
      </c>
      <c r="AX9" s="22">
        <f>Assum_WC!$C$6*Calc_COGS!AX28*12/365</f>
        <v>5698.6661549788896</v>
      </c>
      <c r="AY9" s="22">
        <f>Assum_WC!$C$6*Calc_COGS!AY28*12/365</f>
        <v>5450.8980612841578</v>
      </c>
      <c r="AZ9" s="22">
        <f>Assum_WC!$C$6*Calc_COGS!AZ28*12/365</f>
        <v>4955.361873894688</v>
      </c>
      <c r="BA9" s="22">
        <f>Assum_WC!$C$6*Calc_COGS!BA28*12/365</f>
        <v>4459.825686505219</v>
      </c>
      <c r="BB9" s="22">
        <f>Assum_WC!$C$6*Calc_COGS!BB28*12/365</f>
        <v>4212.0575928104854</v>
      </c>
      <c r="BC9" s="22">
        <f>Assum_WC!$C$6*Calc_COGS!BC28*12/365</f>
        <v>3964.28949911575</v>
      </c>
      <c r="BD9" s="22">
        <f>Assum_WC!$C$6*Calc_COGS!BD28*12/365</f>
        <v>3964.28949911575</v>
      </c>
      <c r="BE9" s="22">
        <f>Assum_WC!$C$6*Calc_COGS!BE28*12/365</f>
        <v>4212.0575928104854</v>
      </c>
      <c r="BF9" s="22">
        <f>Assum_WC!$C$6*Calc_COGS!BF28*12/365</f>
        <v>4707.5937801999526</v>
      </c>
      <c r="BG9" s="22">
        <f>Assum_WC!$C$6*Calc_COGS!BG28*12/365</f>
        <v>5203.1299675894215</v>
      </c>
      <c r="BH9" s="22">
        <f>Assum_WC!$C$6*Calc_COGS!BH28*12/365</f>
        <v>5698.6661549788896</v>
      </c>
      <c r="BI9" s="22">
        <f>Assum_WC!$C$6*Calc_COGS!BI28*12/365</f>
        <v>6937.5066234525621</v>
      </c>
      <c r="BJ9" s="22">
        <f>Assum_WC!$C$6*Calc_COGS!BJ28*12/365</f>
        <v>6074.7781212074988</v>
      </c>
      <c r="BK9" s="22">
        <f>Assum_WC!$C$6*Calc_COGS!BK28*12/365</f>
        <v>5810.6573333289116</v>
      </c>
      <c r="BL9" s="22">
        <f>Assum_WC!$C$6*Calc_COGS!BL28*12/365</f>
        <v>5282.4157575717372</v>
      </c>
      <c r="BM9" s="22">
        <f>Assum_WC!$C$6*Calc_COGS!BM28*12/365</f>
        <v>4754.1741818145629</v>
      </c>
      <c r="BN9" s="22">
        <f>Assum_WC!$C$6*Calc_COGS!BN28*12/365</f>
        <v>4490.0533939359757</v>
      </c>
      <c r="BO9" s="22">
        <f>Assum_WC!$C$6*Calc_COGS!BO28*12/365</f>
        <v>4225.9326060573885</v>
      </c>
      <c r="BP9" s="22">
        <f>Assum_WC!$C$6*Calc_COGS!BP28*12/365</f>
        <v>4225.9326060573885</v>
      </c>
      <c r="BQ9" s="22">
        <f>Assum_WC!$C$6*Calc_COGS!BQ28*12/365</f>
        <v>4490.0533939359757</v>
      </c>
      <c r="BR9" s="22">
        <f>Assum_WC!$C$6*Calc_COGS!BR28*12/365</f>
        <v>5018.2949696931491</v>
      </c>
      <c r="BS9" s="22">
        <f>Assum_WC!$C$6*Calc_COGS!BS28*12/365</f>
        <v>5546.5365454503235</v>
      </c>
      <c r="BT9" s="22">
        <f>Assum_WC!$C$6*Calc_COGS!BT28*12/365</f>
        <v>6074.7781212074988</v>
      </c>
      <c r="BU9" s="22">
        <f>Assum_WC!$C$6*Calc_COGS!BU28*12/365</f>
        <v>7395.3820606004292</v>
      </c>
      <c r="BV9" s="22">
        <f>Assum_WC!$C$6*Calc_COGS!BV28*12/365</f>
        <v>6475.7134772071895</v>
      </c>
      <c r="BW9" s="22">
        <f>Assum_WC!$C$6*Calc_COGS!BW28*12/365</f>
        <v>6194.1607173286202</v>
      </c>
      <c r="BX9" s="22">
        <f>Assum_WC!$C$6*Calc_COGS!BX28*12/365</f>
        <v>5631.0551975714698</v>
      </c>
      <c r="BY9" s="22">
        <f>Assum_WC!$C$6*Calc_COGS!BY28*12/365</f>
        <v>5067.949677814323</v>
      </c>
      <c r="BZ9" s="22">
        <f>Assum_WC!$C$6*Calc_COGS!BZ28*12/365</f>
        <v>4786.39691793575</v>
      </c>
      <c r="CA9" s="22">
        <f>Assum_WC!$C$6*Calc_COGS!CA28*12/365</f>
        <v>4504.8441580571771</v>
      </c>
      <c r="CB9" s="22">
        <f>Assum_WC!$C$6*Calc_COGS!CB28*12/365</f>
        <v>4504.8441580571771</v>
      </c>
      <c r="CC9" s="22">
        <f>Assum_WC!$C$6*Calc_COGS!CC28*12/365</f>
        <v>4786.39691793575</v>
      </c>
      <c r="CD9" s="22">
        <f>Assum_WC!$C$6*Calc_COGS!CD28*12/365</f>
        <v>5349.5024376928968</v>
      </c>
      <c r="CE9" s="22">
        <f>Assum_WC!$C$6*Calc_COGS!CE28*12/365</f>
        <v>5912.6079574500436</v>
      </c>
      <c r="CF9" s="22">
        <f>Assum_WC!$C$6*Calc_COGS!CF28*12/365</f>
        <v>6475.7134772071895</v>
      </c>
      <c r="CG9" s="22">
        <f>Assum_WC!$C$6*Calc_COGS!CG28*12/365</f>
        <v>7883.4772766000578</v>
      </c>
      <c r="CH9" s="22">
        <f>Assum_WC!$C$6*Calc_COGS!CH28*12/365</f>
        <v>6903.1105667028623</v>
      </c>
      <c r="CI9" s="22">
        <f>Assum_WC!$C$6*Calc_COGS!CI28*12/365</f>
        <v>6602.9753246723076</v>
      </c>
      <c r="CJ9" s="22">
        <f>Assum_WC!$C$6*Calc_COGS!CJ28*12/365</f>
        <v>6002.7048406111871</v>
      </c>
      <c r="CK9" s="22">
        <f>Assum_WC!$C$6*Calc_COGS!CK28*12/365</f>
        <v>5402.4343565500685</v>
      </c>
      <c r="CL9" s="22">
        <f>Assum_WC!$C$6*Calc_COGS!CL28*12/365</f>
        <v>5102.2991145195092</v>
      </c>
      <c r="CM9" s="22">
        <f>Assum_WC!$C$6*Calc_COGS!CM28*12/365</f>
        <v>4802.1638724889508</v>
      </c>
      <c r="CN9" s="22">
        <f>Assum_WC!$C$6*Calc_COGS!CN28*12/365</f>
        <v>4802.1638724889508</v>
      </c>
      <c r="CO9" s="22">
        <f>Assum_WC!$C$6*Calc_COGS!CO28*12/365</f>
        <v>5102.2991145195092</v>
      </c>
      <c r="CP9" s="22">
        <f>Assum_WC!$C$6*Calc_COGS!CP28*12/365</f>
        <v>5702.569598580626</v>
      </c>
      <c r="CQ9" s="22">
        <f>Assum_WC!$C$6*Calc_COGS!CQ28*12/365</f>
        <v>6302.8400826417446</v>
      </c>
      <c r="CR9" s="22">
        <f>Assum_WC!$C$6*Calc_COGS!CR28*12/365</f>
        <v>6903.1105667028623</v>
      </c>
      <c r="CS9" s="22">
        <f>Assum_WC!$C$6*Calc_COGS!CS28*12/365</f>
        <v>8403.7867768556589</v>
      </c>
      <c r="CT9" s="22">
        <f>Assum_WC!$C$6*Calc_COGS!CT28*12/365</f>
        <v>7358.715864105252</v>
      </c>
      <c r="CU9" s="22">
        <f>Assum_WC!$C$6*Calc_COGS!CU28*12/365</f>
        <v>7038.7716961006772</v>
      </c>
      <c r="CV9" s="22">
        <f>Assum_WC!$C$6*Calc_COGS!CV28*12/365</f>
        <v>6398.883360091525</v>
      </c>
      <c r="CW9" s="22">
        <f>Assum_WC!$C$6*Calc_COGS!CW28*12/365</f>
        <v>5758.9950240823719</v>
      </c>
      <c r="CX9" s="22">
        <f>Assum_WC!$C$6*Calc_COGS!CX28*12/365</f>
        <v>5439.0508560777953</v>
      </c>
      <c r="CY9" s="22">
        <f>Assum_WC!$C$6*Calc_COGS!CY28*12/365</f>
        <v>5119.1066880732205</v>
      </c>
      <c r="CZ9" s="22">
        <f>Assum_WC!$C$6*Calc_COGS!CZ28*12/365</f>
        <v>5119.1066880732205</v>
      </c>
      <c r="DA9" s="22">
        <f>Assum_WC!$C$6*Calc_COGS!DA28*12/365</f>
        <v>5439.0508560777953</v>
      </c>
      <c r="DB9" s="22">
        <f>Assum_WC!$C$6*Calc_COGS!DB28*12/365</f>
        <v>6078.9391920869484</v>
      </c>
      <c r="DC9" s="22">
        <f>Assum_WC!$C$6*Calc_COGS!DC28*12/365</f>
        <v>6718.8275280961016</v>
      </c>
      <c r="DD9" s="22">
        <f>Assum_WC!$C$6*Calc_COGS!DD28*12/365</f>
        <v>7358.715864105252</v>
      </c>
      <c r="DE9" s="22">
        <f>Assum_WC!$C$6*Calc_COGS!DE28*12/365</f>
        <v>8958.4367041281348</v>
      </c>
      <c r="DF9" s="22">
        <f>Assum_WC!$C$6*Calc_COGS!DF28*12/365</f>
        <v>7844.3911111361986</v>
      </c>
      <c r="DG9" s="22">
        <f>Assum_WC!$C$6*Calc_COGS!DG28*12/365</f>
        <v>7503.3306280433217</v>
      </c>
      <c r="DH9" s="22">
        <f>Assum_WC!$C$6*Calc_COGS!DH28*12/365</f>
        <v>6821.2096618575642</v>
      </c>
      <c r="DI9" s="22">
        <f>Assum_WC!$C$6*Calc_COGS!DI28*12/365</f>
        <v>6139.0886956718086</v>
      </c>
      <c r="DJ9" s="22">
        <f>Assum_WC!$C$6*Calc_COGS!DJ28*12/365</f>
        <v>5798.0282125789299</v>
      </c>
      <c r="DK9" s="22">
        <f>Assum_WC!$C$6*Calc_COGS!DK28*12/365</f>
        <v>5456.9677294860521</v>
      </c>
      <c r="DL9" s="22">
        <f>Assum_WC!$C$6*Calc_COGS!DL28*12/365</f>
        <v>5456.9677294860521</v>
      </c>
      <c r="DM9" s="22">
        <f>Assum_WC!$C$6*Calc_COGS!DM28*12/365</f>
        <v>5798.0282125789299</v>
      </c>
      <c r="DN9" s="22">
        <f>Assum_WC!$C$6*Calc_COGS!DN28*12/365</f>
        <v>6480.1491787646873</v>
      </c>
      <c r="DO9" s="22">
        <f>Assum_WC!$C$6*Calc_COGS!DO28*12/365</f>
        <v>7162.270144950443</v>
      </c>
      <c r="DP9" s="22">
        <f>Assum_WC!$C$6*Calc_COGS!DP28*12/365</f>
        <v>7844.3911111361986</v>
      </c>
      <c r="DQ9" s="22">
        <f>Assum_WC!$C$6*Calc_COGS!DQ28*12/365</f>
        <v>9549.6935266005912</v>
      </c>
    </row>
    <row r="10" spans="1:121" ht="15" customHeight="1">
      <c r="A10" s="14" t="s">
        <v>483</v>
      </c>
      <c r="B10" s="29">
        <f t="shared" ref="B10:AG10" si="0">SUM(B7:B9)</f>
        <v>12193.056164383557</v>
      </c>
      <c r="C10" s="29">
        <f t="shared" si="0"/>
        <v>11662.923287671236</v>
      </c>
      <c r="D10" s="29">
        <f t="shared" si="0"/>
        <v>10602.657534246579</v>
      </c>
      <c r="E10" s="29">
        <f t="shared" si="0"/>
        <v>9542.3917808219194</v>
      </c>
      <c r="F10" s="29">
        <f t="shared" si="0"/>
        <v>9012.2589041095907</v>
      </c>
      <c r="G10" s="29">
        <f t="shared" si="0"/>
        <v>8482.1260273972621</v>
      </c>
      <c r="H10" s="29">
        <f t="shared" si="0"/>
        <v>8482.1260273972621</v>
      </c>
      <c r="I10" s="29">
        <f t="shared" si="0"/>
        <v>9012.2589041095907</v>
      </c>
      <c r="J10" s="29">
        <f t="shared" si="0"/>
        <v>10072.524657534243</v>
      </c>
      <c r="K10" s="29">
        <f t="shared" si="0"/>
        <v>11132.790410958904</v>
      </c>
      <c r="L10" s="29">
        <f t="shared" si="0"/>
        <v>12193.056164383557</v>
      </c>
      <c r="M10" s="29">
        <f t="shared" si="0"/>
        <v>14843.720547945202</v>
      </c>
      <c r="N10" s="29">
        <f t="shared" si="0"/>
        <v>13497.713173972603</v>
      </c>
      <c r="O10" s="29">
        <f t="shared" si="0"/>
        <v>12910.856079452058</v>
      </c>
      <c r="P10" s="29">
        <f t="shared" si="0"/>
        <v>11737.141890410958</v>
      </c>
      <c r="Q10" s="29">
        <f t="shared" si="0"/>
        <v>10563.427701369861</v>
      </c>
      <c r="R10" s="29">
        <f t="shared" si="0"/>
        <v>9976.5706068493128</v>
      </c>
      <c r="S10" s="29">
        <f t="shared" si="0"/>
        <v>9389.7135123287699</v>
      </c>
      <c r="T10" s="29">
        <f t="shared" si="0"/>
        <v>9389.7135123287699</v>
      </c>
      <c r="U10" s="29">
        <f t="shared" si="0"/>
        <v>9976.5706068493128</v>
      </c>
      <c r="V10" s="29">
        <f t="shared" si="0"/>
        <v>11150.284795890409</v>
      </c>
      <c r="W10" s="29">
        <f t="shared" si="0"/>
        <v>12323.998984931504</v>
      </c>
      <c r="X10" s="29">
        <f t="shared" si="0"/>
        <v>13497.713173972603</v>
      </c>
      <c r="Y10" s="29">
        <f t="shared" si="0"/>
        <v>16431.998646575339</v>
      </c>
      <c r="Z10" s="29">
        <f t="shared" si="0"/>
        <v>14941.968483587669</v>
      </c>
      <c r="AA10" s="29">
        <f t="shared" si="0"/>
        <v>14292.31767995343</v>
      </c>
      <c r="AB10" s="29">
        <f t="shared" si="0"/>
        <v>12993.016072684932</v>
      </c>
      <c r="AC10" s="29">
        <f t="shared" si="0"/>
        <v>11693.714465416439</v>
      </c>
      <c r="AD10" s="29">
        <f t="shared" si="0"/>
        <v>11044.063661782193</v>
      </c>
      <c r="AE10" s="29">
        <f t="shared" si="0"/>
        <v>10394.412858147947</v>
      </c>
      <c r="AF10" s="29">
        <f t="shared" si="0"/>
        <v>10394.412858147947</v>
      </c>
      <c r="AG10" s="29">
        <f t="shared" si="0"/>
        <v>11044.063661782193</v>
      </c>
      <c r="AH10" s="29">
        <f t="shared" ref="AH10:BM10" si="1">SUM(AH7:AH9)</f>
        <v>12343.365269050682</v>
      </c>
      <c r="AI10" s="29">
        <f t="shared" si="1"/>
        <v>13642.666876319181</v>
      </c>
      <c r="AJ10" s="29">
        <f t="shared" si="1"/>
        <v>14941.968483587669</v>
      </c>
      <c r="AK10" s="29">
        <f t="shared" si="1"/>
        <v>18190.222501758904</v>
      </c>
      <c r="AL10" s="29">
        <f t="shared" si="1"/>
        <v>16234.448757418008</v>
      </c>
      <c r="AM10" s="29">
        <f t="shared" si="1"/>
        <v>15528.603159269398</v>
      </c>
      <c r="AN10" s="29">
        <f t="shared" si="1"/>
        <v>14116.911962972179</v>
      </c>
      <c r="AO10" s="29">
        <f t="shared" si="1"/>
        <v>12705.22076667496</v>
      </c>
      <c r="AP10" s="29">
        <f t="shared" si="1"/>
        <v>11999.375168526351</v>
      </c>
      <c r="AQ10" s="29">
        <f t="shared" si="1"/>
        <v>11293.529570377743</v>
      </c>
      <c r="AR10" s="29">
        <f t="shared" si="1"/>
        <v>11293.529570377743</v>
      </c>
      <c r="AS10" s="29">
        <f t="shared" si="1"/>
        <v>11999.375168526351</v>
      </c>
      <c r="AT10" s="29">
        <f t="shared" si="1"/>
        <v>13411.066364823571</v>
      </c>
      <c r="AU10" s="29">
        <f t="shared" si="1"/>
        <v>14822.757561120792</v>
      </c>
      <c r="AV10" s="29">
        <f t="shared" si="1"/>
        <v>16234.448757418008</v>
      </c>
      <c r="AW10" s="29">
        <f t="shared" si="1"/>
        <v>19763.676748161051</v>
      </c>
      <c r="AX10" s="29">
        <f t="shared" si="1"/>
        <v>17638.728574934659</v>
      </c>
      <c r="AY10" s="29">
        <f t="shared" si="1"/>
        <v>16871.827332546203</v>
      </c>
      <c r="AZ10" s="29">
        <f t="shared" si="1"/>
        <v>15338.024847769273</v>
      </c>
      <c r="BA10" s="29">
        <f t="shared" si="1"/>
        <v>13804.222362992345</v>
      </c>
      <c r="BB10" s="29">
        <f t="shared" si="1"/>
        <v>13037.32112060388</v>
      </c>
      <c r="BC10" s="29">
        <f t="shared" si="1"/>
        <v>12270.419878215416</v>
      </c>
      <c r="BD10" s="29">
        <f t="shared" si="1"/>
        <v>12270.419878215416</v>
      </c>
      <c r="BE10" s="29">
        <f t="shared" si="1"/>
        <v>13037.32112060388</v>
      </c>
      <c r="BF10" s="29">
        <f t="shared" si="1"/>
        <v>14571.123605380806</v>
      </c>
      <c r="BG10" s="29">
        <f t="shared" si="1"/>
        <v>16104.926090157736</v>
      </c>
      <c r="BH10" s="29">
        <f t="shared" si="1"/>
        <v>17638.728574934659</v>
      </c>
      <c r="BI10" s="29">
        <f t="shared" si="1"/>
        <v>21473.234786876979</v>
      </c>
      <c r="BJ10" s="29">
        <f t="shared" si="1"/>
        <v>18802.884660880351</v>
      </c>
      <c r="BK10" s="29">
        <f t="shared" si="1"/>
        <v>17985.367936494251</v>
      </c>
      <c r="BL10" s="29">
        <f t="shared" si="1"/>
        <v>16350.334487722044</v>
      </c>
      <c r="BM10" s="29">
        <f t="shared" si="1"/>
        <v>14715.301038949838</v>
      </c>
      <c r="BN10" s="29">
        <f t="shared" ref="BN10:CS10" si="2">SUM(BN7:BN9)</f>
        <v>13897.784314563736</v>
      </c>
      <c r="BO10" s="29">
        <f t="shared" si="2"/>
        <v>13080.267590177635</v>
      </c>
      <c r="BP10" s="29">
        <f t="shared" si="2"/>
        <v>13080.267590177635</v>
      </c>
      <c r="BQ10" s="29">
        <f t="shared" si="2"/>
        <v>13897.784314563736</v>
      </c>
      <c r="BR10" s="29">
        <f t="shared" si="2"/>
        <v>15532.817763335937</v>
      </c>
      <c r="BS10" s="29">
        <f t="shared" si="2"/>
        <v>17167.85121210814</v>
      </c>
      <c r="BT10" s="29">
        <f t="shared" si="2"/>
        <v>18802.884660880351</v>
      </c>
      <c r="BU10" s="29">
        <f t="shared" si="2"/>
        <v>22890.468282810856</v>
      </c>
      <c r="BV10" s="29">
        <f t="shared" si="2"/>
        <v>20043.875048498448</v>
      </c>
      <c r="BW10" s="29">
        <f t="shared" si="2"/>
        <v>19172.402220302873</v>
      </c>
      <c r="BX10" s="29">
        <f t="shared" si="2"/>
        <v>17429.456563911692</v>
      </c>
      <c r="BY10" s="29">
        <f t="shared" si="2"/>
        <v>15686.510907520526</v>
      </c>
      <c r="BZ10" s="29">
        <f t="shared" si="2"/>
        <v>14815.038079324941</v>
      </c>
      <c r="CA10" s="29">
        <f t="shared" si="2"/>
        <v>13943.565251129359</v>
      </c>
      <c r="CB10" s="29">
        <f t="shared" si="2"/>
        <v>13943.565251129359</v>
      </c>
      <c r="CC10" s="29">
        <f t="shared" si="2"/>
        <v>14815.038079324941</v>
      </c>
      <c r="CD10" s="29">
        <f t="shared" si="2"/>
        <v>16557.983735716109</v>
      </c>
      <c r="CE10" s="29">
        <f t="shared" si="2"/>
        <v>18300.929392107279</v>
      </c>
      <c r="CF10" s="29">
        <f t="shared" si="2"/>
        <v>20043.875048498448</v>
      </c>
      <c r="CG10" s="29">
        <f t="shared" si="2"/>
        <v>24401.239189476368</v>
      </c>
      <c r="CH10" s="29">
        <f t="shared" si="2"/>
        <v>21366.770801699335</v>
      </c>
      <c r="CI10" s="29">
        <f t="shared" si="2"/>
        <v>20437.780766842854</v>
      </c>
      <c r="CJ10" s="29">
        <f t="shared" si="2"/>
        <v>18579.800697129864</v>
      </c>
      <c r="CK10" s="29">
        <f t="shared" si="2"/>
        <v>16721.820627416881</v>
      </c>
      <c r="CL10" s="29">
        <f t="shared" si="2"/>
        <v>15792.830592560385</v>
      </c>
      <c r="CM10" s="29">
        <f t="shared" si="2"/>
        <v>14863.840557703894</v>
      </c>
      <c r="CN10" s="29">
        <f t="shared" si="2"/>
        <v>14863.840557703894</v>
      </c>
      <c r="CO10" s="29">
        <f t="shared" si="2"/>
        <v>15792.830592560385</v>
      </c>
      <c r="CP10" s="29">
        <f t="shared" si="2"/>
        <v>17650.810662273369</v>
      </c>
      <c r="CQ10" s="29">
        <f t="shared" si="2"/>
        <v>19508.790731986352</v>
      </c>
      <c r="CR10" s="29">
        <f t="shared" si="2"/>
        <v>21366.770801699335</v>
      </c>
      <c r="CS10" s="29">
        <f t="shared" si="2"/>
        <v>26011.7209759818</v>
      </c>
      <c r="CT10" s="29">
        <f t="shared" ref="CT10:DY10" si="3">SUM(CT7:CT9)</f>
        <v>22776.977674611495</v>
      </c>
      <c r="CU10" s="29">
        <f t="shared" si="3"/>
        <v>21786.67429745448</v>
      </c>
      <c r="CV10" s="29">
        <f t="shared" si="3"/>
        <v>19806.067543140434</v>
      </c>
      <c r="CW10" s="29">
        <f t="shared" si="3"/>
        <v>17825.460788826389</v>
      </c>
      <c r="CX10" s="29">
        <f t="shared" si="3"/>
        <v>16835.157411669366</v>
      </c>
      <c r="CY10" s="29">
        <f t="shared" si="3"/>
        <v>15844.854034512347</v>
      </c>
      <c r="CZ10" s="29">
        <f t="shared" si="3"/>
        <v>15844.854034512347</v>
      </c>
      <c r="DA10" s="29">
        <f t="shared" si="3"/>
        <v>16835.157411669366</v>
      </c>
      <c r="DB10" s="29">
        <f t="shared" si="3"/>
        <v>18815.764165983412</v>
      </c>
      <c r="DC10" s="29">
        <f t="shared" si="3"/>
        <v>20796.370920297457</v>
      </c>
      <c r="DD10" s="29">
        <f t="shared" si="3"/>
        <v>22776.977674611495</v>
      </c>
      <c r="DE10" s="29">
        <f t="shared" si="3"/>
        <v>27728.494560396604</v>
      </c>
      <c r="DF10" s="29">
        <f t="shared" si="3"/>
        <v>24280.258201135857</v>
      </c>
      <c r="DG10" s="29">
        <f t="shared" si="3"/>
        <v>23224.59480108647</v>
      </c>
      <c r="DH10" s="29">
        <f t="shared" si="3"/>
        <v>21113.268000987697</v>
      </c>
      <c r="DI10" s="29">
        <f t="shared" si="3"/>
        <v>19001.94120088893</v>
      </c>
      <c r="DJ10" s="29">
        <f t="shared" si="3"/>
        <v>17946.277800839543</v>
      </c>
      <c r="DK10" s="29">
        <f t="shared" si="3"/>
        <v>16890.61440079016</v>
      </c>
      <c r="DL10" s="29">
        <f t="shared" si="3"/>
        <v>16890.61440079016</v>
      </c>
      <c r="DM10" s="29">
        <f t="shared" si="3"/>
        <v>17946.277800839543</v>
      </c>
      <c r="DN10" s="29">
        <f t="shared" si="3"/>
        <v>20057.604600938321</v>
      </c>
      <c r="DO10" s="29">
        <f t="shared" si="3"/>
        <v>22168.931401037087</v>
      </c>
      <c r="DP10" s="29">
        <f t="shared" si="3"/>
        <v>24280.258201135857</v>
      </c>
      <c r="DQ10" s="29">
        <f t="shared" si="3"/>
        <v>29558.575201382781</v>
      </c>
    </row>
    <row r="12" spans="1:121" ht="15" customHeight="1">
      <c r="A12" s="5" t="s">
        <v>484</v>
      </c>
    </row>
    <row r="13" spans="1:121" ht="15" customHeight="1">
      <c r="A13" s="14" t="s">
        <v>485</v>
      </c>
      <c r="B13" s="29">
        <f>Assum_WC!$C$13*Calc_Revenue!B25*12/365</f>
        <v>33251.005139178102</v>
      </c>
      <c r="C13" s="29">
        <f>Assum_WC!$C$13*Calc_Revenue!C25*12/365</f>
        <v>31805.309263561656</v>
      </c>
      <c r="D13" s="29">
        <f>Assum_WC!$C$13*Calc_Revenue!D25*12/365</f>
        <v>28913.917512328771</v>
      </c>
      <c r="E13" s="29">
        <f>Assum_WC!$C$13*Calc_Revenue!E25*12/365</f>
        <v>26022.525761095887</v>
      </c>
      <c r="F13" s="29">
        <f>Assum_WC!$C$13*Calc_Revenue!F25*12/365</f>
        <v>24576.829885479459</v>
      </c>
      <c r="G13" s="29">
        <f>Assum_WC!$C$13*Calc_Revenue!G25*12/365</f>
        <v>23131.134009863024</v>
      </c>
      <c r="H13" s="29">
        <f>Assum_WC!$C$13*Calc_Revenue!H25*12/365</f>
        <v>23131.134009863024</v>
      </c>
      <c r="I13" s="29">
        <f>Assum_WC!$C$13*Calc_Revenue!I25*12/365</f>
        <v>24576.829885479459</v>
      </c>
      <c r="J13" s="29">
        <f>Assum_WC!$C$13*Calc_Revenue!J25*12/365</f>
        <v>27468.221636712336</v>
      </c>
      <c r="K13" s="29">
        <f>Assum_WC!$C$13*Calc_Revenue!K25*12/365</f>
        <v>30359.613387945214</v>
      </c>
      <c r="L13" s="29">
        <f>Assum_WC!$C$13*Calc_Revenue!L25*12/365</f>
        <v>33251.005139178102</v>
      </c>
      <c r="M13" s="29">
        <f>Assum_WC!$C$13*Calc_Revenue!M25*12/365</f>
        <v>40479.484517260273</v>
      </c>
      <c r="N13" s="29">
        <f>Assum_WC!$C$13*Calc_Revenue!N25*12/365</f>
        <v>37526.502245191645</v>
      </c>
      <c r="O13" s="29">
        <f>Assum_WC!$C$13*Calc_Revenue!O25*12/365</f>
        <v>35894.915191052882</v>
      </c>
      <c r="P13" s="29">
        <f>Assum_WC!$C$13*Calc_Revenue!P25*12/365</f>
        <v>32631.741082775337</v>
      </c>
      <c r="Q13" s="29">
        <f>Assum_WC!$C$13*Calc_Revenue!Q25*12/365</f>
        <v>29368.566974497811</v>
      </c>
      <c r="R13" s="29">
        <f>Assum_WC!$C$13*Calc_Revenue!R25*12/365</f>
        <v>27736.979920359037</v>
      </c>
      <c r="S13" s="29">
        <f>Assum_WC!$C$13*Calc_Revenue!S25*12/365</f>
        <v>26105.392866220274</v>
      </c>
      <c r="T13" s="29">
        <f>Assum_WC!$C$13*Calc_Revenue!T25*12/365</f>
        <v>26105.392866220274</v>
      </c>
      <c r="U13" s="29">
        <f>Assum_WC!$C$13*Calc_Revenue!U25*12/365</f>
        <v>27736.979920359037</v>
      </c>
      <c r="V13" s="29">
        <f>Assum_WC!$C$13*Calc_Revenue!V25*12/365</f>
        <v>31000.154028636563</v>
      </c>
      <c r="W13" s="29">
        <f>Assum_WC!$C$13*Calc_Revenue!W25*12/365</f>
        <v>34263.328136914119</v>
      </c>
      <c r="X13" s="29">
        <f>Assum_WC!$C$13*Calc_Revenue!X25*12/365</f>
        <v>37526.502245191645</v>
      </c>
      <c r="Y13" s="29">
        <f>Assum_WC!$C$13*Calc_Revenue!Y25*12/365</f>
        <v>45684.437515885475</v>
      </c>
      <c r="Z13" s="29">
        <f>Assum_WC!$C$13*Calc_Revenue!Z25*12/365</f>
        <v>42316.888706038386</v>
      </c>
      <c r="AA13" s="29">
        <f>Assum_WC!$C$13*Calc_Revenue!AA25*12/365</f>
        <v>40477.023979688893</v>
      </c>
      <c r="AB13" s="29">
        <f>Assum_WC!$C$13*Calc_Revenue!AB25*12/365</f>
        <v>36797.294526989899</v>
      </c>
      <c r="AC13" s="29">
        <f>Assum_WC!$C$13*Calc_Revenue!AC25*12/365</f>
        <v>33117.565074290898</v>
      </c>
      <c r="AD13" s="29">
        <f>Assum_WC!$C$13*Calc_Revenue!AD25*12/365</f>
        <v>31277.700347941423</v>
      </c>
      <c r="AE13" s="29">
        <f>Assum_WC!$C$13*Calc_Revenue!AE25*12/365</f>
        <v>29437.835621591912</v>
      </c>
      <c r="AF13" s="29">
        <f>Assum_WC!$C$13*Calc_Revenue!AF25*12/365</f>
        <v>29437.835621591912</v>
      </c>
      <c r="AG13" s="29">
        <f>Assum_WC!$C$13*Calc_Revenue!AG25*12/365</f>
        <v>31277.700347941423</v>
      </c>
      <c r="AH13" s="29">
        <f>Assum_WC!$C$13*Calc_Revenue!AH25*12/365</f>
        <v>34957.429800640399</v>
      </c>
      <c r="AI13" s="29">
        <f>Assum_WC!$C$13*Calc_Revenue!AI25*12/365</f>
        <v>38637.159253339385</v>
      </c>
      <c r="AJ13" s="29">
        <f>Assum_WC!$C$13*Calc_Revenue!AJ25*12/365</f>
        <v>42316.888706038386</v>
      </c>
      <c r="AK13" s="29">
        <f>Assum_WC!$C$13*Calc_Revenue!AK25*12/365</f>
        <v>51516.212337785844</v>
      </c>
      <c r="AL13" s="29">
        <f>Assum_WC!$C$13*Calc_Revenue!AL25*12/365</f>
        <v>46798.853342958588</v>
      </c>
      <c r="AM13" s="29">
        <f>Assum_WC!$C$13*Calc_Revenue!AM25*12/365</f>
        <v>44764.120588916936</v>
      </c>
      <c r="AN13" s="29">
        <f>Assum_WC!$C$13*Calc_Revenue!AN25*12/365</f>
        <v>40694.655080833574</v>
      </c>
      <c r="AO13" s="29">
        <f>Assum_WC!$C$13*Calc_Revenue!AO25*12/365</f>
        <v>36625.189572750198</v>
      </c>
      <c r="AP13" s="29">
        <f>Assum_WC!$C$13*Calc_Revenue!AP25*12/365</f>
        <v>34590.456818708532</v>
      </c>
      <c r="AQ13" s="29">
        <f>Assum_WC!$C$13*Calc_Revenue!AQ25*12/365</f>
        <v>32555.724064666851</v>
      </c>
      <c r="AR13" s="29">
        <f>Assum_WC!$C$13*Calc_Revenue!AR25*12/365</f>
        <v>32555.724064666851</v>
      </c>
      <c r="AS13" s="29">
        <f>Assum_WC!$C$13*Calc_Revenue!AS25*12/365</f>
        <v>34590.456818708532</v>
      </c>
      <c r="AT13" s="29">
        <f>Assum_WC!$C$13*Calc_Revenue!AT25*12/365</f>
        <v>38659.922326791879</v>
      </c>
      <c r="AU13" s="29">
        <f>Assum_WC!$C$13*Calc_Revenue!AU25*12/365</f>
        <v>42729.387834875255</v>
      </c>
      <c r="AV13" s="29">
        <f>Assum_WC!$C$13*Calc_Revenue!AV25*12/365</f>
        <v>46798.853342958588</v>
      </c>
      <c r="AW13" s="29">
        <f>Assum_WC!$C$13*Calc_Revenue!AW25*12/365</f>
        <v>56972.517113166985</v>
      </c>
      <c r="AX13" s="29">
        <f>Assum_WC!$C$13*Calc_Revenue!AX25*12/365</f>
        <v>51717.801146803293</v>
      </c>
      <c r="AY13" s="29">
        <f>Assum_WC!$C$13*Calc_Revenue!AY25*12/365</f>
        <v>49469.201096942284</v>
      </c>
      <c r="AZ13" s="29">
        <f>Assum_WC!$C$13*Calc_Revenue!AZ25*12/365</f>
        <v>44972.000997220246</v>
      </c>
      <c r="BA13" s="29">
        <f>Assum_WC!$C$13*Calc_Revenue!BA25*12/365</f>
        <v>40474.800897498222</v>
      </c>
      <c r="BB13" s="29">
        <f>Assum_WC!$C$13*Calc_Revenue!BB25*12/365</f>
        <v>38226.200847637214</v>
      </c>
      <c r="BC13" s="29">
        <f>Assum_WC!$C$13*Calc_Revenue!BC25*12/365</f>
        <v>35977.600797776206</v>
      </c>
      <c r="BD13" s="29">
        <f>Assum_WC!$C$13*Calc_Revenue!BD25*12/365</f>
        <v>35977.600797776206</v>
      </c>
      <c r="BE13" s="29">
        <f>Assum_WC!$C$13*Calc_Revenue!BE25*12/365</f>
        <v>38226.200847637214</v>
      </c>
      <c r="BF13" s="29">
        <f>Assum_WC!$C$13*Calc_Revenue!BF25*12/365</f>
        <v>42723.400947359238</v>
      </c>
      <c r="BG13" s="29">
        <f>Assum_WC!$C$13*Calc_Revenue!BG25*12/365</f>
        <v>47220.601047081269</v>
      </c>
      <c r="BH13" s="29">
        <f>Assum_WC!$C$13*Calc_Revenue!BH25*12/365</f>
        <v>51717.801146803293</v>
      </c>
      <c r="BI13" s="29">
        <f>Assum_WC!$C$13*Calc_Revenue!BI25*12/365</f>
        <v>62960.801396108349</v>
      </c>
      <c r="BJ13" s="29">
        <f>Assum_WC!$C$13*Calc_Revenue!BJ25*12/365</f>
        <v>56036.856891758202</v>
      </c>
      <c r="BK13" s="29">
        <f>Assum_WC!$C$13*Calc_Revenue!BK25*12/365</f>
        <v>53600.471809507893</v>
      </c>
      <c r="BL13" s="29">
        <f>Assum_WC!$C$13*Calc_Revenue!BL25*12/365</f>
        <v>48727.701645007161</v>
      </c>
      <c r="BM13" s="29">
        <f>Assum_WC!$C$13*Calc_Revenue!BM25*12/365</f>
        <v>43854.93148050642</v>
      </c>
      <c r="BN13" s="29">
        <f>Assum_WC!$C$13*Calc_Revenue!BN25*12/365</f>
        <v>41418.546398256083</v>
      </c>
      <c r="BO13" s="29">
        <f>Assum_WC!$C$13*Calc_Revenue!BO25*12/365</f>
        <v>38982.161316005739</v>
      </c>
      <c r="BP13" s="29">
        <f>Assum_WC!$C$13*Calc_Revenue!BP25*12/365</f>
        <v>38982.161316005739</v>
      </c>
      <c r="BQ13" s="29">
        <f>Assum_WC!$C$13*Calc_Revenue!BQ25*12/365</f>
        <v>41418.546398256083</v>
      </c>
      <c r="BR13" s="29">
        <f>Assum_WC!$C$13*Calc_Revenue!BR25*12/365</f>
        <v>46291.316562756772</v>
      </c>
      <c r="BS13" s="29">
        <f>Assum_WC!$C$13*Calc_Revenue!BS25*12/365</f>
        <v>51164.086727257505</v>
      </c>
      <c r="BT13" s="29">
        <f>Assum_WC!$C$13*Calc_Revenue!BT25*12/365</f>
        <v>56036.856891758202</v>
      </c>
      <c r="BU13" s="29">
        <f>Assum_WC!$C$13*Calc_Revenue!BU25*12/365</f>
        <v>68218.782303009983</v>
      </c>
      <c r="BV13" s="29">
        <f>Assum_WC!$C$13*Calc_Revenue!BV25*12/365</f>
        <v>60677.197550650817</v>
      </c>
      <c r="BW13" s="29">
        <f>Assum_WC!$C$13*Calc_Revenue!BW25*12/365</f>
        <v>58039.058526709479</v>
      </c>
      <c r="BX13" s="29">
        <f>Assum_WC!$C$13*Calc_Revenue!BX25*12/365</f>
        <v>52762.780478826811</v>
      </c>
      <c r="BY13" s="29">
        <f>Assum_WC!$C$13*Calc_Revenue!BY25*12/365</f>
        <v>47486.502430944114</v>
      </c>
      <c r="BZ13" s="29">
        <f>Assum_WC!$C$13*Calc_Revenue!BZ25*12/365</f>
        <v>44848.363407002777</v>
      </c>
      <c r="CA13" s="29">
        <f>Assum_WC!$C$13*Calc_Revenue!CA25*12/365</f>
        <v>42210.224383061446</v>
      </c>
      <c r="CB13" s="29">
        <f>Assum_WC!$C$13*Calc_Revenue!CB25*12/365</f>
        <v>42210.224383061446</v>
      </c>
      <c r="CC13" s="29">
        <f>Assum_WC!$C$13*Calc_Revenue!CC25*12/365</f>
        <v>44848.363407002777</v>
      </c>
      <c r="CD13" s="29">
        <f>Assum_WC!$C$13*Calc_Revenue!CD25*12/365</f>
        <v>50124.641454885459</v>
      </c>
      <c r="CE13" s="29">
        <f>Assum_WC!$C$13*Calc_Revenue!CE25*12/365</f>
        <v>55400.919502768134</v>
      </c>
      <c r="CF13" s="29">
        <f>Assum_WC!$C$13*Calc_Revenue!CF25*12/365</f>
        <v>60677.197550650817</v>
      </c>
      <c r="CG13" s="29">
        <f>Assum_WC!$C$13*Calc_Revenue!CG25*12/365</f>
        <v>73867.892670357513</v>
      </c>
      <c r="CH13" s="29">
        <f>Assum_WC!$C$13*Calc_Revenue!CH25*12/365</f>
        <v>65661.477017191777</v>
      </c>
      <c r="CI13" s="29">
        <f>Assum_WC!$C$13*Calc_Revenue!CI25*12/365</f>
        <v>62806.630190357362</v>
      </c>
      <c r="CJ13" s="29">
        <f>Assum_WC!$C$13*Calc_Revenue!CJ25*12/365</f>
        <v>57096.936536688489</v>
      </c>
      <c r="CK13" s="29">
        <f>Assum_WC!$C$13*Calc_Revenue!CK25*12/365</f>
        <v>51387.242883019673</v>
      </c>
      <c r="CL13" s="29">
        <f>Assum_WC!$C$13*Calc_Revenue!CL25*12/365</f>
        <v>48532.396056185244</v>
      </c>
      <c r="CM13" s="29">
        <f>Assum_WC!$C$13*Calc_Revenue!CM25*12/365</f>
        <v>45677.5492293508</v>
      </c>
      <c r="CN13" s="29">
        <f>Assum_WC!$C$13*Calc_Revenue!CN25*12/365</f>
        <v>45677.5492293508</v>
      </c>
      <c r="CO13" s="29">
        <f>Assum_WC!$C$13*Calc_Revenue!CO25*12/365</f>
        <v>48532.396056185244</v>
      </c>
      <c r="CP13" s="29">
        <f>Assum_WC!$C$13*Calc_Revenue!CP25*12/365</f>
        <v>54242.089709854074</v>
      </c>
      <c r="CQ13" s="29">
        <f>Assum_WC!$C$13*Calc_Revenue!CQ25*12/365</f>
        <v>59951.783363522918</v>
      </c>
      <c r="CR13" s="29">
        <f>Assum_WC!$C$13*Calc_Revenue!CR25*12/365</f>
        <v>65661.477017191777</v>
      </c>
      <c r="CS13" s="29">
        <f>Assum_WC!$C$13*Calc_Revenue!CS25*12/365</f>
        <v>79935.71115136391</v>
      </c>
      <c r="CT13" s="29">
        <f>Assum_WC!$C$13*Calc_Revenue!CT25*12/365</f>
        <v>71013.902305652373</v>
      </c>
      <c r="CU13" s="29">
        <f>Assum_WC!$C$13*Calc_Revenue!CU25*12/365</f>
        <v>67926.341335841411</v>
      </c>
      <c r="CV13" s="29">
        <f>Assum_WC!$C$13*Calc_Revenue!CV25*12/365</f>
        <v>61751.219396219451</v>
      </c>
      <c r="CW13" s="29">
        <f>Assum_WC!$C$13*Calc_Revenue!CW25*12/365</f>
        <v>55576.097456597519</v>
      </c>
      <c r="CX13" s="29">
        <f>Assum_WC!$C$13*Calc_Revenue!CX25*12/365</f>
        <v>52488.536486786543</v>
      </c>
      <c r="CY13" s="29">
        <f>Assum_WC!$C$13*Calc_Revenue!CY25*12/365</f>
        <v>49400.975516975559</v>
      </c>
      <c r="CZ13" s="29">
        <f>Assum_WC!$C$13*Calc_Revenue!CZ25*12/365</f>
        <v>49400.975516975559</v>
      </c>
      <c r="DA13" s="29">
        <f>Assum_WC!$C$13*Calc_Revenue!DA25*12/365</f>
        <v>52488.536486786543</v>
      </c>
      <c r="DB13" s="29">
        <f>Assum_WC!$C$13*Calc_Revenue!DB25*12/365</f>
        <v>58663.658426408467</v>
      </c>
      <c r="DC13" s="29">
        <f>Assum_WC!$C$13*Calc_Revenue!DC25*12/365</f>
        <v>64838.78036603042</v>
      </c>
      <c r="DD13" s="29">
        <f>Assum_WC!$C$13*Calc_Revenue!DD25*12/365</f>
        <v>71013.902305652373</v>
      </c>
      <c r="DE13" s="29">
        <f>Assum_WC!$C$13*Calc_Revenue!DE25*12/365</f>
        <v>86451.707154707226</v>
      </c>
      <c r="DF13" s="29">
        <f>Assum_WC!$C$13*Calc_Revenue!DF25*12/365</f>
        <v>76760.338375364372</v>
      </c>
      <c r="DG13" s="29">
        <f>Assum_WC!$C$13*Calc_Revenue!DG25*12/365</f>
        <v>73422.932359044207</v>
      </c>
      <c r="DH13" s="29">
        <f>Assum_WC!$C$13*Calc_Revenue!DH25*12/365</f>
        <v>66748.120326403819</v>
      </c>
      <c r="DI13" s="29">
        <f>Assum_WC!$C$13*Calc_Revenue!DI25*12/365</f>
        <v>60073.308293763454</v>
      </c>
      <c r="DJ13" s="29">
        <f>Assum_WC!$C$13*Calc_Revenue!DJ25*12/365</f>
        <v>56735.90227744326</v>
      </c>
      <c r="DK13" s="29">
        <f>Assum_WC!$C$13*Calc_Revenue!DK25*12/365</f>
        <v>53398.49626112308</v>
      </c>
      <c r="DL13" s="29">
        <f>Assum_WC!$C$13*Calc_Revenue!DL25*12/365</f>
        <v>53398.49626112308</v>
      </c>
      <c r="DM13" s="29">
        <f>Assum_WC!$C$13*Calc_Revenue!DM25*12/365</f>
        <v>56735.90227744326</v>
      </c>
      <c r="DN13" s="29">
        <f>Assum_WC!$C$13*Calc_Revenue!DN25*12/365</f>
        <v>63410.714310083662</v>
      </c>
      <c r="DO13" s="29">
        <f>Assum_WC!$C$13*Calc_Revenue!DO25*12/365</f>
        <v>70085.526342724013</v>
      </c>
      <c r="DP13" s="29">
        <f>Assum_WC!$C$13*Calc_Revenue!DP25*12/365</f>
        <v>76760.338375364372</v>
      </c>
      <c r="DQ13" s="29">
        <f>Assum_WC!$C$13*Calc_Revenue!DQ25*12/365</f>
        <v>93447.3684569654</v>
      </c>
    </row>
    <row r="15" spans="1:121" ht="15" customHeight="1">
      <c r="A15" s="5" t="s">
        <v>486</v>
      </c>
    </row>
    <row r="16" spans="1:121" ht="15" customHeight="1">
      <c r="A16" s="14" t="s">
        <v>487</v>
      </c>
      <c r="B16" s="29">
        <f>Assum_WC!$C$17*(Calc_COGS!B28+Calc_Opex!B21)*12/365</f>
        <v>19462.921684931509</v>
      </c>
      <c r="C16" s="29">
        <f>Assum_WC!$C$17*(Calc_COGS!C28+Calc_Opex!C21)*12/365</f>
        <v>18616.70769863014</v>
      </c>
      <c r="D16" s="29">
        <f>Assum_WC!$C$17*(Calc_COGS!D28+Calc_Opex!D21)*12/365</f>
        <v>16924.279726027398</v>
      </c>
      <c r="E16" s="29">
        <f>Assum_WC!$C$17*(Calc_COGS!E28+Calc_Opex!E21)*12/365</f>
        <v>15231.851753424657</v>
      </c>
      <c r="F16" s="29">
        <f>Assum_WC!$C$17*(Calc_COGS!F28+Calc_Opex!F21)*12/365</f>
        <v>14385.637767123288</v>
      </c>
      <c r="G16" s="29">
        <f>Assum_WC!$C$17*(Calc_COGS!G28+Calc_Opex!G21)*12/365</f>
        <v>13539.42378082192</v>
      </c>
      <c r="H16" s="29">
        <f>Assum_WC!$C$17*(Calc_COGS!H28+Calc_Opex!H21)*12/365</f>
        <v>13539.42378082192</v>
      </c>
      <c r="I16" s="29">
        <f>Assum_WC!$C$17*(Calc_COGS!I28+Calc_Opex!I21)*12/365</f>
        <v>14385.637767123288</v>
      </c>
      <c r="J16" s="29">
        <f>Assum_WC!$C$17*(Calc_COGS!J28+Calc_Opex!J21)*12/365</f>
        <v>16078.065739726026</v>
      </c>
      <c r="K16" s="29">
        <f>Assum_WC!$C$17*(Calc_COGS!K28+Calc_Opex!K21)*12/365</f>
        <v>17770.493712328767</v>
      </c>
      <c r="L16" s="29">
        <f>Assum_WC!$C$17*(Calc_COGS!L28+Calc_Opex!L21)*12/365</f>
        <v>19462.921684931509</v>
      </c>
      <c r="M16" s="29">
        <f>Assum_WC!$C$17*(Calc_COGS!M28+Calc_Opex!M21)*12/365</f>
        <v>23693.991616438354</v>
      </c>
      <c r="N16" s="29">
        <f>Assum_WC!$C$17*(Calc_COGS!N28+Calc_Opex!N21)*12/365</f>
        <v>21545.45430521918</v>
      </c>
      <c r="O16" s="29">
        <f>Assum_WC!$C$17*(Calc_COGS!O28+Calc_Opex!O21)*12/365</f>
        <v>20608.695422383564</v>
      </c>
      <c r="P16" s="29">
        <f>Assum_WC!$C$17*(Calc_COGS!P28+Calc_Opex!P21)*12/365</f>
        <v>18735.177656712323</v>
      </c>
      <c r="Q16" s="29">
        <f>Assum_WC!$C$17*(Calc_COGS!Q28+Calc_Opex!Q21)*12/365</f>
        <v>16861.659891041094</v>
      </c>
      <c r="R16" s="29">
        <f>Assum_WC!$C$17*(Calc_COGS!R28+Calc_Opex!R21)*12/365</f>
        <v>15924.901008205477</v>
      </c>
      <c r="S16" s="29">
        <f>Assum_WC!$C$17*(Calc_COGS!S28+Calc_Opex!S21)*12/365</f>
        <v>14988.142125369863</v>
      </c>
      <c r="T16" s="29">
        <f>Assum_WC!$C$17*(Calc_COGS!T28+Calc_Opex!T21)*12/365</f>
        <v>14988.142125369863</v>
      </c>
      <c r="U16" s="29">
        <f>Assum_WC!$C$17*(Calc_COGS!U28+Calc_Opex!U21)*12/365</f>
        <v>15924.901008205477</v>
      </c>
      <c r="V16" s="29">
        <f>Assum_WC!$C$17*(Calc_COGS!V28+Calc_Opex!V21)*12/365</f>
        <v>17798.418773876714</v>
      </c>
      <c r="W16" s="29">
        <f>Assum_WC!$C$17*(Calc_COGS!W28+Calc_Opex!W21)*12/365</f>
        <v>19671.936539547944</v>
      </c>
      <c r="X16" s="29">
        <f>Assum_WC!$C$17*(Calc_COGS!X28+Calc_Opex!X21)*12/365</f>
        <v>21545.45430521918</v>
      </c>
      <c r="Y16" s="29">
        <f>Assum_WC!$C$17*(Calc_COGS!Y28+Calc_Opex!Y21)*12/365</f>
        <v>26229.248719397252</v>
      </c>
      <c r="Z16" s="29">
        <f>Assum_WC!$C$17*(Calc_COGS!Z28+Calc_Opex!Z21)*12/365</f>
        <v>23850.817915877633</v>
      </c>
      <c r="AA16" s="29">
        <f>Assum_WC!$C$17*(Calc_COGS!AA28+Calc_Opex!AA21)*12/365</f>
        <v>22813.825832578612</v>
      </c>
      <c r="AB16" s="29">
        <f>Assum_WC!$C$17*(Calc_COGS!AB28+Calc_Opex!AB21)*12/365</f>
        <v>20739.841665980548</v>
      </c>
      <c r="AC16" s="29">
        <f>Assum_WC!$C$17*(Calc_COGS!AC28+Calc_Opex!AC21)*12/365</f>
        <v>18665.857499382491</v>
      </c>
      <c r="AD16" s="29">
        <f>Assum_WC!$C$17*(Calc_COGS!AD28+Calc_Opex!AD21)*12/365</f>
        <v>17628.86541608347</v>
      </c>
      <c r="AE16" s="29">
        <f>Assum_WC!$C$17*(Calc_COGS!AE28+Calc_Opex!AE21)*12/365</f>
        <v>16591.873332784442</v>
      </c>
      <c r="AF16" s="29">
        <f>Assum_WC!$C$17*(Calc_COGS!AF28+Calc_Opex!AF21)*12/365</f>
        <v>16591.873332784442</v>
      </c>
      <c r="AG16" s="29">
        <f>Assum_WC!$C$17*(Calc_COGS!AG28+Calc_Opex!AG21)*12/365</f>
        <v>17628.86541608347</v>
      </c>
      <c r="AH16" s="29">
        <f>Assum_WC!$C$17*(Calc_COGS!AH28+Calc_Opex!AH21)*12/365</f>
        <v>19702.84958268152</v>
      </c>
      <c r="AI16" s="29">
        <f>Assum_WC!$C$17*(Calc_COGS!AI28+Calc_Opex!AI21)*12/365</f>
        <v>21776.83374927958</v>
      </c>
      <c r="AJ16" s="29">
        <f>Assum_WC!$C$17*(Calc_COGS!AJ28+Calc_Opex!AJ21)*12/365</f>
        <v>23850.817915877633</v>
      </c>
      <c r="AK16" s="29">
        <f>Assum_WC!$C$17*(Calc_COGS!AK28+Calc_Opex!AK21)*12/365</f>
        <v>29035.778332372764</v>
      </c>
      <c r="AL16" s="29">
        <f>Assum_WC!$C$17*(Calc_COGS!AL28+Calc_Opex!AL21)*12/365</f>
        <v>25913.913665601045</v>
      </c>
      <c r="AM16" s="29">
        <f>Assum_WC!$C$17*(Calc_COGS!AM28+Calc_Opex!AM21)*12/365</f>
        <v>24787.22176709666</v>
      </c>
      <c r="AN16" s="29">
        <f>Assum_WC!$C$17*(Calc_COGS!AN28+Calc_Opex!AN21)*12/365</f>
        <v>22533.837970087865</v>
      </c>
      <c r="AO16" s="29">
        <f>Assum_WC!$C$17*(Calc_COGS!AO28+Calc_Opex!AO21)*12/365</f>
        <v>20280.454173079081</v>
      </c>
      <c r="AP16" s="29">
        <f>Assum_WC!$C$17*(Calc_COGS!AP28+Calc_Opex!AP21)*12/365</f>
        <v>19153.762274574688</v>
      </c>
      <c r="AQ16" s="29">
        <f>Assum_WC!$C$17*(Calc_COGS!AQ28+Calc_Opex!AQ21)*12/365</f>
        <v>18027.070376070293</v>
      </c>
      <c r="AR16" s="29">
        <f>Assum_WC!$C$17*(Calc_COGS!AR28+Calc_Opex!AR21)*12/365</f>
        <v>18027.070376070293</v>
      </c>
      <c r="AS16" s="29">
        <f>Assum_WC!$C$17*(Calc_COGS!AS28+Calc_Opex!AS21)*12/365</f>
        <v>19153.762274574688</v>
      </c>
      <c r="AT16" s="29">
        <f>Assum_WC!$C$17*(Calc_COGS!AT28+Calc_Opex!AT21)*12/365</f>
        <v>21407.146071583473</v>
      </c>
      <c r="AU16" s="29">
        <f>Assum_WC!$C$17*(Calc_COGS!AU28+Calc_Opex!AU21)*12/365</f>
        <v>23660.529868592261</v>
      </c>
      <c r="AV16" s="29">
        <f>Assum_WC!$C$17*(Calc_COGS!AV28+Calc_Opex!AV21)*12/365</f>
        <v>25913.913665601045</v>
      </c>
      <c r="AW16" s="29">
        <f>Assum_WC!$C$17*(Calc_COGS!AW28+Calc_Opex!AW21)*12/365</f>
        <v>31547.373158123006</v>
      </c>
      <c r="AX16" s="29">
        <f>Assum_WC!$C$17*(Calc_COGS!AX28+Calc_Opex!AX21)*12/365</f>
        <v>28155.467197675527</v>
      </c>
      <c r="AY16" s="29">
        <f>Assum_WC!$C$17*(Calc_COGS!AY28+Calc_Opex!AY21)*12/365</f>
        <v>26931.316449950518</v>
      </c>
      <c r="AZ16" s="29">
        <f>Assum_WC!$C$17*(Calc_COGS!AZ28+Calc_Opex!AZ21)*12/365</f>
        <v>24483.014954500468</v>
      </c>
      <c r="BA16" s="29">
        <f>Assum_WC!$C$17*(Calc_COGS!BA28+Calc_Opex!BA21)*12/365</f>
        <v>22034.713459050414</v>
      </c>
      <c r="BB16" s="29">
        <f>Assum_WC!$C$17*(Calc_COGS!BB28+Calc_Opex!BB21)*12/365</f>
        <v>20810.562711325398</v>
      </c>
      <c r="BC16" s="29">
        <f>Assum_WC!$C$17*(Calc_COGS!BC28+Calc_Opex!BC21)*12/365</f>
        <v>19586.411963600374</v>
      </c>
      <c r="BD16" s="29">
        <f>Assum_WC!$C$17*(Calc_COGS!BD28+Calc_Opex!BD21)*12/365</f>
        <v>19586.411963600374</v>
      </c>
      <c r="BE16" s="29">
        <f>Assum_WC!$C$17*(Calc_COGS!BE28+Calc_Opex!BE21)*12/365</f>
        <v>20810.562711325398</v>
      </c>
      <c r="BF16" s="29">
        <f>Assum_WC!$C$17*(Calc_COGS!BF28+Calc_Opex!BF21)*12/365</f>
        <v>23258.864206775441</v>
      </c>
      <c r="BG16" s="29">
        <f>Assum_WC!$C$17*(Calc_COGS!BG28+Calc_Opex!BG21)*12/365</f>
        <v>25707.165702225488</v>
      </c>
      <c r="BH16" s="29">
        <f>Assum_WC!$C$17*(Calc_COGS!BH28+Calc_Opex!BH21)*12/365</f>
        <v>28155.467197675527</v>
      </c>
      <c r="BI16" s="29">
        <f>Assum_WC!$C$17*(Calc_COGS!BI28+Calc_Opex!BI21)*12/365</f>
        <v>34276.220936300648</v>
      </c>
      <c r="BJ16" s="29">
        <f>Assum_WC!$C$17*(Calc_COGS!BJ28+Calc_Opex!BJ21)*12/365</f>
        <v>30013.72803272212</v>
      </c>
      <c r="BK16" s="29">
        <f>Assum_WC!$C$17*(Calc_COGS!BK28+Calc_Opex!BK21)*12/365</f>
        <v>28708.783335647251</v>
      </c>
      <c r="BL16" s="29">
        <f>Assum_WC!$C$17*(Calc_COGS!BL28+Calc_Opex!BL21)*12/365</f>
        <v>26098.893941497496</v>
      </c>
      <c r="BM16" s="29">
        <f>Assum_WC!$C$17*(Calc_COGS!BM28+Calc_Opex!BM21)*12/365</f>
        <v>23489.004547347748</v>
      </c>
      <c r="BN16" s="29">
        <f>Assum_WC!$C$17*(Calc_COGS!BN28+Calc_Opex!BN21)*12/365</f>
        <v>22184.059850272868</v>
      </c>
      <c r="BO16" s="29">
        <f>Assum_WC!$C$17*(Calc_COGS!BO28+Calc_Opex!BO21)*12/365</f>
        <v>20879.115153197999</v>
      </c>
      <c r="BP16" s="29">
        <f>Assum_WC!$C$17*(Calc_COGS!BP28+Calc_Opex!BP21)*12/365</f>
        <v>20879.115153197999</v>
      </c>
      <c r="BQ16" s="29">
        <f>Assum_WC!$C$17*(Calc_COGS!BQ28+Calc_Opex!BQ21)*12/365</f>
        <v>22184.059850272868</v>
      </c>
      <c r="BR16" s="29">
        <f>Assum_WC!$C$17*(Calc_COGS!BR28+Calc_Opex!BR21)*12/365</f>
        <v>24793.94924442262</v>
      </c>
      <c r="BS16" s="29">
        <f>Assum_WC!$C$17*(Calc_COGS!BS28+Calc_Opex!BS21)*12/365</f>
        <v>27403.838638572364</v>
      </c>
      <c r="BT16" s="29">
        <f>Assum_WC!$C$17*(Calc_COGS!BT28+Calc_Opex!BT21)*12/365</f>
        <v>30013.72803272212</v>
      </c>
      <c r="BU16" s="29">
        <f>Assum_WC!$C$17*(Calc_COGS!BU28+Calc_Opex!BU21)*12/365</f>
        <v>36538.451518096488</v>
      </c>
      <c r="BV16" s="29">
        <f>Assum_WC!$C$17*(Calc_COGS!BV28+Calc_Opex!BV21)*12/365</f>
        <v>31994.634082881774</v>
      </c>
      <c r="BW16" s="29">
        <f>Assum_WC!$C$17*(Calc_COGS!BW28+Calc_Opex!BW21)*12/365</f>
        <v>30603.563035799962</v>
      </c>
      <c r="BX16" s="29">
        <f>Assum_WC!$C$17*(Calc_COGS!BX28+Calc_Opex!BX21)*12/365</f>
        <v>27821.420941636323</v>
      </c>
      <c r="BY16" s="29">
        <f>Assum_WC!$C$17*(Calc_COGS!BY28+Calc_Opex!BY21)*12/365</f>
        <v>25039.278847472691</v>
      </c>
      <c r="BZ16" s="29">
        <f>Assum_WC!$C$17*(Calc_COGS!BZ28+Calc_Opex!BZ21)*12/365</f>
        <v>23648.207800390879</v>
      </c>
      <c r="CA16" s="29">
        <f>Assum_WC!$C$17*(Calc_COGS!CA28+Calc_Opex!CA21)*12/365</f>
        <v>22257.136753309063</v>
      </c>
      <c r="CB16" s="29">
        <f>Assum_WC!$C$17*(Calc_COGS!CB28+Calc_Opex!CB21)*12/365</f>
        <v>22257.136753309063</v>
      </c>
      <c r="CC16" s="29">
        <f>Assum_WC!$C$17*(Calc_COGS!CC28+Calc_Opex!CC21)*12/365</f>
        <v>23648.207800390879</v>
      </c>
      <c r="CD16" s="29">
        <f>Assum_WC!$C$17*(Calc_COGS!CD28+Calc_Opex!CD21)*12/365</f>
        <v>26430.349894554511</v>
      </c>
      <c r="CE16" s="29">
        <f>Assum_WC!$C$17*(Calc_COGS!CE28+Calc_Opex!CE21)*12/365</f>
        <v>29212.491988718142</v>
      </c>
      <c r="CF16" s="29">
        <f>Assum_WC!$C$17*(Calc_COGS!CF28+Calc_Opex!CF21)*12/365</f>
        <v>31994.634082881774</v>
      </c>
      <c r="CG16" s="29">
        <f>Assum_WC!$C$17*(Calc_COGS!CG28+Calc_Opex!CG21)*12/365</f>
        <v>38949.989318290856</v>
      </c>
      <c r="CH16" s="29">
        <f>Assum_WC!$C$17*(Calc_COGS!CH28+Calc_Opex!CH21)*12/365</f>
        <v>34106.279932351965</v>
      </c>
      <c r="CI16" s="29">
        <f>Assum_WC!$C$17*(Calc_COGS!CI28+Calc_Opex!CI21)*12/365</f>
        <v>32623.398196162754</v>
      </c>
      <c r="CJ16" s="29">
        <f>Assum_WC!$C$17*(Calc_COGS!CJ28+Calc_Opex!CJ21)*12/365</f>
        <v>29657.634723784315</v>
      </c>
      <c r="CK16" s="29">
        <f>Assum_WC!$C$17*(Calc_COGS!CK28+Calc_Opex!CK21)*12/365</f>
        <v>26691.871251405886</v>
      </c>
      <c r="CL16" s="29">
        <f>Assum_WC!$C$17*(Calc_COGS!CL28+Calc_Opex!CL21)*12/365</f>
        <v>25208.989515216668</v>
      </c>
      <c r="CM16" s="29">
        <f>Assum_WC!$C$17*(Calc_COGS!CM28+Calc_Opex!CM21)*12/365</f>
        <v>23726.107779027461</v>
      </c>
      <c r="CN16" s="29">
        <f>Assum_WC!$C$17*(Calc_COGS!CN28+Calc_Opex!CN21)*12/365</f>
        <v>23726.107779027461</v>
      </c>
      <c r="CO16" s="29">
        <f>Assum_WC!$C$17*(Calc_COGS!CO28+Calc_Opex!CO21)*12/365</f>
        <v>25208.989515216668</v>
      </c>
      <c r="CP16" s="29">
        <f>Assum_WC!$C$17*(Calc_COGS!CP28+Calc_Opex!CP21)*12/365</f>
        <v>28174.752987595097</v>
      </c>
      <c r="CQ16" s="29">
        <f>Assum_WC!$C$17*(Calc_COGS!CQ28+Calc_Opex!CQ21)*12/365</f>
        <v>31140.516459973529</v>
      </c>
      <c r="CR16" s="29">
        <f>Assum_WC!$C$17*(Calc_COGS!CR28+Calc_Opex!CR21)*12/365</f>
        <v>34106.279932351965</v>
      </c>
      <c r="CS16" s="29">
        <f>Assum_WC!$C$17*(Calc_COGS!CS28+Calc_Opex!CS21)*12/365</f>
        <v>41520.688613298043</v>
      </c>
      <c r="CT16" s="29">
        <f>Assum_WC!$C$17*(Calc_COGS!CT28+Calc_Opex!CT21)*12/365</f>
        <v>36357.294407887188</v>
      </c>
      <c r="CU16" s="29">
        <f>Assum_WC!$C$17*(Calc_COGS!CU28+Calc_Opex!CU21)*12/365</f>
        <v>34776.542477109499</v>
      </c>
      <c r="CV16" s="29">
        <f>Assum_WC!$C$17*(Calc_COGS!CV28+Calc_Opex!CV21)*12/365</f>
        <v>31615.03861555408</v>
      </c>
      <c r="CW16" s="29">
        <f>Assum_WC!$C$17*(Calc_COGS!CW28+Calc_Opex!CW21)*12/365</f>
        <v>28453.534753998676</v>
      </c>
      <c r="CX16" s="29">
        <f>Assum_WC!$C$17*(Calc_COGS!CX28+Calc_Opex!CX21)*12/365</f>
        <v>26872.782823220969</v>
      </c>
      <c r="CY16" s="29">
        <f>Assum_WC!$C$17*(Calc_COGS!CY28+Calc_Opex!CY21)*12/365</f>
        <v>25292.030892443268</v>
      </c>
      <c r="CZ16" s="29">
        <f>Assum_WC!$C$17*(Calc_COGS!CZ28+Calc_Opex!CZ21)*12/365</f>
        <v>25292.030892443268</v>
      </c>
      <c r="DA16" s="29">
        <f>Assum_WC!$C$17*(Calc_COGS!DA28+Calc_Opex!DA21)*12/365</f>
        <v>26872.782823220969</v>
      </c>
      <c r="DB16" s="29">
        <f>Assum_WC!$C$17*(Calc_COGS!DB28+Calc_Opex!DB21)*12/365</f>
        <v>30034.286684776373</v>
      </c>
      <c r="DC16" s="29">
        <f>Assum_WC!$C$17*(Calc_COGS!DC28+Calc_Opex!DC21)*12/365</f>
        <v>33195.790546331787</v>
      </c>
      <c r="DD16" s="29">
        <f>Assum_WC!$C$17*(Calc_COGS!DD28+Calc_Opex!DD21)*12/365</f>
        <v>36357.294407887188</v>
      </c>
      <c r="DE16" s="29">
        <f>Assum_WC!$C$17*(Calc_COGS!DE28+Calc_Opex!DE21)*12/365</f>
        <v>44261.054061775707</v>
      </c>
      <c r="DF16" s="29">
        <f>Assum_WC!$C$17*(Calc_COGS!DF28+Calc_Opex!DF21)*12/365</f>
        <v>38756.87583880774</v>
      </c>
      <c r="DG16" s="29">
        <f>Assum_WC!$C$17*(Calc_COGS!DG28+Calc_Opex!DG21)*12/365</f>
        <v>37071.794280598719</v>
      </c>
      <c r="DH16" s="29">
        <f>Assum_WC!$C$17*(Calc_COGS!DH28+Calc_Opex!DH21)*12/365</f>
        <v>33701.631164180646</v>
      </c>
      <c r="DI16" s="29">
        <f>Assum_WC!$C$17*(Calc_COGS!DI28+Calc_Opex!DI21)*12/365</f>
        <v>30331.468047762584</v>
      </c>
      <c r="DJ16" s="29">
        <f>Assum_WC!$C$17*(Calc_COGS!DJ28+Calc_Opex!DJ21)*12/365</f>
        <v>28646.386489553552</v>
      </c>
      <c r="DK16" s="29">
        <f>Assum_WC!$C$17*(Calc_COGS!DK28+Calc_Opex!DK21)*12/365</f>
        <v>26961.304931344519</v>
      </c>
      <c r="DL16" s="29">
        <f>Assum_WC!$C$17*(Calc_COGS!DL28+Calc_Opex!DL21)*12/365</f>
        <v>26961.304931344519</v>
      </c>
      <c r="DM16" s="29">
        <f>Assum_WC!$C$17*(Calc_COGS!DM28+Calc_Opex!DM21)*12/365</f>
        <v>28646.386489553552</v>
      </c>
      <c r="DN16" s="29">
        <f>Assum_WC!$C$17*(Calc_COGS!DN28+Calc_Opex!DN21)*12/365</f>
        <v>32016.549605971617</v>
      </c>
      <c r="DO16" s="29">
        <f>Assum_WC!$C$17*(Calc_COGS!DO28+Calc_Opex!DO21)*12/365</f>
        <v>35386.712722389675</v>
      </c>
      <c r="DP16" s="29">
        <f>Assum_WC!$C$17*(Calc_COGS!DP28+Calc_Opex!DP21)*12/365</f>
        <v>38756.87583880774</v>
      </c>
      <c r="DQ16" s="29">
        <f>Assum_WC!$C$17*(Calc_COGS!DQ28+Calc_Opex!DQ21)*12/365</f>
        <v>47182.283629852915</v>
      </c>
    </row>
    <row r="18" spans="1:121" ht="15" customHeight="1">
      <c r="A18" s="5" t="s">
        <v>488</v>
      </c>
    </row>
    <row r="19" spans="1:121" ht="15" customHeight="1">
      <c r="A19" t="s">
        <v>489</v>
      </c>
      <c r="B19" s="22">
        <f>Assum_WC!$C$21*Calc_Opex!B21*12/365</f>
        <v>5527.4699589041102</v>
      </c>
      <c r="C19" s="22">
        <f>Assum_WC!$C$21*Calc_Opex!C21*12/365</f>
        <v>5287.1451780821926</v>
      </c>
      <c r="D19" s="22">
        <f>Assum_WC!$C$21*Calc_Opex!D21*12/365</f>
        <v>4806.4956164383566</v>
      </c>
      <c r="E19" s="22">
        <f>Assum_WC!$C$21*Calc_Opex!E21*12/365</f>
        <v>4325.8460547945206</v>
      </c>
      <c r="F19" s="22">
        <f>Assum_WC!$C$21*Calc_Opex!F21*12/365</f>
        <v>4085.521273972603</v>
      </c>
      <c r="G19" s="22">
        <f>Assum_WC!$C$21*Calc_Opex!G21*12/365</f>
        <v>3845.1964931506855</v>
      </c>
      <c r="H19" s="22">
        <f>Assum_WC!$C$21*Calc_Opex!H21*12/365</f>
        <v>3845.1964931506855</v>
      </c>
      <c r="I19" s="22">
        <f>Assum_WC!$C$21*Calc_Opex!I21*12/365</f>
        <v>4085.521273972603</v>
      </c>
      <c r="J19" s="22">
        <f>Assum_WC!$C$21*Calc_Opex!J21*12/365</f>
        <v>4566.1708356164372</v>
      </c>
      <c r="K19" s="22">
        <f>Assum_WC!$C$21*Calc_Opex!K21*12/365</f>
        <v>5046.8203972602751</v>
      </c>
      <c r="L19" s="22">
        <f>Assum_WC!$C$21*Calc_Opex!L21*12/365</f>
        <v>5527.4699589041102</v>
      </c>
      <c r="M19" s="22">
        <f>Assum_WC!$C$21*Calc_Opex!M21*12/365</f>
        <v>6729.093863013698</v>
      </c>
      <c r="N19" s="22">
        <f>Assum_WC!$C$21*Calc_Opex!N21*12/365</f>
        <v>6118.9092445068491</v>
      </c>
      <c r="O19" s="22">
        <f>Assum_WC!$C$21*Calc_Opex!O21*12/365</f>
        <v>5852.8697121369878</v>
      </c>
      <c r="P19" s="22">
        <f>Assum_WC!$C$21*Calc_Opex!P21*12/365</f>
        <v>5320.7906473972589</v>
      </c>
      <c r="Q19" s="22">
        <f>Assum_WC!$C$21*Calc_Opex!Q21*12/365</f>
        <v>4788.7115826575337</v>
      </c>
      <c r="R19" s="22">
        <f>Assum_WC!$C$21*Calc_Opex!R21*12/365</f>
        <v>4522.6720502876706</v>
      </c>
      <c r="S19" s="22">
        <f>Assum_WC!$C$21*Calc_Opex!S21*12/365</f>
        <v>4256.6325179178093</v>
      </c>
      <c r="T19" s="22">
        <f>Assum_WC!$C$21*Calc_Opex!T21*12/365</f>
        <v>4256.6325179178093</v>
      </c>
      <c r="U19" s="22">
        <f>Assum_WC!$C$21*Calc_Opex!U21*12/365</f>
        <v>4522.6720502876706</v>
      </c>
      <c r="V19" s="22">
        <f>Assum_WC!$C$21*Calc_Opex!V21*12/365</f>
        <v>5054.7511150273976</v>
      </c>
      <c r="W19" s="22">
        <f>Assum_WC!$C$21*Calc_Opex!W21*12/365</f>
        <v>5586.8301797671238</v>
      </c>
      <c r="X19" s="22">
        <f>Assum_WC!$C$21*Calc_Opex!X21*12/365</f>
        <v>6118.9092445068491</v>
      </c>
      <c r="Y19" s="22">
        <f>Assum_WC!$C$21*Calc_Opex!Y21*12/365</f>
        <v>7449.1069063561636</v>
      </c>
      <c r="Z19" s="22">
        <f>Assum_WC!$C$21*Calc_Opex!Z21*12/365</f>
        <v>6773.6325336690825</v>
      </c>
      <c r="AA19" s="22">
        <f>Assum_WC!$C$21*Calc_Opex!AA21*12/365</f>
        <v>6479.1267713356456</v>
      </c>
      <c r="AB19" s="22">
        <f>Assum_WC!$C$21*Calc_Opex!AB21*12/365</f>
        <v>5890.1152466687663</v>
      </c>
      <c r="AC19" s="22">
        <f>Assum_WC!$C$21*Calc_Opex!AC21*12/365</f>
        <v>5301.1037220018898</v>
      </c>
      <c r="AD19" s="22">
        <f>Assum_WC!$C$21*Calc_Opex!AD21*12/365</f>
        <v>5006.5979596684538</v>
      </c>
      <c r="AE19" s="22">
        <f>Assum_WC!$C$21*Calc_Opex!AE21*12/365</f>
        <v>4712.092197335015</v>
      </c>
      <c r="AF19" s="22">
        <f>Assum_WC!$C$21*Calc_Opex!AF21*12/365</f>
        <v>4712.092197335015</v>
      </c>
      <c r="AG19" s="22">
        <f>Assum_WC!$C$21*Calc_Opex!AG21*12/365</f>
        <v>5006.5979596684538</v>
      </c>
      <c r="AH19" s="22">
        <f>Assum_WC!$C$21*Calc_Opex!AH21*12/365</f>
        <v>5595.6094843353285</v>
      </c>
      <c r="AI19" s="22">
        <f>Assum_WC!$C$21*Calc_Opex!AI21*12/365</f>
        <v>6184.621009002205</v>
      </c>
      <c r="AJ19" s="22">
        <f>Assum_WC!$C$21*Calc_Opex!AJ21*12/365</f>
        <v>6773.6325336690825</v>
      </c>
      <c r="AK19" s="22">
        <f>Assum_WC!$C$21*Calc_Opex!AK21*12/365</f>
        <v>8246.1613453362716</v>
      </c>
      <c r="AL19" s="22">
        <f>Assum_WC!$C$21*Calc_Opex!AL21*12/365</f>
        <v>7359.5517478314569</v>
      </c>
      <c r="AM19" s="22">
        <f>Assum_WC!$C$21*Calc_Opex!AM21*12/365</f>
        <v>7039.5712370561796</v>
      </c>
      <c r="AN19" s="22">
        <f>Assum_WC!$C$21*Calc_Opex!AN21*12/365</f>
        <v>6399.610215505616</v>
      </c>
      <c r="AO19" s="22">
        <f>Assum_WC!$C$21*Calc_Opex!AO21*12/365</f>
        <v>5759.6491939550542</v>
      </c>
      <c r="AP19" s="22">
        <f>Assum_WC!$C$21*Calc_Opex!AP21*12/365</f>
        <v>5439.6686831797733</v>
      </c>
      <c r="AQ19" s="22">
        <f>Assum_WC!$C$21*Calc_Opex!AQ21*12/365</f>
        <v>5119.6881724044924</v>
      </c>
      <c r="AR19" s="22">
        <f>Assum_WC!$C$21*Calc_Opex!AR21*12/365</f>
        <v>5119.6881724044924</v>
      </c>
      <c r="AS19" s="22">
        <f>Assum_WC!$C$21*Calc_Opex!AS21*12/365</f>
        <v>5439.6686831797733</v>
      </c>
      <c r="AT19" s="22">
        <f>Assum_WC!$C$21*Calc_Opex!AT21*12/365</f>
        <v>6079.6297047303342</v>
      </c>
      <c r="AU19" s="22">
        <f>Assum_WC!$C$21*Calc_Opex!AU21*12/365</f>
        <v>6719.590726280896</v>
      </c>
      <c r="AV19" s="22">
        <f>Assum_WC!$C$21*Calc_Opex!AV21*12/365</f>
        <v>7359.5517478314569</v>
      </c>
      <c r="AW19" s="22">
        <f>Assum_WC!$C$21*Calc_Opex!AW21*12/365</f>
        <v>8959.4543017078595</v>
      </c>
      <c r="AX19" s="22">
        <f>Assum_WC!$C$21*Calc_Opex!AX21*12/365</f>
        <v>7996.152974018878</v>
      </c>
      <c r="AY19" s="22">
        <f>Assum_WC!$C$21*Calc_Opex!AY21*12/365</f>
        <v>7648.4941490615374</v>
      </c>
      <c r="AZ19" s="22">
        <f>Assum_WC!$C$21*Calc_Opex!AZ21*12/365</f>
        <v>6953.1764991468508</v>
      </c>
      <c r="BA19" s="22">
        <f>Assum_WC!$C$21*Calc_Opex!BA21*12/365</f>
        <v>6257.8588492321642</v>
      </c>
      <c r="BB19" s="22">
        <f>Assum_WC!$C$21*Calc_Opex!BB21*12/365</f>
        <v>5910.2000242748236</v>
      </c>
      <c r="BC19" s="22">
        <f>Assum_WC!$C$21*Calc_Opex!BC21*12/365</f>
        <v>5562.5411993174812</v>
      </c>
      <c r="BD19" s="22">
        <f>Assum_WC!$C$21*Calc_Opex!BD21*12/365</f>
        <v>5562.5411993174812</v>
      </c>
      <c r="BE19" s="22">
        <f>Assum_WC!$C$21*Calc_Opex!BE21*12/365</f>
        <v>5910.2000242748236</v>
      </c>
      <c r="BF19" s="22">
        <f>Assum_WC!$C$21*Calc_Opex!BF21*12/365</f>
        <v>6605.5176741895084</v>
      </c>
      <c r="BG19" s="22">
        <f>Assum_WC!$C$21*Calc_Opex!BG21*12/365</f>
        <v>7300.8353241041941</v>
      </c>
      <c r="BH19" s="22">
        <f>Assum_WC!$C$21*Calc_Opex!BH21*12/365</f>
        <v>7996.152974018878</v>
      </c>
      <c r="BI19" s="22">
        <f>Assum_WC!$C$21*Calc_Opex!BI21*12/365</f>
        <v>9734.4470988055909</v>
      </c>
      <c r="BJ19" s="22">
        <f>Assum_WC!$C$21*Calc_Opex!BJ21*12/365</f>
        <v>8523.8990703041236</v>
      </c>
      <c r="BK19" s="22">
        <f>Assum_WC!$C$21*Calc_Opex!BK21*12/365</f>
        <v>8153.2947628995989</v>
      </c>
      <c r="BL19" s="22">
        <f>Assum_WC!$C$21*Calc_Opex!BL21*12/365</f>
        <v>7412.0861480905423</v>
      </c>
      <c r="BM19" s="22">
        <f>Assum_WC!$C$21*Calc_Opex!BM21*12/365</f>
        <v>6670.8775332814885</v>
      </c>
      <c r="BN19" s="22">
        <f>Assum_WC!$C$21*Calc_Opex!BN21*12/365</f>
        <v>6300.2732258769611</v>
      </c>
      <c r="BO19" s="22">
        <f>Assum_WC!$C$21*Calc_Opex!BO21*12/365</f>
        <v>5929.6689184724364</v>
      </c>
      <c r="BP19" s="22">
        <f>Assum_WC!$C$21*Calc_Opex!BP21*12/365</f>
        <v>5929.6689184724364</v>
      </c>
      <c r="BQ19" s="22">
        <f>Assum_WC!$C$21*Calc_Opex!BQ21*12/365</f>
        <v>6300.2732258769611</v>
      </c>
      <c r="BR19" s="22">
        <f>Assum_WC!$C$21*Calc_Opex!BR21*12/365</f>
        <v>7041.481840686014</v>
      </c>
      <c r="BS19" s="22">
        <f>Assum_WC!$C$21*Calc_Opex!BS21*12/365</f>
        <v>7782.6904554950688</v>
      </c>
      <c r="BT19" s="22">
        <f>Assum_WC!$C$21*Calc_Opex!BT21*12/365</f>
        <v>8523.8990703041236</v>
      </c>
      <c r="BU19" s="22">
        <f>Assum_WC!$C$21*Calc_Opex!BU21*12/365</f>
        <v>10376.920607326758</v>
      </c>
      <c r="BV19" s="22">
        <f>Assum_WC!$C$21*Calc_Opex!BV21*12/365</f>
        <v>9086.4764089441978</v>
      </c>
      <c r="BW19" s="22">
        <f>Assum_WC!$C$21*Calc_Opex!BW21*12/365</f>
        <v>8691.4122172509724</v>
      </c>
      <c r="BX19" s="22">
        <f>Assum_WC!$C$21*Calc_Opex!BX21*12/365</f>
        <v>7901.2838338645179</v>
      </c>
      <c r="BY19" s="22">
        <f>Assum_WC!$C$21*Calc_Opex!BY21*12/365</f>
        <v>7111.1554504780661</v>
      </c>
      <c r="BZ19" s="22">
        <f>Assum_WC!$C$21*Calc_Opex!BZ21*12/365</f>
        <v>6716.0912587848406</v>
      </c>
      <c r="CA19" s="22">
        <f>Assum_WC!$C$21*Calc_Opex!CA21*12/365</f>
        <v>6321.0270670916143</v>
      </c>
      <c r="CB19" s="22">
        <f>Assum_WC!$C$21*Calc_Opex!CB21*12/365</f>
        <v>6321.0270670916143</v>
      </c>
      <c r="CC19" s="22">
        <f>Assum_WC!$C$21*Calc_Opex!CC21*12/365</f>
        <v>6716.0912587848406</v>
      </c>
      <c r="CD19" s="22">
        <f>Assum_WC!$C$21*Calc_Opex!CD21*12/365</f>
        <v>7506.2196421712915</v>
      </c>
      <c r="CE19" s="22">
        <f>Assum_WC!$C$21*Calc_Opex!CE21*12/365</f>
        <v>8296.3480255577433</v>
      </c>
      <c r="CF19" s="22">
        <f>Assum_WC!$C$21*Calc_Opex!CF21*12/365</f>
        <v>9086.4764089441978</v>
      </c>
      <c r="CG19" s="22">
        <f>Assum_WC!$C$21*Calc_Opex!CG21*12/365</f>
        <v>11061.797367410321</v>
      </c>
      <c r="CH19" s="22">
        <f>Assum_WC!$C$21*Calc_Opex!CH21*12/365</f>
        <v>9686.1838519345092</v>
      </c>
      <c r="CI19" s="22">
        <f>Assum_WC!$C$21*Calc_Opex!CI21*12/365</f>
        <v>9265.0454235895322</v>
      </c>
      <c r="CJ19" s="22">
        <f>Assum_WC!$C$21*Calc_Opex!CJ21*12/365</f>
        <v>8422.7685668995728</v>
      </c>
      <c r="CK19" s="22">
        <f>Assum_WC!$C$21*Calc_Opex!CK21*12/365</f>
        <v>7580.4917102096169</v>
      </c>
      <c r="CL19" s="22">
        <f>Assum_WC!$C$21*Calc_Opex!CL21*12/365</f>
        <v>7159.353281864639</v>
      </c>
      <c r="CM19" s="22">
        <f>Assum_WC!$C$21*Calc_Opex!CM21*12/365</f>
        <v>6738.2148535196602</v>
      </c>
      <c r="CN19" s="22">
        <f>Assum_WC!$C$21*Calc_Opex!CN21*12/365</f>
        <v>6738.2148535196602</v>
      </c>
      <c r="CO19" s="22">
        <f>Assum_WC!$C$21*Calc_Opex!CO21*12/365</f>
        <v>7159.353281864639</v>
      </c>
      <c r="CP19" s="22">
        <f>Assum_WC!$C$21*Calc_Opex!CP21*12/365</f>
        <v>8001.6301385545949</v>
      </c>
      <c r="CQ19" s="22">
        <f>Assum_WC!$C$21*Calc_Opex!CQ21*12/365</f>
        <v>8843.9069952445534</v>
      </c>
      <c r="CR19" s="22">
        <f>Assum_WC!$C$21*Calc_Opex!CR21*12/365</f>
        <v>9686.1838519345092</v>
      </c>
      <c r="CS19" s="22">
        <f>Assum_WC!$C$21*Calc_Opex!CS21*12/365</f>
        <v>11791.875993659402</v>
      </c>
      <c r="CT19" s="22">
        <f>Assum_WC!$C$21*Calc_Opex!CT21*12/365</f>
        <v>10325.471986162185</v>
      </c>
      <c r="CU19" s="22">
        <f>Assum_WC!$C$21*Calc_Opex!CU21*12/365</f>
        <v>9876.5384215464401</v>
      </c>
      <c r="CV19" s="22">
        <f>Assum_WC!$C$21*Calc_Opex!CV21*12/365</f>
        <v>8978.6712923149444</v>
      </c>
      <c r="CW19" s="22">
        <f>Assum_WC!$C$21*Calc_Opex!CW21*12/365</f>
        <v>8080.8041630834523</v>
      </c>
      <c r="CX19" s="22">
        <f>Assum_WC!$C$21*Calc_Opex!CX21*12/365</f>
        <v>7631.8705984677035</v>
      </c>
      <c r="CY19" s="22">
        <f>Assum_WC!$C$21*Calc_Opex!CY21*12/365</f>
        <v>7182.9370338519575</v>
      </c>
      <c r="CZ19" s="22">
        <f>Assum_WC!$C$21*Calc_Opex!CZ21*12/365</f>
        <v>7182.9370338519575</v>
      </c>
      <c r="DA19" s="22">
        <f>Assum_WC!$C$21*Calc_Opex!DA21*12/365</f>
        <v>7631.8705984677035</v>
      </c>
      <c r="DB19" s="22">
        <f>Assum_WC!$C$21*Calc_Opex!DB21*12/365</f>
        <v>8529.7377276991974</v>
      </c>
      <c r="DC19" s="22">
        <f>Assum_WC!$C$21*Calc_Opex!DC21*12/365</f>
        <v>9427.6048569306913</v>
      </c>
      <c r="DD19" s="22">
        <f>Assum_WC!$C$21*Calc_Opex!DD21*12/365</f>
        <v>10325.471986162185</v>
      </c>
      <c r="DE19" s="22">
        <f>Assum_WC!$C$21*Calc_Opex!DE21*12/365</f>
        <v>12570.139809240922</v>
      </c>
      <c r="DF19" s="22">
        <f>Assum_WC!$C$21*Calc_Opex!DF21*12/365</f>
        <v>11006.953137248889</v>
      </c>
      <c r="DG19" s="22">
        <f>Assum_WC!$C$21*Calc_Opex!DG21*12/365</f>
        <v>10528.389957368507</v>
      </c>
      <c r="DH19" s="22">
        <f>Assum_WC!$C$21*Calc_Opex!DH21*12/365</f>
        <v>9571.2635976077308</v>
      </c>
      <c r="DI19" s="22">
        <f>Assum_WC!$C$21*Calc_Opex!DI21*12/365</f>
        <v>8614.1372378469587</v>
      </c>
      <c r="DJ19" s="22">
        <f>Assum_WC!$C$21*Calc_Opex!DJ21*12/365</f>
        <v>8135.5740579665717</v>
      </c>
      <c r="DK19" s="22">
        <f>Assum_WC!$C$21*Calc_Opex!DK21*12/365</f>
        <v>7657.0108780861847</v>
      </c>
      <c r="DL19" s="22">
        <f>Assum_WC!$C$21*Calc_Opex!DL21*12/365</f>
        <v>7657.0108780861847</v>
      </c>
      <c r="DM19" s="22">
        <f>Assum_WC!$C$21*Calc_Opex!DM21*12/365</f>
        <v>8135.5740579665717</v>
      </c>
      <c r="DN19" s="22">
        <f>Assum_WC!$C$21*Calc_Opex!DN21*12/365</f>
        <v>9092.7004177273448</v>
      </c>
      <c r="DO19" s="22">
        <f>Assum_WC!$C$21*Calc_Opex!DO21*12/365</f>
        <v>10049.826777488115</v>
      </c>
      <c r="DP19" s="22">
        <f>Assum_WC!$C$21*Calc_Opex!DP21*12/365</f>
        <v>11006.953137248889</v>
      </c>
      <c r="DQ19" s="22">
        <f>Assum_WC!$C$21*Calc_Opex!DQ21*12/365</f>
        <v>13399.769036650823</v>
      </c>
    </row>
    <row r="20" spans="1:121" ht="15" customHeight="1">
      <c r="A20" t="s">
        <v>490</v>
      </c>
      <c r="B20" s="22">
        <f>Assum_WC!$C$22*Calc_Opex!B21*12/365</f>
        <v>7369.9599452054808</v>
      </c>
      <c r="C20" s="22">
        <f>Assum_WC!$C$22*Calc_Opex!C21*12/365</f>
        <v>7049.5269041095899</v>
      </c>
      <c r="D20" s="22">
        <f>Assum_WC!$C$22*Calc_Opex!D21*12/365</f>
        <v>6408.6608219178088</v>
      </c>
      <c r="E20" s="22">
        <f>Assum_WC!$C$22*Calc_Opex!E21*12/365</f>
        <v>5767.7947397260277</v>
      </c>
      <c r="F20" s="22">
        <f>Assum_WC!$C$22*Calc_Opex!F21*12/365</f>
        <v>5447.3616986301377</v>
      </c>
      <c r="G20" s="22">
        <f>Assum_WC!$C$22*Calc_Opex!G21*12/365</f>
        <v>5126.9286575342467</v>
      </c>
      <c r="H20" s="22">
        <f>Assum_WC!$C$22*Calc_Opex!H21*12/365</f>
        <v>5126.9286575342467</v>
      </c>
      <c r="I20" s="22">
        <f>Assum_WC!$C$22*Calc_Opex!I21*12/365</f>
        <v>5447.3616986301377</v>
      </c>
      <c r="J20" s="22">
        <f>Assum_WC!$C$22*Calc_Opex!J21*12/365</f>
        <v>6088.2277808219169</v>
      </c>
      <c r="K20" s="22">
        <f>Assum_WC!$C$22*Calc_Opex!K21*12/365</f>
        <v>6729.0938630136989</v>
      </c>
      <c r="L20" s="22">
        <f>Assum_WC!$C$22*Calc_Opex!L21*12/365</f>
        <v>7369.9599452054808</v>
      </c>
      <c r="M20" s="22">
        <f>Assum_WC!$C$22*Calc_Opex!M21*12/365</f>
        <v>8972.1251506849312</v>
      </c>
      <c r="N20" s="22">
        <f>Assum_WC!$C$22*Calc_Opex!N21*12/365</f>
        <v>8158.545659342466</v>
      </c>
      <c r="O20" s="22">
        <f>Assum_WC!$C$22*Calc_Opex!O21*12/365</f>
        <v>7803.8262828493171</v>
      </c>
      <c r="P20" s="22">
        <f>Assum_WC!$C$22*Calc_Opex!P21*12/365</f>
        <v>7094.3875298630128</v>
      </c>
      <c r="Q20" s="22">
        <f>Assum_WC!$C$22*Calc_Opex!Q21*12/365</f>
        <v>6384.9487768767121</v>
      </c>
      <c r="R20" s="22">
        <f>Assum_WC!$C$22*Calc_Opex!R21*12/365</f>
        <v>6030.2294003835614</v>
      </c>
      <c r="S20" s="22">
        <f>Assum_WC!$C$22*Calc_Opex!S21*12/365</f>
        <v>5675.5100238904124</v>
      </c>
      <c r="T20" s="22">
        <f>Assum_WC!$C$22*Calc_Opex!T21*12/365</f>
        <v>5675.5100238904124</v>
      </c>
      <c r="U20" s="22">
        <f>Assum_WC!$C$22*Calc_Opex!U21*12/365</f>
        <v>6030.2294003835614</v>
      </c>
      <c r="V20" s="22">
        <f>Assum_WC!$C$22*Calc_Opex!V21*12/365</f>
        <v>6739.6681533698629</v>
      </c>
      <c r="W20" s="22">
        <f>Assum_WC!$C$22*Calc_Opex!W21*12/365</f>
        <v>7449.1069063561654</v>
      </c>
      <c r="X20" s="22">
        <f>Assum_WC!$C$22*Calc_Opex!X21*12/365</f>
        <v>8158.545659342466</v>
      </c>
      <c r="Y20" s="22">
        <f>Assum_WC!$C$22*Calc_Opex!Y21*12/365</f>
        <v>9932.1425418082181</v>
      </c>
      <c r="Z20" s="22">
        <f>Assum_WC!$C$22*Calc_Opex!Z21*12/365</f>
        <v>9031.5100448921094</v>
      </c>
      <c r="AA20" s="22">
        <f>Assum_WC!$C$22*Calc_Opex!AA21*12/365</f>
        <v>8638.8356951141941</v>
      </c>
      <c r="AB20" s="22">
        <f>Assum_WC!$C$22*Calc_Opex!AB21*12/365</f>
        <v>7853.4869955583554</v>
      </c>
      <c r="AC20" s="22">
        <f>Assum_WC!$C$22*Calc_Opex!AC21*12/365</f>
        <v>7068.1382960025194</v>
      </c>
      <c r="AD20" s="22">
        <f>Assum_WC!$C$22*Calc_Opex!AD21*12/365</f>
        <v>6675.463946224605</v>
      </c>
      <c r="AE20" s="22">
        <f>Assum_WC!$C$22*Calc_Opex!AE21*12/365</f>
        <v>6282.7895964466861</v>
      </c>
      <c r="AF20" s="22">
        <f>Assum_WC!$C$22*Calc_Opex!AF21*12/365</f>
        <v>6282.7895964466861</v>
      </c>
      <c r="AG20" s="22">
        <f>Assum_WC!$C$22*Calc_Opex!AG21*12/365</f>
        <v>6675.463946224605</v>
      </c>
      <c r="AH20" s="22">
        <f>Assum_WC!$C$22*Calc_Opex!AH21*12/365</f>
        <v>7460.8126457804383</v>
      </c>
      <c r="AI20" s="22">
        <f>Assum_WC!$C$22*Calc_Opex!AI21*12/365</f>
        <v>8246.1613453362752</v>
      </c>
      <c r="AJ20" s="22">
        <f>Assum_WC!$C$22*Calc_Opex!AJ21*12/365</f>
        <v>9031.5100448921094</v>
      </c>
      <c r="AK20" s="22">
        <f>Assum_WC!$C$22*Calc_Opex!AK21*12/365</f>
        <v>10994.881793781697</v>
      </c>
      <c r="AL20" s="22">
        <f>Assum_WC!$C$22*Calc_Opex!AL21*12/365</f>
        <v>9812.7356637752764</v>
      </c>
      <c r="AM20" s="22">
        <f>Assum_WC!$C$22*Calc_Opex!AM21*12/365</f>
        <v>9386.0949827415734</v>
      </c>
      <c r="AN20" s="22">
        <f>Assum_WC!$C$22*Calc_Opex!AN21*12/365</f>
        <v>8532.8136206741547</v>
      </c>
      <c r="AO20" s="22">
        <f>Assum_WC!$C$22*Calc_Opex!AO21*12/365</f>
        <v>7679.5322586067405</v>
      </c>
      <c r="AP20" s="22">
        <f>Assum_WC!$C$22*Calc_Opex!AP21*12/365</f>
        <v>7252.8915775730311</v>
      </c>
      <c r="AQ20" s="22">
        <f>Assum_WC!$C$22*Calc_Opex!AQ21*12/365</f>
        <v>6826.2508965393235</v>
      </c>
      <c r="AR20" s="22">
        <f>Assum_WC!$C$22*Calc_Opex!AR21*12/365</f>
        <v>6826.2508965393235</v>
      </c>
      <c r="AS20" s="22">
        <f>Assum_WC!$C$22*Calc_Opex!AS21*12/365</f>
        <v>7252.8915775730311</v>
      </c>
      <c r="AT20" s="22">
        <f>Assum_WC!$C$22*Calc_Opex!AT21*12/365</f>
        <v>8106.1729396404453</v>
      </c>
      <c r="AU20" s="22">
        <f>Assum_WC!$C$22*Calc_Opex!AU21*12/365</f>
        <v>8959.4543017078631</v>
      </c>
      <c r="AV20" s="22">
        <f>Assum_WC!$C$22*Calc_Opex!AV21*12/365</f>
        <v>9812.7356637752764</v>
      </c>
      <c r="AW20" s="22">
        <f>Assum_WC!$C$22*Calc_Opex!AW21*12/365</f>
        <v>11945.939068943813</v>
      </c>
      <c r="AX20" s="22">
        <f>Assum_WC!$C$22*Calc_Opex!AX21*12/365</f>
        <v>10661.537298691837</v>
      </c>
      <c r="AY20" s="22">
        <f>Assum_WC!$C$22*Calc_Opex!AY21*12/365</f>
        <v>10197.992198748716</v>
      </c>
      <c r="AZ20" s="22">
        <f>Assum_WC!$C$22*Calc_Opex!AZ21*12/365</f>
        <v>9270.9019988624677</v>
      </c>
      <c r="BA20" s="22">
        <f>Assum_WC!$C$22*Calc_Opex!BA21*12/365</f>
        <v>8343.8117989762195</v>
      </c>
      <c r="BB20" s="22">
        <f>Assum_WC!$C$22*Calc_Opex!BB21*12/365</f>
        <v>7880.2666990330981</v>
      </c>
      <c r="BC20" s="22">
        <f>Assum_WC!$C$22*Calc_Opex!BC21*12/365</f>
        <v>7416.7215990899758</v>
      </c>
      <c r="BD20" s="22">
        <f>Assum_WC!$C$22*Calc_Opex!BD21*12/365</f>
        <v>7416.7215990899758</v>
      </c>
      <c r="BE20" s="22">
        <f>Assum_WC!$C$22*Calc_Opex!BE21*12/365</f>
        <v>7880.2666990330981</v>
      </c>
      <c r="BF20" s="22">
        <f>Assum_WC!$C$22*Calc_Opex!BF21*12/365</f>
        <v>8807.3568989193445</v>
      </c>
      <c r="BG20" s="22">
        <f>Assum_WC!$C$22*Calc_Opex!BG21*12/365</f>
        <v>9734.4470988055928</v>
      </c>
      <c r="BH20" s="22">
        <f>Assum_WC!$C$22*Calc_Opex!BH21*12/365</f>
        <v>10661.537298691837</v>
      </c>
      <c r="BI20" s="22">
        <f>Assum_WC!$C$22*Calc_Opex!BI21*12/365</f>
        <v>12979.262798407455</v>
      </c>
      <c r="BJ20" s="22">
        <f>Assum_WC!$C$22*Calc_Opex!BJ21*12/365</f>
        <v>11365.198760405498</v>
      </c>
      <c r="BK20" s="22">
        <f>Assum_WC!$C$22*Calc_Opex!BK21*12/365</f>
        <v>10871.059683866133</v>
      </c>
      <c r="BL20" s="22">
        <f>Assum_WC!$C$22*Calc_Opex!BL21*12/365</f>
        <v>9882.781530787388</v>
      </c>
      <c r="BM20" s="22">
        <f>Assum_WC!$C$22*Calc_Opex!BM21*12/365</f>
        <v>8894.5033777086519</v>
      </c>
      <c r="BN20" s="22">
        <f>Assum_WC!$C$22*Calc_Opex!BN21*12/365</f>
        <v>8400.3643011692802</v>
      </c>
      <c r="BO20" s="22">
        <f>Assum_WC!$C$22*Calc_Opex!BO21*12/365</f>
        <v>7906.2252246299149</v>
      </c>
      <c r="BP20" s="22">
        <f>Assum_WC!$C$22*Calc_Opex!BP21*12/365</f>
        <v>7906.2252246299149</v>
      </c>
      <c r="BQ20" s="22">
        <f>Assum_WC!$C$22*Calc_Opex!BQ21*12/365</f>
        <v>8400.3643011692802</v>
      </c>
      <c r="BR20" s="22">
        <f>Assum_WC!$C$22*Calc_Opex!BR21*12/365</f>
        <v>9388.6424542480199</v>
      </c>
      <c r="BS20" s="22">
        <f>Assum_WC!$C$22*Calc_Opex!BS21*12/365</f>
        <v>10376.92060732676</v>
      </c>
      <c r="BT20" s="22">
        <f>Assum_WC!$C$22*Calc_Opex!BT21*12/365</f>
        <v>11365.198760405498</v>
      </c>
      <c r="BU20" s="22">
        <f>Assum_WC!$C$22*Calc_Opex!BU21*12/365</f>
        <v>13835.894143102343</v>
      </c>
      <c r="BV20" s="22">
        <f>Assum_WC!$C$22*Calc_Opex!BV21*12/365</f>
        <v>12115.301878592265</v>
      </c>
      <c r="BW20" s="22">
        <f>Assum_WC!$C$22*Calc_Opex!BW21*12/365</f>
        <v>11588.549623001296</v>
      </c>
      <c r="BX20" s="22">
        <f>Assum_WC!$C$22*Calc_Opex!BX21*12/365</f>
        <v>10535.045111819356</v>
      </c>
      <c r="BY20" s="22">
        <f>Assum_WC!$C$22*Calc_Opex!BY21*12/365</f>
        <v>9481.5406006374214</v>
      </c>
      <c r="BZ20" s="22">
        <f>Assum_WC!$C$22*Calc_Opex!BZ21*12/365</f>
        <v>8954.7883450464542</v>
      </c>
      <c r="CA20" s="22">
        <f>Assum_WC!$C$22*Calc_Opex!CA21*12/365</f>
        <v>8428.0360894554869</v>
      </c>
      <c r="CB20" s="22">
        <f>Assum_WC!$C$22*Calc_Opex!CB21*12/365</f>
        <v>8428.0360894554869</v>
      </c>
      <c r="CC20" s="22">
        <f>Assum_WC!$C$22*Calc_Opex!CC21*12/365</f>
        <v>8954.7883450464542</v>
      </c>
      <c r="CD20" s="22">
        <f>Assum_WC!$C$22*Calc_Opex!CD21*12/365</f>
        <v>10008.292856228389</v>
      </c>
      <c r="CE20" s="22">
        <f>Assum_WC!$C$22*Calc_Opex!CE21*12/365</f>
        <v>11061.797367410323</v>
      </c>
      <c r="CF20" s="22">
        <f>Assum_WC!$C$22*Calc_Opex!CF21*12/365</f>
        <v>12115.301878592265</v>
      </c>
      <c r="CG20" s="22">
        <f>Assum_WC!$C$22*Calc_Opex!CG21*12/365</f>
        <v>14749.063156547096</v>
      </c>
      <c r="CH20" s="22">
        <f>Assum_WC!$C$22*Calc_Opex!CH21*12/365</f>
        <v>12914.911802579345</v>
      </c>
      <c r="CI20" s="22">
        <f>Assum_WC!$C$22*Calc_Opex!CI21*12/365</f>
        <v>12353.393898119375</v>
      </c>
      <c r="CJ20" s="22">
        <f>Assum_WC!$C$22*Calc_Opex!CJ21*12/365</f>
        <v>11230.358089199432</v>
      </c>
      <c r="CK20" s="22">
        <f>Assum_WC!$C$22*Calc_Opex!CK21*12/365</f>
        <v>10107.322280279492</v>
      </c>
      <c r="CL20" s="22">
        <f>Assum_WC!$C$22*Calc_Opex!CL21*12/365</f>
        <v>9545.8043758195181</v>
      </c>
      <c r="CM20" s="22">
        <f>Assum_WC!$C$22*Calc_Opex!CM21*12/365</f>
        <v>8984.2864713595463</v>
      </c>
      <c r="CN20" s="22">
        <f>Assum_WC!$C$22*Calc_Opex!CN21*12/365</f>
        <v>8984.2864713595463</v>
      </c>
      <c r="CO20" s="22">
        <f>Assum_WC!$C$22*Calc_Opex!CO21*12/365</f>
        <v>9545.8043758195181</v>
      </c>
      <c r="CP20" s="22">
        <f>Assum_WC!$C$22*Calc_Opex!CP21*12/365</f>
        <v>10668.84018473946</v>
      </c>
      <c r="CQ20" s="22">
        <f>Assum_WC!$C$22*Calc_Opex!CQ21*12/365</f>
        <v>11791.875993659403</v>
      </c>
      <c r="CR20" s="22">
        <f>Assum_WC!$C$22*Calc_Opex!CR21*12/365</f>
        <v>12914.911802579345</v>
      </c>
      <c r="CS20" s="22">
        <f>Assum_WC!$C$22*Calc_Opex!CS21*12/365</f>
        <v>15722.5013248792</v>
      </c>
      <c r="CT20" s="22">
        <f>Assum_WC!$C$22*Calc_Opex!CT21*12/365</f>
        <v>13767.295981549581</v>
      </c>
      <c r="CU20" s="22">
        <f>Assum_WC!$C$22*Calc_Opex!CU21*12/365</f>
        <v>13168.717895395253</v>
      </c>
      <c r="CV20" s="22">
        <f>Assum_WC!$C$22*Calc_Opex!CV21*12/365</f>
        <v>11971.56172308659</v>
      </c>
      <c r="CW20" s="22">
        <f>Assum_WC!$C$22*Calc_Opex!CW21*12/365</f>
        <v>10774.405550777936</v>
      </c>
      <c r="CX20" s="22">
        <f>Assum_WC!$C$22*Calc_Opex!CX21*12/365</f>
        <v>10175.827464623606</v>
      </c>
      <c r="CY20" s="22">
        <f>Assum_WC!$C$22*Calc_Opex!CY21*12/365</f>
        <v>9577.2493784692779</v>
      </c>
      <c r="CZ20" s="22">
        <f>Assum_WC!$C$22*Calc_Opex!CZ21*12/365</f>
        <v>9577.2493784692779</v>
      </c>
      <c r="DA20" s="22">
        <f>Assum_WC!$C$22*Calc_Opex!DA21*12/365</f>
        <v>10175.827464623606</v>
      </c>
      <c r="DB20" s="22">
        <f>Assum_WC!$C$22*Calc_Opex!DB21*12/365</f>
        <v>11372.983636932264</v>
      </c>
      <c r="DC20" s="22">
        <f>Assum_WC!$C$22*Calc_Opex!DC21*12/365</f>
        <v>12570.139809240922</v>
      </c>
      <c r="DD20" s="22">
        <f>Assum_WC!$C$22*Calc_Opex!DD21*12/365</f>
        <v>13767.295981549581</v>
      </c>
      <c r="DE20" s="22">
        <f>Assum_WC!$C$22*Calc_Opex!DE21*12/365</f>
        <v>16760.186412321229</v>
      </c>
      <c r="DF20" s="22">
        <f>Assum_WC!$C$22*Calc_Opex!DF21*12/365</f>
        <v>14675.937516331851</v>
      </c>
      <c r="DG20" s="22">
        <f>Assum_WC!$C$22*Calc_Opex!DG21*12/365</f>
        <v>14037.853276491342</v>
      </c>
      <c r="DH20" s="22">
        <f>Assum_WC!$C$22*Calc_Opex!DH21*12/365</f>
        <v>12761.684796810308</v>
      </c>
      <c r="DI20" s="22">
        <f>Assum_WC!$C$22*Calc_Opex!DI21*12/365</f>
        <v>11485.516317129279</v>
      </c>
      <c r="DJ20" s="22">
        <f>Assum_WC!$C$22*Calc_Opex!DJ21*12/365</f>
        <v>10847.432077288762</v>
      </c>
      <c r="DK20" s="22">
        <f>Assum_WC!$C$22*Calc_Opex!DK21*12/365</f>
        <v>10209.347837448246</v>
      </c>
      <c r="DL20" s="22">
        <f>Assum_WC!$C$22*Calc_Opex!DL21*12/365</f>
        <v>10209.347837448246</v>
      </c>
      <c r="DM20" s="22">
        <f>Assum_WC!$C$22*Calc_Opex!DM21*12/365</f>
        <v>10847.432077288762</v>
      </c>
      <c r="DN20" s="22">
        <f>Assum_WC!$C$22*Calc_Opex!DN21*12/365</f>
        <v>12123.600556969794</v>
      </c>
      <c r="DO20" s="22">
        <f>Assum_WC!$C$22*Calc_Opex!DO21*12/365</f>
        <v>13399.769036650821</v>
      </c>
      <c r="DP20" s="22">
        <f>Assum_WC!$C$22*Calc_Opex!DP21*12/365</f>
        <v>14675.937516331851</v>
      </c>
      <c r="DQ20" s="22">
        <f>Assum_WC!$C$22*Calc_Opex!DQ21*12/365</f>
        <v>17866.358715534432</v>
      </c>
    </row>
    <row r="22" spans="1:121" ht="15" customHeight="1">
      <c r="A22" s="5" t="s">
        <v>491</v>
      </c>
    </row>
    <row r="23" spans="1:121" ht="15" customHeight="1">
      <c r="A23" s="14" t="s">
        <v>492</v>
      </c>
      <c r="B23" s="29">
        <f t="shared" ref="B23:AG23" si="4">B10+B13+B19-B16-B20</f>
        <v>24138.649632328779</v>
      </c>
      <c r="C23" s="29">
        <f t="shared" si="4"/>
        <v>23089.143126575356</v>
      </c>
      <c r="D23" s="29">
        <f t="shared" si="4"/>
        <v>20990.130115068499</v>
      </c>
      <c r="E23" s="29">
        <f t="shared" si="4"/>
        <v>18891.117103561643</v>
      </c>
      <c r="F23" s="29">
        <f t="shared" si="4"/>
        <v>17841.610597808227</v>
      </c>
      <c r="G23" s="29">
        <f t="shared" si="4"/>
        <v>16792.104092054804</v>
      </c>
      <c r="H23" s="29">
        <f t="shared" si="4"/>
        <v>16792.104092054804</v>
      </c>
      <c r="I23" s="29">
        <f t="shared" si="4"/>
        <v>17841.610597808227</v>
      </c>
      <c r="J23" s="29">
        <f t="shared" si="4"/>
        <v>19940.623609315073</v>
      </c>
      <c r="K23" s="29">
        <f t="shared" si="4"/>
        <v>22039.636620821922</v>
      </c>
      <c r="L23" s="29">
        <f t="shared" si="4"/>
        <v>24138.649632328779</v>
      </c>
      <c r="M23" s="29">
        <f t="shared" si="4"/>
        <v>29386.182161095887</v>
      </c>
      <c r="N23" s="29">
        <f t="shared" si="4"/>
        <v>27439.124699109452</v>
      </c>
      <c r="O23" s="29">
        <f t="shared" si="4"/>
        <v>26246.119277409045</v>
      </c>
      <c r="P23" s="29">
        <f t="shared" si="4"/>
        <v>23860.10843400822</v>
      </c>
      <c r="Q23" s="29">
        <f t="shared" si="4"/>
        <v>21474.097590607402</v>
      </c>
      <c r="R23" s="29">
        <f t="shared" si="4"/>
        <v>20281.092168906987</v>
      </c>
      <c r="S23" s="29">
        <f t="shared" si="4"/>
        <v>19088.086747206573</v>
      </c>
      <c r="T23" s="29">
        <f t="shared" si="4"/>
        <v>19088.086747206573</v>
      </c>
      <c r="U23" s="29">
        <f t="shared" si="4"/>
        <v>20281.092168906987</v>
      </c>
      <c r="V23" s="29">
        <f t="shared" si="4"/>
        <v>22667.103012307794</v>
      </c>
      <c r="W23" s="29">
        <f t="shared" si="4"/>
        <v>25053.113855708634</v>
      </c>
      <c r="X23" s="29">
        <f t="shared" si="4"/>
        <v>27439.124699109452</v>
      </c>
      <c r="Y23" s="29">
        <f t="shared" si="4"/>
        <v>33404.151807611503</v>
      </c>
      <c r="Z23" s="29">
        <f t="shared" si="4"/>
        <v>31150.161762525393</v>
      </c>
      <c r="AA23" s="29">
        <f t="shared" si="4"/>
        <v>29795.80690328516</v>
      </c>
      <c r="AB23" s="29">
        <f t="shared" si="4"/>
        <v>27087.09718480469</v>
      </c>
      <c r="AC23" s="29">
        <f t="shared" si="4"/>
        <v>24378.387466324217</v>
      </c>
      <c r="AD23" s="29">
        <f t="shared" si="4"/>
        <v>23024.032607083995</v>
      </c>
      <c r="AE23" s="29">
        <f t="shared" si="4"/>
        <v>21669.677747843743</v>
      </c>
      <c r="AF23" s="29">
        <f t="shared" si="4"/>
        <v>21669.677747843743</v>
      </c>
      <c r="AG23" s="29">
        <f t="shared" si="4"/>
        <v>23024.032607083995</v>
      </c>
      <c r="AH23" s="29">
        <f t="shared" ref="AH23:BM23" si="5">AH10+AH13+AH19-AH16-AH20</f>
        <v>25732.742325564453</v>
      </c>
      <c r="AI23" s="29">
        <f t="shared" si="5"/>
        <v>28441.45204404492</v>
      </c>
      <c r="AJ23" s="29">
        <f t="shared" si="5"/>
        <v>31150.161762525393</v>
      </c>
      <c r="AK23" s="29">
        <f t="shared" si="5"/>
        <v>37921.936058726555</v>
      </c>
      <c r="AL23" s="29">
        <f t="shared" si="5"/>
        <v>34666.204518831728</v>
      </c>
      <c r="AM23" s="29">
        <f t="shared" si="5"/>
        <v>33158.978235404269</v>
      </c>
      <c r="AN23" s="29">
        <f t="shared" si="5"/>
        <v>30144.525668549351</v>
      </c>
      <c r="AO23" s="29">
        <f t="shared" si="5"/>
        <v>27130.07310169439</v>
      </c>
      <c r="AP23" s="29">
        <f t="shared" si="5"/>
        <v>25622.846818266928</v>
      </c>
      <c r="AQ23" s="29">
        <f t="shared" si="5"/>
        <v>24115.620534839472</v>
      </c>
      <c r="AR23" s="29">
        <f t="shared" si="5"/>
        <v>24115.620534839472</v>
      </c>
      <c r="AS23" s="29">
        <f t="shared" si="5"/>
        <v>25622.846818266928</v>
      </c>
      <c r="AT23" s="29">
        <f t="shared" si="5"/>
        <v>28637.299385121874</v>
      </c>
      <c r="AU23" s="29">
        <f t="shared" si="5"/>
        <v>31651.751951976825</v>
      </c>
      <c r="AV23" s="29">
        <f t="shared" si="5"/>
        <v>34666.204518831728</v>
      </c>
      <c r="AW23" s="29">
        <f t="shared" si="5"/>
        <v>42202.335935969066</v>
      </c>
      <c r="AX23" s="29">
        <f t="shared" si="5"/>
        <v>38535.678199389477</v>
      </c>
      <c r="AY23" s="29">
        <f t="shared" si="5"/>
        <v>36860.213929850783</v>
      </c>
      <c r="AZ23" s="29">
        <f t="shared" si="5"/>
        <v>33509.285390773439</v>
      </c>
      <c r="BA23" s="29">
        <f t="shared" si="5"/>
        <v>30158.356851696102</v>
      </c>
      <c r="BB23" s="29">
        <f t="shared" si="5"/>
        <v>28482.89258215743</v>
      </c>
      <c r="BC23" s="29">
        <f t="shared" si="5"/>
        <v>26807.428312618747</v>
      </c>
      <c r="BD23" s="29">
        <f t="shared" si="5"/>
        <v>26807.428312618747</v>
      </c>
      <c r="BE23" s="29">
        <f t="shared" si="5"/>
        <v>28482.89258215743</v>
      </c>
      <c r="BF23" s="29">
        <f t="shared" si="5"/>
        <v>31833.821121234767</v>
      </c>
      <c r="BG23" s="29">
        <f t="shared" si="5"/>
        <v>35184.749660312125</v>
      </c>
      <c r="BH23" s="29">
        <f t="shared" si="5"/>
        <v>38535.678199389477</v>
      </c>
      <c r="BI23" s="29">
        <f t="shared" si="5"/>
        <v>46912.999547082814</v>
      </c>
      <c r="BJ23" s="29">
        <f t="shared" si="5"/>
        <v>41984.71382981506</v>
      </c>
      <c r="BK23" s="29">
        <f t="shared" si="5"/>
        <v>40159.291489388357</v>
      </c>
      <c r="BL23" s="29">
        <f t="shared" si="5"/>
        <v>36508.446808534864</v>
      </c>
      <c r="BM23" s="29">
        <f t="shared" si="5"/>
        <v>32857.602127681355</v>
      </c>
      <c r="BN23" s="29">
        <f t="shared" ref="BN23:CS23" si="6">BN10+BN13+BN19-BN16-BN20</f>
        <v>31032.179787254634</v>
      </c>
      <c r="BO23" s="29">
        <f t="shared" si="6"/>
        <v>29206.757446827894</v>
      </c>
      <c r="BP23" s="29">
        <f t="shared" si="6"/>
        <v>29206.757446827894</v>
      </c>
      <c r="BQ23" s="29">
        <f t="shared" si="6"/>
        <v>31032.179787254634</v>
      </c>
      <c r="BR23" s="29">
        <f t="shared" si="6"/>
        <v>34683.02446810808</v>
      </c>
      <c r="BS23" s="29">
        <f t="shared" si="6"/>
        <v>38333.869148961589</v>
      </c>
      <c r="BT23" s="29">
        <f t="shared" si="6"/>
        <v>41984.71382981506</v>
      </c>
      <c r="BU23" s="29">
        <f t="shared" si="6"/>
        <v>51111.825531948773</v>
      </c>
      <c r="BV23" s="29">
        <f t="shared" si="6"/>
        <v>45697.61304661943</v>
      </c>
      <c r="BW23" s="29">
        <f t="shared" si="6"/>
        <v>43710.760305462056</v>
      </c>
      <c r="BX23" s="29">
        <f t="shared" si="6"/>
        <v>39737.054823147351</v>
      </c>
      <c r="BY23" s="29">
        <f t="shared" si="6"/>
        <v>35763.349340832603</v>
      </c>
      <c r="BZ23" s="29">
        <f t="shared" si="6"/>
        <v>33776.496599675214</v>
      </c>
      <c r="CA23" s="29">
        <f t="shared" si="6"/>
        <v>31789.643858517873</v>
      </c>
      <c r="CB23" s="29">
        <f t="shared" si="6"/>
        <v>31789.643858517873</v>
      </c>
      <c r="CC23" s="29">
        <f t="shared" si="6"/>
        <v>33776.496599675214</v>
      </c>
      <c r="CD23" s="29">
        <f t="shared" si="6"/>
        <v>37750.202081989948</v>
      </c>
      <c r="CE23" s="29">
        <f t="shared" si="6"/>
        <v>41723.907564304682</v>
      </c>
      <c r="CF23" s="29">
        <f t="shared" si="6"/>
        <v>45697.61304661943</v>
      </c>
      <c r="CG23" s="29">
        <f t="shared" si="6"/>
        <v>55631.876752406257</v>
      </c>
      <c r="CH23" s="29">
        <f t="shared" si="6"/>
        <v>49693.2399358943</v>
      </c>
      <c r="CI23" s="29">
        <f t="shared" si="6"/>
        <v>47532.664286507614</v>
      </c>
      <c r="CJ23" s="29">
        <f t="shared" si="6"/>
        <v>43211.512987734168</v>
      </c>
      <c r="CK23" s="29">
        <f t="shared" si="6"/>
        <v>38890.361688960795</v>
      </c>
      <c r="CL23" s="29">
        <f t="shared" si="6"/>
        <v>36729.786039574079</v>
      </c>
      <c r="CM23" s="29">
        <f t="shared" si="6"/>
        <v>34569.210390187349</v>
      </c>
      <c r="CN23" s="29">
        <f t="shared" si="6"/>
        <v>34569.210390187349</v>
      </c>
      <c r="CO23" s="29">
        <f t="shared" si="6"/>
        <v>36729.786039574079</v>
      </c>
      <c r="CP23" s="29">
        <f t="shared" si="6"/>
        <v>41050.937338347489</v>
      </c>
      <c r="CQ23" s="29">
        <f t="shared" si="6"/>
        <v>45372.088637120905</v>
      </c>
      <c r="CR23" s="29">
        <f t="shared" si="6"/>
        <v>49693.2399358943</v>
      </c>
      <c r="CS23" s="29">
        <f t="shared" si="6"/>
        <v>60496.118182827857</v>
      </c>
      <c r="CT23" s="29">
        <f t="shared" ref="CT23:DQ23" si="7">CT10+CT13+CT19-CT16-CT20</f>
        <v>53991.761576989273</v>
      </c>
      <c r="CU23" s="29">
        <f t="shared" si="7"/>
        <v>51644.293682337579</v>
      </c>
      <c r="CV23" s="29">
        <f t="shared" si="7"/>
        <v>46949.357893034161</v>
      </c>
      <c r="CW23" s="29">
        <f t="shared" si="7"/>
        <v>42254.422103730743</v>
      </c>
      <c r="CX23" s="29">
        <f t="shared" si="7"/>
        <v>39906.954209079035</v>
      </c>
      <c r="CY23" s="29">
        <f t="shared" si="7"/>
        <v>37559.486314427319</v>
      </c>
      <c r="CZ23" s="29">
        <f t="shared" si="7"/>
        <v>37559.486314427319</v>
      </c>
      <c r="DA23" s="29">
        <f t="shared" si="7"/>
        <v>39906.954209079035</v>
      </c>
      <c r="DB23" s="29">
        <f t="shared" si="7"/>
        <v>44601.889998382423</v>
      </c>
      <c r="DC23" s="29">
        <f t="shared" si="7"/>
        <v>49296.825787685855</v>
      </c>
      <c r="DD23" s="29">
        <f t="shared" si="7"/>
        <v>53991.761576989273</v>
      </c>
      <c r="DE23" s="29">
        <f t="shared" si="7"/>
        <v>65729.101050247817</v>
      </c>
      <c r="DF23" s="29">
        <f t="shared" si="7"/>
        <v>58614.736358609531</v>
      </c>
      <c r="DG23" s="29">
        <f t="shared" si="7"/>
        <v>56066.269560409128</v>
      </c>
      <c r="DH23" s="29">
        <f t="shared" si="7"/>
        <v>50969.335964008285</v>
      </c>
      <c r="DI23" s="29">
        <f t="shared" si="7"/>
        <v>45872.402367607472</v>
      </c>
      <c r="DJ23" s="29">
        <f t="shared" si="7"/>
        <v>43323.935569407069</v>
      </c>
      <c r="DK23" s="29">
        <f t="shared" si="7"/>
        <v>40775.468771206644</v>
      </c>
      <c r="DL23" s="29">
        <f t="shared" si="7"/>
        <v>40775.468771206644</v>
      </c>
      <c r="DM23" s="29">
        <f t="shared" si="7"/>
        <v>43323.935569407069</v>
      </c>
      <c r="DN23" s="29">
        <f t="shared" si="7"/>
        <v>48420.869165807919</v>
      </c>
      <c r="DO23" s="29">
        <f t="shared" si="7"/>
        <v>53517.802762208725</v>
      </c>
      <c r="DP23" s="29">
        <f t="shared" si="7"/>
        <v>58614.736358609531</v>
      </c>
      <c r="DQ23" s="29">
        <f t="shared" si="7"/>
        <v>71357.070349611662</v>
      </c>
    </row>
    <row r="24" spans="1:121" ht="15" customHeight="1">
      <c r="A24" s="14" t="s">
        <v>493</v>
      </c>
      <c r="B24" s="29">
        <f>B23-Assum_WC!$C$32</f>
        <v>38.649632328779262</v>
      </c>
      <c r="C24" s="29">
        <f t="shared" ref="C24:AH24" si="8">C23-B23</f>
        <v>-1049.506505753423</v>
      </c>
      <c r="D24" s="29">
        <f t="shared" si="8"/>
        <v>-2099.0130115068569</v>
      </c>
      <c r="E24" s="29">
        <f t="shared" si="8"/>
        <v>-2099.0130115068569</v>
      </c>
      <c r="F24" s="29">
        <f t="shared" si="8"/>
        <v>-1049.5065057534157</v>
      </c>
      <c r="G24" s="29">
        <f t="shared" si="8"/>
        <v>-1049.506505753423</v>
      </c>
      <c r="H24" s="29">
        <f t="shared" si="8"/>
        <v>0</v>
      </c>
      <c r="I24" s="29">
        <f t="shared" si="8"/>
        <v>1049.506505753423</v>
      </c>
      <c r="J24" s="29">
        <f t="shared" si="8"/>
        <v>2099.0130115068459</v>
      </c>
      <c r="K24" s="29">
        <f t="shared" si="8"/>
        <v>2099.0130115068496</v>
      </c>
      <c r="L24" s="29">
        <f t="shared" si="8"/>
        <v>2099.0130115068569</v>
      </c>
      <c r="M24" s="29">
        <f t="shared" si="8"/>
        <v>5247.5325287671076</v>
      </c>
      <c r="N24" s="29">
        <f t="shared" si="8"/>
        <v>-1947.0574619864346</v>
      </c>
      <c r="O24" s="29">
        <f t="shared" si="8"/>
        <v>-1193.0054217004072</v>
      </c>
      <c r="P24" s="29">
        <f t="shared" si="8"/>
        <v>-2386.0108434008253</v>
      </c>
      <c r="Q24" s="29">
        <f t="shared" si="8"/>
        <v>-2386.010843400818</v>
      </c>
      <c r="R24" s="29">
        <f t="shared" si="8"/>
        <v>-1193.0054217004144</v>
      </c>
      <c r="S24" s="29">
        <f t="shared" si="8"/>
        <v>-1193.0054217004144</v>
      </c>
      <c r="T24" s="29">
        <f t="shared" si="8"/>
        <v>0</v>
      </c>
      <c r="U24" s="29">
        <f t="shared" si="8"/>
        <v>1193.0054217004144</v>
      </c>
      <c r="V24" s="29">
        <f t="shared" si="8"/>
        <v>2386.0108434008071</v>
      </c>
      <c r="W24" s="29">
        <f t="shared" si="8"/>
        <v>2386.0108434008398</v>
      </c>
      <c r="X24" s="29">
        <f t="shared" si="8"/>
        <v>2386.010843400818</v>
      </c>
      <c r="Y24" s="29">
        <f t="shared" si="8"/>
        <v>5965.0271085020504</v>
      </c>
      <c r="Z24" s="29">
        <f t="shared" si="8"/>
        <v>-2253.9900450861096</v>
      </c>
      <c r="AA24" s="29">
        <f t="shared" si="8"/>
        <v>-1354.3548592402331</v>
      </c>
      <c r="AB24" s="29">
        <f t="shared" si="8"/>
        <v>-2708.7097184804697</v>
      </c>
      <c r="AC24" s="29">
        <f t="shared" si="8"/>
        <v>-2708.7097184804734</v>
      </c>
      <c r="AD24" s="29">
        <f t="shared" si="8"/>
        <v>-1354.3548592402221</v>
      </c>
      <c r="AE24" s="29">
        <f t="shared" si="8"/>
        <v>-1354.3548592402512</v>
      </c>
      <c r="AF24" s="29">
        <f t="shared" si="8"/>
        <v>0</v>
      </c>
      <c r="AG24" s="29">
        <f t="shared" si="8"/>
        <v>1354.3548592402512</v>
      </c>
      <c r="AH24" s="29">
        <f t="shared" si="8"/>
        <v>2708.7097184804588</v>
      </c>
      <c r="AI24" s="29">
        <f t="shared" ref="AI24:BN24" si="9">AI23-AH23</f>
        <v>2708.7097184804661</v>
      </c>
      <c r="AJ24" s="29">
        <f t="shared" si="9"/>
        <v>2708.7097184804734</v>
      </c>
      <c r="AK24" s="29">
        <f t="shared" si="9"/>
        <v>6771.7742962011616</v>
      </c>
      <c r="AL24" s="29">
        <f t="shared" si="9"/>
        <v>-3255.7315398948267</v>
      </c>
      <c r="AM24" s="29">
        <f t="shared" si="9"/>
        <v>-1507.2262834274588</v>
      </c>
      <c r="AN24" s="29">
        <f t="shared" si="9"/>
        <v>-3014.4525668549177</v>
      </c>
      <c r="AO24" s="29">
        <f t="shared" si="9"/>
        <v>-3014.4525668549613</v>
      </c>
      <c r="AP24" s="29">
        <f t="shared" si="9"/>
        <v>-1507.2262834274625</v>
      </c>
      <c r="AQ24" s="29">
        <f t="shared" si="9"/>
        <v>-1507.2262834274552</v>
      </c>
      <c r="AR24" s="29">
        <f t="shared" si="9"/>
        <v>0</v>
      </c>
      <c r="AS24" s="29">
        <f t="shared" si="9"/>
        <v>1507.2262834274552</v>
      </c>
      <c r="AT24" s="29">
        <f t="shared" si="9"/>
        <v>3014.4525668549468</v>
      </c>
      <c r="AU24" s="29">
        <f t="shared" si="9"/>
        <v>3014.4525668549504</v>
      </c>
      <c r="AV24" s="29">
        <f t="shared" si="9"/>
        <v>3014.4525668549031</v>
      </c>
      <c r="AW24" s="29">
        <f t="shared" si="9"/>
        <v>7536.1314171373378</v>
      </c>
      <c r="AX24" s="29">
        <f t="shared" si="9"/>
        <v>-3666.6577365795893</v>
      </c>
      <c r="AY24" s="29">
        <f t="shared" si="9"/>
        <v>-1675.4642695386938</v>
      </c>
      <c r="AZ24" s="29">
        <f t="shared" si="9"/>
        <v>-3350.9285390773439</v>
      </c>
      <c r="BA24" s="29">
        <f t="shared" si="9"/>
        <v>-3350.9285390773366</v>
      </c>
      <c r="BB24" s="29">
        <f t="shared" si="9"/>
        <v>-1675.4642695386719</v>
      </c>
      <c r="BC24" s="29">
        <f t="shared" si="9"/>
        <v>-1675.4642695386829</v>
      </c>
      <c r="BD24" s="29">
        <f t="shared" si="9"/>
        <v>0</v>
      </c>
      <c r="BE24" s="29">
        <f t="shared" si="9"/>
        <v>1675.4642695386829</v>
      </c>
      <c r="BF24" s="29">
        <f t="shared" si="9"/>
        <v>3350.9285390773366</v>
      </c>
      <c r="BG24" s="29">
        <f t="shared" si="9"/>
        <v>3350.9285390773584</v>
      </c>
      <c r="BH24" s="29">
        <f t="shared" si="9"/>
        <v>3350.9285390773512</v>
      </c>
      <c r="BI24" s="29">
        <f t="shared" si="9"/>
        <v>8377.3213476933379</v>
      </c>
      <c r="BJ24" s="29">
        <f t="shared" si="9"/>
        <v>-4928.2857172677541</v>
      </c>
      <c r="BK24" s="29">
        <f t="shared" si="9"/>
        <v>-1825.4223404267032</v>
      </c>
      <c r="BL24" s="29">
        <f t="shared" si="9"/>
        <v>-3650.8446808534936</v>
      </c>
      <c r="BM24" s="29">
        <f t="shared" si="9"/>
        <v>-3650.8446808535082</v>
      </c>
      <c r="BN24" s="29">
        <f t="shared" si="9"/>
        <v>-1825.4223404267213</v>
      </c>
      <c r="BO24" s="29">
        <f t="shared" ref="BO24:CT24" si="10">BO23-BN23</f>
        <v>-1825.4223404267395</v>
      </c>
      <c r="BP24" s="29">
        <f t="shared" si="10"/>
        <v>0</v>
      </c>
      <c r="BQ24" s="29">
        <f t="shared" si="10"/>
        <v>1825.4223404267395</v>
      </c>
      <c r="BR24" s="29">
        <f t="shared" si="10"/>
        <v>3650.8446808534463</v>
      </c>
      <c r="BS24" s="29">
        <f t="shared" si="10"/>
        <v>3650.8446808535082</v>
      </c>
      <c r="BT24" s="29">
        <f t="shared" si="10"/>
        <v>3650.8446808534718</v>
      </c>
      <c r="BU24" s="29">
        <f t="shared" si="10"/>
        <v>9127.1117021337122</v>
      </c>
      <c r="BV24" s="29">
        <f t="shared" si="10"/>
        <v>-5414.2124853293426</v>
      </c>
      <c r="BW24" s="29">
        <f t="shared" si="10"/>
        <v>-1986.8527411573741</v>
      </c>
      <c r="BX24" s="29">
        <f t="shared" si="10"/>
        <v>-3973.7054823147046</v>
      </c>
      <c r="BY24" s="29">
        <f t="shared" si="10"/>
        <v>-3973.7054823147482</v>
      </c>
      <c r="BZ24" s="29">
        <f t="shared" si="10"/>
        <v>-1986.8527411573887</v>
      </c>
      <c r="CA24" s="29">
        <f t="shared" si="10"/>
        <v>-1986.8527411573414</v>
      </c>
      <c r="CB24" s="29">
        <f t="shared" si="10"/>
        <v>0</v>
      </c>
      <c r="CC24" s="29">
        <f t="shared" si="10"/>
        <v>1986.8527411573414</v>
      </c>
      <c r="CD24" s="29">
        <f t="shared" si="10"/>
        <v>3973.7054823147337</v>
      </c>
      <c r="CE24" s="29">
        <f t="shared" si="10"/>
        <v>3973.7054823147337</v>
      </c>
      <c r="CF24" s="29">
        <f t="shared" si="10"/>
        <v>3973.7054823147482</v>
      </c>
      <c r="CG24" s="29">
        <f t="shared" si="10"/>
        <v>9934.2637057868269</v>
      </c>
      <c r="CH24" s="29">
        <f t="shared" si="10"/>
        <v>-5938.6368165119566</v>
      </c>
      <c r="CI24" s="29">
        <f t="shared" si="10"/>
        <v>-2160.5756493866866</v>
      </c>
      <c r="CJ24" s="29">
        <f t="shared" si="10"/>
        <v>-4321.1512987734459</v>
      </c>
      <c r="CK24" s="29">
        <f t="shared" si="10"/>
        <v>-4321.1512987733731</v>
      </c>
      <c r="CL24" s="29">
        <f t="shared" si="10"/>
        <v>-2160.5756493867157</v>
      </c>
      <c r="CM24" s="29">
        <f t="shared" si="10"/>
        <v>-2160.5756493867302</v>
      </c>
      <c r="CN24" s="29">
        <f t="shared" si="10"/>
        <v>0</v>
      </c>
      <c r="CO24" s="29">
        <f t="shared" si="10"/>
        <v>2160.5756493867302</v>
      </c>
      <c r="CP24" s="29">
        <f t="shared" si="10"/>
        <v>4321.1512987734095</v>
      </c>
      <c r="CQ24" s="29">
        <f t="shared" si="10"/>
        <v>4321.1512987734168</v>
      </c>
      <c r="CR24" s="29">
        <f t="shared" si="10"/>
        <v>4321.151298773395</v>
      </c>
      <c r="CS24" s="29">
        <f t="shared" si="10"/>
        <v>10802.878246933557</v>
      </c>
      <c r="CT24" s="29">
        <f t="shared" si="10"/>
        <v>-6504.3566058385841</v>
      </c>
      <c r="CU24" s="29">
        <f t="shared" ref="CU24:DZ24" si="11">CU23-CT23</f>
        <v>-2347.4678946516942</v>
      </c>
      <c r="CV24" s="29">
        <f t="shared" si="11"/>
        <v>-4694.9357893034176</v>
      </c>
      <c r="CW24" s="29">
        <f t="shared" si="11"/>
        <v>-4694.9357893034176</v>
      </c>
      <c r="CX24" s="29">
        <f t="shared" si="11"/>
        <v>-2347.4678946517088</v>
      </c>
      <c r="CY24" s="29">
        <f t="shared" si="11"/>
        <v>-2347.4678946517161</v>
      </c>
      <c r="CZ24" s="29">
        <f t="shared" si="11"/>
        <v>0</v>
      </c>
      <c r="DA24" s="29">
        <f t="shared" si="11"/>
        <v>2347.4678946517161</v>
      </c>
      <c r="DB24" s="29">
        <f t="shared" si="11"/>
        <v>4694.9357893033884</v>
      </c>
      <c r="DC24" s="29">
        <f t="shared" si="11"/>
        <v>4694.9357893034321</v>
      </c>
      <c r="DD24" s="29">
        <f t="shared" si="11"/>
        <v>4694.9357893034176</v>
      </c>
      <c r="DE24" s="29">
        <f t="shared" si="11"/>
        <v>11737.339473258544</v>
      </c>
      <c r="DF24" s="29">
        <f t="shared" si="11"/>
        <v>-7114.3646916382859</v>
      </c>
      <c r="DG24" s="29">
        <f t="shared" si="11"/>
        <v>-2548.466798200403</v>
      </c>
      <c r="DH24" s="29">
        <f t="shared" si="11"/>
        <v>-5096.9335964008424</v>
      </c>
      <c r="DI24" s="29">
        <f t="shared" si="11"/>
        <v>-5096.9335964008133</v>
      </c>
      <c r="DJ24" s="29">
        <f t="shared" si="11"/>
        <v>-2548.466798200403</v>
      </c>
      <c r="DK24" s="29">
        <f t="shared" si="11"/>
        <v>-2548.4667982004248</v>
      </c>
      <c r="DL24" s="29">
        <f t="shared" si="11"/>
        <v>0</v>
      </c>
      <c r="DM24" s="29">
        <f t="shared" si="11"/>
        <v>2548.4667982004248</v>
      </c>
      <c r="DN24" s="29">
        <f t="shared" si="11"/>
        <v>5096.9335964008496</v>
      </c>
      <c r="DO24" s="29">
        <f t="shared" si="11"/>
        <v>5096.933596400806</v>
      </c>
      <c r="DP24" s="29">
        <f t="shared" si="11"/>
        <v>5096.933596400806</v>
      </c>
      <c r="DQ24" s="29">
        <f t="shared" si="11"/>
        <v>12742.333991002131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Q21"/>
  <sheetViews>
    <sheetView zoomScaleNormal="100" workbookViewId="0"/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494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495</v>
      </c>
    </row>
    <row r="7" spans="1:121" ht="15" customHeight="1">
      <c r="A7" t="s">
        <v>496</v>
      </c>
      <c r="B7" s="22">
        <f>Assum_Finance!$C$4/1000</f>
        <v>25000</v>
      </c>
      <c r="C7" s="22">
        <f t="shared" ref="C7:AH7" si="0">B9</f>
        <v>24702.380952380954</v>
      </c>
      <c r="D7" s="22">
        <f t="shared" si="0"/>
        <v>24404.761904761908</v>
      </c>
      <c r="E7" s="22">
        <f t="shared" si="0"/>
        <v>24107.142857142862</v>
      </c>
      <c r="F7" s="22">
        <f t="shared" si="0"/>
        <v>23809.523809523816</v>
      </c>
      <c r="G7" s="22">
        <f t="shared" si="0"/>
        <v>23511.904761904771</v>
      </c>
      <c r="H7" s="22">
        <f t="shared" si="0"/>
        <v>23214.285714285725</v>
      </c>
      <c r="I7" s="22">
        <f t="shared" si="0"/>
        <v>22916.666666666679</v>
      </c>
      <c r="J7" s="22">
        <f t="shared" si="0"/>
        <v>22619.047619047633</v>
      </c>
      <c r="K7" s="22">
        <f t="shared" si="0"/>
        <v>22321.428571428587</v>
      </c>
      <c r="L7" s="22">
        <f t="shared" si="0"/>
        <v>22023.809523809541</v>
      </c>
      <c r="M7" s="22">
        <f t="shared" si="0"/>
        <v>21726.190476190495</v>
      </c>
      <c r="N7" s="22">
        <f t="shared" si="0"/>
        <v>21428.571428571449</v>
      </c>
      <c r="O7" s="22">
        <f t="shared" si="0"/>
        <v>21130.952380952403</v>
      </c>
      <c r="P7" s="22">
        <f t="shared" si="0"/>
        <v>20833.333333333358</v>
      </c>
      <c r="Q7" s="22">
        <f t="shared" si="0"/>
        <v>20535.714285714312</v>
      </c>
      <c r="R7" s="22">
        <f t="shared" si="0"/>
        <v>20238.095238095266</v>
      </c>
      <c r="S7" s="22">
        <f t="shared" si="0"/>
        <v>19940.47619047622</v>
      </c>
      <c r="T7" s="22">
        <f t="shared" si="0"/>
        <v>19642.857142857174</v>
      </c>
      <c r="U7" s="22">
        <f t="shared" si="0"/>
        <v>19345.238095238128</v>
      </c>
      <c r="V7" s="22">
        <f t="shared" si="0"/>
        <v>19047.619047619082</v>
      </c>
      <c r="W7" s="22">
        <f t="shared" si="0"/>
        <v>18750.000000000036</v>
      </c>
      <c r="X7" s="22">
        <f t="shared" si="0"/>
        <v>18452.38095238099</v>
      </c>
      <c r="Y7" s="22">
        <f t="shared" si="0"/>
        <v>18154.761904761945</v>
      </c>
      <c r="Z7" s="22">
        <f t="shared" si="0"/>
        <v>17857.142857142899</v>
      </c>
      <c r="AA7" s="22">
        <f t="shared" si="0"/>
        <v>17559.523809523853</v>
      </c>
      <c r="AB7" s="22">
        <f t="shared" si="0"/>
        <v>17261.904761904807</v>
      </c>
      <c r="AC7" s="22">
        <f t="shared" si="0"/>
        <v>16964.285714285761</v>
      </c>
      <c r="AD7" s="22">
        <f t="shared" si="0"/>
        <v>16666.666666666715</v>
      </c>
      <c r="AE7" s="22">
        <f t="shared" si="0"/>
        <v>16369.047619047667</v>
      </c>
      <c r="AF7" s="22">
        <f t="shared" si="0"/>
        <v>16071.42857142862</v>
      </c>
      <c r="AG7" s="22">
        <f t="shared" si="0"/>
        <v>15773.809523809572</v>
      </c>
      <c r="AH7" s="22">
        <f t="shared" si="0"/>
        <v>15476.190476190524</v>
      </c>
      <c r="AI7" s="22">
        <f t="shared" ref="AI7:BN7" si="1">AH9</f>
        <v>15178.571428571477</v>
      </c>
      <c r="AJ7" s="22">
        <f t="shared" si="1"/>
        <v>14880.952380952429</v>
      </c>
      <c r="AK7" s="22">
        <f t="shared" si="1"/>
        <v>14583.333333333381</v>
      </c>
      <c r="AL7" s="22">
        <f t="shared" si="1"/>
        <v>14285.714285714334</v>
      </c>
      <c r="AM7" s="22">
        <f t="shared" si="1"/>
        <v>13988.095238095286</v>
      </c>
      <c r="AN7" s="22">
        <f t="shared" si="1"/>
        <v>13690.476190476238</v>
      </c>
      <c r="AO7" s="22">
        <f t="shared" si="1"/>
        <v>13392.85714285719</v>
      </c>
      <c r="AP7" s="22">
        <f t="shared" si="1"/>
        <v>13095.238095238143</v>
      </c>
      <c r="AQ7" s="22">
        <f t="shared" si="1"/>
        <v>12797.619047619095</v>
      </c>
      <c r="AR7" s="22">
        <f t="shared" si="1"/>
        <v>12500.000000000047</v>
      </c>
      <c r="AS7" s="22">
        <f t="shared" si="1"/>
        <v>12202.380952381</v>
      </c>
      <c r="AT7" s="22">
        <f t="shared" si="1"/>
        <v>11904.761904761952</v>
      </c>
      <c r="AU7" s="22">
        <f t="shared" si="1"/>
        <v>11607.142857142904</v>
      </c>
      <c r="AV7" s="22">
        <f t="shared" si="1"/>
        <v>11309.523809523856</v>
      </c>
      <c r="AW7" s="22">
        <f t="shared" si="1"/>
        <v>11011.904761904809</v>
      </c>
      <c r="AX7" s="22">
        <f t="shared" si="1"/>
        <v>10714.285714285761</v>
      </c>
      <c r="AY7" s="22">
        <f t="shared" si="1"/>
        <v>10416.666666666713</v>
      </c>
      <c r="AZ7" s="22">
        <f t="shared" si="1"/>
        <v>10119.047619047666</v>
      </c>
      <c r="BA7" s="22">
        <f t="shared" si="1"/>
        <v>9821.4285714286179</v>
      </c>
      <c r="BB7" s="22">
        <f t="shared" si="1"/>
        <v>9523.8095238095702</v>
      </c>
      <c r="BC7" s="22">
        <f t="shared" si="1"/>
        <v>9226.1904761905225</v>
      </c>
      <c r="BD7" s="22">
        <f t="shared" si="1"/>
        <v>8928.5714285714748</v>
      </c>
      <c r="BE7" s="22">
        <f t="shared" si="1"/>
        <v>8630.9523809524271</v>
      </c>
      <c r="BF7" s="22">
        <f t="shared" si="1"/>
        <v>8333.3333333333794</v>
      </c>
      <c r="BG7" s="22">
        <f t="shared" si="1"/>
        <v>8035.7142857143317</v>
      </c>
      <c r="BH7" s="22">
        <f t="shared" si="1"/>
        <v>7738.095238095284</v>
      </c>
      <c r="BI7" s="22">
        <f t="shared" si="1"/>
        <v>7440.4761904762363</v>
      </c>
      <c r="BJ7" s="22">
        <f t="shared" si="1"/>
        <v>7142.8571428571886</v>
      </c>
      <c r="BK7" s="22">
        <f t="shared" si="1"/>
        <v>6845.2380952381409</v>
      </c>
      <c r="BL7" s="22">
        <f t="shared" si="1"/>
        <v>6547.6190476190932</v>
      </c>
      <c r="BM7" s="22">
        <f t="shared" si="1"/>
        <v>6250.0000000000455</v>
      </c>
      <c r="BN7" s="22">
        <f t="shared" si="1"/>
        <v>5952.3809523809978</v>
      </c>
      <c r="BO7" s="22">
        <f t="shared" ref="BO7:CT7" si="2">BN9</f>
        <v>5654.7619047619501</v>
      </c>
      <c r="BP7" s="22">
        <f t="shared" si="2"/>
        <v>5357.1428571429024</v>
      </c>
      <c r="BQ7" s="22">
        <f t="shared" si="2"/>
        <v>5059.5238095238547</v>
      </c>
      <c r="BR7" s="22">
        <f t="shared" si="2"/>
        <v>4761.9047619048069</v>
      </c>
      <c r="BS7" s="22">
        <f t="shared" si="2"/>
        <v>4464.2857142857592</v>
      </c>
      <c r="BT7" s="22">
        <f t="shared" si="2"/>
        <v>4166.6666666667115</v>
      </c>
      <c r="BU7" s="22">
        <f t="shared" si="2"/>
        <v>3869.0476190476638</v>
      </c>
      <c r="BV7" s="22">
        <f t="shared" si="2"/>
        <v>3571.4285714286161</v>
      </c>
      <c r="BW7" s="22">
        <f t="shared" si="2"/>
        <v>3273.8095238095684</v>
      </c>
      <c r="BX7" s="22">
        <f t="shared" si="2"/>
        <v>2976.1904761905207</v>
      </c>
      <c r="BY7" s="22">
        <f t="shared" si="2"/>
        <v>2678.571428571473</v>
      </c>
      <c r="BZ7" s="22">
        <f t="shared" si="2"/>
        <v>2380.9523809524253</v>
      </c>
      <c r="CA7" s="22">
        <f t="shared" si="2"/>
        <v>2083.3333333333776</v>
      </c>
      <c r="CB7" s="22">
        <f t="shared" si="2"/>
        <v>1785.7142857143299</v>
      </c>
      <c r="CC7" s="22">
        <f t="shared" si="2"/>
        <v>1488.0952380952822</v>
      </c>
      <c r="CD7" s="22">
        <f t="shared" si="2"/>
        <v>1190.4761904762345</v>
      </c>
      <c r="CE7" s="22">
        <f t="shared" si="2"/>
        <v>892.85714285718677</v>
      </c>
      <c r="CF7" s="22">
        <f t="shared" si="2"/>
        <v>595.23809523813907</v>
      </c>
      <c r="CG7" s="22">
        <f t="shared" si="2"/>
        <v>297.61904761909142</v>
      </c>
      <c r="CH7" s="22">
        <f t="shared" si="2"/>
        <v>4.3769432522822171E-11</v>
      </c>
      <c r="CI7" s="22">
        <f t="shared" si="2"/>
        <v>0</v>
      </c>
      <c r="CJ7" s="22">
        <f t="shared" si="2"/>
        <v>0</v>
      </c>
      <c r="CK7" s="22">
        <f t="shared" si="2"/>
        <v>0</v>
      </c>
      <c r="CL7" s="22">
        <f t="shared" si="2"/>
        <v>0</v>
      </c>
      <c r="CM7" s="22">
        <f t="shared" si="2"/>
        <v>0</v>
      </c>
      <c r="CN7" s="22">
        <f t="shared" si="2"/>
        <v>0</v>
      </c>
      <c r="CO7" s="22">
        <f t="shared" si="2"/>
        <v>0</v>
      </c>
      <c r="CP7" s="22">
        <f t="shared" si="2"/>
        <v>0</v>
      </c>
      <c r="CQ7" s="22">
        <f t="shared" si="2"/>
        <v>0</v>
      </c>
      <c r="CR7" s="22">
        <f t="shared" si="2"/>
        <v>0</v>
      </c>
      <c r="CS7" s="22">
        <f t="shared" si="2"/>
        <v>0</v>
      </c>
      <c r="CT7" s="22">
        <f t="shared" si="2"/>
        <v>0</v>
      </c>
      <c r="CU7" s="22">
        <f t="shared" ref="CU7:DQ7" si="3">CT9</f>
        <v>0</v>
      </c>
      <c r="CV7" s="22">
        <f t="shared" si="3"/>
        <v>0</v>
      </c>
      <c r="CW7" s="22">
        <f t="shared" si="3"/>
        <v>0</v>
      </c>
      <c r="CX7" s="22">
        <f t="shared" si="3"/>
        <v>0</v>
      </c>
      <c r="CY7" s="22">
        <f t="shared" si="3"/>
        <v>0</v>
      </c>
      <c r="CZ7" s="22">
        <f t="shared" si="3"/>
        <v>0</v>
      </c>
      <c r="DA7" s="22">
        <f t="shared" si="3"/>
        <v>0</v>
      </c>
      <c r="DB7" s="22">
        <f t="shared" si="3"/>
        <v>0</v>
      </c>
      <c r="DC7" s="22">
        <f t="shared" si="3"/>
        <v>0</v>
      </c>
      <c r="DD7" s="22">
        <f t="shared" si="3"/>
        <v>0</v>
      </c>
      <c r="DE7" s="22">
        <f t="shared" si="3"/>
        <v>0</v>
      </c>
      <c r="DF7" s="22">
        <f t="shared" si="3"/>
        <v>0</v>
      </c>
      <c r="DG7" s="22">
        <f t="shared" si="3"/>
        <v>0</v>
      </c>
      <c r="DH7" s="22">
        <f t="shared" si="3"/>
        <v>0</v>
      </c>
      <c r="DI7" s="22">
        <f t="shared" si="3"/>
        <v>0</v>
      </c>
      <c r="DJ7" s="22">
        <f t="shared" si="3"/>
        <v>0</v>
      </c>
      <c r="DK7" s="22">
        <f t="shared" si="3"/>
        <v>0</v>
      </c>
      <c r="DL7" s="22">
        <f t="shared" si="3"/>
        <v>0</v>
      </c>
      <c r="DM7" s="22">
        <f t="shared" si="3"/>
        <v>0</v>
      </c>
      <c r="DN7" s="22">
        <f t="shared" si="3"/>
        <v>0</v>
      </c>
      <c r="DO7" s="22">
        <f t="shared" si="3"/>
        <v>0</v>
      </c>
      <c r="DP7" s="22">
        <f t="shared" si="3"/>
        <v>0</v>
      </c>
      <c r="DQ7" s="22">
        <f t="shared" si="3"/>
        <v>0</v>
      </c>
    </row>
    <row r="8" spans="1:121" ht="15" customHeight="1">
      <c r="A8" t="s">
        <v>497</v>
      </c>
      <c r="B8" s="22">
        <f>MIN(B7,Assum_Finance!$C$7/12/1000)</f>
        <v>297.61904761904765</v>
      </c>
      <c r="C8" s="22">
        <f>MIN(C7,Assum_Finance!$C$7/12/1000)</f>
        <v>297.61904761904765</v>
      </c>
      <c r="D8" s="22">
        <f>MIN(D7,Assum_Finance!$C$7/12/1000)</f>
        <v>297.61904761904765</v>
      </c>
      <c r="E8" s="22">
        <f>MIN(E7,Assum_Finance!$C$7/12/1000)</f>
        <v>297.61904761904765</v>
      </c>
      <c r="F8" s="22">
        <f>MIN(F7,Assum_Finance!$C$7/12/1000)</f>
        <v>297.61904761904765</v>
      </c>
      <c r="G8" s="22">
        <f>MIN(G7,Assum_Finance!$C$7/12/1000)</f>
        <v>297.61904761904765</v>
      </c>
      <c r="H8" s="22">
        <f>MIN(H7,Assum_Finance!$C$7/12/1000)</f>
        <v>297.61904761904765</v>
      </c>
      <c r="I8" s="22">
        <f>MIN(I7,Assum_Finance!$C$7/12/1000)</f>
        <v>297.61904761904765</v>
      </c>
      <c r="J8" s="22">
        <f>MIN(J7,Assum_Finance!$C$7/12/1000)</f>
        <v>297.61904761904765</v>
      </c>
      <c r="K8" s="22">
        <f>MIN(K7,Assum_Finance!$C$7/12/1000)</f>
        <v>297.61904761904765</v>
      </c>
      <c r="L8" s="22">
        <f>MIN(L7,Assum_Finance!$C$7/12/1000)</f>
        <v>297.61904761904765</v>
      </c>
      <c r="M8" s="22">
        <f>MIN(M7,Assum_Finance!$C$7/12/1000)</f>
        <v>297.61904761904765</v>
      </c>
      <c r="N8" s="22">
        <f>MIN(N7,Assum_Finance!$C$7/12/1000)</f>
        <v>297.61904761904765</v>
      </c>
      <c r="O8" s="22">
        <f>MIN(O7,Assum_Finance!$C$7/12/1000)</f>
        <v>297.61904761904765</v>
      </c>
      <c r="P8" s="22">
        <f>MIN(P7,Assum_Finance!$C$7/12/1000)</f>
        <v>297.61904761904765</v>
      </c>
      <c r="Q8" s="22">
        <f>MIN(Q7,Assum_Finance!$C$7/12/1000)</f>
        <v>297.61904761904765</v>
      </c>
      <c r="R8" s="22">
        <f>MIN(R7,Assum_Finance!$C$7/12/1000)</f>
        <v>297.61904761904765</v>
      </c>
      <c r="S8" s="22">
        <f>MIN(S7,Assum_Finance!$C$7/12/1000)</f>
        <v>297.61904761904765</v>
      </c>
      <c r="T8" s="22">
        <f>MIN(T7,Assum_Finance!$C$7/12/1000)</f>
        <v>297.61904761904765</v>
      </c>
      <c r="U8" s="22">
        <f>MIN(U7,Assum_Finance!$C$7/12/1000)</f>
        <v>297.61904761904765</v>
      </c>
      <c r="V8" s="22">
        <f>MIN(V7,Assum_Finance!$C$7/12/1000)</f>
        <v>297.61904761904765</v>
      </c>
      <c r="W8" s="22">
        <f>MIN(W7,Assum_Finance!$C$7/12/1000)</f>
        <v>297.61904761904765</v>
      </c>
      <c r="X8" s="22">
        <f>MIN(X7,Assum_Finance!$C$7/12/1000)</f>
        <v>297.61904761904765</v>
      </c>
      <c r="Y8" s="22">
        <f>MIN(Y7,Assum_Finance!$C$7/12/1000)</f>
        <v>297.61904761904765</v>
      </c>
      <c r="Z8" s="22">
        <f>MIN(Z7,Assum_Finance!$C$7/12/1000)</f>
        <v>297.61904761904765</v>
      </c>
      <c r="AA8" s="22">
        <f>MIN(AA7,Assum_Finance!$C$7/12/1000)</f>
        <v>297.61904761904765</v>
      </c>
      <c r="AB8" s="22">
        <f>MIN(AB7,Assum_Finance!$C$7/12/1000)</f>
        <v>297.61904761904765</v>
      </c>
      <c r="AC8" s="22">
        <f>MIN(AC7,Assum_Finance!$C$7/12/1000)</f>
        <v>297.61904761904765</v>
      </c>
      <c r="AD8" s="22">
        <f>MIN(AD7,Assum_Finance!$C$7/12/1000)</f>
        <v>297.61904761904765</v>
      </c>
      <c r="AE8" s="22">
        <f>MIN(AE7,Assum_Finance!$C$7/12/1000)</f>
        <v>297.61904761904765</v>
      </c>
      <c r="AF8" s="22">
        <f>MIN(AF7,Assum_Finance!$C$7/12/1000)</f>
        <v>297.61904761904765</v>
      </c>
      <c r="AG8" s="22">
        <f>MIN(AG7,Assum_Finance!$C$7/12/1000)</f>
        <v>297.61904761904765</v>
      </c>
      <c r="AH8" s="22">
        <f>MIN(AH7,Assum_Finance!$C$7/12/1000)</f>
        <v>297.61904761904765</v>
      </c>
      <c r="AI8" s="22">
        <f>MIN(AI7,Assum_Finance!$C$7/12/1000)</f>
        <v>297.61904761904765</v>
      </c>
      <c r="AJ8" s="22">
        <f>MIN(AJ7,Assum_Finance!$C$7/12/1000)</f>
        <v>297.61904761904765</v>
      </c>
      <c r="AK8" s="22">
        <f>MIN(AK7,Assum_Finance!$C$7/12/1000)</f>
        <v>297.61904761904765</v>
      </c>
      <c r="AL8" s="22">
        <f>MIN(AL7,Assum_Finance!$C$7/12/1000)</f>
        <v>297.61904761904765</v>
      </c>
      <c r="AM8" s="22">
        <f>MIN(AM7,Assum_Finance!$C$7/12/1000)</f>
        <v>297.61904761904765</v>
      </c>
      <c r="AN8" s="22">
        <f>MIN(AN7,Assum_Finance!$C$7/12/1000)</f>
        <v>297.61904761904765</v>
      </c>
      <c r="AO8" s="22">
        <f>MIN(AO7,Assum_Finance!$C$7/12/1000)</f>
        <v>297.61904761904765</v>
      </c>
      <c r="AP8" s="22">
        <f>MIN(AP7,Assum_Finance!$C$7/12/1000)</f>
        <v>297.61904761904765</v>
      </c>
      <c r="AQ8" s="22">
        <f>MIN(AQ7,Assum_Finance!$C$7/12/1000)</f>
        <v>297.61904761904765</v>
      </c>
      <c r="AR8" s="22">
        <f>MIN(AR7,Assum_Finance!$C$7/12/1000)</f>
        <v>297.61904761904765</v>
      </c>
      <c r="AS8" s="22">
        <f>MIN(AS7,Assum_Finance!$C$7/12/1000)</f>
        <v>297.61904761904765</v>
      </c>
      <c r="AT8" s="22">
        <f>MIN(AT7,Assum_Finance!$C$7/12/1000)</f>
        <v>297.61904761904765</v>
      </c>
      <c r="AU8" s="22">
        <f>MIN(AU7,Assum_Finance!$C$7/12/1000)</f>
        <v>297.61904761904765</v>
      </c>
      <c r="AV8" s="22">
        <f>MIN(AV7,Assum_Finance!$C$7/12/1000)</f>
        <v>297.61904761904765</v>
      </c>
      <c r="AW8" s="22">
        <f>MIN(AW7,Assum_Finance!$C$7/12/1000)</f>
        <v>297.61904761904765</v>
      </c>
      <c r="AX8" s="22">
        <f>MIN(AX7,Assum_Finance!$C$7/12/1000)</f>
        <v>297.61904761904765</v>
      </c>
      <c r="AY8" s="22">
        <f>MIN(AY7,Assum_Finance!$C$7/12/1000)</f>
        <v>297.61904761904765</v>
      </c>
      <c r="AZ8" s="22">
        <f>MIN(AZ7,Assum_Finance!$C$7/12/1000)</f>
        <v>297.61904761904765</v>
      </c>
      <c r="BA8" s="22">
        <f>MIN(BA7,Assum_Finance!$C$7/12/1000)</f>
        <v>297.61904761904765</v>
      </c>
      <c r="BB8" s="22">
        <f>MIN(BB7,Assum_Finance!$C$7/12/1000)</f>
        <v>297.61904761904765</v>
      </c>
      <c r="BC8" s="22">
        <f>MIN(BC7,Assum_Finance!$C$7/12/1000)</f>
        <v>297.61904761904765</v>
      </c>
      <c r="BD8" s="22">
        <f>MIN(BD7,Assum_Finance!$C$7/12/1000)</f>
        <v>297.61904761904765</v>
      </c>
      <c r="BE8" s="22">
        <f>MIN(BE7,Assum_Finance!$C$7/12/1000)</f>
        <v>297.61904761904765</v>
      </c>
      <c r="BF8" s="22">
        <f>MIN(BF7,Assum_Finance!$C$7/12/1000)</f>
        <v>297.61904761904765</v>
      </c>
      <c r="BG8" s="22">
        <f>MIN(BG7,Assum_Finance!$C$7/12/1000)</f>
        <v>297.61904761904765</v>
      </c>
      <c r="BH8" s="22">
        <f>MIN(BH7,Assum_Finance!$C$7/12/1000)</f>
        <v>297.61904761904765</v>
      </c>
      <c r="BI8" s="22">
        <f>MIN(BI7,Assum_Finance!$C$7/12/1000)</f>
        <v>297.61904761904765</v>
      </c>
      <c r="BJ8" s="22">
        <f>MIN(BJ7,Assum_Finance!$C$7/12/1000)</f>
        <v>297.61904761904765</v>
      </c>
      <c r="BK8" s="22">
        <f>MIN(BK7,Assum_Finance!$C$7/12/1000)</f>
        <v>297.61904761904765</v>
      </c>
      <c r="BL8" s="22">
        <f>MIN(BL7,Assum_Finance!$C$7/12/1000)</f>
        <v>297.61904761904765</v>
      </c>
      <c r="BM8" s="22">
        <f>MIN(BM7,Assum_Finance!$C$7/12/1000)</f>
        <v>297.61904761904765</v>
      </c>
      <c r="BN8" s="22">
        <f>MIN(BN7,Assum_Finance!$C$7/12/1000)</f>
        <v>297.61904761904765</v>
      </c>
      <c r="BO8" s="22">
        <f>MIN(BO7,Assum_Finance!$C$7/12/1000)</f>
        <v>297.61904761904765</v>
      </c>
      <c r="BP8" s="22">
        <f>MIN(BP7,Assum_Finance!$C$7/12/1000)</f>
        <v>297.61904761904765</v>
      </c>
      <c r="BQ8" s="22">
        <f>MIN(BQ7,Assum_Finance!$C$7/12/1000)</f>
        <v>297.61904761904765</v>
      </c>
      <c r="BR8" s="22">
        <f>MIN(BR7,Assum_Finance!$C$7/12/1000)</f>
        <v>297.61904761904765</v>
      </c>
      <c r="BS8" s="22">
        <f>MIN(BS7,Assum_Finance!$C$7/12/1000)</f>
        <v>297.61904761904765</v>
      </c>
      <c r="BT8" s="22">
        <f>MIN(BT7,Assum_Finance!$C$7/12/1000)</f>
        <v>297.61904761904765</v>
      </c>
      <c r="BU8" s="22">
        <f>MIN(BU7,Assum_Finance!$C$7/12/1000)</f>
        <v>297.61904761904765</v>
      </c>
      <c r="BV8" s="22">
        <f>MIN(BV7,Assum_Finance!$C$7/12/1000)</f>
        <v>297.61904761904765</v>
      </c>
      <c r="BW8" s="22">
        <f>MIN(BW7,Assum_Finance!$C$7/12/1000)</f>
        <v>297.61904761904765</v>
      </c>
      <c r="BX8" s="22">
        <f>MIN(BX7,Assum_Finance!$C$7/12/1000)</f>
        <v>297.61904761904765</v>
      </c>
      <c r="BY8" s="22">
        <f>MIN(BY7,Assum_Finance!$C$7/12/1000)</f>
        <v>297.61904761904765</v>
      </c>
      <c r="BZ8" s="22">
        <f>MIN(BZ7,Assum_Finance!$C$7/12/1000)</f>
        <v>297.61904761904765</v>
      </c>
      <c r="CA8" s="22">
        <f>MIN(CA7,Assum_Finance!$C$7/12/1000)</f>
        <v>297.61904761904765</v>
      </c>
      <c r="CB8" s="22">
        <f>MIN(CB7,Assum_Finance!$C$7/12/1000)</f>
        <v>297.61904761904765</v>
      </c>
      <c r="CC8" s="22">
        <f>MIN(CC7,Assum_Finance!$C$7/12/1000)</f>
        <v>297.61904761904765</v>
      </c>
      <c r="CD8" s="22">
        <f>MIN(CD7,Assum_Finance!$C$7/12/1000)</f>
        <v>297.61904761904765</v>
      </c>
      <c r="CE8" s="22">
        <f>MIN(CE7,Assum_Finance!$C$7/12/1000)</f>
        <v>297.61904761904765</v>
      </c>
      <c r="CF8" s="22">
        <f>MIN(CF7,Assum_Finance!$C$7/12/1000)</f>
        <v>297.61904761904765</v>
      </c>
      <c r="CG8" s="22">
        <f>MIN(CG7,Assum_Finance!$C$7/12/1000)</f>
        <v>297.61904761904765</v>
      </c>
      <c r="CH8" s="22">
        <f>MIN(CH7,Assum_Finance!$C$7/12/1000)</f>
        <v>4.3769432522822171E-11</v>
      </c>
      <c r="CI8" s="22">
        <f>MIN(CI7,Assum_Finance!$C$7/12/1000)</f>
        <v>0</v>
      </c>
      <c r="CJ8" s="22">
        <f>MIN(CJ7,Assum_Finance!$C$7/12/1000)</f>
        <v>0</v>
      </c>
      <c r="CK8" s="22">
        <f>MIN(CK7,Assum_Finance!$C$7/12/1000)</f>
        <v>0</v>
      </c>
      <c r="CL8" s="22">
        <f>MIN(CL7,Assum_Finance!$C$7/12/1000)</f>
        <v>0</v>
      </c>
      <c r="CM8" s="22">
        <f>MIN(CM7,Assum_Finance!$C$7/12/1000)</f>
        <v>0</v>
      </c>
      <c r="CN8" s="22">
        <f>MIN(CN7,Assum_Finance!$C$7/12/1000)</f>
        <v>0</v>
      </c>
      <c r="CO8" s="22">
        <f>MIN(CO7,Assum_Finance!$C$7/12/1000)</f>
        <v>0</v>
      </c>
      <c r="CP8" s="22">
        <f>MIN(CP7,Assum_Finance!$C$7/12/1000)</f>
        <v>0</v>
      </c>
      <c r="CQ8" s="22">
        <f>MIN(CQ7,Assum_Finance!$C$7/12/1000)</f>
        <v>0</v>
      </c>
      <c r="CR8" s="22">
        <f>MIN(CR7,Assum_Finance!$C$7/12/1000)</f>
        <v>0</v>
      </c>
      <c r="CS8" s="22">
        <f>MIN(CS7,Assum_Finance!$C$7/12/1000)</f>
        <v>0</v>
      </c>
      <c r="CT8" s="22">
        <f>MIN(CT7,Assum_Finance!$C$7/12/1000)</f>
        <v>0</v>
      </c>
      <c r="CU8" s="22">
        <f>MIN(CU7,Assum_Finance!$C$7/12/1000)</f>
        <v>0</v>
      </c>
      <c r="CV8" s="22">
        <f>MIN(CV7,Assum_Finance!$C$7/12/1000)</f>
        <v>0</v>
      </c>
      <c r="CW8" s="22">
        <f>MIN(CW7,Assum_Finance!$C$7/12/1000)</f>
        <v>0</v>
      </c>
      <c r="CX8" s="22">
        <f>MIN(CX7,Assum_Finance!$C$7/12/1000)</f>
        <v>0</v>
      </c>
      <c r="CY8" s="22">
        <f>MIN(CY7,Assum_Finance!$C$7/12/1000)</f>
        <v>0</v>
      </c>
      <c r="CZ8" s="22">
        <f>MIN(CZ7,Assum_Finance!$C$7/12/1000)</f>
        <v>0</v>
      </c>
      <c r="DA8" s="22">
        <f>MIN(DA7,Assum_Finance!$C$7/12/1000)</f>
        <v>0</v>
      </c>
      <c r="DB8" s="22">
        <f>MIN(DB7,Assum_Finance!$C$7/12/1000)</f>
        <v>0</v>
      </c>
      <c r="DC8" s="22">
        <f>MIN(DC7,Assum_Finance!$C$7/12/1000)</f>
        <v>0</v>
      </c>
      <c r="DD8" s="22">
        <f>MIN(DD7,Assum_Finance!$C$7/12/1000)</f>
        <v>0</v>
      </c>
      <c r="DE8" s="22">
        <f>MIN(DE7,Assum_Finance!$C$7/12/1000)</f>
        <v>0</v>
      </c>
      <c r="DF8" s="22">
        <f>MIN(DF7,Assum_Finance!$C$7/12/1000)</f>
        <v>0</v>
      </c>
      <c r="DG8" s="22">
        <f>MIN(DG7,Assum_Finance!$C$7/12/1000)</f>
        <v>0</v>
      </c>
      <c r="DH8" s="22">
        <f>MIN(DH7,Assum_Finance!$C$7/12/1000)</f>
        <v>0</v>
      </c>
      <c r="DI8" s="22">
        <f>MIN(DI7,Assum_Finance!$C$7/12/1000)</f>
        <v>0</v>
      </c>
      <c r="DJ8" s="22">
        <f>MIN(DJ7,Assum_Finance!$C$7/12/1000)</f>
        <v>0</v>
      </c>
      <c r="DK8" s="22">
        <f>MIN(DK7,Assum_Finance!$C$7/12/1000)</f>
        <v>0</v>
      </c>
      <c r="DL8" s="22">
        <f>MIN(DL7,Assum_Finance!$C$7/12/1000)</f>
        <v>0</v>
      </c>
      <c r="DM8" s="22">
        <f>MIN(DM7,Assum_Finance!$C$7/12/1000)</f>
        <v>0</v>
      </c>
      <c r="DN8" s="22">
        <f>MIN(DN7,Assum_Finance!$C$7/12/1000)</f>
        <v>0</v>
      </c>
      <c r="DO8" s="22">
        <f>MIN(DO7,Assum_Finance!$C$7/12/1000)</f>
        <v>0</v>
      </c>
      <c r="DP8" s="22">
        <f>MIN(DP7,Assum_Finance!$C$7/12/1000)</f>
        <v>0</v>
      </c>
      <c r="DQ8" s="22">
        <f>MIN(DQ7,Assum_Finance!$C$7/12/1000)</f>
        <v>0</v>
      </c>
    </row>
    <row r="9" spans="1:121" ht="15" customHeight="1">
      <c r="A9" s="14" t="s">
        <v>498</v>
      </c>
      <c r="B9" s="29">
        <f t="shared" ref="B9:AG9" si="4">B7-B8</f>
        <v>24702.380952380954</v>
      </c>
      <c r="C9" s="29">
        <f t="shared" si="4"/>
        <v>24404.761904761908</v>
      </c>
      <c r="D9" s="29">
        <f t="shared" si="4"/>
        <v>24107.142857142862</v>
      </c>
      <c r="E9" s="29">
        <f t="shared" si="4"/>
        <v>23809.523809523816</v>
      </c>
      <c r="F9" s="29">
        <f t="shared" si="4"/>
        <v>23511.904761904771</v>
      </c>
      <c r="G9" s="29">
        <f t="shared" si="4"/>
        <v>23214.285714285725</v>
      </c>
      <c r="H9" s="29">
        <f t="shared" si="4"/>
        <v>22916.666666666679</v>
      </c>
      <c r="I9" s="29">
        <f t="shared" si="4"/>
        <v>22619.047619047633</v>
      </c>
      <c r="J9" s="29">
        <f t="shared" si="4"/>
        <v>22321.428571428587</v>
      </c>
      <c r="K9" s="29">
        <f t="shared" si="4"/>
        <v>22023.809523809541</v>
      </c>
      <c r="L9" s="29">
        <f t="shared" si="4"/>
        <v>21726.190476190495</v>
      </c>
      <c r="M9" s="29">
        <f t="shared" si="4"/>
        <v>21428.571428571449</v>
      </c>
      <c r="N9" s="29">
        <f t="shared" si="4"/>
        <v>21130.952380952403</v>
      </c>
      <c r="O9" s="29">
        <f t="shared" si="4"/>
        <v>20833.333333333358</v>
      </c>
      <c r="P9" s="29">
        <f t="shared" si="4"/>
        <v>20535.714285714312</v>
      </c>
      <c r="Q9" s="29">
        <f t="shared" si="4"/>
        <v>20238.095238095266</v>
      </c>
      <c r="R9" s="29">
        <f t="shared" si="4"/>
        <v>19940.47619047622</v>
      </c>
      <c r="S9" s="29">
        <f t="shared" si="4"/>
        <v>19642.857142857174</v>
      </c>
      <c r="T9" s="29">
        <f t="shared" si="4"/>
        <v>19345.238095238128</v>
      </c>
      <c r="U9" s="29">
        <f t="shared" si="4"/>
        <v>19047.619047619082</v>
      </c>
      <c r="V9" s="29">
        <f t="shared" si="4"/>
        <v>18750.000000000036</v>
      </c>
      <c r="W9" s="29">
        <f t="shared" si="4"/>
        <v>18452.38095238099</v>
      </c>
      <c r="X9" s="29">
        <f t="shared" si="4"/>
        <v>18154.761904761945</v>
      </c>
      <c r="Y9" s="29">
        <f t="shared" si="4"/>
        <v>17857.142857142899</v>
      </c>
      <c r="Z9" s="29">
        <f t="shared" si="4"/>
        <v>17559.523809523853</v>
      </c>
      <c r="AA9" s="29">
        <f t="shared" si="4"/>
        <v>17261.904761904807</v>
      </c>
      <c r="AB9" s="29">
        <f t="shared" si="4"/>
        <v>16964.285714285761</v>
      </c>
      <c r="AC9" s="29">
        <f t="shared" si="4"/>
        <v>16666.666666666715</v>
      </c>
      <c r="AD9" s="29">
        <f t="shared" si="4"/>
        <v>16369.047619047667</v>
      </c>
      <c r="AE9" s="29">
        <f t="shared" si="4"/>
        <v>16071.42857142862</v>
      </c>
      <c r="AF9" s="29">
        <f t="shared" si="4"/>
        <v>15773.809523809572</v>
      </c>
      <c r="AG9" s="29">
        <f t="shared" si="4"/>
        <v>15476.190476190524</v>
      </c>
      <c r="AH9" s="29">
        <f t="shared" ref="AH9:BM9" si="5">AH7-AH8</f>
        <v>15178.571428571477</v>
      </c>
      <c r="AI9" s="29">
        <f t="shared" si="5"/>
        <v>14880.952380952429</v>
      </c>
      <c r="AJ9" s="29">
        <f t="shared" si="5"/>
        <v>14583.333333333381</v>
      </c>
      <c r="AK9" s="29">
        <f t="shared" si="5"/>
        <v>14285.714285714334</v>
      </c>
      <c r="AL9" s="29">
        <f t="shared" si="5"/>
        <v>13988.095238095286</v>
      </c>
      <c r="AM9" s="29">
        <f t="shared" si="5"/>
        <v>13690.476190476238</v>
      </c>
      <c r="AN9" s="29">
        <f t="shared" si="5"/>
        <v>13392.85714285719</v>
      </c>
      <c r="AO9" s="29">
        <f t="shared" si="5"/>
        <v>13095.238095238143</v>
      </c>
      <c r="AP9" s="29">
        <f t="shared" si="5"/>
        <v>12797.619047619095</v>
      </c>
      <c r="AQ9" s="29">
        <f t="shared" si="5"/>
        <v>12500.000000000047</v>
      </c>
      <c r="AR9" s="29">
        <f t="shared" si="5"/>
        <v>12202.380952381</v>
      </c>
      <c r="AS9" s="29">
        <f t="shared" si="5"/>
        <v>11904.761904761952</v>
      </c>
      <c r="AT9" s="29">
        <f t="shared" si="5"/>
        <v>11607.142857142904</v>
      </c>
      <c r="AU9" s="29">
        <f t="shared" si="5"/>
        <v>11309.523809523856</v>
      </c>
      <c r="AV9" s="29">
        <f t="shared" si="5"/>
        <v>11011.904761904809</v>
      </c>
      <c r="AW9" s="29">
        <f t="shared" si="5"/>
        <v>10714.285714285761</v>
      </c>
      <c r="AX9" s="29">
        <f t="shared" si="5"/>
        <v>10416.666666666713</v>
      </c>
      <c r="AY9" s="29">
        <f t="shared" si="5"/>
        <v>10119.047619047666</v>
      </c>
      <c r="AZ9" s="29">
        <f t="shared" si="5"/>
        <v>9821.4285714286179</v>
      </c>
      <c r="BA9" s="29">
        <f t="shared" si="5"/>
        <v>9523.8095238095702</v>
      </c>
      <c r="BB9" s="29">
        <f t="shared" si="5"/>
        <v>9226.1904761905225</v>
      </c>
      <c r="BC9" s="29">
        <f t="shared" si="5"/>
        <v>8928.5714285714748</v>
      </c>
      <c r="BD9" s="29">
        <f t="shared" si="5"/>
        <v>8630.9523809524271</v>
      </c>
      <c r="BE9" s="29">
        <f t="shared" si="5"/>
        <v>8333.3333333333794</v>
      </c>
      <c r="BF9" s="29">
        <f t="shared" si="5"/>
        <v>8035.7142857143317</v>
      </c>
      <c r="BG9" s="29">
        <f t="shared" si="5"/>
        <v>7738.095238095284</v>
      </c>
      <c r="BH9" s="29">
        <f t="shared" si="5"/>
        <v>7440.4761904762363</v>
      </c>
      <c r="BI9" s="29">
        <f t="shared" si="5"/>
        <v>7142.8571428571886</v>
      </c>
      <c r="BJ9" s="29">
        <f t="shared" si="5"/>
        <v>6845.2380952381409</v>
      </c>
      <c r="BK9" s="29">
        <f t="shared" si="5"/>
        <v>6547.6190476190932</v>
      </c>
      <c r="BL9" s="29">
        <f t="shared" si="5"/>
        <v>6250.0000000000455</v>
      </c>
      <c r="BM9" s="29">
        <f t="shared" si="5"/>
        <v>5952.3809523809978</v>
      </c>
      <c r="BN9" s="29">
        <f t="shared" ref="BN9:CS9" si="6">BN7-BN8</f>
        <v>5654.7619047619501</v>
      </c>
      <c r="BO9" s="29">
        <f t="shared" si="6"/>
        <v>5357.1428571429024</v>
      </c>
      <c r="BP9" s="29">
        <f t="shared" si="6"/>
        <v>5059.5238095238547</v>
      </c>
      <c r="BQ9" s="29">
        <f t="shared" si="6"/>
        <v>4761.9047619048069</v>
      </c>
      <c r="BR9" s="29">
        <f t="shared" si="6"/>
        <v>4464.2857142857592</v>
      </c>
      <c r="BS9" s="29">
        <f t="shared" si="6"/>
        <v>4166.6666666667115</v>
      </c>
      <c r="BT9" s="29">
        <f t="shared" si="6"/>
        <v>3869.0476190476638</v>
      </c>
      <c r="BU9" s="29">
        <f t="shared" si="6"/>
        <v>3571.4285714286161</v>
      </c>
      <c r="BV9" s="29">
        <f t="shared" si="6"/>
        <v>3273.8095238095684</v>
      </c>
      <c r="BW9" s="29">
        <f t="shared" si="6"/>
        <v>2976.1904761905207</v>
      </c>
      <c r="BX9" s="29">
        <f t="shared" si="6"/>
        <v>2678.571428571473</v>
      </c>
      <c r="BY9" s="29">
        <f t="shared" si="6"/>
        <v>2380.9523809524253</v>
      </c>
      <c r="BZ9" s="29">
        <f t="shared" si="6"/>
        <v>2083.3333333333776</v>
      </c>
      <c r="CA9" s="29">
        <f t="shared" si="6"/>
        <v>1785.7142857143299</v>
      </c>
      <c r="CB9" s="29">
        <f t="shared" si="6"/>
        <v>1488.0952380952822</v>
      </c>
      <c r="CC9" s="29">
        <f t="shared" si="6"/>
        <v>1190.4761904762345</v>
      </c>
      <c r="CD9" s="29">
        <f t="shared" si="6"/>
        <v>892.85714285718677</v>
      </c>
      <c r="CE9" s="29">
        <f t="shared" si="6"/>
        <v>595.23809523813907</v>
      </c>
      <c r="CF9" s="29">
        <f t="shared" si="6"/>
        <v>297.61904761909142</v>
      </c>
      <c r="CG9" s="29">
        <f t="shared" si="6"/>
        <v>4.3769432522822171E-11</v>
      </c>
      <c r="CH9" s="29">
        <f t="shared" si="6"/>
        <v>0</v>
      </c>
      <c r="CI9" s="29">
        <f t="shared" si="6"/>
        <v>0</v>
      </c>
      <c r="CJ9" s="29">
        <f t="shared" si="6"/>
        <v>0</v>
      </c>
      <c r="CK9" s="29">
        <f t="shared" si="6"/>
        <v>0</v>
      </c>
      <c r="CL9" s="29">
        <f t="shared" si="6"/>
        <v>0</v>
      </c>
      <c r="CM9" s="29">
        <f t="shared" si="6"/>
        <v>0</v>
      </c>
      <c r="CN9" s="29">
        <f t="shared" si="6"/>
        <v>0</v>
      </c>
      <c r="CO9" s="29">
        <f t="shared" si="6"/>
        <v>0</v>
      </c>
      <c r="CP9" s="29">
        <f t="shared" si="6"/>
        <v>0</v>
      </c>
      <c r="CQ9" s="29">
        <f t="shared" si="6"/>
        <v>0</v>
      </c>
      <c r="CR9" s="29">
        <f t="shared" si="6"/>
        <v>0</v>
      </c>
      <c r="CS9" s="29">
        <f t="shared" si="6"/>
        <v>0</v>
      </c>
      <c r="CT9" s="29">
        <f t="shared" ref="CT9:DY9" si="7">CT7-CT8</f>
        <v>0</v>
      </c>
      <c r="CU9" s="29">
        <f t="shared" si="7"/>
        <v>0</v>
      </c>
      <c r="CV9" s="29">
        <f t="shared" si="7"/>
        <v>0</v>
      </c>
      <c r="CW9" s="29">
        <f t="shared" si="7"/>
        <v>0</v>
      </c>
      <c r="CX9" s="29">
        <f t="shared" si="7"/>
        <v>0</v>
      </c>
      <c r="CY9" s="29">
        <f t="shared" si="7"/>
        <v>0</v>
      </c>
      <c r="CZ9" s="29">
        <f t="shared" si="7"/>
        <v>0</v>
      </c>
      <c r="DA9" s="29">
        <f t="shared" si="7"/>
        <v>0</v>
      </c>
      <c r="DB9" s="29">
        <f t="shared" si="7"/>
        <v>0</v>
      </c>
      <c r="DC9" s="29">
        <f t="shared" si="7"/>
        <v>0</v>
      </c>
      <c r="DD9" s="29">
        <f t="shared" si="7"/>
        <v>0</v>
      </c>
      <c r="DE9" s="29">
        <f t="shared" si="7"/>
        <v>0</v>
      </c>
      <c r="DF9" s="29">
        <f t="shared" si="7"/>
        <v>0</v>
      </c>
      <c r="DG9" s="29">
        <f t="shared" si="7"/>
        <v>0</v>
      </c>
      <c r="DH9" s="29">
        <f t="shared" si="7"/>
        <v>0</v>
      </c>
      <c r="DI9" s="29">
        <f t="shared" si="7"/>
        <v>0</v>
      </c>
      <c r="DJ9" s="29">
        <f t="shared" si="7"/>
        <v>0</v>
      </c>
      <c r="DK9" s="29">
        <f t="shared" si="7"/>
        <v>0</v>
      </c>
      <c r="DL9" s="29">
        <f t="shared" si="7"/>
        <v>0</v>
      </c>
      <c r="DM9" s="29">
        <f t="shared" si="7"/>
        <v>0</v>
      </c>
      <c r="DN9" s="29">
        <f t="shared" si="7"/>
        <v>0</v>
      </c>
      <c r="DO9" s="29">
        <f t="shared" si="7"/>
        <v>0</v>
      </c>
      <c r="DP9" s="29">
        <f t="shared" si="7"/>
        <v>0</v>
      </c>
      <c r="DQ9" s="29">
        <f t="shared" si="7"/>
        <v>0</v>
      </c>
    </row>
    <row r="10" spans="1:121" ht="15" customHeight="1">
      <c r="A10" t="s">
        <v>499</v>
      </c>
      <c r="B10" s="22">
        <f>B7*Assum_Finance!$C$5/12</f>
        <v>135.41666666666666</v>
      </c>
      <c r="C10" s="22">
        <f>C7*Assum_Finance!$C$5/12</f>
        <v>133.80456349206352</v>
      </c>
      <c r="D10" s="22">
        <f>D7*Assum_Finance!$C$5/12</f>
        <v>132.19246031746033</v>
      </c>
      <c r="E10" s="22">
        <f>E7*Assum_Finance!$C$5/12</f>
        <v>130.58035714285717</v>
      </c>
      <c r="F10" s="22">
        <f>F7*Assum_Finance!$C$5/12</f>
        <v>128.968253968254</v>
      </c>
      <c r="G10" s="22">
        <f>G7*Assum_Finance!$C$5/12</f>
        <v>127.35615079365084</v>
      </c>
      <c r="H10" s="22">
        <f>H7*Assum_Finance!$C$5/12</f>
        <v>125.74404761904769</v>
      </c>
      <c r="I10" s="22">
        <f>I7*Assum_Finance!$C$5/12</f>
        <v>124.13194444444451</v>
      </c>
      <c r="J10" s="22">
        <f>J7*Assum_Finance!$C$5/12</f>
        <v>122.51984126984134</v>
      </c>
      <c r="K10" s="22">
        <f>K7*Assum_Finance!$C$5/12</f>
        <v>120.90773809523819</v>
      </c>
      <c r="L10" s="22">
        <f>L7*Assum_Finance!$C$5/12</f>
        <v>119.29563492063501</v>
      </c>
      <c r="M10" s="22">
        <f>M7*Assum_Finance!$C$5/12</f>
        <v>117.68353174603186</v>
      </c>
      <c r="N10" s="22">
        <f>N7*Assum_Finance!$C$5/12</f>
        <v>116.07142857142868</v>
      </c>
      <c r="O10" s="22">
        <f>O7*Assum_Finance!$C$5/12</f>
        <v>114.45932539682552</v>
      </c>
      <c r="P10" s="22">
        <f>P7*Assum_Finance!$C$5/12</f>
        <v>112.84722222222236</v>
      </c>
      <c r="Q10" s="22">
        <f>Q7*Assum_Finance!$C$5/12</f>
        <v>111.23511904761919</v>
      </c>
      <c r="R10" s="22">
        <f>R7*Assum_Finance!$C$5/12</f>
        <v>109.62301587301603</v>
      </c>
      <c r="S10" s="22">
        <f>S7*Assum_Finance!$C$5/12</f>
        <v>108.01091269841287</v>
      </c>
      <c r="T10" s="22">
        <f>T7*Assum_Finance!$C$5/12</f>
        <v>106.39880952380969</v>
      </c>
      <c r="U10" s="22">
        <f>U7*Assum_Finance!$C$5/12</f>
        <v>104.78670634920654</v>
      </c>
      <c r="V10" s="22">
        <f>V7*Assum_Finance!$C$5/12</f>
        <v>103.17460317460336</v>
      </c>
      <c r="W10" s="22">
        <f>W7*Assum_Finance!$C$5/12</f>
        <v>101.56250000000021</v>
      </c>
      <c r="X10" s="22">
        <f>X7*Assum_Finance!$C$5/12</f>
        <v>99.950396825397036</v>
      </c>
      <c r="Y10" s="22">
        <f>Y7*Assum_Finance!$C$5/12</f>
        <v>98.338293650793858</v>
      </c>
      <c r="Z10" s="22">
        <f>Z7*Assum_Finance!$C$5/12</f>
        <v>96.726190476190709</v>
      </c>
      <c r="AA10" s="22">
        <f>AA7*Assum_Finance!$C$5/12</f>
        <v>95.114087301587531</v>
      </c>
      <c r="AB10" s="22">
        <f>AB7*Assum_Finance!$C$5/12</f>
        <v>93.501984126984382</v>
      </c>
      <c r="AC10" s="22">
        <f>AC7*Assum_Finance!$C$5/12</f>
        <v>91.889880952381205</v>
      </c>
      <c r="AD10" s="22">
        <f>AD7*Assum_Finance!$C$5/12</f>
        <v>90.277777777778041</v>
      </c>
      <c r="AE10" s="22">
        <f>AE7*Assum_Finance!$C$5/12</f>
        <v>88.665674603174864</v>
      </c>
      <c r="AF10" s="22">
        <f>AF7*Assum_Finance!$C$5/12</f>
        <v>87.053571428571686</v>
      </c>
      <c r="AG10" s="22">
        <f>AG7*Assum_Finance!$C$5/12</f>
        <v>85.441468253968523</v>
      </c>
      <c r="AH10" s="22">
        <f>AH7*Assum_Finance!$C$5/12</f>
        <v>83.829365079365346</v>
      </c>
      <c r="AI10" s="22">
        <f>AI7*Assum_Finance!$C$5/12</f>
        <v>82.217261904762168</v>
      </c>
      <c r="AJ10" s="22">
        <f>AJ7*Assum_Finance!$C$5/12</f>
        <v>80.60515873015899</v>
      </c>
      <c r="AK10" s="22">
        <f>AK7*Assum_Finance!$C$5/12</f>
        <v>78.993055555555813</v>
      </c>
      <c r="AL10" s="22">
        <f>AL7*Assum_Finance!$C$5/12</f>
        <v>77.38095238095265</v>
      </c>
      <c r="AM10" s="22">
        <f>AM7*Assum_Finance!$C$5/12</f>
        <v>75.768849206349472</v>
      </c>
      <c r="AN10" s="22">
        <f>AN7*Assum_Finance!$C$5/12</f>
        <v>74.156746031746295</v>
      </c>
      <c r="AO10" s="22">
        <f>AO7*Assum_Finance!$C$5/12</f>
        <v>72.544642857143117</v>
      </c>
      <c r="AP10" s="22">
        <f>AP7*Assum_Finance!$C$5/12</f>
        <v>70.932539682539939</v>
      </c>
      <c r="AQ10" s="22">
        <f>AQ7*Assum_Finance!$C$5/12</f>
        <v>69.320436507936776</v>
      </c>
      <c r="AR10" s="22">
        <f>AR7*Assum_Finance!$C$5/12</f>
        <v>67.708333333333584</v>
      </c>
      <c r="AS10" s="22">
        <f>AS7*Assum_Finance!$C$5/12</f>
        <v>66.096230158730421</v>
      </c>
      <c r="AT10" s="22">
        <f>AT7*Assum_Finance!$C$5/12</f>
        <v>64.484126984127244</v>
      </c>
      <c r="AU10" s="22">
        <f>AU7*Assum_Finance!$C$5/12</f>
        <v>62.872023809524073</v>
      </c>
      <c r="AV10" s="22">
        <f>AV7*Assum_Finance!$C$5/12</f>
        <v>61.259920634920888</v>
      </c>
      <c r="AW10" s="22">
        <f>AW7*Assum_Finance!$C$5/12</f>
        <v>59.647817460317718</v>
      </c>
      <c r="AX10" s="22">
        <f>AX7*Assum_Finance!$C$5/12</f>
        <v>58.03571428571454</v>
      </c>
      <c r="AY10" s="22">
        <f>AY7*Assum_Finance!$C$5/12</f>
        <v>56.42361111111137</v>
      </c>
      <c r="AZ10" s="22">
        <f>AZ7*Assum_Finance!$C$5/12</f>
        <v>54.811507936508185</v>
      </c>
      <c r="BA10" s="22">
        <f>BA7*Assum_Finance!$C$5/12</f>
        <v>53.199404761905015</v>
      </c>
      <c r="BB10" s="22">
        <f>BB7*Assum_Finance!$C$5/12</f>
        <v>51.587301587301845</v>
      </c>
      <c r="BC10" s="22">
        <f>BC7*Assum_Finance!$C$5/12</f>
        <v>49.975198412698667</v>
      </c>
      <c r="BD10" s="22">
        <f>BD7*Assum_Finance!$C$5/12</f>
        <v>48.363095238095489</v>
      </c>
      <c r="BE10" s="22">
        <f>BE7*Assum_Finance!$C$5/12</f>
        <v>46.750992063492312</v>
      </c>
      <c r="BF10" s="22">
        <f>BF7*Assum_Finance!$C$5/12</f>
        <v>45.138888888889142</v>
      </c>
      <c r="BG10" s="22">
        <f>BG7*Assum_Finance!$C$5/12</f>
        <v>43.526785714285971</v>
      </c>
      <c r="BH10" s="22">
        <f>BH7*Assum_Finance!$C$5/12</f>
        <v>41.914682539682794</v>
      </c>
      <c r="BI10" s="22">
        <f>BI7*Assum_Finance!$C$5/12</f>
        <v>40.302579365079616</v>
      </c>
      <c r="BJ10" s="22">
        <f>BJ7*Assum_Finance!$C$5/12</f>
        <v>38.690476190476438</v>
      </c>
      <c r="BK10" s="22">
        <f>BK7*Assum_Finance!$C$5/12</f>
        <v>37.078373015873261</v>
      </c>
      <c r="BL10" s="22">
        <f>BL7*Assum_Finance!$C$5/12</f>
        <v>35.466269841270091</v>
      </c>
      <c r="BM10" s="22">
        <f>BM7*Assum_Finance!$C$5/12</f>
        <v>33.854166666666913</v>
      </c>
      <c r="BN10" s="22">
        <f>BN7*Assum_Finance!$C$5/12</f>
        <v>32.242063492063743</v>
      </c>
      <c r="BO10" s="22">
        <f>BO7*Assum_Finance!$C$5/12</f>
        <v>30.629960317460561</v>
      </c>
      <c r="BP10" s="22">
        <f>BP7*Assum_Finance!$C$5/12</f>
        <v>29.017857142857391</v>
      </c>
      <c r="BQ10" s="22">
        <f>BQ7*Assum_Finance!$C$5/12</f>
        <v>27.405753968254214</v>
      </c>
      <c r="BR10" s="22">
        <f>BR7*Assum_Finance!$C$5/12</f>
        <v>25.79365079365104</v>
      </c>
      <c r="BS10" s="22">
        <f>BS7*Assum_Finance!$C$5/12</f>
        <v>24.181547619047862</v>
      </c>
      <c r="BT10" s="22">
        <f>BT7*Assum_Finance!$C$5/12</f>
        <v>22.569444444444688</v>
      </c>
      <c r="BU10" s="22">
        <f>BU7*Assum_Finance!$C$5/12</f>
        <v>20.957341269841514</v>
      </c>
      <c r="BV10" s="22">
        <f>BV7*Assum_Finance!$C$5/12</f>
        <v>19.34523809523834</v>
      </c>
      <c r="BW10" s="22">
        <f>BW7*Assum_Finance!$C$5/12</f>
        <v>17.733134920635163</v>
      </c>
      <c r="BX10" s="22">
        <f>BX7*Assum_Finance!$C$5/12</f>
        <v>16.121031746031989</v>
      </c>
      <c r="BY10" s="22">
        <f>BY7*Assum_Finance!$C$5/12</f>
        <v>14.508928571428813</v>
      </c>
      <c r="BZ10" s="22">
        <f>BZ7*Assum_Finance!$C$5/12</f>
        <v>12.896825396825639</v>
      </c>
      <c r="CA10" s="22">
        <f>CA7*Assum_Finance!$C$5/12</f>
        <v>11.284722222222463</v>
      </c>
      <c r="CB10" s="22">
        <f>CB7*Assum_Finance!$C$5/12</f>
        <v>9.6726190476192873</v>
      </c>
      <c r="CC10" s="22">
        <f>CC7*Assum_Finance!$C$5/12</f>
        <v>8.0605158730161133</v>
      </c>
      <c r="CD10" s="22">
        <f>CD7*Assum_Finance!$C$5/12</f>
        <v>6.4484126984129375</v>
      </c>
      <c r="CE10" s="22">
        <f>CE7*Assum_Finance!$C$5/12</f>
        <v>4.8363095238097618</v>
      </c>
      <c r="CF10" s="22">
        <f>CF7*Assum_Finance!$C$5/12</f>
        <v>3.2242063492065864</v>
      </c>
      <c r="CG10" s="22">
        <f>CG7*Assum_Finance!$C$5/12</f>
        <v>1.612103174603412</v>
      </c>
      <c r="CH10" s="22">
        <f>CH7*Assum_Finance!$C$5/12</f>
        <v>2.3708442616528677E-13</v>
      </c>
      <c r="CI10" s="22">
        <f>CI7*Assum_Finance!$C$5/12</f>
        <v>0</v>
      </c>
      <c r="CJ10" s="22">
        <f>CJ7*Assum_Finance!$C$5/12</f>
        <v>0</v>
      </c>
      <c r="CK10" s="22">
        <f>CK7*Assum_Finance!$C$5/12</f>
        <v>0</v>
      </c>
      <c r="CL10" s="22">
        <f>CL7*Assum_Finance!$C$5/12</f>
        <v>0</v>
      </c>
      <c r="CM10" s="22">
        <f>CM7*Assum_Finance!$C$5/12</f>
        <v>0</v>
      </c>
      <c r="CN10" s="22">
        <f>CN7*Assum_Finance!$C$5/12</f>
        <v>0</v>
      </c>
      <c r="CO10" s="22">
        <f>CO7*Assum_Finance!$C$5/12</f>
        <v>0</v>
      </c>
      <c r="CP10" s="22">
        <f>CP7*Assum_Finance!$C$5/12</f>
        <v>0</v>
      </c>
      <c r="CQ10" s="22">
        <f>CQ7*Assum_Finance!$C$5/12</f>
        <v>0</v>
      </c>
      <c r="CR10" s="22">
        <f>CR7*Assum_Finance!$C$5/12</f>
        <v>0</v>
      </c>
      <c r="CS10" s="22">
        <f>CS7*Assum_Finance!$C$5/12</f>
        <v>0</v>
      </c>
      <c r="CT10" s="22">
        <f>CT7*Assum_Finance!$C$5/12</f>
        <v>0</v>
      </c>
      <c r="CU10" s="22">
        <f>CU7*Assum_Finance!$C$5/12</f>
        <v>0</v>
      </c>
      <c r="CV10" s="22">
        <f>CV7*Assum_Finance!$C$5/12</f>
        <v>0</v>
      </c>
      <c r="CW10" s="22">
        <f>CW7*Assum_Finance!$C$5/12</f>
        <v>0</v>
      </c>
      <c r="CX10" s="22">
        <f>CX7*Assum_Finance!$C$5/12</f>
        <v>0</v>
      </c>
      <c r="CY10" s="22">
        <f>CY7*Assum_Finance!$C$5/12</f>
        <v>0</v>
      </c>
      <c r="CZ10" s="22">
        <f>CZ7*Assum_Finance!$C$5/12</f>
        <v>0</v>
      </c>
      <c r="DA10" s="22">
        <f>DA7*Assum_Finance!$C$5/12</f>
        <v>0</v>
      </c>
      <c r="DB10" s="22">
        <f>DB7*Assum_Finance!$C$5/12</f>
        <v>0</v>
      </c>
      <c r="DC10" s="22">
        <f>DC7*Assum_Finance!$C$5/12</f>
        <v>0</v>
      </c>
      <c r="DD10" s="22">
        <f>DD7*Assum_Finance!$C$5/12</f>
        <v>0</v>
      </c>
      <c r="DE10" s="22">
        <f>DE7*Assum_Finance!$C$5/12</f>
        <v>0</v>
      </c>
      <c r="DF10" s="22">
        <f>DF7*Assum_Finance!$C$5/12</f>
        <v>0</v>
      </c>
      <c r="DG10" s="22">
        <f>DG7*Assum_Finance!$C$5/12</f>
        <v>0</v>
      </c>
      <c r="DH10" s="22">
        <f>DH7*Assum_Finance!$C$5/12</f>
        <v>0</v>
      </c>
      <c r="DI10" s="22">
        <f>DI7*Assum_Finance!$C$5/12</f>
        <v>0</v>
      </c>
      <c r="DJ10" s="22">
        <f>DJ7*Assum_Finance!$C$5/12</f>
        <v>0</v>
      </c>
      <c r="DK10" s="22">
        <f>DK7*Assum_Finance!$C$5/12</f>
        <v>0</v>
      </c>
      <c r="DL10" s="22">
        <f>DL7*Assum_Finance!$C$5/12</f>
        <v>0</v>
      </c>
      <c r="DM10" s="22">
        <f>DM7*Assum_Finance!$C$5/12</f>
        <v>0</v>
      </c>
      <c r="DN10" s="22">
        <f>DN7*Assum_Finance!$C$5/12</f>
        <v>0</v>
      </c>
      <c r="DO10" s="22">
        <f>DO7*Assum_Finance!$C$5/12</f>
        <v>0</v>
      </c>
      <c r="DP10" s="22">
        <f>DP7*Assum_Finance!$C$5/12</f>
        <v>0</v>
      </c>
      <c r="DQ10" s="22">
        <f>DQ7*Assum_Finance!$C$5/12</f>
        <v>0</v>
      </c>
    </row>
    <row r="12" spans="1:121" ht="15" customHeight="1">
      <c r="A12" s="5" t="s">
        <v>500</v>
      </c>
    </row>
    <row r="13" spans="1:121" ht="15" customHeight="1">
      <c r="A13" t="s">
        <v>496</v>
      </c>
      <c r="B13" s="22">
        <f>Assum_Finance!$C$12/1000</f>
        <v>0</v>
      </c>
      <c r="C13" s="22">
        <f t="shared" ref="C13:AH13" si="8">B15</f>
        <v>0</v>
      </c>
      <c r="D13" s="22">
        <f t="shared" si="8"/>
        <v>0</v>
      </c>
      <c r="E13" s="22">
        <f t="shared" si="8"/>
        <v>0</v>
      </c>
      <c r="F13" s="22">
        <f t="shared" si="8"/>
        <v>0</v>
      </c>
      <c r="G13" s="22">
        <f t="shared" si="8"/>
        <v>0</v>
      </c>
      <c r="H13" s="22">
        <f t="shared" si="8"/>
        <v>0</v>
      </c>
      <c r="I13" s="22">
        <f t="shared" si="8"/>
        <v>0</v>
      </c>
      <c r="J13" s="22">
        <f t="shared" si="8"/>
        <v>0</v>
      </c>
      <c r="K13" s="22">
        <f t="shared" si="8"/>
        <v>0</v>
      </c>
      <c r="L13" s="22">
        <f t="shared" si="8"/>
        <v>0</v>
      </c>
      <c r="M13" s="22">
        <f t="shared" si="8"/>
        <v>0</v>
      </c>
      <c r="N13" s="22">
        <f t="shared" si="8"/>
        <v>0</v>
      </c>
      <c r="O13" s="22">
        <f t="shared" si="8"/>
        <v>0</v>
      </c>
      <c r="P13" s="22">
        <f t="shared" si="8"/>
        <v>0</v>
      </c>
      <c r="Q13" s="22">
        <f t="shared" si="8"/>
        <v>0</v>
      </c>
      <c r="R13" s="22">
        <f t="shared" si="8"/>
        <v>0</v>
      </c>
      <c r="S13" s="22">
        <f t="shared" si="8"/>
        <v>0</v>
      </c>
      <c r="T13" s="22">
        <f t="shared" si="8"/>
        <v>0</v>
      </c>
      <c r="U13" s="22">
        <f t="shared" si="8"/>
        <v>0</v>
      </c>
      <c r="V13" s="22">
        <f t="shared" si="8"/>
        <v>0</v>
      </c>
      <c r="W13" s="22">
        <f t="shared" si="8"/>
        <v>0</v>
      </c>
      <c r="X13" s="22">
        <f t="shared" si="8"/>
        <v>0</v>
      </c>
      <c r="Y13" s="22">
        <f t="shared" si="8"/>
        <v>0</v>
      </c>
      <c r="Z13" s="22">
        <f t="shared" si="8"/>
        <v>0</v>
      </c>
      <c r="AA13" s="22">
        <f t="shared" si="8"/>
        <v>0</v>
      </c>
      <c r="AB13" s="22">
        <f t="shared" si="8"/>
        <v>0</v>
      </c>
      <c r="AC13" s="22">
        <f t="shared" si="8"/>
        <v>0</v>
      </c>
      <c r="AD13" s="22">
        <f t="shared" si="8"/>
        <v>0</v>
      </c>
      <c r="AE13" s="22">
        <f t="shared" si="8"/>
        <v>0</v>
      </c>
      <c r="AF13" s="22">
        <f t="shared" si="8"/>
        <v>0</v>
      </c>
      <c r="AG13" s="22">
        <f t="shared" si="8"/>
        <v>0</v>
      </c>
      <c r="AH13" s="22">
        <f t="shared" si="8"/>
        <v>0</v>
      </c>
      <c r="AI13" s="22">
        <f t="shared" ref="AI13:BN13" si="9">AH15</f>
        <v>0</v>
      </c>
      <c r="AJ13" s="22">
        <f t="shared" si="9"/>
        <v>0</v>
      </c>
      <c r="AK13" s="22">
        <f t="shared" si="9"/>
        <v>0</v>
      </c>
      <c r="AL13" s="22">
        <f t="shared" si="9"/>
        <v>0</v>
      </c>
      <c r="AM13" s="22">
        <f t="shared" si="9"/>
        <v>0</v>
      </c>
      <c r="AN13" s="22">
        <f t="shared" si="9"/>
        <v>0</v>
      </c>
      <c r="AO13" s="22">
        <f t="shared" si="9"/>
        <v>0</v>
      </c>
      <c r="AP13" s="22">
        <f t="shared" si="9"/>
        <v>0</v>
      </c>
      <c r="AQ13" s="22">
        <f t="shared" si="9"/>
        <v>0</v>
      </c>
      <c r="AR13" s="22">
        <f t="shared" si="9"/>
        <v>0</v>
      </c>
      <c r="AS13" s="22">
        <f t="shared" si="9"/>
        <v>0</v>
      </c>
      <c r="AT13" s="22">
        <f t="shared" si="9"/>
        <v>0</v>
      </c>
      <c r="AU13" s="22">
        <f t="shared" si="9"/>
        <v>0</v>
      </c>
      <c r="AV13" s="22">
        <f t="shared" si="9"/>
        <v>0</v>
      </c>
      <c r="AW13" s="22">
        <f t="shared" si="9"/>
        <v>0</v>
      </c>
      <c r="AX13" s="22">
        <f t="shared" si="9"/>
        <v>0</v>
      </c>
      <c r="AY13" s="22">
        <f t="shared" si="9"/>
        <v>0</v>
      </c>
      <c r="AZ13" s="22">
        <f t="shared" si="9"/>
        <v>0</v>
      </c>
      <c r="BA13" s="22">
        <f t="shared" si="9"/>
        <v>0</v>
      </c>
      <c r="BB13" s="22">
        <f t="shared" si="9"/>
        <v>0</v>
      </c>
      <c r="BC13" s="22">
        <f t="shared" si="9"/>
        <v>0</v>
      </c>
      <c r="BD13" s="22">
        <f t="shared" si="9"/>
        <v>0</v>
      </c>
      <c r="BE13" s="22">
        <f t="shared" si="9"/>
        <v>0</v>
      </c>
      <c r="BF13" s="22">
        <f t="shared" si="9"/>
        <v>0</v>
      </c>
      <c r="BG13" s="22">
        <f t="shared" si="9"/>
        <v>0</v>
      </c>
      <c r="BH13" s="22">
        <f t="shared" si="9"/>
        <v>0</v>
      </c>
      <c r="BI13" s="22">
        <f t="shared" si="9"/>
        <v>0</v>
      </c>
      <c r="BJ13" s="22">
        <f t="shared" si="9"/>
        <v>0</v>
      </c>
      <c r="BK13" s="22">
        <f t="shared" si="9"/>
        <v>0</v>
      </c>
      <c r="BL13" s="22">
        <f t="shared" si="9"/>
        <v>0</v>
      </c>
      <c r="BM13" s="22">
        <f t="shared" si="9"/>
        <v>0</v>
      </c>
      <c r="BN13" s="22">
        <f t="shared" si="9"/>
        <v>0</v>
      </c>
      <c r="BO13" s="22">
        <f t="shared" ref="BO13:CT13" si="10">BN15</f>
        <v>0</v>
      </c>
      <c r="BP13" s="22">
        <f t="shared" si="10"/>
        <v>0</v>
      </c>
      <c r="BQ13" s="22">
        <f t="shared" si="10"/>
        <v>0</v>
      </c>
      <c r="BR13" s="22">
        <f t="shared" si="10"/>
        <v>0</v>
      </c>
      <c r="BS13" s="22">
        <f t="shared" si="10"/>
        <v>0</v>
      </c>
      <c r="BT13" s="22">
        <f t="shared" si="10"/>
        <v>0</v>
      </c>
      <c r="BU13" s="22">
        <f t="shared" si="10"/>
        <v>0</v>
      </c>
      <c r="BV13" s="22">
        <f t="shared" si="10"/>
        <v>0</v>
      </c>
      <c r="BW13" s="22">
        <f t="shared" si="10"/>
        <v>0</v>
      </c>
      <c r="BX13" s="22">
        <f t="shared" si="10"/>
        <v>0</v>
      </c>
      <c r="BY13" s="22">
        <f t="shared" si="10"/>
        <v>0</v>
      </c>
      <c r="BZ13" s="22">
        <f t="shared" si="10"/>
        <v>0</v>
      </c>
      <c r="CA13" s="22">
        <f t="shared" si="10"/>
        <v>0</v>
      </c>
      <c r="CB13" s="22">
        <f t="shared" si="10"/>
        <v>0</v>
      </c>
      <c r="CC13" s="22">
        <f t="shared" si="10"/>
        <v>0</v>
      </c>
      <c r="CD13" s="22">
        <f t="shared" si="10"/>
        <v>0</v>
      </c>
      <c r="CE13" s="22">
        <f t="shared" si="10"/>
        <v>0</v>
      </c>
      <c r="CF13" s="22">
        <f t="shared" si="10"/>
        <v>0</v>
      </c>
      <c r="CG13" s="22">
        <f t="shared" si="10"/>
        <v>0</v>
      </c>
      <c r="CH13" s="22">
        <f t="shared" si="10"/>
        <v>0</v>
      </c>
      <c r="CI13" s="22">
        <f t="shared" si="10"/>
        <v>0</v>
      </c>
      <c r="CJ13" s="22">
        <f t="shared" si="10"/>
        <v>0</v>
      </c>
      <c r="CK13" s="22">
        <f t="shared" si="10"/>
        <v>0</v>
      </c>
      <c r="CL13" s="22">
        <f t="shared" si="10"/>
        <v>0</v>
      </c>
      <c r="CM13" s="22">
        <f t="shared" si="10"/>
        <v>0</v>
      </c>
      <c r="CN13" s="22">
        <f t="shared" si="10"/>
        <v>0</v>
      </c>
      <c r="CO13" s="22">
        <f t="shared" si="10"/>
        <v>0</v>
      </c>
      <c r="CP13" s="22">
        <f t="shared" si="10"/>
        <v>0</v>
      </c>
      <c r="CQ13" s="22">
        <f t="shared" si="10"/>
        <v>0</v>
      </c>
      <c r="CR13" s="22">
        <f t="shared" si="10"/>
        <v>0</v>
      </c>
      <c r="CS13" s="22">
        <f t="shared" si="10"/>
        <v>0</v>
      </c>
      <c r="CT13" s="22">
        <f t="shared" si="10"/>
        <v>0</v>
      </c>
      <c r="CU13" s="22">
        <f t="shared" ref="CU13:DQ13" si="11">CT15</f>
        <v>0</v>
      </c>
      <c r="CV13" s="22">
        <f t="shared" si="11"/>
        <v>0</v>
      </c>
      <c r="CW13" s="22">
        <f t="shared" si="11"/>
        <v>0</v>
      </c>
      <c r="CX13" s="22">
        <f t="shared" si="11"/>
        <v>0</v>
      </c>
      <c r="CY13" s="22">
        <f t="shared" si="11"/>
        <v>0</v>
      </c>
      <c r="CZ13" s="22">
        <f t="shared" si="11"/>
        <v>0</v>
      </c>
      <c r="DA13" s="22">
        <f t="shared" si="11"/>
        <v>0</v>
      </c>
      <c r="DB13" s="22">
        <f t="shared" si="11"/>
        <v>0</v>
      </c>
      <c r="DC13" s="22">
        <f t="shared" si="11"/>
        <v>0</v>
      </c>
      <c r="DD13" s="22">
        <f t="shared" si="11"/>
        <v>0</v>
      </c>
      <c r="DE13" s="22">
        <f t="shared" si="11"/>
        <v>0</v>
      </c>
      <c r="DF13" s="22">
        <f t="shared" si="11"/>
        <v>0</v>
      </c>
      <c r="DG13" s="22">
        <f t="shared" si="11"/>
        <v>0</v>
      </c>
      <c r="DH13" s="22">
        <f t="shared" si="11"/>
        <v>0</v>
      </c>
      <c r="DI13" s="22">
        <f t="shared" si="11"/>
        <v>0</v>
      </c>
      <c r="DJ13" s="22">
        <f t="shared" si="11"/>
        <v>0</v>
      </c>
      <c r="DK13" s="22">
        <f t="shared" si="11"/>
        <v>0</v>
      </c>
      <c r="DL13" s="22">
        <f t="shared" si="11"/>
        <v>0</v>
      </c>
      <c r="DM13" s="22">
        <f t="shared" si="11"/>
        <v>0</v>
      </c>
      <c r="DN13" s="22">
        <f t="shared" si="11"/>
        <v>0</v>
      </c>
      <c r="DO13" s="22">
        <f t="shared" si="11"/>
        <v>0</v>
      </c>
      <c r="DP13" s="22">
        <f t="shared" si="11"/>
        <v>0</v>
      </c>
      <c r="DQ13" s="22">
        <f t="shared" si="11"/>
        <v>0</v>
      </c>
    </row>
    <row r="14" spans="1:121" ht="15" customHeight="1">
      <c r="A14" t="s">
        <v>501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0</v>
      </c>
      <c r="CZ14" s="21">
        <v>0</v>
      </c>
      <c r="DA14" s="21">
        <v>0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0</v>
      </c>
      <c r="DI14" s="21">
        <v>0</v>
      </c>
      <c r="DJ14" s="21">
        <v>0</v>
      </c>
      <c r="DK14" s="21">
        <v>0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</row>
    <row r="15" spans="1:121" ht="15" customHeight="1">
      <c r="A15" s="14" t="s">
        <v>498</v>
      </c>
      <c r="B15" s="29">
        <f t="shared" ref="B15:AG15" si="12">B13+B14</f>
        <v>0</v>
      </c>
      <c r="C15" s="29">
        <f t="shared" si="12"/>
        <v>0</v>
      </c>
      <c r="D15" s="29">
        <f t="shared" si="12"/>
        <v>0</v>
      </c>
      <c r="E15" s="29">
        <f t="shared" si="12"/>
        <v>0</v>
      </c>
      <c r="F15" s="29">
        <f t="shared" si="12"/>
        <v>0</v>
      </c>
      <c r="G15" s="29">
        <f t="shared" si="12"/>
        <v>0</v>
      </c>
      <c r="H15" s="29">
        <f t="shared" si="12"/>
        <v>0</v>
      </c>
      <c r="I15" s="29">
        <f t="shared" si="12"/>
        <v>0</v>
      </c>
      <c r="J15" s="29">
        <f t="shared" si="12"/>
        <v>0</v>
      </c>
      <c r="K15" s="29">
        <f t="shared" si="12"/>
        <v>0</v>
      </c>
      <c r="L15" s="29">
        <f t="shared" si="12"/>
        <v>0</v>
      </c>
      <c r="M15" s="29">
        <f t="shared" si="12"/>
        <v>0</v>
      </c>
      <c r="N15" s="29">
        <f t="shared" si="12"/>
        <v>0</v>
      </c>
      <c r="O15" s="29">
        <f t="shared" si="12"/>
        <v>0</v>
      </c>
      <c r="P15" s="29">
        <f t="shared" si="12"/>
        <v>0</v>
      </c>
      <c r="Q15" s="29">
        <f t="shared" si="12"/>
        <v>0</v>
      </c>
      <c r="R15" s="29">
        <f t="shared" si="12"/>
        <v>0</v>
      </c>
      <c r="S15" s="29">
        <f t="shared" si="12"/>
        <v>0</v>
      </c>
      <c r="T15" s="29">
        <f t="shared" si="12"/>
        <v>0</v>
      </c>
      <c r="U15" s="29">
        <f t="shared" si="12"/>
        <v>0</v>
      </c>
      <c r="V15" s="29">
        <f t="shared" si="12"/>
        <v>0</v>
      </c>
      <c r="W15" s="29">
        <f t="shared" si="12"/>
        <v>0</v>
      </c>
      <c r="X15" s="29">
        <f t="shared" si="12"/>
        <v>0</v>
      </c>
      <c r="Y15" s="29">
        <f t="shared" si="12"/>
        <v>0</v>
      </c>
      <c r="Z15" s="29">
        <f t="shared" si="12"/>
        <v>0</v>
      </c>
      <c r="AA15" s="29">
        <f t="shared" si="12"/>
        <v>0</v>
      </c>
      <c r="AB15" s="29">
        <f t="shared" si="12"/>
        <v>0</v>
      </c>
      <c r="AC15" s="29">
        <f t="shared" si="12"/>
        <v>0</v>
      </c>
      <c r="AD15" s="29">
        <f t="shared" si="12"/>
        <v>0</v>
      </c>
      <c r="AE15" s="29">
        <f t="shared" si="12"/>
        <v>0</v>
      </c>
      <c r="AF15" s="29">
        <f t="shared" si="12"/>
        <v>0</v>
      </c>
      <c r="AG15" s="29">
        <f t="shared" si="12"/>
        <v>0</v>
      </c>
      <c r="AH15" s="29">
        <f t="shared" ref="AH15:BM15" si="13">AH13+AH14</f>
        <v>0</v>
      </c>
      <c r="AI15" s="29">
        <f t="shared" si="13"/>
        <v>0</v>
      </c>
      <c r="AJ15" s="29">
        <f t="shared" si="13"/>
        <v>0</v>
      </c>
      <c r="AK15" s="29">
        <f t="shared" si="13"/>
        <v>0</v>
      </c>
      <c r="AL15" s="29">
        <f t="shared" si="13"/>
        <v>0</v>
      </c>
      <c r="AM15" s="29">
        <f t="shared" si="13"/>
        <v>0</v>
      </c>
      <c r="AN15" s="29">
        <f t="shared" si="13"/>
        <v>0</v>
      </c>
      <c r="AO15" s="29">
        <f t="shared" si="13"/>
        <v>0</v>
      </c>
      <c r="AP15" s="29">
        <f t="shared" si="13"/>
        <v>0</v>
      </c>
      <c r="AQ15" s="29">
        <f t="shared" si="13"/>
        <v>0</v>
      </c>
      <c r="AR15" s="29">
        <f t="shared" si="13"/>
        <v>0</v>
      </c>
      <c r="AS15" s="29">
        <f t="shared" si="13"/>
        <v>0</v>
      </c>
      <c r="AT15" s="29">
        <f t="shared" si="13"/>
        <v>0</v>
      </c>
      <c r="AU15" s="29">
        <f t="shared" si="13"/>
        <v>0</v>
      </c>
      <c r="AV15" s="29">
        <f t="shared" si="13"/>
        <v>0</v>
      </c>
      <c r="AW15" s="29">
        <f t="shared" si="13"/>
        <v>0</v>
      </c>
      <c r="AX15" s="29">
        <f t="shared" si="13"/>
        <v>0</v>
      </c>
      <c r="AY15" s="29">
        <f t="shared" si="13"/>
        <v>0</v>
      </c>
      <c r="AZ15" s="29">
        <f t="shared" si="13"/>
        <v>0</v>
      </c>
      <c r="BA15" s="29">
        <f t="shared" si="13"/>
        <v>0</v>
      </c>
      <c r="BB15" s="29">
        <f t="shared" si="13"/>
        <v>0</v>
      </c>
      <c r="BC15" s="29">
        <f t="shared" si="13"/>
        <v>0</v>
      </c>
      <c r="BD15" s="29">
        <f t="shared" si="13"/>
        <v>0</v>
      </c>
      <c r="BE15" s="29">
        <f t="shared" si="13"/>
        <v>0</v>
      </c>
      <c r="BF15" s="29">
        <f t="shared" si="13"/>
        <v>0</v>
      </c>
      <c r="BG15" s="29">
        <f t="shared" si="13"/>
        <v>0</v>
      </c>
      <c r="BH15" s="29">
        <f t="shared" si="13"/>
        <v>0</v>
      </c>
      <c r="BI15" s="29">
        <f t="shared" si="13"/>
        <v>0</v>
      </c>
      <c r="BJ15" s="29">
        <f t="shared" si="13"/>
        <v>0</v>
      </c>
      <c r="BK15" s="29">
        <f t="shared" si="13"/>
        <v>0</v>
      </c>
      <c r="BL15" s="29">
        <f t="shared" si="13"/>
        <v>0</v>
      </c>
      <c r="BM15" s="29">
        <f t="shared" si="13"/>
        <v>0</v>
      </c>
      <c r="BN15" s="29">
        <f t="shared" ref="BN15:CS15" si="14">BN13+BN14</f>
        <v>0</v>
      </c>
      <c r="BO15" s="29">
        <f t="shared" si="14"/>
        <v>0</v>
      </c>
      <c r="BP15" s="29">
        <f t="shared" si="14"/>
        <v>0</v>
      </c>
      <c r="BQ15" s="29">
        <f t="shared" si="14"/>
        <v>0</v>
      </c>
      <c r="BR15" s="29">
        <f t="shared" si="14"/>
        <v>0</v>
      </c>
      <c r="BS15" s="29">
        <f t="shared" si="14"/>
        <v>0</v>
      </c>
      <c r="BT15" s="29">
        <f t="shared" si="14"/>
        <v>0</v>
      </c>
      <c r="BU15" s="29">
        <f t="shared" si="14"/>
        <v>0</v>
      </c>
      <c r="BV15" s="29">
        <f t="shared" si="14"/>
        <v>0</v>
      </c>
      <c r="BW15" s="29">
        <f t="shared" si="14"/>
        <v>0</v>
      </c>
      <c r="BX15" s="29">
        <f t="shared" si="14"/>
        <v>0</v>
      </c>
      <c r="BY15" s="29">
        <f t="shared" si="14"/>
        <v>0</v>
      </c>
      <c r="BZ15" s="29">
        <f t="shared" si="14"/>
        <v>0</v>
      </c>
      <c r="CA15" s="29">
        <f t="shared" si="14"/>
        <v>0</v>
      </c>
      <c r="CB15" s="29">
        <f t="shared" si="14"/>
        <v>0</v>
      </c>
      <c r="CC15" s="29">
        <f t="shared" si="14"/>
        <v>0</v>
      </c>
      <c r="CD15" s="29">
        <f t="shared" si="14"/>
        <v>0</v>
      </c>
      <c r="CE15" s="29">
        <f t="shared" si="14"/>
        <v>0</v>
      </c>
      <c r="CF15" s="29">
        <f t="shared" si="14"/>
        <v>0</v>
      </c>
      <c r="CG15" s="29">
        <f t="shared" si="14"/>
        <v>0</v>
      </c>
      <c r="CH15" s="29">
        <f t="shared" si="14"/>
        <v>0</v>
      </c>
      <c r="CI15" s="29">
        <f t="shared" si="14"/>
        <v>0</v>
      </c>
      <c r="CJ15" s="29">
        <f t="shared" si="14"/>
        <v>0</v>
      </c>
      <c r="CK15" s="29">
        <f t="shared" si="14"/>
        <v>0</v>
      </c>
      <c r="CL15" s="29">
        <f t="shared" si="14"/>
        <v>0</v>
      </c>
      <c r="CM15" s="29">
        <f t="shared" si="14"/>
        <v>0</v>
      </c>
      <c r="CN15" s="29">
        <f t="shared" si="14"/>
        <v>0</v>
      </c>
      <c r="CO15" s="29">
        <f t="shared" si="14"/>
        <v>0</v>
      </c>
      <c r="CP15" s="29">
        <f t="shared" si="14"/>
        <v>0</v>
      </c>
      <c r="CQ15" s="29">
        <f t="shared" si="14"/>
        <v>0</v>
      </c>
      <c r="CR15" s="29">
        <f t="shared" si="14"/>
        <v>0</v>
      </c>
      <c r="CS15" s="29">
        <f t="shared" si="14"/>
        <v>0</v>
      </c>
      <c r="CT15" s="29">
        <f t="shared" ref="CT15:DY15" si="15">CT13+CT14</f>
        <v>0</v>
      </c>
      <c r="CU15" s="29">
        <f t="shared" si="15"/>
        <v>0</v>
      </c>
      <c r="CV15" s="29">
        <f t="shared" si="15"/>
        <v>0</v>
      </c>
      <c r="CW15" s="29">
        <f t="shared" si="15"/>
        <v>0</v>
      </c>
      <c r="CX15" s="29">
        <f t="shared" si="15"/>
        <v>0</v>
      </c>
      <c r="CY15" s="29">
        <f t="shared" si="15"/>
        <v>0</v>
      </c>
      <c r="CZ15" s="29">
        <f t="shared" si="15"/>
        <v>0</v>
      </c>
      <c r="DA15" s="29">
        <f t="shared" si="15"/>
        <v>0</v>
      </c>
      <c r="DB15" s="29">
        <f t="shared" si="15"/>
        <v>0</v>
      </c>
      <c r="DC15" s="29">
        <f t="shared" si="15"/>
        <v>0</v>
      </c>
      <c r="DD15" s="29">
        <f t="shared" si="15"/>
        <v>0</v>
      </c>
      <c r="DE15" s="29">
        <f t="shared" si="15"/>
        <v>0</v>
      </c>
      <c r="DF15" s="29">
        <f t="shared" si="15"/>
        <v>0</v>
      </c>
      <c r="DG15" s="29">
        <f t="shared" si="15"/>
        <v>0</v>
      </c>
      <c r="DH15" s="29">
        <f t="shared" si="15"/>
        <v>0</v>
      </c>
      <c r="DI15" s="29">
        <f t="shared" si="15"/>
        <v>0</v>
      </c>
      <c r="DJ15" s="29">
        <f t="shared" si="15"/>
        <v>0</v>
      </c>
      <c r="DK15" s="29">
        <f t="shared" si="15"/>
        <v>0</v>
      </c>
      <c r="DL15" s="29">
        <f t="shared" si="15"/>
        <v>0</v>
      </c>
      <c r="DM15" s="29">
        <f t="shared" si="15"/>
        <v>0</v>
      </c>
      <c r="DN15" s="29">
        <f t="shared" si="15"/>
        <v>0</v>
      </c>
      <c r="DO15" s="29">
        <f t="shared" si="15"/>
        <v>0</v>
      </c>
      <c r="DP15" s="29">
        <f t="shared" si="15"/>
        <v>0</v>
      </c>
      <c r="DQ15" s="29">
        <f t="shared" si="15"/>
        <v>0</v>
      </c>
    </row>
    <row r="16" spans="1:121" ht="15" customHeight="1">
      <c r="A16" t="s">
        <v>499</v>
      </c>
      <c r="B16" s="22">
        <f>B13*Assum_Finance!$C$13/12</f>
        <v>0</v>
      </c>
      <c r="C16" s="22">
        <f>C13*Assum_Finance!$C$13/12</f>
        <v>0</v>
      </c>
      <c r="D16" s="22">
        <f>D13*Assum_Finance!$C$13/12</f>
        <v>0</v>
      </c>
      <c r="E16" s="22">
        <f>E13*Assum_Finance!$C$13/12</f>
        <v>0</v>
      </c>
      <c r="F16" s="22">
        <f>F13*Assum_Finance!$C$13/12</f>
        <v>0</v>
      </c>
      <c r="G16" s="22">
        <f>G13*Assum_Finance!$C$13/12</f>
        <v>0</v>
      </c>
      <c r="H16" s="22">
        <f>H13*Assum_Finance!$C$13/12</f>
        <v>0</v>
      </c>
      <c r="I16" s="22">
        <f>I13*Assum_Finance!$C$13/12</f>
        <v>0</v>
      </c>
      <c r="J16" s="22">
        <f>J13*Assum_Finance!$C$13/12</f>
        <v>0</v>
      </c>
      <c r="K16" s="22">
        <f>K13*Assum_Finance!$C$13/12</f>
        <v>0</v>
      </c>
      <c r="L16" s="22">
        <f>L13*Assum_Finance!$C$13/12</f>
        <v>0</v>
      </c>
      <c r="M16" s="22">
        <f>M13*Assum_Finance!$C$13/12</f>
        <v>0</v>
      </c>
      <c r="N16" s="22">
        <f>N13*Assum_Finance!$C$13/12</f>
        <v>0</v>
      </c>
      <c r="O16" s="22">
        <f>O13*Assum_Finance!$C$13/12</f>
        <v>0</v>
      </c>
      <c r="P16" s="22">
        <f>P13*Assum_Finance!$C$13/12</f>
        <v>0</v>
      </c>
      <c r="Q16" s="22">
        <f>Q13*Assum_Finance!$C$13/12</f>
        <v>0</v>
      </c>
      <c r="R16" s="22">
        <f>R13*Assum_Finance!$C$13/12</f>
        <v>0</v>
      </c>
      <c r="S16" s="22">
        <f>S13*Assum_Finance!$C$13/12</f>
        <v>0</v>
      </c>
      <c r="T16" s="22">
        <f>T13*Assum_Finance!$C$13/12</f>
        <v>0</v>
      </c>
      <c r="U16" s="22">
        <f>U13*Assum_Finance!$C$13/12</f>
        <v>0</v>
      </c>
      <c r="V16" s="22">
        <f>V13*Assum_Finance!$C$13/12</f>
        <v>0</v>
      </c>
      <c r="W16" s="22">
        <f>W13*Assum_Finance!$C$13/12</f>
        <v>0</v>
      </c>
      <c r="X16" s="22">
        <f>X13*Assum_Finance!$C$13/12</f>
        <v>0</v>
      </c>
      <c r="Y16" s="22">
        <f>Y13*Assum_Finance!$C$13/12</f>
        <v>0</v>
      </c>
      <c r="Z16" s="22">
        <f>Z13*Assum_Finance!$C$13/12</f>
        <v>0</v>
      </c>
      <c r="AA16" s="22">
        <f>AA13*Assum_Finance!$C$13/12</f>
        <v>0</v>
      </c>
      <c r="AB16" s="22">
        <f>AB13*Assum_Finance!$C$13/12</f>
        <v>0</v>
      </c>
      <c r="AC16" s="22">
        <f>AC13*Assum_Finance!$C$13/12</f>
        <v>0</v>
      </c>
      <c r="AD16" s="22">
        <f>AD13*Assum_Finance!$C$13/12</f>
        <v>0</v>
      </c>
      <c r="AE16" s="22">
        <f>AE13*Assum_Finance!$C$13/12</f>
        <v>0</v>
      </c>
      <c r="AF16" s="22">
        <f>AF13*Assum_Finance!$C$13/12</f>
        <v>0</v>
      </c>
      <c r="AG16" s="22">
        <f>AG13*Assum_Finance!$C$13/12</f>
        <v>0</v>
      </c>
      <c r="AH16" s="22">
        <f>AH13*Assum_Finance!$C$13/12</f>
        <v>0</v>
      </c>
      <c r="AI16" s="22">
        <f>AI13*Assum_Finance!$C$13/12</f>
        <v>0</v>
      </c>
      <c r="AJ16" s="22">
        <f>AJ13*Assum_Finance!$C$13/12</f>
        <v>0</v>
      </c>
      <c r="AK16" s="22">
        <f>AK13*Assum_Finance!$C$13/12</f>
        <v>0</v>
      </c>
      <c r="AL16" s="22">
        <f>AL13*Assum_Finance!$C$13/12</f>
        <v>0</v>
      </c>
      <c r="AM16" s="22">
        <f>AM13*Assum_Finance!$C$13/12</f>
        <v>0</v>
      </c>
      <c r="AN16" s="22">
        <f>AN13*Assum_Finance!$C$13/12</f>
        <v>0</v>
      </c>
      <c r="AO16" s="22">
        <f>AO13*Assum_Finance!$C$13/12</f>
        <v>0</v>
      </c>
      <c r="AP16" s="22">
        <f>AP13*Assum_Finance!$C$13/12</f>
        <v>0</v>
      </c>
      <c r="AQ16" s="22">
        <f>AQ13*Assum_Finance!$C$13/12</f>
        <v>0</v>
      </c>
      <c r="AR16" s="22">
        <f>AR13*Assum_Finance!$C$13/12</f>
        <v>0</v>
      </c>
      <c r="AS16" s="22">
        <f>AS13*Assum_Finance!$C$13/12</f>
        <v>0</v>
      </c>
      <c r="AT16" s="22">
        <f>AT13*Assum_Finance!$C$13/12</f>
        <v>0</v>
      </c>
      <c r="AU16" s="22">
        <f>AU13*Assum_Finance!$C$13/12</f>
        <v>0</v>
      </c>
      <c r="AV16" s="22">
        <f>AV13*Assum_Finance!$C$13/12</f>
        <v>0</v>
      </c>
      <c r="AW16" s="22">
        <f>AW13*Assum_Finance!$C$13/12</f>
        <v>0</v>
      </c>
      <c r="AX16" s="22">
        <f>AX13*Assum_Finance!$C$13/12</f>
        <v>0</v>
      </c>
      <c r="AY16" s="22">
        <f>AY13*Assum_Finance!$C$13/12</f>
        <v>0</v>
      </c>
      <c r="AZ16" s="22">
        <f>AZ13*Assum_Finance!$C$13/12</f>
        <v>0</v>
      </c>
      <c r="BA16" s="22">
        <f>BA13*Assum_Finance!$C$13/12</f>
        <v>0</v>
      </c>
      <c r="BB16" s="22">
        <f>BB13*Assum_Finance!$C$13/12</f>
        <v>0</v>
      </c>
      <c r="BC16" s="22">
        <f>BC13*Assum_Finance!$C$13/12</f>
        <v>0</v>
      </c>
      <c r="BD16" s="22">
        <f>BD13*Assum_Finance!$C$13/12</f>
        <v>0</v>
      </c>
      <c r="BE16" s="22">
        <f>BE13*Assum_Finance!$C$13/12</f>
        <v>0</v>
      </c>
      <c r="BF16" s="22">
        <f>BF13*Assum_Finance!$C$13/12</f>
        <v>0</v>
      </c>
      <c r="BG16" s="22">
        <f>BG13*Assum_Finance!$C$13/12</f>
        <v>0</v>
      </c>
      <c r="BH16" s="22">
        <f>BH13*Assum_Finance!$C$13/12</f>
        <v>0</v>
      </c>
      <c r="BI16" s="22">
        <f>BI13*Assum_Finance!$C$13/12</f>
        <v>0</v>
      </c>
      <c r="BJ16" s="22">
        <f>BJ13*Assum_Finance!$C$13/12</f>
        <v>0</v>
      </c>
      <c r="BK16" s="22">
        <f>BK13*Assum_Finance!$C$13/12</f>
        <v>0</v>
      </c>
      <c r="BL16" s="22">
        <f>BL13*Assum_Finance!$C$13/12</f>
        <v>0</v>
      </c>
      <c r="BM16" s="22">
        <f>BM13*Assum_Finance!$C$13/12</f>
        <v>0</v>
      </c>
      <c r="BN16" s="22">
        <f>BN13*Assum_Finance!$C$13/12</f>
        <v>0</v>
      </c>
      <c r="BO16" s="22">
        <f>BO13*Assum_Finance!$C$13/12</f>
        <v>0</v>
      </c>
      <c r="BP16" s="22">
        <f>BP13*Assum_Finance!$C$13/12</f>
        <v>0</v>
      </c>
      <c r="BQ16" s="22">
        <f>BQ13*Assum_Finance!$C$13/12</f>
        <v>0</v>
      </c>
      <c r="BR16" s="22">
        <f>BR13*Assum_Finance!$C$13/12</f>
        <v>0</v>
      </c>
      <c r="BS16" s="22">
        <f>BS13*Assum_Finance!$C$13/12</f>
        <v>0</v>
      </c>
      <c r="BT16" s="22">
        <f>BT13*Assum_Finance!$C$13/12</f>
        <v>0</v>
      </c>
      <c r="BU16" s="22">
        <f>BU13*Assum_Finance!$C$13/12</f>
        <v>0</v>
      </c>
      <c r="BV16" s="22">
        <f>BV13*Assum_Finance!$C$13/12</f>
        <v>0</v>
      </c>
      <c r="BW16" s="22">
        <f>BW13*Assum_Finance!$C$13/12</f>
        <v>0</v>
      </c>
      <c r="BX16" s="22">
        <f>BX13*Assum_Finance!$C$13/12</f>
        <v>0</v>
      </c>
      <c r="BY16" s="22">
        <f>BY13*Assum_Finance!$C$13/12</f>
        <v>0</v>
      </c>
      <c r="BZ16" s="22">
        <f>BZ13*Assum_Finance!$C$13/12</f>
        <v>0</v>
      </c>
      <c r="CA16" s="22">
        <f>CA13*Assum_Finance!$C$13/12</f>
        <v>0</v>
      </c>
      <c r="CB16" s="22">
        <f>CB13*Assum_Finance!$C$13/12</f>
        <v>0</v>
      </c>
      <c r="CC16" s="22">
        <f>CC13*Assum_Finance!$C$13/12</f>
        <v>0</v>
      </c>
      <c r="CD16" s="22">
        <f>CD13*Assum_Finance!$C$13/12</f>
        <v>0</v>
      </c>
      <c r="CE16" s="22">
        <f>CE13*Assum_Finance!$C$13/12</f>
        <v>0</v>
      </c>
      <c r="CF16" s="22">
        <f>CF13*Assum_Finance!$C$13/12</f>
        <v>0</v>
      </c>
      <c r="CG16" s="22">
        <f>CG13*Assum_Finance!$C$13/12</f>
        <v>0</v>
      </c>
      <c r="CH16" s="22">
        <f>CH13*Assum_Finance!$C$13/12</f>
        <v>0</v>
      </c>
      <c r="CI16" s="22">
        <f>CI13*Assum_Finance!$C$13/12</f>
        <v>0</v>
      </c>
      <c r="CJ16" s="22">
        <f>CJ13*Assum_Finance!$C$13/12</f>
        <v>0</v>
      </c>
      <c r="CK16" s="22">
        <f>CK13*Assum_Finance!$C$13/12</f>
        <v>0</v>
      </c>
      <c r="CL16" s="22">
        <f>CL13*Assum_Finance!$C$13/12</f>
        <v>0</v>
      </c>
      <c r="CM16" s="22">
        <f>CM13*Assum_Finance!$C$13/12</f>
        <v>0</v>
      </c>
      <c r="CN16" s="22">
        <f>CN13*Assum_Finance!$C$13/12</f>
        <v>0</v>
      </c>
      <c r="CO16" s="22">
        <f>CO13*Assum_Finance!$C$13/12</f>
        <v>0</v>
      </c>
      <c r="CP16" s="22">
        <f>CP13*Assum_Finance!$C$13/12</f>
        <v>0</v>
      </c>
      <c r="CQ16" s="22">
        <f>CQ13*Assum_Finance!$C$13/12</f>
        <v>0</v>
      </c>
      <c r="CR16" s="22">
        <f>CR13*Assum_Finance!$C$13/12</f>
        <v>0</v>
      </c>
      <c r="CS16" s="22">
        <f>CS13*Assum_Finance!$C$13/12</f>
        <v>0</v>
      </c>
      <c r="CT16" s="22">
        <f>CT13*Assum_Finance!$C$13/12</f>
        <v>0</v>
      </c>
      <c r="CU16" s="22">
        <f>CU13*Assum_Finance!$C$13/12</f>
        <v>0</v>
      </c>
      <c r="CV16" s="22">
        <f>CV13*Assum_Finance!$C$13/12</f>
        <v>0</v>
      </c>
      <c r="CW16" s="22">
        <f>CW13*Assum_Finance!$C$13/12</f>
        <v>0</v>
      </c>
      <c r="CX16" s="22">
        <f>CX13*Assum_Finance!$C$13/12</f>
        <v>0</v>
      </c>
      <c r="CY16" s="22">
        <f>CY13*Assum_Finance!$C$13/12</f>
        <v>0</v>
      </c>
      <c r="CZ16" s="22">
        <f>CZ13*Assum_Finance!$C$13/12</f>
        <v>0</v>
      </c>
      <c r="DA16" s="22">
        <f>DA13*Assum_Finance!$C$13/12</f>
        <v>0</v>
      </c>
      <c r="DB16" s="22">
        <f>DB13*Assum_Finance!$C$13/12</f>
        <v>0</v>
      </c>
      <c r="DC16" s="22">
        <f>DC13*Assum_Finance!$C$13/12</f>
        <v>0</v>
      </c>
      <c r="DD16" s="22">
        <f>DD13*Assum_Finance!$C$13/12</f>
        <v>0</v>
      </c>
      <c r="DE16" s="22">
        <f>DE13*Assum_Finance!$C$13/12</f>
        <v>0</v>
      </c>
      <c r="DF16" s="22">
        <f>DF13*Assum_Finance!$C$13/12</f>
        <v>0</v>
      </c>
      <c r="DG16" s="22">
        <f>DG13*Assum_Finance!$C$13/12</f>
        <v>0</v>
      </c>
      <c r="DH16" s="22">
        <f>DH13*Assum_Finance!$C$13/12</f>
        <v>0</v>
      </c>
      <c r="DI16" s="22">
        <f>DI13*Assum_Finance!$C$13/12</f>
        <v>0</v>
      </c>
      <c r="DJ16" s="22">
        <f>DJ13*Assum_Finance!$C$13/12</f>
        <v>0</v>
      </c>
      <c r="DK16" s="22">
        <f>DK13*Assum_Finance!$C$13/12</f>
        <v>0</v>
      </c>
      <c r="DL16" s="22">
        <f>DL13*Assum_Finance!$C$13/12</f>
        <v>0</v>
      </c>
      <c r="DM16" s="22">
        <f>DM13*Assum_Finance!$C$13/12</f>
        <v>0</v>
      </c>
      <c r="DN16" s="22">
        <f>DN13*Assum_Finance!$C$13/12</f>
        <v>0</v>
      </c>
      <c r="DO16" s="22">
        <f>DO13*Assum_Finance!$C$13/12</f>
        <v>0</v>
      </c>
      <c r="DP16" s="22">
        <f>DP13*Assum_Finance!$C$13/12</f>
        <v>0</v>
      </c>
      <c r="DQ16" s="22">
        <f>DQ13*Assum_Finance!$C$13/12</f>
        <v>0</v>
      </c>
    </row>
    <row r="17" spans="1:121" ht="15" customHeight="1">
      <c r="A17" t="s">
        <v>502</v>
      </c>
      <c r="B17" s="22">
        <f>(Assum_Finance!$C$11/1000-B13)*Assum_Finance!$C$14/12</f>
        <v>4.166666666666667</v>
      </c>
      <c r="C17" s="22">
        <f>(Assum_Finance!$C$11/1000-C13)*Assum_Finance!$C$14/12</f>
        <v>4.166666666666667</v>
      </c>
      <c r="D17" s="22">
        <f>(Assum_Finance!$C$11/1000-D13)*Assum_Finance!$C$14/12</f>
        <v>4.166666666666667</v>
      </c>
      <c r="E17" s="22">
        <f>(Assum_Finance!$C$11/1000-E13)*Assum_Finance!$C$14/12</f>
        <v>4.166666666666667</v>
      </c>
      <c r="F17" s="22">
        <f>(Assum_Finance!$C$11/1000-F13)*Assum_Finance!$C$14/12</f>
        <v>4.166666666666667</v>
      </c>
      <c r="G17" s="22">
        <f>(Assum_Finance!$C$11/1000-G13)*Assum_Finance!$C$14/12</f>
        <v>4.166666666666667</v>
      </c>
      <c r="H17" s="22">
        <f>(Assum_Finance!$C$11/1000-H13)*Assum_Finance!$C$14/12</f>
        <v>4.166666666666667</v>
      </c>
      <c r="I17" s="22">
        <f>(Assum_Finance!$C$11/1000-I13)*Assum_Finance!$C$14/12</f>
        <v>4.166666666666667</v>
      </c>
      <c r="J17" s="22">
        <f>(Assum_Finance!$C$11/1000-J13)*Assum_Finance!$C$14/12</f>
        <v>4.166666666666667</v>
      </c>
      <c r="K17" s="22">
        <f>(Assum_Finance!$C$11/1000-K13)*Assum_Finance!$C$14/12</f>
        <v>4.166666666666667</v>
      </c>
      <c r="L17" s="22">
        <f>(Assum_Finance!$C$11/1000-L13)*Assum_Finance!$C$14/12</f>
        <v>4.166666666666667</v>
      </c>
      <c r="M17" s="22">
        <f>(Assum_Finance!$C$11/1000-M13)*Assum_Finance!$C$14/12</f>
        <v>4.166666666666667</v>
      </c>
      <c r="N17" s="22">
        <f>(Assum_Finance!$C$11/1000-N13)*Assum_Finance!$C$14/12</f>
        <v>4.166666666666667</v>
      </c>
      <c r="O17" s="22">
        <f>(Assum_Finance!$C$11/1000-O13)*Assum_Finance!$C$14/12</f>
        <v>4.166666666666667</v>
      </c>
      <c r="P17" s="22">
        <f>(Assum_Finance!$C$11/1000-P13)*Assum_Finance!$C$14/12</f>
        <v>4.166666666666667</v>
      </c>
      <c r="Q17" s="22">
        <f>(Assum_Finance!$C$11/1000-Q13)*Assum_Finance!$C$14/12</f>
        <v>4.166666666666667</v>
      </c>
      <c r="R17" s="22">
        <f>(Assum_Finance!$C$11/1000-R13)*Assum_Finance!$C$14/12</f>
        <v>4.166666666666667</v>
      </c>
      <c r="S17" s="22">
        <f>(Assum_Finance!$C$11/1000-S13)*Assum_Finance!$C$14/12</f>
        <v>4.166666666666667</v>
      </c>
      <c r="T17" s="22">
        <f>(Assum_Finance!$C$11/1000-T13)*Assum_Finance!$C$14/12</f>
        <v>4.166666666666667</v>
      </c>
      <c r="U17" s="22">
        <f>(Assum_Finance!$C$11/1000-U13)*Assum_Finance!$C$14/12</f>
        <v>4.166666666666667</v>
      </c>
      <c r="V17" s="22">
        <f>(Assum_Finance!$C$11/1000-V13)*Assum_Finance!$C$14/12</f>
        <v>4.166666666666667</v>
      </c>
      <c r="W17" s="22">
        <f>(Assum_Finance!$C$11/1000-W13)*Assum_Finance!$C$14/12</f>
        <v>4.166666666666667</v>
      </c>
      <c r="X17" s="22">
        <f>(Assum_Finance!$C$11/1000-X13)*Assum_Finance!$C$14/12</f>
        <v>4.166666666666667</v>
      </c>
      <c r="Y17" s="22">
        <f>(Assum_Finance!$C$11/1000-Y13)*Assum_Finance!$C$14/12</f>
        <v>4.166666666666667</v>
      </c>
      <c r="Z17" s="22">
        <f>(Assum_Finance!$C$11/1000-Z13)*Assum_Finance!$C$14/12</f>
        <v>4.166666666666667</v>
      </c>
      <c r="AA17" s="22">
        <f>(Assum_Finance!$C$11/1000-AA13)*Assum_Finance!$C$14/12</f>
        <v>4.166666666666667</v>
      </c>
      <c r="AB17" s="22">
        <f>(Assum_Finance!$C$11/1000-AB13)*Assum_Finance!$C$14/12</f>
        <v>4.166666666666667</v>
      </c>
      <c r="AC17" s="22">
        <f>(Assum_Finance!$C$11/1000-AC13)*Assum_Finance!$C$14/12</f>
        <v>4.166666666666667</v>
      </c>
      <c r="AD17" s="22">
        <f>(Assum_Finance!$C$11/1000-AD13)*Assum_Finance!$C$14/12</f>
        <v>4.166666666666667</v>
      </c>
      <c r="AE17" s="22">
        <f>(Assum_Finance!$C$11/1000-AE13)*Assum_Finance!$C$14/12</f>
        <v>4.166666666666667</v>
      </c>
      <c r="AF17" s="22">
        <f>(Assum_Finance!$C$11/1000-AF13)*Assum_Finance!$C$14/12</f>
        <v>4.166666666666667</v>
      </c>
      <c r="AG17" s="22">
        <f>(Assum_Finance!$C$11/1000-AG13)*Assum_Finance!$C$14/12</f>
        <v>4.166666666666667</v>
      </c>
      <c r="AH17" s="22">
        <f>(Assum_Finance!$C$11/1000-AH13)*Assum_Finance!$C$14/12</f>
        <v>4.166666666666667</v>
      </c>
      <c r="AI17" s="22">
        <f>(Assum_Finance!$C$11/1000-AI13)*Assum_Finance!$C$14/12</f>
        <v>4.166666666666667</v>
      </c>
      <c r="AJ17" s="22">
        <f>(Assum_Finance!$C$11/1000-AJ13)*Assum_Finance!$C$14/12</f>
        <v>4.166666666666667</v>
      </c>
      <c r="AK17" s="22">
        <f>(Assum_Finance!$C$11/1000-AK13)*Assum_Finance!$C$14/12</f>
        <v>4.166666666666667</v>
      </c>
      <c r="AL17" s="22">
        <f>(Assum_Finance!$C$11/1000-AL13)*Assum_Finance!$C$14/12</f>
        <v>4.166666666666667</v>
      </c>
      <c r="AM17" s="22">
        <f>(Assum_Finance!$C$11/1000-AM13)*Assum_Finance!$C$14/12</f>
        <v>4.166666666666667</v>
      </c>
      <c r="AN17" s="22">
        <f>(Assum_Finance!$C$11/1000-AN13)*Assum_Finance!$C$14/12</f>
        <v>4.166666666666667</v>
      </c>
      <c r="AO17" s="22">
        <f>(Assum_Finance!$C$11/1000-AO13)*Assum_Finance!$C$14/12</f>
        <v>4.166666666666667</v>
      </c>
      <c r="AP17" s="22">
        <f>(Assum_Finance!$C$11/1000-AP13)*Assum_Finance!$C$14/12</f>
        <v>4.166666666666667</v>
      </c>
      <c r="AQ17" s="22">
        <f>(Assum_Finance!$C$11/1000-AQ13)*Assum_Finance!$C$14/12</f>
        <v>4.166666666666667</v>
      </c>
      <c r="AR17" s="22">
        <f>(Assum_Finance!$C$11/1000-AR13)*Assum_Finance!$C$14/12</f>
        <v>4.166666666666667</v>
      </c>
      <c r="AS17" s="22">
        <f>(Assum_Finance!$C$11/1000-AS13)*Assum_Finance!$C$14/12</f>
        <v>4.166666666666667</v>
      </c>
      <c r="AT17" s="22">
        <f>(Assum_Finance!$C$11/1000-AT13)*Assum_Finance!$C$14/12</f>
        <v>4.166666666666667</v>
      </c>
      <c r="AU17" s="22">
        <f>(Assum_Finance!$C$11/1000-AU13)*Assum_Finance!$C$14/12</f>
        <v>4.166666666666667</v>
      </c>
      <c r="AV17" s="22">
        <f>(Assum_Finance!$C$11/1000-AV13)*Assum_Finance!$C$14/12</f>
        <v>4.166666666666667</v>
      </c>
      <c r="AW17" s="22">
        <f>(Assum_Finance!$C$11/1000-AW13)*Assum_Finance!$C$14/12</f>
        <v>4.166666666666667</v>
      </c>
      <c r="AX17" s="22">
        <f>(Assum_Finance!$C$11/1000-AX13)*Assum_Finance!$C$14/12</f>
        <v>4.166666666666667</v>
      </c>
      <c r="AY17" s="22">
        <f>(Assum_Finance!$C$11/1000-AY13)*Assum_Finance!$C$14/12</f>
        <v>4.166666666666667</v>
      </c>
      <c r="AZ17" s="22">
        <f>(Assum_Finance!$C$11/1000-AZ13)*Assum_Finance!$C$14/12</f>
        <v>4.166666666666667</v>
      </c>
      <c r="BA17" s="22">
        <f>(Assum_Finance!$C$11/1000-BA13)*Assum_Finance!$C$14/12</f>
        <v>4.166666666666667</v>
      </c>
      <c r="BB17" s="22">
        <f>(Assum_Finance!$C$11/1000-BB13)*Assum_Finance!$C$14/12</f>
        <v>4.166666666666667</v>
      </c>
      <c r="BC17" s="22">
        <f>(Assum_Finance!$C$11/1000-BC13)*Assum_Finance!$C$14/12</f>
        <v>4.166666666666667</v>
      </c>
      <c r="BD17" s="22">
        <f>(Assum_Finance!$C$11/1000-BD13)*Assum_Finance!$C$14/12</f>
        <v>4.166666666666667</v>
      </c>
      <c r="BE17" s="22">
        <f>(Assum_Finance!$C$11/1000-BE13)*Assum_Finance!$C$14/12</f>
        <v>4.166666666666667</v>
      </c>
      <c r="BF17" s="22">
        <f>(Assum_Finance!$C$11/1000-BF13)*Assum_Finance!$C$14/12</f>
        <v>4.166666666666667</v>
      </c>
      <c r="BG17" s="22">
        <f>(Assum_Finance!$C$11/1000-BG13)*Assum_Finance!$C$14/12</f>
        <v>4.166666666666667</v>
      </c>
      <c r="BH17" s="22">
        <f>(Assum_Finance!$C$11/1000-BH13)*Assum_Finance!$C$14/12</f>
        <v>4.166666666666667</v>
      </c>
      <c r="BI17" s="22">
        <f>(Assum_Finance!$C$11/1000-BI13)*Assum_Finance!$C$14/12</f>
        <v>4.166666666666667</v>
      </c>
      <c r="BJ17" s="22">
        <f>(Assum_Finance!$C$11/1000-BJ13)*Assum_Finance!$C$14/12</f>
        <v>4.166666666666667</v>
      </c>
      <c r="BK17" s="22">
        <f>(Assum_Finance!$C$11/1000-BK13)*Assum_Finance!$C$14/12</f>
        <v>4.166666666666667</v>
      </c>
      <c r="BL17" s="22">
        <f>(Assum_Finance!$C$11/1000-BL13)*Assum_Finance!$C$14/12</f>
        <v>4.166666666666667</v>
      </c>
      <c r="BM17" s="22">
        <f>(Assum_Finance!$C$11/1000-BM13)*Assum_Finance!$C$14/12</f>
        <v>4.166666666666667</v>
      </c>
      <c r="BN17" s="22">
        <f>(Assum_Finance!$C$11/1000-BN13)*Assum_Finance!$C$14/12</f>
        <v>4.166666666666667</v>
      </c>
      <c r="BO17" s="22">
        <f>(Assum_Finance!$C$11/1000-BO13)*Assum_Finance!$C$14/12</f>
        <v>4.166666666666667</v>
      </c>
      <c r="BP17" s="22">
        <f>(Assum_Finance!$C$11/1000-BP13)*Assum_Finance!$C$14/12</f>
        <v>4.166666666666667</v>
      </c>
      <c r="BQ17" s="22">
        <f>(Assum_Finance!$C$11/1000-BQ13)*Assum_Finance!$C$14/12</f>
        <v>4.166666666666667</v>
      </c>
      <c r="BR17" s="22">
        <f>(Assum_Finance!$C$11/1000-BR13)*Assum_Finance!$C$14/12</f>
        <v>4.166666666666667</v>
      </c>
      <c r="BS17" s="22">
        <f>(Assum_Finance!$C$11/1000-BS13)*Assum_Finance!$C$14/12</f>
        <v>4.166666666666667</v>
      </c>
      <c r="BT17" s="22">
        <f>(Assum_Finance!$C$11/1000-BT13)*Assum_Finance!$C$14/12</f>
        <v>4.166666666666667</v>
      </c>
      <c r="BU17" s="22">
        <f>(Assum_Finance!$C$11/1000-BU13)*Assum_Finance!$C$14/12</f>
        <v>4.166666666666667</v>
      </c>
      <c r="BV17" s="22">
        <f>(Assum_Finance!$C$11/1000-BV13)*Assum_Finance!$C$14/12</f>
        <v>4.166666666666667</v>
      </c>
      <c r="BW17" s="22">
        <f>(Assum_Finance!$C$11/1000-BW13)*Assum_Finance!$C$14/12</f>
        <v>4.166666666666667</v>
      </c>
      <c r="BX17" s="22">
        <f>(Assum_Finance!$C$11/1000-BX13)*Assum_Finance!$C$14/12</f>
        <v>4.166666666666667</v>
      </c>
      <c r="BY17" s="22">
        <f>(Assum_Finance!$C$11/1000-BY13)*Assum_Finance!$C$14/12</f>
        <v>4.166666666666667</v>
      </c>
      <c r="BZ17" s="22">
        <f>(Assum_Finance!$C$11/1000-BZ13)*Assum_Finance!$C$14/12</f>
        <v>4.166666666666667</v>
      </c>
      <c r="CA17" s="22">
        <f>(Assum_Finance!$C$11/1000-CA13)*Assum_Finance!$C$14/12</f>
        <v>4.166666666666667</v>
      </c>
      <c r="CB17" s="22">
        <f>(Assum_Finance!$C$11/1000-CB13)*Assum_Finance!$C$14/12</f>
        <v>4.166666666666667</v>
      </c>
      <c r="CC17" s="22">
        <f>(Assum_Finance!$C$11/1000-CC13)*Assum_Finance!$C$14/12</f>
        <v>4.166666666666667</v>
      </c>
      <c r="CD17" s="22">
        <f>(Assum_Finance!$C$11/1000-CD13)*Assum_Finance!$C$14/12</f>
        <v>4.166666666666667</v>
      </c>
      <c r="CE17" s="22">
        <f>(Assum_Finance!$C$11/1000-CE13)*Assum_Finance!$C$14/12</f>
        <v>4.166666666666667</v>
      </c>
      <c r="CF17" s="22">
        <f>(Assum_Finance!$C$11/1000-CF13)*Assum_Finance!$C$14/12</f>
        <v>4.166666666666667</v>
      </c>
      <c r="CG17" s="22">
        <f>(Assum_Finance!$C$11/1000-CG13)*Assum_Finance!$C$14/12</f>
        <v>4.166666666666667</v>
      </c>
      <c r="CH17" s="22">
        <f>(Assum_Finance!$C$11/1000-CH13)*Assum_Finance!$C$14/12</f>
        <v>4.166666666666667</v>
      </c>
      <c r="CI17" s="22">
        <f>(Assum_Finance!$C$11/1000-CI13)*Assum_Finance!$C$14/12</f>
        <v>4.166666666666667</v>
      </c>
      <c r="CJ17" s="22">
        <f>(Assum_Finance!$C$11/1000-CJ13)*Assum_Finance!$C$14/12</f>
        <v>4.166666666666667</v>
      </c>
      <c r="CK17" s="22">
        <f>(Assum_Finance!$C$11/1000-CK13)*Assum_Finance!$C$14/12</f>
        <v>4.166666666666667</v>
      </c>
      <c r="CL17" s="22">
        <f>(Assum_Finance!$C$11/1000-CL13)*Assum_Finance!$C$14/12</f>
        <v>4.166666666666667</v>
      </c>
      <c r="CM17" s="22">
        <f>(Assum_Finance!$C$11/1000-CM13)*Assum_Finance!$C$14/12</f>
        <v>4.166666666666667</v>
      </c>
      <c r="CN17" s="22">
        <f>(Assum_Finance!$C$11/1000-CN13)*Assum_Finance!$C$14/12</f>
        <v>4.166666666666667</v>
      </c>
      <c r="CO17" s="22">
        <f>(Assum_Finance!$C$11/1000-CO13)*Assum_Finance!$C$14/12</f>
        <v>4.166666666666667</v>
      </c>
      <c r="CP17" s="22">
        <f>(Assum_Finance!$C$11/1000-CP13)*Assum_Finance!$C$14/12</f>
        <v>4.166666666666667</v>
      </c>
      <c r="CQ17" s="22">
        <f>(Assum_Finance!$C$11/1000-CQ13)*Assum_Finance!$C$14/12</f>
        <v>4.166666666666667</v>
      </c>
      <c r="CR17" s="22">
        <f>(Assum_Finance!$C$11/1000-CR13)*Assum_Finance!$C$14/12</f>
        <v>4.166666666666667</v>
      </c>
      <c r="CS17" s="22">
        <f>(Assum_Finance!$C$11/1000-CS13)*Assum_Finance!$C$14/12</f>
        <v>4.166666666666667</v>
      </c>
      <c r="CT17" s="22">
        <f>(Assum_Finance!$C$11/1000-CT13)*Assum_Finance!$C$14/12</f>
        <v>4.166666666666667</v>
      </c>
      <c r="CU17" s="22">
        <f>(Assum_Finance!$C$11/1000-CU13)*Assum_Finance!$C$14/12</f>
        <v>4.166666666666667</v>
      </c>
      <c r="CV17" s="22">
        <f>(Assum_Finance!$C$11/1000-CV13)*Assum_Finance!$C$14/12</f>
        <v>4.166666666666667</v>
      </c>
      <c r="CW17" s="22">
        <f>(Assum_Finance!$C$11/1000-CW13)*Assum_Finance!$C$14/12</f>
        <v>4.166666666666667</v>
      </c>
      <c r="CX17" s="22">
        <f>(Assum_Finance!$C$11/1000-CX13)*Assum_Finance!$C$14/12</f>
        <v>4.166666666666667</v>
      </c>
      <c r="CY17" s="22">
        <f>(Assum_Finance!$C$11/1000-CY13)*Assum_Finance!$C$14/12</f>
        <v>4.166666666666667</v>
      </c>
      <c r="CZ17" s="22">
        <f>(Assum_Finance!$C$11/1000-CZ13)*Assum_Finance!$C$14/12</f>
        <v>4.166666666666667</v>
      </c>
      <c r="DA17" s="22">
        <f>(Assum_Finance!$C$11/1000-DA13)*Assum_Finance!$C$14/12</f>
        <v>4.166666666666667</v>
      </c>
      <c r="DB17" s="22">
        <f>(Assum_Finance!$C$11/1000-DB13)*Assum_Finance!$C$14/12</f>
        <v>4.166666666666667</v>
      </c>
      <c r="DC17" s="22">
        <f>(Assum_Finance!$C$11/1000-DC13)*Assum_Finance!$C$14/12</f>
        <v>4.166666666666667</v>
      </c>
      <c r="DD17" s="22">
        <f>(Assum_Finance!$C$11/1000-DD13)*Assum_Finance!$C$14/12</f>
        <v>4.166666666666667</v>
      </c>
      <c r="DE17" s="22">
        <f>(Assum_Finance!$C$11/1000-DE13)*Assum_Finance!$C$14/12</f>
        <v>4.166666666666667</v>
      </c>
      <c r="DF17" s="22">
        <f>(Assum_Finance!$C$11/1000-DF13)*Assum_Finance!$C$14/12</f>
        <v>4.166666666666667</v>
      </c>
      <c r="DG17" s="22">
        <f>(Assum_Finance!$C$11/1000-DG13)*Assum_Finance!$C$14/12</f>
        <v>4.166666666666667</v>
      </c>
      <c r="DH17" s="22">
        <f>(Assum_Finance!$C$11/1000-DH13)*Assum_Finance!$C$14/12</f>
        <v>4.166666666666667</v>
      </c>
      <c r="DI17" s="22">
        <f>(Assum_Finance!$C$11/1000-DI13)*Assum_Finance!$C$14/12</f>
        <v>4.166666666666667</v>
      </c>
      <c r="DJ17" s="22">
        <f>(Assum_Finance!$C$11/1000-DJ13)*Assum_Finance!$C$14/12</f>
        <v>4.166666666666667</v>
      </c>
      <c r="DK17" s="22">
        <f>(Assum_Finance!$C$11/1000-DK13)*Assum_Finance!$C$14/12</f>
        <v>4.166666666666667</v>
      </c>
      <c r="DL17" s="22">
        <f>(Assum_Finance!$C$11/1000-DL13)*Assum_Finance!$C$14/12</f>
        <v>4.166666666666667</v>
      </c>
      <c r="DM17" s="22">
        <f>(Assum_Finance!$C$11/1000-DM13)*Assum_Finance!$C$14/12</f>
        <v>4.166666666666667</v>
      </c>
      <c r="DN17" s="22">
        <f>(Assum_Finance!$C$11/1000-DN13)*Assum_Finance!$C$14/12</f>
        <v>4.166666666666667</v>
      </c>
      <c r="DO17" s="22">
        <f>(Assum_Finance!$C$11/1000-DO13)*Assum_Finance!$C$14/12</f>
        <v>4.166666666666667</v>
      </c>
      <c r="DP17" s="22">
        <f>(Assum_Finance!$C$11/1000-DP13)*Assum_Finance!$C$14/12</f>
        <v>4.166666666666667</v>
      </c>
      <c r="DQ17" s="22">
        <f>(Assum_Finance!$C$11/1000-DQ13)*Assum_Finance!$C$14/12</f>
        <v>4.166666666666667</v>
      </c>
    </row>
    <row r="19" spans="1:121" ht="15" customHeight="1">
      <c r="A19" s="5" t="s">
        <v>503</v>
      </c>
    </row>
    <row r="20" spans="1:121" ht="15" customHeight="1">
      <c r="A20" s="14" t="s">
        <v>504</v>
      </c>
      <c r="B20" s="29">
        <f t="shared" ref="B20:AG20" si="16">B9+B15</f>
        <v>24702.380952380954</v>
      </c>
      <c r="C20" s="29">
        <f t="shared" si="16"/>
        <v>24404.761904761908</v>
      </c>
      <c r="D20" s="29">
        <f t="shared" si="16"/>
        <v>24107.142857142862</v>
      </c>
      <c r="E20" s="29">
        <f t="shared" si="16"/>
        <v>23809.523809523816</v>
      </c>
      <c r="F20" s="29">
        <f t="shared" si="16"/>
        <v>23511.904761904771</v>
      </c>
      <c r="G20" s="29">
        <f t="shared" si="16"/>
        <v>23214.285714285725</v>
      </c>
      <c r="H20" s="29">
        <f t="shared" si="16"/>
        <v>22916.666666666679</v>
      </c>
      <c r="I20" s="29">
        <f t="shared" si="16"/>
        <v>22619.047619047633</v>
      </c>
      <c r="J20" s="29">
        <f t="shared" si="16"/>
        <v>22321.428571428587</v>
      </c>
      <c r="K20" s="29">
        <f t="shared" si="16"/>
        <v>22023.809523809541</v>
      </c>
      <c r="L20" s="29">
        <f t="shared" si="16"/>
        <v>21726.190476190495</v>
      </c>
      <c r="M20" s="29">
        <f t="shared" si="16"/>
        <v>21428.571428571449</v>
      </c>
      <c r="N20" s="29">
        <f t="shared" si="16"/>
        <v>21130.952380952403</v>
      </c>
      <c r="O20" s="29">
        <f t="shared" si="16"/>
        <v>20833.333333333358</v>
      </c>
      <c r="P20" s="29">
        <f t="shared" si="16"/>
        <v>20535.714285714312</v>
      </c>
      <c r="Q20" s="29">
        <f t="shared" si="16"/>
        <v>20238.095238095266</v>
      </c>
      <c r="R20" s="29">
        <f t="shared" si="16"/>
        <v>19940.47619047622</v>
      </c>
      <c r="S20" s="29">
        <f t="shared" si="16"/>
        <v>19642.857142857174</v>
      </c>
      <c r="T20" s="29">
        <f t="shared" si="16"/>
        <v>19345.238095238128</v>
      </c>
      <c r="U20" s="29">
        <f t="shared" si="16"/>
        <v>19047.619047619082</v>
      </c>
      <c r="V20" s="29">
        <f t="shared" si="16"/>
        <v>18750.000000000036</v>
      </c>
      <c r="W20" s="29">
        <f t="shared" si="16"/>
        <v>18452.38095238099</v>
      </c>
      <c r="X20" s="29">
        <f t="shared" si="16"/>
        <v>18154.761904761945</v>
      </c>
      <c r="Y20" s="29">
        <f t="shared" si="16"/>
        <v>17857.142857142899</v>
      </c>
      <c r="Z20" s="29">
        <f t="shared" si="16"/>
        <v>17559.523809523853</v>
      </c>
      <c r="AA20" s="29">
        <f t="shared" si="16"/>
        <v>17261.904761904807</v>
      </c>
      <c r="AB20" s="29">
        <f t="shared" si="16"/>
        <v>16964.285714285761</v>
      </c>
      <c r="AC20" s="29">
        <f t="shared" si="16"/>
        <v>16666.666666666715</v>
      </c>
      <c r="AD20" s="29">
        <f t="shared" si="16"/>
        <v>16369.047619047667</v>
      </c>
      <c r="AE20" s="29">
        <f t="shared" si="16"/>
        <v>16071.42857142862</v>
      </c>
      <c r="AF20" s="29">
        <f t="shared" si="16"/>
        <v>15773.809523809572</v>
      </c>
      <c r="AG20" s="29">
        <f t="shared" si="16"/>
        <v>15476.190476190524</v>
      </c>
      <c r="AH20" s="29">
        <f t="shared" ref="AH20:BM20" si="17">AH9+AH15</f>
        <v>15178.571428571477</v>
      </c>
      <c r="AI20" s="29">
        <f t="shared" si="17"/>
        <v>14880.952380952429</v>
      </c>
      <c r="AJ20" s="29">
        <f t="shared" si="17"/>
        <v>14583.333333333381</v>
      </c>
      <c r="AK20" s="29">
        <f t="shared" si="17"/>
        <v>14285.714285714334</v>
      </c>
      <c r="AL20" s="29">
        <f t="shared" si="17"/>
        <v>13988.095238095286</v>
      </c>
      <c r="AM20" s="29">
        <f t="shared" si="17"/>
        <v>13690.476190476238</v>
      </c>
      <c r="AN20" s="29">
        <f t="shared" si="17"/>
        <v>13392.85714285719</v>
      </c>
      <c r="AO20" s="29">
        <f t="shared" si="17"/>
        <v>13095.238095238143</v>
      </c>
      <c r="AP20" s="29">
        <f t="shared" si="17"/>
        <v>12797.619047619095</v>
      </c>
      <c r="AQ20" s="29">
        <f t="shared" si="17"/>
        <v>12500.000000000047</v>
      </c>
      <c r="AR20" s="29">
        <f t="shared" si="17"/>
        <v>12202.380952381</v>
      </c>
      <c r="AS20" s="29">
        <f t="shared" si="17"/>
        <v>11904.761904761952</v>
      </c>
      <c r="AT20" s="29">
        <f t="shared" si="17"/>
        <v>11607.142857142904</v>
      </c>
      <c r="AU20" s="29">
        <f t="shared" si="17"/>
        <v>11309.523809523856</v>
      </c>
      <c r="AV20" s="29">
        <f t="shared" si="17"/>
        <v>11011.904761904809</v>
      </c>
      <c r="AW20" s="29">
        <f t="shared" si="17"/>
        <v>10714.285714285761</v>
      </c>
      <c r="AX20" s="29">
        <f t="shared" si="17"/>
        <v>10416.666666666713</v>
      </c>
      <c r="AY20" s="29">
        <f t="shared" si="17"/>
        <v>10119.047619047666</v>
      </c>
      <c r="AZ20" s="29">
        <f t="shared" si="17"/>
        <v>9821.4285714286179</v>
      </c>
      <c r="BA20" s="29">
        <f t="shared" si="17"/>
        <v>9523.8095238095702</v>
      </c>
      <c r="BB20" s="29">
        <f t="shared" si="17"/>
        <v>9226.1904761905225</v>
      </c>
      <c r="BC20" s="29">
        <f t="shared" si="17"/>
        <v>8928.5714285714748</v>
      </c>
      <c r="BD20" s="29">
        <f t="shared" si="17"/>
        <v>8630.9523809524271</v>
      </c>
      <c r="BE20" s="29">
        <f t="shared" si="17"/>
        <v>8333.3333333333794</v>
      </c>
      <c r="BF20" s="29">
        <f t="shared" si="17"/>
        <v>8035.7142857143317</v>
      </c>
      <c r="BG20" s="29">
        <f t="shared" si="17"/>
        <v>7738.095238095284</v>
      </c>
      <c r="BH20" s="29">
        <f t="shared" si="17"/>
        <v>7440.4761904762363</v>
      </c>
      <c r="BI20" s="29">
        <f t="shared" si="17"/>
        <v>7142.8571428571886</v>
      </c>
      <c r="BJ20" s="29">
        <f t="shared" si="17"/>
        <v>6845.2380952381409</v>
      </c>
      <c r="BK20" s="29">
        <f t="shared" si="17"/>
        <v>6547.6190476190932</v>
      </c>
      <c r="BL20" s="29">
        <f t="shared" si="17"/>
        <v>6250.0000000000455</v>
      </c>
      <c r="BM20" s="29">
        <f t="shared" si="17"/>
        <v>5952.3809523809978</v>
      </c>
      <c r="BN20" s="29">
        <f t="shared" ref="BN20:CS20" si="18">BN9+BN15</f>
        <v>5654.7619047619501</v>
      </c>
      <c r="BO20" s="29">
        <f t="shared" si="18"/>
        <v>5357.1428571429024</v>
      </c>
      <c r="BP20" s="29">
        <f t="shared" si="18"/>
        <v>5059.5238095238547</v>
      </c>
      <c r="BQ20" s="29">
        <f t="shared" si="18"/>
        <v>4761.9047619048069</v>
      </c>
      <c r="BR20" s="29">
        <f t="shared" si="18"/>
        <v>4464.2857142857592</v>
      </c>
      <c r="BS20" s="29">
        <f t="shared" si="18"/>
        <v>4166.6666666667115</v>
      </c>
      <c r="BT20" s="29">
        <f t="shared" si="18"/>
        <v>3869.0476190476638</v>
      </c>
      <c r="BU20" s="29">
        <f t="shared" si="18"/>
        <v>3571.4285714286161</v>
      </c>
      <c r="BV20" s="29">
        <f t="shared" si="18"/>
        <v>3273.8095238095684</v>
      </c>
      <c r="BW20" s="29">
        <f t="shared" si="18"/>
        <v>2976.1904761905207</v>
      </c>
      <c r="BX20" s="29">
        <f t="shared" si="18"/>
        <v>2678.571428571473</v>
      </c>
      <c r="BY20" s="29">
        <f t="shared" si="18"/>
        <v>2380.9523809524253</v>
      </c>
      <c r="BZ20" s="29">
        <f t="shared" si="18"/>
        <v>2083.3333333333776</v>
      </c>
      <c r="CA20" s="29">
        <f t="shared" si="18"/>
        <v>1785.7142857143299</v>
      </c>
      <c r="CB20" s="29">
        <f t="shared" si="18"/>
        <v>1488.0952380952822</v>
      </c>
      <c r="CC20" s="29">
        <f t="shared" si="18"/>
        <v>1190.4761904762345</v>
      </c>
      <c r="CD20" s="29">
        <f t="shared" si="18"/>
        <v>892.85714285718677</v>
      </c>
      <c r="CE20" s="29">
        <f t="shared" si="18"/>
        <v>595.23809523813907</v>
      </c>
      <c r="CF20" s="29">
        <f t="shared" si="18"/>
        <v>297.61904761909142</v>
      </c>
      <c r="CG20" s="29">
        <f t="shared" si="18"/>
        <v>4.3769432522822171E-11</v>
      </c>
      <c r="CH20" s="29">
        <f t="shared" si="18"/>
        <v>0</v>
      </c>
      <c r="CI20" s="29">
        <f t="shared" si="18"/>
        <v>0</v>
      </c>
      <c r="CJ20" s="29">
        <f t="shared" si="18"/>
        <v>0</v>
      </c>
      <c r="CK20" s="29">
        <f t="shared" si="18"/>
        <v>0</v>
      </c>
      <c r="CL20" s="29">
        <f t="shared" si="18"/>
        <v>0</v>
      </c>
      <c r="CM20" s="29">
        <f t="shared" si="18"/>
        <v>0</v>
      </c>
      <c r="CN20" s="29">
        <f t="shared" si="18"/>
        <v>0</v>
      </c>
      <c r="CO20" s="29">
        <f t="shared" si="18"/>
        <v>0</v>
      </c>
      <c r="CP20" s="29">
        <f t="shared" si="18"/>
        <v>0</v>
      </c>
      <c r="CQ20" s="29">
        <f t="shared" si="18"/>
        <v>0</v>
      </c>
      <c r="CR20" s="29">
        <f t="shared" si="18"/>
        <v>0</v>
      </c>
      <c r="CS20" s="29">
        <f t="shared" si="18"/>
        <v>0</v>
      </c>
      <c r="CT20" s="29">
        <f t="shared" ref="CT20:DQ20" si="19">CT9+CT15</f>
        <v>0</v>
      </c>
      <c r="CU20" s="29">
        <f t="shared" si="19"/>
        <v>0</v>
      </c>
      <c r="CV20" s="29">
        <f t="shared" si="19"/>
        <v>0</v>
      </c>
      <c r="CW20" s="29">
        <f t="shared" si="19"/>
        <v>0</v>
      </c>
      <c r="CX20" s="29">
        <f t="shared" si="19"/>
        <v>0</v>
      </c>
      <c r="CY20" s="29">
        <f t="shared" si="19"/>
        <v>0</v>
      </c>
      <c r="CZ20" s="29">
        <f t="shared" si="19"/>
        <v>0</v>
      </c>
      <c r="DA20" s="29">
        <f t="shared" si="19"/>
        <v>0</v>
      </c>
      <c r="DB20" s="29">
        <f t="shared" si="19"/>
        <v>0</v>
      </c>
      <c r="DC20" s="29">
        <f t="shared" si="19"/>
        <v>0</v>
      </c>
      <c r="DD20" s="29">
        <f t="shared" si="19"/>
        <v>0</v>
      </c>
      <c r="DE20" s="29">
        <f t="shared" si="19"/>
        <v>0</v>
      </c>
      <c r="DF20" s="29">
        <f t="shared" si="19"/>
        <v>0</v>
      </c>
      <c r="DG20" s="29">
        <f t="shared" si="19"/>
        <v>0</v>
      </c>
      <c r="DH20" s="29">
        <f t="shared" si="19"/>
        <v>0</v>
      </c>
      <c r="DI20" s="29">
        <f t="shared" si="19"/>
        <v>0</v>
      </c>
      <c r="DJ20" s="29">
        <f t="shared" si="19"/>
        <v>0</v>
      </c>
      <c r="DK20" s="29">
        <f t="shared" si="19"/>
        <v>0</v>
      </c>
      <c r="DL20" s="29">
        <f t="shared" si="19"/>
        <v>0</v>
      </c>
      <c r="DM20" s="29">
        <f t="shared" si="19"/>
        <v>0</v>
      </c>
      <c r="DN20" s="29">
        <f t="shared" si="19"/>
        <v>0</v>
      </c>
      <c r="DO20" s="29">
        <f t="shared" si="19"/>
        <v>0</v>
      </c>
      <c r="DP20" s="29">
        <f t="shared" si="19"/>
        <v>0</v>
      </c>
      <c r="DQ20" s="29">
        <f t="shared" si="19"/>
        <v>0</v>
      </c>
    </row>
    <row r="21" spans="1:121" ht="15" customHeight="1">
      <c r="A21" s="14" t="s">
        <v>505</v>
      </c>
      <c r="B21" s="29">
        <f t="shared" ref="B21:AG21" si="20">B10+B16+B17</f>
        <v>139.58333333333331</v>
      </c>
      <c r="C21" s="29">
        <f t="shared" si="20"/>
        <v>137.97123015873018</v>
      </c>
      <c r="D21" s="29">
        <f t="shared" si="20"/>
        <v>136.35912698412699</v>
      </c>
      <c r="E21" s="29">
        <f t="shared" si="20"/>
        <v>134.74702380952382</v>
      </c>
      <c r="F21" s="29">
        <f t="shared" si="20"/>
        <v>133.13492063492066</v>
      </c>
      <c r="G21" s="29">
        <f t="shared" si="20"/>
        <v>131.5228174603175</v>
      </c>
      <c r="H21" s="29">
        <f t="shared" si="20"/>
        <v>129.91071428571436</v>
      </c>
      <c r="I21" s="29">
        <f t="shared" si="20"/>
        <v>128.29861111111117</v>
      </c>
      <c r="J21" s="29">
        <f t="shared" si="20"/>
        <v>126.68650793650801</v>
      </c>
      <c r="K21" s="29">
        <f t="shared" si="20"/>
        <v>125.07440476190486</v>
      </c>
      <c r="L21" s="29">
        <f t="shared" si="20"/>
        <v>123.46230158730168</v>
      </c>
      <c r="M21" s="29">
        <f t="shared" si="20"/>
        <v>121.85019841269853</v>
      </c>
      <c r="N21" s="29">
        <f t="shared" si="20"/>
        <v>120.23809523809535</v>
      </c>
      <c r="O21" s="29">
        <f t="shared" si="20"/>
        <v>118.62599206349219</v>
      </c>
      <c r="P21" s="29">
        <f t="shared" si="20"/>
        <v>117.01388888888903</v>
      </c>
      <c r="Q21" s="29">
        <f t="shared" si="20"/>
        <v>115.40178571428586</v>
      </c>
      <c r="R21" s="29">
        <f t="shared" si="20"/>
        <v>113.7896825396827</v>
      </c>
      <c r="S21" s="29">
        <f t="shared" si="20"/>
        <v>112.17757936507954</v>
      </c>
      <c r="T21" s="29">
        <f t="shared" si="20"/>
        <v>110.56547619047636</v>
      </c>
      <c r="U21" s="29">
        <f t="shared" si="20"/>
        <v>108.95337301587321</v>
      </c>
      <c r="V21" s="29">
        <f t="shared" si="20"/>
        <v>107.34126984127003</v>
      </c>
      <c r="W21" s="29">
        <f t="shared" si="20"/>
        <v>105.72916666666688</v>
      </c>
      <c r="X21" s="29">
        <f t="shared" si="20"/>
        <v>104.11706349206371</v>
      </c>
      <c r="Y21" s="29">
        <f t="shared" si="20"/>
        <v>102.50496031746053</v>
      </c>
      <c r="Z21" s="29">
        <f t="shared" si="20"/>
        <v>100.89285714285738</v>
      </c>
      <c r="AA21" s="29">
        <f t="shared" si="20"/>
        <v>99.280753968254203</v>
      </c>
      <c r="AB21" s="29">
        <f t="shared" si="20"/>
        <v>97.668650793651054</v>
      </c>
      <c r="AC21" s="29">
        <f t="shared" si="20"/>
        <v>96.056547619047876</v>
      </c>
      <c r="AD21" s="29">
        <f t="shared" si="20"/>
        <v>94.444444444444713</v>
      </c>
      <c r="AE21" s="29">
        <f t="shared" si="20"/>
        <v>92.832341269841535</v>
      </c>
      <c r="AF21" s="29">
        <f t="shared" si="20"/>
        <v>91.220238095238358</v>
      </c>
      <c r="AG21" s="29">
        <f t="shared" si="20"/>
        <v>89.608134920635194</v>
      </c>
      <c r="AH21" s="29">
        <f t="shared" ref="AH21:BM21" si="21">AH10+AH16+AH17</f>
        <v>87.996031746032017</v>
      </c>
      <c r="AI21" s="29">
        <f t="shared" si="21"/>
        <v>86.383928571428839</v>
      </c>
      <c r="AJ21" s="29">
        <f t="shared" si="21"/>
        <v>84.771825396825662</v>
      </c>
      <c r="AK21" s="29">
        <f t="shared" si="21"/>
        <v>83.159722222222484</v>
      </c>
      <c r="AL21" s="29">
        <f t="shared" si="21"/>
        <v>81.547619047619321</v>
      </c>
      <c r="AM21" s="29">
        <f t="shared" si="21"/>
        <v>79.935515873016143</v>
      </c>
      <c r="AN21" s="29">
        <f t="shared" si="21"/>
        <v>78.323412698412966</v>
      </c>
      <c r="AO21" s="29">
        <f t="shared" si="21"/>
        <v>76.711309523809788</v>
      </c>
      <c r="AP21" s="29">
        <f t="shared" si="21"/>
        <v>75.099206349206611</v>
      </c>
      <c r="AQ21" s="29">
        <f t="shared" si="21"/>
        <v>73.487103174603448</v>
      </c>
      <c r="AR21" s="29">
        <f t="shared" si="21"/>
        <v>71.875000000000256</v>
      </c>
      <c r="AS21" s="29">
        <f t="shared" si="21"/>
        <v>70.262896825397092</v>
      </c>
      <c r="AT21" s="29">
        <f t="shared" si="21"/>
        <v>68.650793650793915</v>
      </c>
      <c r="AU21" s="29">
        <f t="shared" si="21"/>
        <v>67.038690476190737</v>
      </c>
      <c r="AV21" s="29">
        <f t="shared" si="21"/>
        <v>65.42658730158756</v>
      </c>
      <c r="AW21" s="29">
        <f t="shared" si="21"/>
        <v>63.814484126984382</v>
      </c>
      <c r="AX21" s="29">
        <f t="shared" si="21"/>
        <v>62.202380952381205</v>
      </c>
      <c r="AY21" s="29">
        <f t="shared" si="21"/>
        <v>60.590277777778034</v>
      </c>
      <c r="AZ21" s="29">
        <f t="shared" si="21"/>
        <v>58.97817460317485</v>
      </c>
      <c r="BA21" s="29">
        <f t="shared" si="21"/>
        <v>57.366071428571679</v>
      </c>
      <c r="BB21" s="29">
        <f t="shared" si="21"/>
        <v>55.753968253968509</v>
      </c>
      <c r="BC21" s="29">
        <f t="shared" si="21"/>
        <v>54.141865079365331</v>
      </c>
      <c r="BD21" s="29">
        <f t="shared" si="21"/>
        <v>52.529761904762154</v>
      </c>
      <c r="BE21" s="29">
        <f t="shared" si="21"/>
        <v>50.917658730158976</v>
      </c>
      <c r="BF21" s="29">
        <f t="shared" si="21"/>
        <v>49.305555555555806</v>
      </c>
      <c r="BG21" s="29">
        <f t="shared" si="21"/>
        <v>47.693452380952635</v>
      </c>
      <c r="BH21" s="29">
        <f t="shared" si="21"/>
        <v>46.081349206349458</v>
      </c>
      <c r="BI21" s="29">
        <f t="shared" si="21"/>
        <v>44.46924603174628</v>
      </c>
      <c r="BJ21" s="29">
        <f t="shared" si="21"/>
        <v>42.857142857143103</v>
      </c>
      <c r="BK21" s="29">
        <f t="shared" si="21"/>
        <v>41.245039682539925</v>
      </c>
      <c r="BL21" s="29">
        <f t="shared" si="21"/>
        <v>39.632936507936755</v>
      </c>
      <c r="BM21" s="29">
        <f t="shared" si="21"/>
        <v>38.020833333333577</v>
      </c>
      <c r="BN21" s="29">
        <f t="shared" ref="BN21:CS21" si="22">BN10+BN16+BN17</f>
        <v>36.408730158730407</v>
      </c>
      <c r="BO21" s="29">
        <f t="shared" si="22"/>
        <v>34.796626984127229</v>
      </c>
      <c r="BP21" s="29">
        <f t="shared" si="22"/>
        <v>33.184523809524059</v>
      </c>
      <c r="BQ21" s="29">
        <f t="shared" si="22"/>
        <v>31.572420634920881</v>
      </c>
      <c r="BR21" s="29">
        <f t="shared" si="22"/>
        <v>29.960317460317707</v>
      </c>
      <c r="BS21" s="29">
        <f t="shared" si="22"/>
        <v>28.34821428571453</v>
      </c>
      <c r="BT21" s="29">
        <f t="shared" si="22"/>
        <v>26.736111111111356</v>
      </c>
      <c r="BU21" s="29">
        <f t="shared" si="22"/>
        <v>25.124007936508182</v>
      </c>
      <c r="BV21" s="29">
        <f t="shared" si="22"/>
        <v>23.511904761905008</v>
      </c>
      <c r="BW21" s="29">
        <f t="shared" si="22"/>
        <v>21.89980158730183</v>
      </c>
      <c r="BX21" s="29">
        <f t="shared" si="22"/>
        <v>20.287698412698656</v>
      </c>
      <c r="BY21" s="29">
        <f t="shared" si="22"/>
        <v>18.675595238095479</v>
      </c>
      <c r="BZ21" s="29">
        <f t="shared" si="22"/>
        <v>17.063492063492305</v>
      </c>
      <c r="CA21" s="29">
        <f t="shared" si="22"/>
        <v>15.451388888889131</v>
      </c>
      <c r="CB21" s="29">
        <f t="shared" si="22"/>
        <v>13.839285714285953</v>
      </c>
      <c r="CC21" s="29">
        <f t="shared" si="22"/>
        <v>12.227182539682779</v>
      </c>
      <c r="CD21" s="29">
        <f t="shared" si="22"/>
        <v>10.615079365079605</v>
      </c>
      <c r="CE21" s="29">
        <f t="shared" si="22"/>
        <v>9.0029761904764278</v>
      </c>
      <c r="CF21" s="29">
        <f t="shared" si="22"/>
        <v>7.3908730158732538</v>
      </c>
      <c r="CG21" s="29">
        <f t="shared" si="22"/>
        <v>5.778769841270079</v>
      </c>
      <c r="CH21" s="29">
        <f t="shared" si="22"/>
        <v>4.1666666666669041</v>
      </c>
      <c r="CI21" s="29">
        <f t="shared" si="22"/>
        <v>4.166666666666667</v>
      </c>
      <c r="CJ21" s="29">
        <f t="shared" si="22"/>
        <v>4.166666666666667</v>
      </c>
      <c r="CK21" s="29">
        <f t="shared" si="22"/>
        <v>4.166666666666667</v>
      </c>
      <c r="CL21" s="29">
        <f t="shared" si="22"/>
        <v>4.166666666666667</v>
      </c>
      <c r="CM21" s="29">
        <f t="shared" si="22"/>
        <v>4.166666666666667</v>
      </c>
      <c r="CN21" s="29">
        <f t="shared" si="22"/>
        <v>4.166666666666667</v>
      </c>
      <c r="CO21" s="29">
        <f t="shared" si="22"/>
        <v>4.166666666666667</v>
      </c>
      <c r="CP21" s="29">
        <f t="shared" si="22"/>
        <v>4.166666666666667</v>
      </c>
      <c r="CQ21" s="29">
        <f t="shared" si="22"/>
        <v>4.166666666666667</v>
      </c>
      <c r="CR21" s="29">
        <f t="shared" si="22"/>
        <v>4.166666666666667</v>
      </c>
      <c r="CS21" s="29">
        <f t="shared" si="22"/>
        <v>4.166666666666667</v>
      </c>
      <c r="CT21" s="29">
        <f t="shared" ref="CT21:DQ21" si="23">CT10+CT16+CT17</f>
        <v>4.166666666666667</v>
      </c>
      <c r="CU21" s="29">
        <f t="shared" si="23"/>
        <v>4.166666666666667</v>
      </c>
      <c r="CV21" s="29">
        <f t="shared" si="23"/>
        <v>4.166666666666667</v>
      </c>
      <c r="CW21" s="29">
        <f t="shared" si="23"/>
        <v>4.166666666666667</v>
      </c>
      <c r="CX21" s="29">
        <f t="shared" si="23"/>
        <v>4.166666666666667</v>
      </c>
      <c r="CY21" s="29">
        <f t="shared" si="23"/>
        <v>4.166666666666667</v>
      </c>
      <c r="CZ21" s="29">
        <f t="shared" si="23"/>
        <v>4.166666666666667</v>
      </c>
      <c r="DA21" s="29">
        <f t="shared" si="23"/>
        <v>4.166666666666667</v>
      </c>
      <c r="DB21" s="29">
        <f t="shared" si="23"/>
        <v>4.166666666666667</v>
      </c>
      <c r="DC21" s="29">
        <f t="shared" si="23"/>
        <v>4.166666666666667</v>
      </c>
      <c r="DD21" s="29">
        <f t="shared" si="23"/>
        <v>4.166666666666667</v>
      </c>
      <c r="DE21" s="29">
        <f t="shared" si="23"/>
        <v>4.166666666666667</v>
      </c>
      <c r="DF21" s="29">
        <f t="shared" si="23"/>
        <v>4.166666666666667</v>
      </c>
      <c r="DG21" s="29">
        <f t="shared" si="23"/>
        <v>4.166666666666667</v>
      </c>
      <c r="DH21" s="29">
        <f t="shared" si="23"/>
        <v>4.166666666666667</v>
      </c>
      <c r="DI21" s="29">
        <f t="shared" si="23"/>
        <v>4.166666666666667</v>
      </c>
      <c r="DJ21" s="29">
        <f t="shared" si="23"/>
        <v>4.166666666666667</v>
      </c>
      <c r="DK21" s="29">
        <f t="shared" si="23"/>
        <v>4.166666666666667</v>
      </c>
      <c r="DL21" s="29">
        <f t="shared" si="23"/>
        <v>4.166666666666667</v>
      </c>
      <c r="DM21" s="29">
        <f t="shared" si="23"/>
        <v>4.166666666666667</v>
      </c>
      <c r="DN21" s="29">
        <f t="shared" si="23"/>
        <v>4.166666666666667</v>
      </c>
      <c r="DO21" s="29">
        <f t="shared" si="23"/>
        <v>4.166666666666667</v>
      </c>
      <c r="DP21" s="29">
        <f t="shared" si="23"/>
        <v>4.166666666666667</v>
      </c>
      <c r="DQ21" s="29">
        <f t="shared" si="23"/>
        <v>4.166666666666667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Q41"/>
  <sheetViews>
    <sheetView tabSelected="1" zoomScaleNormal="100" workbookViewId="0">
      <selection activeCell="G3" sqref="G3"/>
    </sheetView>
  </sheetViews>
  <sheetFormatPr defaultColWidth="8.7109375" defaultRowHeight="15"/>
  <cols>
    <col min="1" max="1" width="25" customWidth="1"/>
    <col min="2" max="121" width="10" customWidth="1"/>
  </cols>
  <sheetData>
    <row r="1" spans="1:121" ht="17.25" customHeight="1">
      <c r="A1" s="4" t="s">
        <v>506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507</v>
      </c>
    </row>
    <row r="7" spans="1:121" ht="15" customHeight="1">
      <c r="A7" t="s">
        <v>508</v>
      </c>
      <c r="B7" s="22">
        <f>Calc_Revenue!B12</f>
        <v>47103.808333333334</v>
      </c>
      <c r="C7" s="22">
        <f>Calc_Revenue!C12</f>
        <v>45055.816666666673</v>
      </c>
      <c r="D7" s="22">
        <f>Calc_Revenue!D12</f>
        <v>40959.833333333336</v>
      </c>
      <c r="E7" s="22">
        <f>Calc_Revenue!E12</f>
        <v>36863.85</v>
      </c>
      <c r="F7" s="22">
        <f>Calc_Revenue!F12</f>
        <v>34815.858333333337</v>
      </c>
      <c r="G7" s="22">
        <f>Calc_Revenue!G12</f>
        <v>32767.866666666672</v>
      </c>
      <c r="H7" s="22">
        <f>Calc_Revenue!H12</f>
        <v>32767.866666666672</v>
      </c>
      <c r="I7" s="22">
        <f>Calc_Revenue!I12</f>
        <v>34815.858333333337</v>
      </c>
      <c r="J7" s="22">
        <f>Calc_Revenue!J12</f>
        <v>38911.841666666667</v>
      </c>
      <c r="K7" s="22">
        <f>Calc_Revenue!K12</f>
        <v>43007.825000000004</v>
      </c>
      <c r="L7" s="22">
        <f>Calc_Revenue!L12</f>
        <v>47103.808333333334</v>
      </c>
      <c r="M7" s="22">
        <f>Calc_Revenue!M12</f>
        <v>57343.766666666663</v>
      </c>
      <c r="N7" s="22">
        <f>Calc_Revenue!N12</f>
        <v>52143.915825000004</v>
      </c>
      <c r="O7" s="22">
        <f>Calc_Revenue!O12</f>
        <v>49876.789050000007</v>
      </c>
      <c r="P7" s="22">
        <f>Calc_Revenue!P12</f>
        <v>45342.535499999998</v>
      </c>
      <c r="Q7" s="22">
        <f>Calc_Revenue!Q12</f>
        <v>40808.281949999997</v>
      </c>
      <c r="R7" s="22">
        <f>Calc_Revenue!R12</f>
        <v>38541.155175</v>
      </c>
      <c r="S7" s="22">
        <f>Calc_Revenue!S12</f>
        <v>36274.028400000003</v>
      </c>
      <c r="T7" s="22">
        <f>Calc_Revenue!T12</f>
        <v>36274.028400000003</v>
      </c>
      <c r="U7" s="22">
        <f>Calc_Revenue!U12</f>
        <v>38541.155175</v>
      </c>
      <c r="V7" s="22">
        <f>Calc_Revenue!V12</f>
        <v>43075.408724999994</v>
      </c>
      <c r="W7" s="22">
        <f>Calc_Revenue!W12</f>
        <v>47609.662275000002</v>
      </c>
      <c r="X7" s="22">
        <f>Calc_Revenue!X12</f>
        <v>52143.915825000004</v>
      </c>
      <c r="Y7" s="22">
        <f>Calc_Revenue!Y12</f>
        <v>63479.549699999996</v>
      </c>
      <c r="Z7" s="22">
        <f>Calc_Revenue!Z12</f>
        <v>57723.314818275001</v>
      </c>
      <c r="AA7" s="22">
        <f>Calc_Revenue!AA12</f>
        <v>55213.605478350015</v>
      </c>
      <c r="AB7" s="22">
        <f>Calc_Revenue!AB12</f>
        <v>50194.186798499999</v>
      </c>
      <c r="AC7" s="22">
        <f>Calc_Revenue!AC12</f>
        <v>45174.768118649998</v>
      </c>
      <c r="AD7" s="22">
        <f>Calc_Revenue!AD12</f>
        <v>42665.058778725012</v>
      </c>
      <c r="AE7" s="22">
        <f>Calc_Revenue!AE12</f>
        <v>40155.349438800004</v>
      </c>
      <c r="AF7" s="22">
        <f>Calc_Revenue!AF12</f>
        <v>40155.349438800004</v>
      </c>
      <c r="AG7" s="22">
        <f>Calc_Revenue!AG12</f>
        <v>42665.058778725012</v>
      </c>
      <c r="AH7" s="22">
        <f>Calc_Revenue!AH12</f>
        <v>47684.477458574998</v>
      </c>
      <c r="AI7" s="22">
        <f>Calc_Revenue!AI12</f>
        <v>52703.896138425</v>
      </c>
      <c r="AJ7" s="22">
        <f>Calc_Revenue!AJ12</f>
        <v>57723.314818275001</v>
      </c>
      <c r="AK7" s="22">
        <f>Calc_Revenue!AK12</f>
        <v>70271.86151789999</v>
      </c>
      <c r="AL7" s="22">
        <f>Calc_Revenue!AL12</f>
        <v>62716.381550055783</v>
      </c>
      <c r="AM7" s="22">
        <f>Calc_Revenue!AM12</f>
        <v>59989.582352227299</v>
      </c>
      <c r="AN7" s="22">
        <f>Calc_Revenue!AN12</f>
        <v>54535.983956570257</v>
      </c>
      <c r="AO7" s="22">
        <f>Calc_Revenue!AO12</f>
        <v>49082.385560913222</v>
      </c>
      <c r="AP7" s="22">
        <f>Calc_Revenue!AP12</f>
        <v>46355.586363084716</v>
      </c>
      <c r="AQ7" s="22">
        <f>Calc_Revenue!AQ12</f>
        <v>43628.787165256203</v>
      </c>
      <c r="AR7" s="22">
        <f>Calc_Revenue!AR12</f>
        <v>43628.787165256203</v>
      </c>
      <c r="AS7" s="22">
        <f>Calc_Revenue!AS12</f>
        <v>46355.586363084716</v>
      </c>
      <c r="AT7" s="22">
        <f>Calc_Revenue!AT12</f>
        <v>51809.184758741729</v>
      </c>
      <c r="AU7" s="22">
        <f>Calc_Revenue!AU12</f>
        <v>57262.78315439877</v>
      </c>
      <c r="AV7" s="22">
        <f>Calc_Revenue!AV12</f>
        <v>62716.381550055783</v>
      </c>
      <c r="AW7" s="22">
        <f>Calc_Revenue!AW12</f>
        <v>76350.377539198351</v>
      </c>
      <c r="AX7" s="22">
        <f>Calc_Revenue!AX12</f>
        <v>68141.348554135606</v>
      </c>
      <c r="AY7" s="22">
        <f>Calc_Revenue!AY12</f>
        <v>65178.681225694949</v>
      </c>
      <c r="AZ7" s="22">
        <f>Calc_Revenue!AZ12</f>
        <v>59253.346568813577</v>
      </c>
      <c r="BA7" s="22">
        <f>Calc_Revenue!BA12</f>
        <v>53328.011911932212</v>
      </c>
      <c r="BB7" s="22">
        <f>Calc_Revenue!BB12</f>
        <v>50365.34458349154</v>
      </c>
      <c r="BC7" s="22">
        <f>Calc_Revenue!BC12</f>
        <v>47402.677255050869</v>
      </c>
      <c r="BD7" s="22">
        <f>Calc_Revenue!BD12</f>
        <v>47402.677255050869</v>
      </c>
      <c r="BE7" s="22">
        <f>Calc_Revenue!BE12</f>
        <v>50365.34458349154</v>
      </c>
      <c r="BF7" s="22">
        <f>Calc_Revenue!BF12</f>
        <v>56290.679240372898</v>
      </c>
      <c r="BG7" s="22">
        <f>Calc_Revenue!BG12</f>
        <v>62216.013897254263</v>
      </c>
      <c r="BH7" s="22">
        <f>Calc_Revenue!BH12</f>
        <v>68141.348554135606</v>
      </c>
      <c r="BI7" s="22">
        <f>Calc_Revenue!BI12</f>
        <v>82954.685196339007</v>
      </c>
      <c r="BJ7" s="22">
        <f>Calc_Revenue!BJ12</f>
        <v>72638.677558708543</v>
      </c>
      <c r="BK7" s="22">
        <f>Calc_Revenue!BK12</f>
        <v>69480.474186590814</v>
      </c>
      <c r="BL7" s="22">
        <f>Calc_Revenue!BL12</f>
        <v>63164.06744235527</v>
      </c>
      <c r="BM7" s="22">
        <f>Calc_Revenue!BM12</f>
        <v>56847.66069811974</v>
      </c>
      <c r="BN7" s="22">
        <f>Calc_Revenue!BN12</f>
        <v>53689.457326001975</v>
      </c>
      <c r="BO7" s="22">
        <f>Calc_Revenue!BO12</f>
        <v>50531.253953884225</v>
      </c>
      <c r="BP7" s="22">
        <f>Calc_Revenue!BP12</f>
        <v>50531.253953884225</v>
      </c>
      <c r="BQ7" s="22">
        <f>Calc_Revenue!BQ12</f>
        <v>53689.457326001975</v>
      </c>
      <c r="BR7" s="22">
        <f>Calc_Revenue!BR12</f>
        <v>60005.864070237491</v>
      </c>
      <c r="BS7" s="22">
        <f>Calc_Revenue!BS12</f>
        <v>66322.270814473028</v>
      </c>
      <c r="BT7" s="22">
        <f>Calc_Revenue!BT12</f>
        <v>72638.677558708543</v>
      </c>
      <c r="BU7" s="22">
        <f>Calc_Revenue!BU12</f>
        <v>88429.694419297361</v>
      </c>
      <c r="BV7" s="22">
        <f>Calc_Revenue!BV12</f>
        <v>77432.830277583314</v>
      </c>
      <c r="BW7" s="22">
        <f>Calc_Revenue!BW12</f>
        <v>74066.185482905785</v>
      </c>
      <c r="BX7" s="22">
        <f>Calc_Revenue!BX12</f>
        <v>67332.895893550711</v>
      </c>
      <c r="BY7" s="22">
        <f>Calc_Revenue!BY12</f>
        <v>60599.606304195637</v>
      </c>
      <c r="BZ7" s="22">
        <f>Calc_Revenue!BZ12</f>
        <v>57232.9615095181</v>
      </c>
      <c r="CA7" s="22">
        <f>Calc_Revenue!CA12</f>
        <v>53866.31671484057</v>
      </c>
      <c r="CB7" s="22">
        <f>Calc_Revenue!CB12</f>
        <v>53866.31671484057</v>
      </c>
      <c r="CC7" s="22">
        <f>Calc_Revenue!CC12</f>
        <v>57232.9615095181</v>
      </c>
      <c r="CD7" s="22">
        <f>Calc_Revenue!CD12</f>
        <v>63966.251098873166</v>
      </c>
      <c r="CE7" s="22">
        <f>Calc_Revenue!CE12</f>
        <v>70699.54068822824</v>
      </c>
      <c r="CF7" s="22">
        <f>Calc_Revenue!CF12</f>
        <v>77432.830277583314</v>
      </c>
      <c r="CG7" s="22">
        <f>Calc_Revenue!CG12</f>
        <v>94266.054250970978</v>
      </c>
      <c r="CH7" s="22">
        <f>Calc_Revenue!CH12</f>
        <v>82543.397075903791</v>
      </c>
      <c r="CI7" s="22">
        <f>Calc_Revenue!CI12</f>
        <v>78954.55372477755</v>
      </c>
      <c r="CJ7" s="22">
        <f>Calc_Revenue!CJ12</f>
        <v>71776.867022525024</v>
      </c>
      <c r="CK7" s="22">
        <f>Calc_Revenue!CK12</f>
        <v>64599.180320272542</v>
      </c>
      <c r="CL7" s="22">
        <f>Calc_Revenue!CL12</f>
        <v>61010.336969146294</v>
      </c>
      <c r="CM7" s="22">
        <f>Calc_Revenue!CM12</f>
        <v>57421.493618020031</v>
      </c>
      <c r="CN7" s="22">
        <f>Calc_Revenue!CN12</f>
        <v>57421.493618020031</v>
      </c>
      <c r="CO7" s="22">
        <f>Calc_Revenue!CO12</f>
        <v>61010.336969146294</v>
      </c>
      <c r="CP7" s="22">
        <f>Calc_Revenue!CP12</f>
        <v>68188.023671398783</v>
      </c>
      <c r="CQ7" s="22">
        <f>Calc_Revenue!CQ12</f>
        <v>75365.71037365128</v>
      </c>
      <c r="CR7" s="22">
        <f>Calc_Revenue!CR12</f>
        <v>82543.397075903791</v>
      </c>
      <c r="CS7" s="22">
        <f>Calc_Revenue!CS12</f>
        <v>100487.61383153504</v>
      </c>
      <c r="CT7" s="22">
        <f>Calc_Revenue!CT12</f>
        <v>87991.261282913445</v>
      </c>
      <c r="CU7" s="22">
        <f>Calc_Revenue!CU12</f>
        <v>84165.554270612862</v>
      </c>
      <c r="CV7" s="22">
        <f>Calc_Revenue!CV12</f>
        <v>76514.140246011681</v>
      </c>
      <c r="CW7" s="22">
        <f>Calc_Revenue!CW12</f>
        <v>68862.726221410529</v>
      </c>
      <c r="CX7" s="22">
        <f>Calc_Revenue!CX12</f>
        <v>65037.019209109938</v>
      </c>
      <c r="CY7" s="22">
        <f>Calc_Revenue!CY12</f>
        <v>61211.312196809347</v>
      </c>
      <c r="CZ7" s="22">
        <f>Calc_Revenue!CZ12</f>
        <v>61211.312196809347</v>
      </c>
      <c r="DA7" s="22">
        <f>Calc_Revenue!DA12</f>
        <v>65037.019209109938</v>
      </c>
      <c r="DB7" s="22">
        <f>Calc_Revenue!DB12</f>
        <v>72688.433233711097</v>
      </c>
      <c r="DC7" s="22">
        <f>Calc_Revenue!DC12</f>
        <v>80339.847258312264</v>
      </c>
      <c r="DD7" s="22">
        <f>Calc_Revenue!DD12</f>
        <v>87991.261282913445</v>
      </c>
      <c r="DE7" s="22">
        <f>Calc_Revenue!DE12</f>
        <v>107119.79634441635</v>
      </c>
      <c r="DF7" s="22">
        <f>Calc_Revenue!DF12</f>
        <v>93798.68452758569</v>
      </c>
      <c r="DG7" s="22">
        <f>Calc_Revenue!DG12</f>
        <v>89720.480852473309</v>
      </c>
      <c r="DH7" s="22">
        <f>Calc_Revenue!DH12</f>
        <v>81564.073502248459</v>
      </c>
      <c r="DI7" s="22">
        <f>Calc_Revenue!DI12</f>
        <v>73407.666152023608</v>
      </c>
      <c r="DJ7" s="22">
        <f>Calc_Revenue!DJ12</f>
        <v>69329.462476911183</v>
      </c>
      <c r="DK7" s="22">
        <f>Calc_Revenue!DK12</f>
        <v>65251.258801798773</v>
      </c>
      <c r="DL7" s="22">
        <f>Calc_Revenue!DL12</f>
        <v>65251.258801798773</v>
      </c>
      <c r="DM7" s="22">
        <f>Calc_Revenue!DM12</f>
        <v>69329.462476911183</v>
      </c>
      <c r="DN7" s="22">
        <f>Calc_Revenue!DN12</f>
        <v>77485.869827136034</v>
      </c>
      <c r="DO7" s="22">
        <f>Calc_Revenue!DO12</f>
        <v>85642.277177360869</v>
      </c>
      <c r="DP7" s="22">
        <f>Calc_Revenue!DP12</f>
        <v>93798.68452758569</v>
      </c>
      <c r="DQ7" s="22">
        <f>Calc_Revenue!DQ12</f>
        <v>114189.70290314785</v>
      </c>
    </row>
    <row r="8" spans="1:121" ht="15" customHeight="1">
      <c r="A8" t="s">
        <v>509</v>
      </c>
      <c r="B8" s="22">
        <f>-Calc_Revenue!B17</f>
        <v>-5696.8297499999999</v>
      </c>
      <c r="C8" s="22">
        <f>-Calc_Revenue!C17</f>
        <v>-5449.1415000000006</v>
      </c>
      <c r="D8" s="22">
        <f>-Calc_Revenue!D17</f>
        <v>-4953.7650000000003</v>
      </c>
      <c r="E8" s="22">
        <f>-Calc_Revenue!E17</f>
        <v>-4458.3885</v>
      </c>
      <c r="F8" s="22">
        <f>-Calc_Revenue!F17</f>
        <v>-4210.7002499999999</v>
      </c>
      <c r="G8" s="22">
        <f>-Calc_Revenue!G17</f>
        <v>-3963.0120000000006</v>
      </c>
      <c r="H8" s="22">
        <f>-Calc_Revenue!H17</f>
        <v>-3963.0120000000006</v>
      </c>
      <c r="I8" s="22">
        <f>-Calc_Revenue!I17</f>
        <v>-4210.7002499999999</v>
      </c>
      <c r="J8" s="22">
        <f>-Calc_Revenue!J17</f>
        <v>-4706.0767500000002</v>
      </c>
      <c r="K8" s="22">
        <f>-Calc_Revenue!K17</f>
        <v>-5201.4532499999996</v>
      </c>
      <c r="L8" s="22">
        <f>-Calc_Revenue!L17</f>
        <v>-5696.8297499999999</v>
      </c>
      <c r="M8" s="22">
        <f>-Calc_Revenue!M17</f>
        <v>-6935.2709999999988</v>
      </c>
      <c r="N8" s="22">
        <f>-Calc_Revenue!N17</f>
        <v>-6306.3905332499999</v>
      </c>
      <c r="O8" s="22">
        <f>-Calc_Revenue!O17</f>
        <v>-6032.1996405000009</v>
      </c>
      <c r="P8" s="22">
        <f>-Calc_Revenue!P17</f>
        <v>-5483.8178550000002</v>
      </c>
      <c r="Q8" s="22">
        <f>-Calc_Revenue!Q17</f>
        <v>-4935.4360694999996</v>
      </c>
      <c r="R8" s="22">
        <f>-Calc_Revenue!R17</f>
        <v>-4661.2451767499997</v>
      </c>
      <c r="S8" s="22">
        <f>-Calc_Revenue!S17</f>
        <v>-4387.0542840000007</v>
      </c>
      <c r="T8" s="22">
        <f>-Calc_Revenue!T17</f>
        <v>-4387.0542840000007</v>
      </c>
      <c r="U8" s="22">
        <f>-Calc_Revenue!U17</f>
        <v>-4661.2451767499997</v>
      </c>
      <c r="V8" s="22">
        <f>-Calc_Revenue!V17</f>
        <v>-5209.6269622500004</v>
      </c>
      <c r="W8" s="22">
        <f>-Calc_Revenue!W17</f>
        <v>-5758.0087477500001</v>
      </c>
      <c r="X8" s="22">
        <f>-Calc_Revenue!X17</f>
        <v>-6306.3905332499999</v>
      </c>
      <c r="Y8" s="22">
        <f>-Calc_Revenue!Y17</f>
        <v>-7677.3449969999983</v>
      </c>
      <c r="Z8" s="22">
        <f>-Calc_Revenue!Z17</f>
        <v>-6981.1743203077503</v>
      </c>
      <c r="AA8" s="22">
        <f>-Calc_Revenue!AA17</f>
        <v>-6677.6450020335014</v>
      </c>
      <c r="AB8" s="22">
        <f>-Calc_Revenue!AB17</f>
        <v>-6070.586365485</v>
      </c>
      <c r="AC8" s="22">
        <f>-Calc_Revenue!AC17</f>
        <v>-5463.5277289365004</v>
      </c>
      <c r="AD8" s="22">
        <f>-Calc_Revenue!AD17</f>
        <v>-5159.9984106622505</v>
      </c>
      <c r="AE8" s="22">
        <f>-Calc_Revenue!AE17</f>
        <v>-4856.4690923880007</v>
      </c>
      <c r="AF8" s="22">
        <f>-Calc_Revenue!AF17</f>
        <v>-4856.4690923880007</v>
      </c>
      <c r="AG8" s="22">
        <f>-Calc_Revenue!AG17</f>
        <v>-5159.9984106622505</v>
      </c>
      <c r="AH8" s="22">
        <f>-Calc_Revenue!AH17</f>
        <v>-5767.0570472107493</v>
      </c>
      <c r="AI8" s="22">
        <f>-Calc_Revenue!AI17</f>
        <v>-6374.1156837592498</v>
      </c>
      <c r="AJ8" s="22">
        <f>-Calc_Revenue!AJ17</f>
        <v>-6981.1743203077503</v>
      </c>
      <c r="AK8" s="22">
        <f>-Calc_Revenue!AK17</f>
        <v>-8498.8209116789985</v>
      </c>
      <c r="AL8" s="22">
        <f>-Calc_Revenue!AL17</f>
        <v>-7585.0458990143707</v>
      </c>
      <c r="AM8" s="22">
        <f>-Calc_Revenue!AM17</f>
        <v>-7255.2612947093985</v>
      </c>
      <c r="AN8" s="22">
        <f>-Calc_Revenue!AN17</f>
        <v>-6595.6920860994533</v>
      </c>
      <c r="AO8" s="22">
        <f>-Calc_Revenue!AO17</f>
        <v>-5936.1228774895062</v>
      </c>
      <c r="AP8" s="22">
        <f>-Calc_Revenue!AP17</f>
        <v>-5606.338273184535</v>
      </c>
      <c r="AQ8" s="22">
        <f>-Calc_Revenue!AQ17</f>
        <v>-5276.5536688795619</v>
      </c>
      <c r="AR8" s="22">
        <f>-Calc_Revenue!AR17</f>
        <v>-5276.5536688795619</v>
      </c>
      <c r="AS8" s="22">
        <f>-Calc_Revenue!AS17</f>
        <v>-5606.338273184535</v>
      </c>
      <c r="AT8" s="22">
        <f>-Calc_Revenue!AT17</f>
        <v>-6265.9074817944793</v>
      </c>
      <c r="AU8" s="22">
        <f>-Calc_Revenue!AU17</f>
        <v>-6925.4766904044245</v>
      </c>
      <c r="AV8" s="22">
        <f>-Calc_Revenue!AV17</f>
        <v>-7585.0458990143707</v>
      </c>
      <c r="AW8" s="22">
        <f>-Calc_Revenue!AW17</f>
        <v>-9233.9689205392333</v>
      </c>
      <c r="AX8" s="22">
        <f>-Calc_Revenue!AX17</f>
        <v>-8241.1523692791125</v>
      </c>
      <c r="AY8" s="22">
        <f>-Calc_Revenue!AY17</f>
        <v>-7882.8413967017623</v>
      </c>
      <c r="AZ8" s="22">
        <f>-Calc_Revenue!AZ17</f>
        <v>-7166.2194515470565</v>
      </c>
      <c r="BA8" s="22">
        <f>-Calc_Revenue!BA17</f>
        <v>-6449.5975063923488</v>
      </c>
      <c r="BB8" s="22">
        <f>-Calc_Revenue!BB17</f>
        <v>-6091.2865338149968</v>
      </c>
      <c r="BC8" s="22">
        <f>-Calc_Revenue!BC17</f>
        <v>-5732.9755612376448</v>
      </c>
      <c r="BD8" s="22">
        <f>-Calc_Revenue!BD17</f>
        <v>-5732.9755612376448</v>
      </c>
      <c r="BE8" s="22">
        <f>-Calc_Revenue!BE17</f>
        <v>-6091.2865338149968</v>
      </c>
      <c r="BF8" s="22">
        <f>-Calc_Revenue!BF17</f>
        <v>-6807.9084789697017</v>
      </c>
      <c r="BG8" s="22">
        <f>-Calc_Revenue!BG17</f>
        <v>-7524.5304241244085</v>
      </c>
      <c r="BH8" s="22">
        <f>-Calc_Revenue!BH17</f>
        <v>-8241.1523692791125</v>
      </c>
      <c r="BI8" s="22">
        <f>-Calc_Revenue!BI17</f>
        <v>-10032.707232165878</v>
      </c>
      <c r="BJ8" s="22">
        <f>-Calc_Revenue!BJ17</f>
        <v>-8785.0684256515342</v>
      </c>
      <c r="BK8" s="22">
        <f>-Calc_Revenue!BK17</f>
        <v>-8403.1089288840776</v>
      </c>
      <c r="BL8" s="22">
        <f>-Calc_Revenue!BL17</f>
        <v>-7639.1899353491599</v>
      </c>
      <c r="BM8" s="22">
        <f>-Calc_Revenue!BM17</f>
        <v>-6875.270941814244</v>
      </c>
      <c r="BN8" s="22">
        <f>-Calc_Revenue!BN17</f>
        <v>-6493.3114450467856</v>
      </c>
      <c r="BO8" s="22">
        <f>-Calc_Revenue!BO17</f>
        <v>-6111.351948279329</v>
      </c>
      <c r="BP8" s="22">
        <f>-Calc_Revenue!BP17</f>
        <v>-6111.351948279329</v>
      </c>
      <c r="BQ8" s="22">
        <f>-Calc_Revenue!BQ17</f>
        <v>-6493.3114450467856</v>
      </c>
      <c r="BR8" s="22">
        <f>-Calc_Revenue!BR17</f>
        <v>-7257.2304385817006</v>
      </c>
      <c r="BS8" s="22">
        <f>-Calc_Revenue!BS17</f>
        <v>-8021.1494321166174</v>
      </c>
      <c r="BT8" s="22">
        <f>-Calc_Revenue!BT17</f>
        <v>-8785.0684256515342</v>
      </c>
      <c r="BU8" s="22">
        <f>-Calc_Revenue!BU17</f>
        <v>-10694.865909488823</v>
      </c>
      <c r="BV8" s="22">
        <f>-Calc_Revenue!BV17</f>
        <v>-9364.882941744534</v>
      </c>
      <c r="BW8" s="22">
        <f>-Calc_Revenue!BW17</f>
        <v>-8957.7141181904244</v>
      </c>
      <c r="BX8" s="22">
        <f>-Calc_Revenue!BX17</f>
        <v>-8143.3764710822034</v>
      </c>
      <c r="BY8" s="22">
        <f>-Calc_Revenue!BY17</f>
        <v>-7329.0388239739823</v>
      </c>
      <c r="BZ8" s="22">
        <f>-Calc_Revenue!BZ17</f>
        <v>-6921.8700004198736</v>
      </c>
      <c r="CA8" s="22">
        <f>-Calc_Revenue!CA17</f>
        <v>-6514.701176865763</v>
      </c>
      <c r="CB8" s="22">
        <f>-Calc_Revenue!CB17</f>
        <v>-6514.701176865763</v>
      </c>
      <c r="CC8" s="22">
        <f>-Calc_Revenue!CC17</f>
        <v>-6921.8700004198736</v>
      </c>
      <c r="CD8" s="22">
        <f>-Calc_Revenue!CD17</f>
        <v>-7736.2076475280919</v>
      </c>
      <c r="CE8" s="22">
        <f>-Calc_Revenue!CE17</f>
        <v>-8550.5452946363148</v>
      </c>
      <c r="CF8" s="22">
        <f>-Calc_Revenue!CF17</f>
        <v>-9364.882941744534</v>
      </c>
      <c r="CG8" s="22">
        <f>-Calc_Revenue!CG17</f>
        <v>-11400.727059515084</v>
      </c>
      <c r="CH8" s="22">
        <f>-Calc_Revenue!CH17</f>
        <v>-9982.9652158996705</v>
      </c>
      <c r="CI8" s="22">
        <f>-Calc_Revenue!CI17</f>
        <v>-9548.9232499909904</v>
      </c>
      <c r="CJ8" s="22">
        <f>-Calc_Revenue!CJ17</f>
        <v>-8680.8393181736265</v>
      </c>
      <c r="CK8" s="22">
        <f>-Calc_Revenue!CK17</f>
        <v>-7812.7553863562662</v>
      </c>
      <c r="CL8" s="22">
        <f>-Calc_Revenue!CL17</f>
        <v>-7378.7134204475842</v>
      </c>
      <c r="CM8" s="22">
        <f>-Calc_Revenue!CM17</f>
        <v>-6944.6714545389023</v>
      </c>
      <c r="CN8" s="22">
        <f>-Calc_Revenue!CN17</f>
        <v>-6944.6714545389023</v>
      </c>
      <c r="CO8" s="22">
        <f>-Calc_Revenue!CO17</f>
        <v>-7378.7134204475842</v>
      </c>
      <c r="CP8" s="22">
        <f>-Calc_Revenue!CP17</f>
        <v>-8246.7973522649463</v>
      </c>
      <c r="CQ8" s="22">
        <f>-Calc_Revenue!CQ17</f>
        <v>-9114.8812840823084</v>
      </c>
      <c r="CR8" s="22">
        <f>-Calc_Revenue!CR17</f>
        <v>-9982.9652158996705</v>
      </c>
      <c r="CS8" s="22">
        <f>-Calc_Revenue!CS17</f>
        <v>-12153.175045443075</v>
      </c>
      <c r="CT8" s="22">
        <f>-Calc_Revenue!CT17</f>
        <v>-10641.84092014905</v>
      </c>
      <c r="CU8" s="22">
        <f>-Calc_Revenue!CU17</f>
        <v>-10179.152184490396</v>
      </c>
      <c r="CV8" s="22">
        <f>-Calc_Revenue!CV17</f>
        <v>-9253.7747131730866</v>
      </c>
      <c r="CW8" s="22">
        <f>-Calc_Revenue!CW17</f>
        <v>-8328.3972418557787</v>
      </c>
      <c r="CX8" s="22">
        <f>-Calc_Revenue!CX17</f>
        <v>-7865.7085061971229</v>
      </c>
      <c r="CY8" s="22">
        <f>-Calc_Revenue!CY17</f>
        <v>-7403.0197705384699</v>
      </c>
      <c r="CZ8" s="22">
        <f>-Calc_Revenue!CZ17</f>
        <v>-7403.0197705384699</v>
      </c>
      <c r="DA8" s="22">
        <f>-Calc_Revenue!DA17</f>
        <v>-7865.7085061971229</v>
      </c>
      <c r="DB8" s="22">
        <f>-Calc_Revenue!DB17</f>
        <v>-8791.0859775144309</v>
      </c>
      <c r="DC8" s="22">
        <f>-Calc_Revenue!DC17</f>
        <v>-9716.4634488317406</v>
      </c>
      <c r="DD8" s="22">
        <f>-Calc_Revenue!DD17</f>
        <v>-10641.84092014905</v>
      </c>
      <c r="DE8" s="22">
        <f>-Calc_Revenue!DE17</f>
        <v>-12955.284598442318</v>
      </c>
      <c r="DF8" s="22">
        <f>-Calc_Revenue!DF17</f>
        <v>-11344.202420878883</v>
      </c>
      <c r="DG8" s="22">
        <f>-Calc_Revenue!DG17</f>
        <v>-10850.976228666761</v>
      </c>
      <c r="DH8" s="22">
        <f>-Calc_Revenue!DH17</f>
        <v>-9864.5238442425107</v>
      </c>
      <c r="DI8" s="22">
        <f>-Calc_Revenue!DI17</f>
        <v>-8878.0714598182567</v>
      </c>
      <c r="DJ8" s="22">
        <f>-Calc_Revenue!DJ17</f>
        <v>-8384.8452676061333</v>
      </c>
      <c r="DK8" s="22">
        <f>-Calc_Revenue!DK17</f>
        <v>-7891.6190753940091</v>
      </c>
      <c r="DL8" s="22">
        <f>-Calc_Revenue!DL17</f>
        <v>-7891.6190753940091</v>
      </c>
      <c r="DM8" s="22">
        <f>-Calc_Revenue!DM17</f>
        <v>-8384.8452676061333</v>
      </c>
      <c r="DN8" s="22">
        <f>-Calc_Revenue!DN17</f>
        <v>-9371.2976520303837</v>
      </c>
      <c r="DO8" s="22">
        <f>-Calc_Revenue!DO17</f>
        <v>-10357.750036454634</v>
      </c>
      <c r="DP8" s="22">
        <f>-Calc_Revenue!DP17</f>
        <v>-11344.202420878883</v>
      </c>
      <c r="DQ8" s="22">
        <f>-Calc_Revenue!DQ17</f>
        <v>-13810.333381939512</v>
      </c>
    </row>
    <row r="9" spans="1:121" ht="15" customHeight="1">
      <c r="A9" t="s">
        <v>510</v>
      </c>
      <c r="B9" s="22">
        <f>-Calc_Revenue!B22</f>
        <v>-18394.811583333329</v>
      </c>
      <c r="C9" s="22">
        <f>-Calc_Revenue!C22</f>
        <v>-17595.037166666669</v>
      </c>
      <c r="D9" s="22">
        <f>-Calc_Revenue!D22</f>
        <v>-15995.488333333335</v>
      </c>
      <c r="E9" s="22">
        <f>-Calc_Revenue!E22</f>
        <v>-14395.9395</v>
      </c>
      <c r="F9" s="22">
        <f>-Calc_Revenue!F22</f>
        <v>-13596.165083333333</v>
      </c>
      <c r="G9" s="22">
        <f>-Calc_Revenue!G22</f>
        <v>-12796.39066666667</v>
      </c>
      <c r="H9" s="22">
        <f>-Calc_Revenue!H22</f>
        <v>-12796.39066666667</v>
      </c>
      <c r="I9" s="22">
        <f>-Calc_Revenue!I22</f>
        <v>-13596.165083333333</v>
      </c>
      <c r="J9" s="22">
        <f>-Calc_Revenue!J22</f>
        <v>-15195.713916666664</v>
      </c>
      <c r="K9" s="22">
        <f>-Calc_Revenue!K22</f>
        <v>-16795.262750000002</v>
      </c>
      <c r="L9" s="22">
        <f>-Calc_Revenue!L22</f>
        <v>-18394.811583333329</v>
      </c>
      <c r="M9" s="22">
        <f>-Calc_Revenue!M22</f>
        <v>-22393.683666666664</v>
      </c>
      <c r="N9" s="22">
        <f>-Calc_Revenue!N22</f>
        <v>-19866.396509999999</v>
      </c>
      <c r="O9" s="22">
        <f>-Calc_Revenue!O22</f>
        <v>-19002.640140000003</v>
      </c>
      <c r="P9" s="22">
        <f>-Calc_Revenue!P22</f>
        <v>-17275.127400000001</v>
      </c>
      <c r="Q9" s="22">
        <f>-Calc_Revenue!Q22</f>
        <v>-15547.614660000001</v>
      </c>
      <c r="R9" s="22">
        <f>-Calc_Revenue!R22</f>
        <v>-14683.85829</v>
      </c>
      <c r="S9" s="22">
        <f>-Calc_Revenue!S22</f>
        <v>-13820.101920000005</v>
      </c>
      <c r="T9" s="22">
        <f>-Calc_Revenue!T22</f>
        <v>-13820.101920000005</v>
      </c>
      <c r="U9" s="22">
        <f>-Calc_Revenue!U22</f>
        <v>-14683.85829</v>
      </c>
      <c r="V9" s="22">
        <f>-Calc_Revenue!V22</f>
        <v>-16411.371030000002</v>
      </c>
      <c r="W9" s="22">
        <f>-Calc_Revenue!W22</f>
        <v>-18138.88377</v>
      </c>
      <c r="X9" s="22">
        <f>-Calc_Revenue!X22</f>
        <v>-19866.396509999999</v>
      </c>
      <c r="Y9" s="22">
        <f>-Calc_Revenue!Y22</f>
        <v>-24185.178360000002</v>
      </c>
      <c r="Z9" s="22">
        <f>-Calc_Revenue!Z22</f>
        <v>-21455.708230799999</v>
      </c>
      <c r="AA9" s="22">
        <f>-Calc_Revenue!AA22</f>
        <v>-20522.851351200006</v>
      </c>
      <c r="AB9" s="22">
        <f>-Calc_Revenue!AB22</f>
        <v>-18657.137591999999</v>
      </c>
      <c r="AC9" s="22">
        <f>-Calc_Revenue!AC22</f>
        <v>-16791.423832799999</v>
      </c>
      <c r="AD9" s="22">
        <f>-Calc_Revenue!AD22</f>
        <v>-15858.566953200003</v>
      </c>
      <c r="AE9" s="22">
        <f>-Calc_Revenue!AE22</f>
        <v>-14925.710073600003</v>
      </c>
      <c r="AF9" s="22">
        <f>-Calc_Revenue!AF22</f>
        <v>-14925.710073600003</v>
      </c>
      <c r="AG9" s="22">
        <f>-Calc_Revenue!AG22</f>
        <v>-15858.566953200003</v>
      </c>
      <c r="AH9" s="22">
        <f>-Calc_Revenue!AH22</f>
        <v>-17724.280712399999</v>
      </c>
      <c r="AI9" s="22">
        <f>-Calc_Revenue!AI22</f>
        <v>-19589.994471600003</v>
      </c>
      <c r="AJ9" s="22">
        <f>-Calc_Revenue!AJ22</f>
        <v>-21455.708230799999</v>
      </c>
      <c r="AK9" s="22">
        <f>-Calc_Revenue!AK22</f>
        <v>-26119.992628800002</v>
      </c>
      <c r="AL9" s="22">
        <f>-Calc_Revenue!AL22</f>
        <v>-22743.050724648001</v>
      </c>
      <c r="AM9" s="22">
        <f>-Calc_Revenue!AM22</f>
        <v>-21754.22243227201</v>
      </c>
      <c r="AN9" s="22">
        <f>-Calc_Revenue!AN22</f>
        <v>-19776.56584752</v>
      </c>
      <c r="AO9" s="22">
        <f>-Calc_Revenue!AO22</f>
        <v>-17798.909262768004</v>
      </c>
      <c r="AP9" s="22">
        <f>-Calc_Revenue!AP22</f>
        <v>-16810.080970392002</v>
      </c>
      <c r="AQ9" s="22">
        <f>-Calc_Revenue!AQ22</f>
        <v>-15821.252678016002</v>
      </c>
      <c r="AR9" s="22">
        <f>-Calc_Revenue!AR22</f>
        <v>-15821.252678016002</v>
      </c>
      <c r="AS9" s="22">
        <f>-Calc_Revenue!AS22</f>
        <v>-16810.080970392002</v>
      </c>
      <c r="AT9" s="22">
        <f>-Calc_Revenue!AT22</f>
        <v>-18787.737555144002</v>
      </c>
      <c r="AU9" s="22">
        <f>-Calc_Revenue!AU22</f>
        <v>-20765.394139896005</v>
      </c>
      <c r="AV9" s="22">
        <f>-Calc_Revenue!AV22</f>
        <v>-22743.050724648001</v>
      </c>
      <c r="AW9" s="22">
        <f>-Calc_Revenue!AW22</f>
        <v>-27687.192186528002</v>
      </c>
      <c r="AX9" s="22">
        <f>-Calc_Revenue!AX22</f>
        <v>-24107.633768126878</v>
      </c>
      <c r="AY9" s="22">
        <f>-Calc_Revenue!AY22</f>
        <v>-23059.475778208332</v>
      </c>
      <c r="AZ9" s="22">
        <f>-Calc_Revenue!AZ22</f>
        <v>-20963.159798371205</v>
      </c>
      <c r="BA9" s="22">
        <f>-Calc_Revenue!BA22</f>
        <v>-18866.843818534082</v>
      </c>
      <c r="BB9" s="22">
        <f>-Calc_Revenue!BB22</f>
        <v>-17818.685828615522</v>
      </c>
      <c r="BC9" s="22">
        <f>-Calc_Revenue!BC22</f>
        <v>-16770.527838696966</v>
      </c>
      <c r="BD9" s="22">
        <f>-Calc_Revenue!BD22</f>
        <v>-16770.527838696966</v>
      </c>
      <c r="BE9" s="22">
        <f>-Calc_Revenue!BE22</f>
        <v>-17818.685828615522</v>
      </c>
      <c r="BF9" s="22">
        <f>-Calc_Revenue!BF22</f>
        <v>-19915.001808452645</v>
      </c>
      <c r="BG9" s="22">
        <f>-Calc_Revenue!BG22</f>
        <v>-22011.317788289765</v>
      </c>
      <c r="BH9" s="22">
        <f>-Calc_Revenue!BH22</f>
        <v>-24107.633768126878</v>
      </c>
      <c r="BI9" s="22">
        <f>-Calc_Revenue!BI22</f>
        <v>-29348.423717719685</v>
      </c>
      <c r="BJ9" s="22">
        <f>-Calc_Revenue!BJ22</f>
        <v>-25071.939118851958</v>
      </c>
      <c r="BK9" s="22">
        <f>-Calc_Revenue!BK22</f>
        <v>-23981.854809336659</v>
      </c>
      <c r="BL9" s="22">
        <f>-Calc_Revenue!BL22</f>
        <v>-21801.686190306053</v>
      </c>
      <c r="BM9" s="22">
        <f>-Calc_Revenue!BM22</f>
        <v>-19621.51757127545</v>
      </c>
      <c r="BN9" s="22">
        <f>-Calc_Revenue!BN22</f>
        <v>-18531.433261760143</v>
      </c>
      <c r="BO9" s="22">
        <f>-Calc_Revenue!BO22</f>
        <v>-17441.348952244844</v>
      </c>
      <c r="BP9" s="22">
        <f>-Calc_Revenue!BP22</f>
        <v>-17441.348952244844</v>
      </c>
      <c r="BQ9" s="22">
        <f>-Calc_Revenue!BQ22</f>
        <v>-18531.433261760143</v>
      </c>
      <c r="BR9" s="22">
        <f>-Calc_Revenue!BR22</f>
        <v>-20711.601880790746</v>
      </c>
      <c r="BS9" s="22">
        <f>-Calc_Revenue!BS22</f>
        <v>-22891.770499821356</v>
      </c>
      <c r="BT9" s="22">
        <f>-Calc_Revenue!BT22</f>
        <v>-25071.939118851958</v>
      </c>
      <c r="BU9" s="22">
        <f>-Calc_Revenue!BU22</f>
        <v>-30522.360666428471</v>
      </c>
      <c r="BV9" s="22">
        <f>-Calc_Revenue!BV22</f>
        <v>-26074.816683606037</v>
      </c>
      <c r="BW9" s="22">
        <f>-Calc_Revenue!BW22</f>
        <v>-24941.129001710127</v>
      </c>
      <c r="BX9" s="22">
        <f>-Calc_Revenue!BX22</f>
        <v>-22673.753637918293</v>
      </c>
      <c r="BY9" s="22">
        <f>-Calc_Revenue!BY22</f>
        <v>-20406.378274126466</v>
      </c>
      <c r="BZ9" s="22">
        <f>-Calc_Revenue!BZ22</f>
        <v>-19272.690592230549</v>
      </c>
      <c r="CA9" s="22">
        <f>-Calc_Revenue!CA22</f>
        <v>-18139.002910334639</v>
      </c>
      <c r="CB9" s="22">
        <f>-Calc_Revenue!CB22</f>
        <v>-18139.002910334639</v>
      </c>
      <c r="CC9" s="22">
        <f>-Calc_Revenue!CC22</f>
        <v>-19272.690592230549</v>
      </c>
      <c r="CD9" s="22">
        <f>-Calc_Revenue!CD22</f>
        <v>-21540.065956022376</v>
      </c>
      <c r="CE9" s="22">
        <f>-Calc_Revenue!CE22</f>
        <v>-23807.44131981421</v>
      </c>
      <c r="CF9" s="22">
        <f>-Calc_Revenue!CF22</f>
        <v>-26074.816683606037</v>
      </c>
      <c r="CG9" s="22">
        <f>-Calc_Revenue!CG22</f>
        <v>-31743.255093085612</v>
      </c>
      <c r="CH9" s="22">
        <f>-Calc_Revenue!CH22</f>
        <v>-27117.809350950272</v>
      </c>
      <c r="CI9" s="22">
        <f>-Calc_Revenue!CI22</f>
        <v>-25938.774161778529</v>
      </c>
      <c r="CJ9" s="22">
        <f>-Calc_Revenue!CJ22</f>
        <v>-23580.703783435019</v>
      </c>
      <c r="CK9" s="22">
        <f>-Calc_Revenue!CK22</f>
        <v>-21222.633405091521</v>
      </c>
      <c r="CL9" s="22">
        <f>-Calc_Revenue!CL22</f>
        <v>-20043.598215919774</v>
      </c>
      <c r="CM9" s="22">
        <f>-Calc_Revenue!CM22</f>
        <v>-18864.563026748019</v>
      </c>
      <c r="CN9" s="22">
        <f>-Calc_Revenue!CN22</f>
        <v>-18864.563026748019</v>
      </c>
      <c r="CO9" s="22">
        <f>-Calc_Revenue!CO22</f>
        <v>-20043.598215919774</v>
      </c>
      <c r="CP9" s="22">
        <f>-Calc_Revenue!CP22</f>
        <v>-22401.668594263272</v>
      </c>
      <c r="CQ9" s="22">
        <f>-Calc_Revenue!CQ22</f>
        <v>-24759.738972606774</v>
      </c>
      <c r="CR9" s="22">
        <f>-Calc_Revenue!CR22</f>
        <v>-27117.809350950272</v>
      </c>
      <c r="CS9" s="22">
        <f>-Calc_Revenue!CS22</f>
        <v>-33012.985296809027</v>
      </c>
      <c r="CT9" s="22">
        <f>-Calc_Revenue!CT22</f>
        <v>-28202.521724988284</v>
      </c>
      <c r="CU9" s="22">
        <f>-Calc_Revenue!CU22</f>
        <v>-26976.325128249671</v>
      </c>
      <c r="CV9" s="22">
        <f>-Calc_Revenue!CV22</f>
        <v>-24523.931934772427</v>
      </c>
      <c r="CW9" s="22">
        <f>-Calc_Revenue!CW22</f>
        <v>-22071.538741295186</v>
      </c>
      <c r="CX9" s="22">
        <f>-Calc_Revenue!CX22</f>
        <v>-20845.342144556562</v>
      </c>
      <c r="CY9" s="22">
        <f>-Calc_Revenue!CY22</f>
        <v>-19619.145547817941</v>
      </c>
      <c r="CZ9" s="22">
        <f>-Calc_Revenue!CZ22</f>
        <v>-19619.145547817941</v>
      </c>
      <c r="DA9" s="22">
        <f>-Calc_Revenue!DA22</f>
        <v>-20845.342144556562</v>
      </c>
      <c r="DB9" s="22">
        <f>-Calc_Revenue!DB22</f>
        <v>-23297.735338033803</v>
      </c>
      <c r="DC9" s="22">
        <f>-Calc_Revenue!DC22</f>
        <v>-25750.128531511051</v>
      </c>
      <c r="DD9" s="22">
        <f>-Calc_Revenue!DD22</f>
        <v>-28202.521724988284</v>
      </c>
      <c r="DE9" s="22">
        <f>-Calc_Revenue!DE22</f>
        <v>-34333.504708681401</v>
      </c>
      <c r="DF9" s="22">
        <f>-Calc_Revenue!DF22</f>
        <v>-29330.622593987824</v>
      </c>
      <c r="DG9" s="22">
        <f>-Calc_Revenue!DG22</f>
        <v>-28055.378133379658</v>
      </c>
      <c r="DH9" s="22">
        <f>-Calc_Revenue!DH22</f>
        <v>-25504.889212163325</v>
      </c>
      <c r="DI9" s="22">
        <f>-Calc_Revenue!DI22</f>
        <v>-22954.400290946993</v>
      </c>
      <c r="DJ9" s="22">
        <f>-Calc_Revenue!DJ22</f>
        <v>-21679.155830338826</v>
      </c>
      <c r="DK9" s="22">
        <f>-Calc_Revenue!DK22</f>
        <v>-20403.91136973066</v>
      </c>
      <c r="DL9" s="22">
        <f>-Calc_Revenue!DL22</f>
        <v>-20403.91136973066</v>
      </c>
      <c r="DM9" s="22">
        <f>-Calc_Revenue!DM22</f>
        <v>-21679.155830338826</v>
      </c>
      <c r="DN9" s="22">
        <f>-Calc_Revenue!DN22</f>
        <v>-24229.644751555159</v>
      </c>
      <c r="DO9" s="22">
        <f>-Calc_Revenue!DO22</f>
        <v>-26780.133672771492</v>
      </c>
      <c r="DP9" s="22">
        <f>-Calc_Revenue!DP22</f>
        <v>-29330.622593987824</v>
      </c>
      <c r="DQ9" s="22">
        <f>-Calc_Revenue!DQ22</f>
        <v>-35706.844897028655</v>
      </c>
    </row>
    <row r="10" spans="1:121" ht="15" customHeight="1">
      <c r="A10" s="14" t="s">
        <v>434</v>
      </c>
      <c r="B10" s="30">
        <f>Calc_Revenue!B25</f>
        <v>23012.167000000009</v>
      </c>
      <c r="C10" s="30">
        <f>Calc_Revenue!C25</f>
        <v>22011.638000000006</v>
      </c>
      <c r="D10" s="30">
        <f>Calc_Revenue!D25</f>
        <v>20010.580000000002</v>
      </c>
      <c r="E10" s="30">
        <f>Calc_Revenue!E25</f>
        <v>18009.521999999997</v>
      </c>
      <c r="F10" s="30">
        <f>Calc_Revenue!F25</f>
        <v>17008.993000000002</v>
      </c>
      <c r="G10" s="30">
        <f>Calc_Revenue!G25</f>
        <v>16008.464000000004</v>
      </c>
      <c r="H10" s="30">
        <f>Calc_Revenue!H25</f>
        <v>16008.464000000004</v>
      </c>
      <c r="I10" s="30">
        <f>Calc_Revenue!I25</f>
        <v>17008.993000000002</v>
      </c>
      <c r="J10" s="30">
        <f>Calc_Revenue!J25</f>
        <v>19010.051000000003</v>
      </c>
      <c r="K10" s="30">
        <f>Calc_Revenue!K25</f>
        <v>21011.109000000004</v>
      </c>
      <c r="L10" s="30">
        <f>Calc_Revenue!L25</f>
        <v>23012.167000000009</v>
      </c>
      <c r="M10" s="30">
        <f>Calc_Revenue!M25</f>
        <v>28014.811999999998</v>
      </c>
      <c r="N10" s="30">
        <f>Calc_Revenue!N25</f>
        <v>25971.128781750005</v>
      </c>
      <c r="O10" s="30">
        <f>Calc_Revenue!O25</f>
        <v>24841.949269500001</v>
      </c>
      <c r="P10" s="30">
        <f>Calc_Revenue!P25</f>
        <v>22583.590244999996</v>
      </c>
      <c r="Q10" s="30">
        <f>Calc_Revenue!Q25</f>
        <v>20325.231220499998</v>
      </c>
      <c r="R10" s="30">
        <f>Calc_Revenue!R25</f>
        <v>19196.051708249997</v>
      </c>
      <c r="S10" s="30">
        <f>Calc_Revenue!S25</f>
        <v>18066.872195999997</v>
      </c>
      <c r="T10" s="30">
        <f>Calc_Revenue!T25</f>
        <v>18066.872195999997</v>
      </c>
      <c r="U10" s="30">
        <f>Calc_Revenue!U25</f>
        <v>19196.051708249997</v>
      </c>
      <c r="V10" s="30">
        <f>Calc_Revenue!V25</f>
        <v>21454.410732749988</v>
      </c>
      <c r="W10" s="30">
        <f>Calc_Revenue!W25</f>
        <v>23712.769757250004</v>
      </c>
      <c r="X10" s="30">
        <f>Calc_Revenue!X25</f>
        <v>25971.128781750005</v>
      </c>
      <c r="Y10" s="30">
        <f>Calc_Revenue!Y25</f>
        <v>31617.026342999994</v>
      </c>
      <c r="Z10" s="30">
        <f>Calc_Revenue!Z25</f>
        <v>29286.432267167253</v>
      </c>
      <c r="AA10" s="30">
        <f>Calc_Revenue!AA25</f>
        <v>28013.109125116505</v>
      </c>
      <c r="AB10" s="30">
        <f>Calc_Revenue!AB25</f>
        <v>25466.462841015004</v>
      </c>
      <c r="AC10" s="30">
        <f>Calc_Revenue!AC25</f>
        <v>22919.816556913494</v>
      </c>
      <c r="AD10" s="30">
        <f>Calc_Revenue!AD25</f>
        <v>21646.493414862758</v>
      </c>
      <c r="AE10" s="30">
        <f>Calc_Revenue!AE25</f>
        <v>20373.170272811996</v>
      </c>
      <c r="AF10" s="30">
        <f>Calc_Revenue!AF25</f>
        <v>20373.170272811996</v>
      </c>
      <c r="AG10" s="30">
        <f>Calc_Revenue!AG25</f>
        <v>21646.493414862758</v>
      </c>
      <c r="AH10" s="30">
        <f>Calc_Revenue!AH25</f>
        <v>24193.139698964249</v>
      </c>
      <c r="AI10" s="30">
        <f>Calc_Revenue!AI25</f>
        <v>26739.785983065747</v>
      </c>
      <c r="AJ10" s="30">
        <f>Calc_Revenue!AJ25</f>
        <v>29286.432267167253</v>
      </c>
      <c r="AK10" s="30">
        <f>Calc_Revenue!AK25</f>
        <v>35653.047977420996</v>
      </c>
      <c r="AL10" s="30">
        <f>Calc_Revenue!AL25</f>
        <v>32388.284926393415</v>
      </c>
      <c r="AM10" s="30">
        <f>Calc_Revenue!AM25</f>
        <v>30980.098625245886</v>
      </c>
      <c r="AN10" s="30">
        <f>Calc_Revenue!AN25</f>
        <v>28163.726022950807</v>
      </c>
      <c r="AO10" s="30">
        <f>Calc_Revenue!AO25</f>
        <v>25347.353420655712</v>
      </c>
      <c r="AP10" s="30">
        <f>Calc_Revenue!AP25</f>
        <v>23939.16711950818</v>
      </c>
      <c r="AQ10" s="30">
        <f>Calc_Revenue!AQ25</f>
        <v>22530.980818360636</v>
      </c>
      <c r="AR10" s="30">
        <f>Calc_Revenue!AR25</f>
        <v>22530.980818360636</v>
      </c>
      <c r="AS10" s="30">
        <f>Calc_Revenue!AS25</f>
        <v>23939.16711950818</v>
      </c>
      <c r="AT10" s="30">
        <f>Calc_Revenue!AT25</f>
        <v>26755.539721803249</v>
      </c>
      <c r="AU10" s="30">
        <f>Calc_Revenue!AU25</f>
        <v>29571.912324098343</v>
      </c>
      <c r="AV10" s="30">
        <f>Calc_Revenue!AV25</f>
        <v>32388.284926393415</v>
      </c>
      <c r="AW10" s="30">
        <f>Calc_Revenue!AW25</f>
        <v>39429.216432131114</v>
      </c>
      <c r="AX10" s="30">
        <f>Calc_Revenue!AX25</f>
        <v>35792.562416729619</v>
      </c>
      <c r="AY10" s="30">
        <f>Calc_Revenue!AY25</f>
        <v>34236.364050784854</v>
      </c>
      <c r="AZ10" s="30">
        <f>Calc_Revenue!AZ25</f>
        <v>31123.967318895317</v>
      </c>
      <c r="BA10" s="30">
        <f>Calc_Revenue!BA25</f>
        <v>28011.570587005783</v>
      </c>
      <c r="BB10" s="30">
        <f>Calc_Revenue!BB25</f>
        <v>26455.372221061025</v>
      </c>
      <c r="BC10" s="30">
        <f>Calc_Revenue!BC25</f>
        <v>24899.173855116256</v>
      </c>
      <c r="BD10" s="30">
        <f>Calc_Revenue!BD25</f>
        <v>24899.173855116256</v>
      </c>
      <c r="BE10" s="30">
        <f>Calc_Revenue!BE25</f>
        <v>26455.372221061025</v>
      </c>
      <c r="BF10" s="30">
        <f>Calc_Revenue!BF25</f>
        <v>29567.768952950551</v>
      </c>
      <c r="BG10" s="30">
        <f>Calc_Revenue!BG25</f>
        <v>32680.165684840089</v>
      </c>
      <c r="BH10" s="30">
        <f>Calc_Revenue!BH25</f>
        <v>35792.562416729619</v>
      </c>
      <c r="BI10" s="30">
        <f>Calc_Revenue!BI25</f>
        <v>43573.554246453445</v>
      </c>
      <c r="BJ10" s="30">
        <f>Calc_Revenue!BJ25</f>
        <v>38781.670014205047</v>
      </c>
      <c r="BK10" s="30">
        <f>Calc_Revenue!BK25</f>
        <v>37095.510448370085</v>
      </c>
      <c r="BL10" s="30">
        <f>Calc_Revenue!BL25</f>
        <v>33723.19131670006</v>
      </c>
      <c r="BM10" s="30">
        <f>Calc_Revenue!BM25</f>
        <v>30350.872185030043</v>
      </c>
      <c r="BN10" s="30">
        <f>Calc_Revenue!BN25</f>
        <v>28664.712619195048</v>
      </c>
      <c r="BO10" s="30">
        <f>Calc_Revenue!BO25</f>
        <v>26978.553053360054</v>
      </c>
      <c r="BP10" s="30">
        <f>Calc_Revenue!BP25</f>
        <v>26978.553053360054</v>
      </c>
      <c r="BQ10" s="30">
        <f>Calc_Revenue!BQ25</f>
        <v>28664.712619195048</v>
      </c>
      <c r="BR10" s="30">
        <f>Calc_Revenue!BR25</f>
        <v>32037.031750865041</v>
      </c>
      <c r="BS10" s="30">
        <f>Calc_Revenue!BS25</f>
        <v>35409.350882535058</v>
      </c>
      <c r="BT10" s="30">
        <f>Calc_Revenue!BT25</f>
        <v>38781.670014205047</v>
      </c>
      <c r="BU10" s="30">
        <f>Calc_Revenue!BU25</f>
        <v>47212.467843380058</v>
      </c>
      <c r="BV10" s="30">
        <f>Calc_Revenue!BV25</f>
        <v>41993.130652232736</v>
      </c>
      <c r="BW10" s="30">
        <f>Calc_Revenue!BW25</f>
        <v>40167.342363005235</v>
      </c>
      <c r="BX10" s="30">
        <f>Calc_Revenue!BX25</f>
        <v>36515.765784550218</v>
      </c>
      <c r="BY10" s="30">
        <f>Calc_Revenue!BY25</f>
        <v>32864.189206095187</v>
      </c>
      <c r="BZ10" s="30">
        <f>Calc_Revenue!BZ25</f>
        <v>31038.400916867675</v>
      </c>
      <c r="CA10" s="30">
        <f>Calc_Revenue!CA25</f>
        <v>29212.61262764017</v>
      </c>
      <c r="CB10" s="30">
        <f>Calc_Revenue!CB25</f>
        <v>29212.61262764017</v>
      </c>
      <c r="CC10" s="30">
        <f>Calc_Revenue!CC25</f>
        <v>31038.400916867675</v>
      </c>
      <c r="CD10" s="30">
        <f>Calc_Revenue!CD25</f>
        <v>34689.977495322702</v>
      </c>
      <c r="CE10" s="30">
        <f>Calc_Revenue!CE25</f>
        <v>38341.554073777719</v>
      </c>
      <c r="CF10" s="30">
        <f>Calc_Revenue!CF25</f>
        <v>41993.130652232736</v>
      </c>
      <c r="CG10" s="30">
        <f>Calc_Revenue!CG25</f>
        <v>51122.072098370292</v>
      </c>
      <c r="CH10" s="30">
        <f>Calc_Revenue!CH25</f>
        <v>45442.622509053843</v>
      </c>
      <c r="CI10" s="30">
        <f>Calc_Revenue!CI25</f>
        <v>43466.856313008037</v>
      </c>
      <c r="CJ10" s="30">
        <f>Calc_Revenue!CJ25</f>
        <v>39515.32392091638</v>
      </c>
      <c r="CK10" s="30">
        <f>Calc_Revenue!CK25</f>
        <v>35563.79152882476</v>
      </c>
      <c r="CL10" s="30">
        <f>Calc_Revenue!CL25</f>
        <v>33588.02533277894</v>
      </c>
      <c r="CM10" s="30">
        <f>Calc_Revenue!CM25</f>
        <v>31612.259136733108</v>
      </c>
      <c r="CN10" s="30">
        <f>Calc_Revenue!CN25</f>
        <v>31612.259136733108</v>
      </c>
      <c r="CO10" s="30">
        <f>Calc_Revenue!CO25</f>
        <v>33588.02533277894</v>
      </c>
      <c r="CP10" s="30">
        <f>Calc_Revenue!CP25</f>
        <v>37539.557724870567</v>
      </c>
      <c r="CQ10" s="30">
        <f>Calc_Revenue!CQ25</f>
        <v>41491.090116962194</v>
      </c>
      <c r="CR10" s="30">
        <f>Calc_Revenue!CR25</f>
        <v>45442.622509053843</v>
      </c>
      <c r="CS10" s="30">
        <f>Calc_Revenue!CS25</f>
        <v>55321.45348928294</v>
      </c>
      <c r="CT10" s="30">
        <f>Calc_Revenue!CT25</f>
        <v>49146.898637776103</v>
      </c>
      <c r="CU10" s="30">
        <f>Calc_Revenue!CU25</f>
        <v>47010.0769578728</v>
      </c>
      <c r="CV10" s="30">
        <f>Calc_Revenue!CV25</f>
        <v>42736.433598066171</v>
      </c>
      <c r="CW10" s="30">
        <f>Calc_Revenue!CW25</f>
        <v>38462.790238259564</v>
      </c>
      <c r="CX10" s="30">
        <f>Calc_Revenue!CX25</f>
        <v>36325.968558356253</v>
      </c>
      <c r="CY10" s="30">
        <f>Calc_Revenue!CY25</f>
        <v>34189.146878452935</v>
      </c>
      <c r="CZ10" s="30">
        <f>Calc_Revenue!CZ25</f>
        <v>34189.146878452935</v>
      </c>
      <c r="DA10" s="30">
        <f>Calc_Revenue!DA25</f>
        <v>36325.968558356253</v>
      </c>
      <c r="DB10" s="30">
        <f>Calc_Revenue!DB25</f>
        <v>40599.61191816286</v>
      </c>
      <c r="DC10" s="30">
        <f>Calc_Revenue!DC25</f>
        <v>44873.255277969474</v>
      </c>
      <c r="DD10" s="30">
        <f>Calc_Revenue!DD25</f>
        <v>49146.898637776103</v>
      </c>
      <c r="DE10" s="30">
        <f>Calc_Revenue!DE25</f>
        <v>59831.007037292628</v>
      </c>
      <c r="DF10" s="30">
        <f>Calc_Revenue!DF25</f>
        <v>53123.859512718991</v>
      </c>
      <c r="DG10" s="30">
        <f>Calc_Revenue!DG25</f>
        <v>50814.126490426883</v>
      </c>
      <c r="DH10" s="30">
        <f>Calc_Revenue!DH25</f>
        <v>46194.660445842615</v>
      </c>
      <c r="DI10" s="30">
        <f>Calc_Revenue!DI25</f>
        <v>41575.194401258363</v>
      </c>
      <c r="DJ10" s="30">
        <f>Calc_Revenue!DJ25</f>
        <v>39265.461378966225</v>
      </c>
      <c r="DK10" s="30">
        <f>Calc_Revenue!DK25</f>
        <v>36955.728356674103</v>
      </c>
      <c r="DL10" s="30">
        <f>Calc_Revenue!DL25</f>
        <v>36955.728356674103</v>
      </c>
      <c r="DM10" s="30">
        <f>Calc_Revenue!DM25</f>
        <v>39265.461378966225</v>
      </c>
      <c r="DN10" s="30">
        <f>Calc_Revenue!DN25</f>
        <v>43884.9274235505</v>
      </c>
      <c r="DO10" s="30">
        <f>Calc_Revenue!DO25</f>
        <v>48504.393468134745</v>
      </c>
      <c r="DP10" s="30">
        <f>Calc_Revenue!DP25</f>
        <v>53123.859512718991</v>
      </c>
      <c r="DQ10" s="30">
        <f>Calc_Revenue!DQ25</f>
        <v>64672.524624179685</v>
      </c>
    </row>
    <row r="12" spans="1:121" ht="15" customHeight="1">
      <c r="A12" s="5" t="s">
        <v>511</v>
      </c>
    </row>
    <row r="13" spans="1:121" ht="15" customHeight="1">
      <c r="A13" t="s">
        <v>480</v>
      </c>
      <c r="B13" s="22">
        <f>-Calc_COGS!B12</f>
        <v>-1533.333333333333</v>
      </c>
      <c r="C13" s="22">
        <f>-Calc_COGS!C12</f>
        <v>-1466.666666666667</v>
      </c>
      <c r="D13" s="22">
        <f>-Calc_COGS!D12</f>
        <v>-1333.3333333333335</v>
      </c>
      <c r="E13" s="22">
        <f>-Calc_COGS!E12</f>
        <v>-1200</v>
      </c>
      <c r="F13" s="22">
        <f>-Calc_COGS!F12</f>
        <v>-1133.3333333333335</v>
      </c>
      <c r="G13" s="22">
        <f>-Calc_COGS!G12</f>
        <v>-1066.666666666667</v>
      </c>
      <c r="H13" s="22">
        <f>-Calc_COGS!H12</f>
        <v>-1066.666666666667</v>
      </c>
      <c r="I13" s="22">
        <f>-Calc_COGS!I12</f>
        <v>-1133.3333333333335</v>
      </c>
      <c r="J13" s="22">
        <f>-Calc_COGS!J12</f>
        <v>-1266.6666666666665</v>
      </c>
      <c r="K13" s="22">
        <f>-Calc_COGS!K12</f>
        <v>-1400</v>
      </c>
      <c r="L13" s="22">
        <f>-Calc_COGS!L12</f>
        <v>-1533.333333333333</v>
      </c>
      <c r="M13" s="22">
        <f>-Calc_COGS!M12</f>
        <v>-1866.6666666666665</v>
      </c>
      <c r="N13" s="22">
        <f>-Calc_COGS!N12</f>
        <v>-1697.3999999999999</v>
      </c>
      <c r="O13" s="22">
        <f>-Calc_COGS!O12</f>
        <v>-1623.6</v>
      </c>
      <c r="P13" s="22">
        <f>-Calc_COGS!P12</f>
        <v>-1476</v>
      </c>
      <c r="Q13" s="22">
        <f>-Calc_COGS!Q12</f>
        <v>-1328.3999999999996</v>
      </c>
      <c r="R13" s="22">
        <f>-Calc_COGS!R12</f>
        <v>-1254.5999999999999</v>
      </c>
      <c r="S13" s="22">
        <f>-Calc_COGS!S12</f>
        <v>-1180.8000000000002</v>
      </c>
      <c r="T13" s="22">
        <f>-Calc_COGS!T12</f>
        <v>-1180.8000000000002</v>
      </c>
      <c r="U13" s="22">
        <f>-Calc_COGS!U12</f>
        <v>-1254.5999999999999</v>
      </c>
      <c r="V13" s="22">
        <f>-Calc_COGS!V12</f>
        <v>-1402.1999999999998</v>
      </c>
      <c r="W13" s="22">
        <f>-Calc_COGS!W12</f>
        <v>-1549.7999999999997</v>
      </c>
      <c r="X13" s="22">
        <f>-Calc_COGS!X12</f>
        <v>-1697.3999999999999</v>
      </c>
      <c r="Y13" s="22">
        <f>-Calc_COGS!Y12</f>
        <v>-2066.3999999999996</v>
      </c>
      <c r="Z13" s="22">
        <f>-Calc_COGS!Z12</f>
        <v>-1879.0217999999998</v>
      </c>
      <c r="AA13" s="22">
        <f>-Calc_COGS!AA12</f>
        <v>-1797.3252000000007</v>
      </c>
      <c r="AB13" s="22">
        <f>-Calc_COGS!AB12</f>
        <v>-1633.9320000000002</v>
      </c>
      <c r="AC13" s="22">
        <f>-Calc_COGS!AC12</f>
        <v>-1470.5388</v>
      </c>
      <c r="AD13" s="22">
        <f>-Calc_COGS!AD12</f>
        <v>-1388.8422</v>
      </c>
      <c r="AE13" s="22">
        <f>-Calc_COGS!AE12</f>
        <v>-1307.1456000000003</v>
      </c>
      <c r="AF13" s="22">
        <f>-Calc_COGS!AF12</f>
        <v>-1307.1456000000003</v>
      </c>
      <c r="AG13" s="22">
        <f>-Calc_COGS!AG12</f>
        <v>-1388.8422</v>
      </c>
      <c r="AH13" s="22">
        <f>-Calc_COGS!AH12</f>
        <v>-1552.2353999999998</v>
      </c>
      <c r="AI13" s="22">
        <f>-Calc_COGS!AI12</f>
        <v>-1715.6286000000002</v>
      </c>
      <c r="AJ13" s="22">
        <f>-Calc_COGS!AJ12</f>
        <v>-1879.0217999999998</v>
      </c>
      <c r="AK13" s="22">
        <f>-Calc_COGS!AK12</f>
        <v>-2287.5048000000002</v>
      </c>
      <c r="AL13" s="22">
        <f>-Calc_COGS!AL12</f>
        <v>-2041.5571856999998</v>
      </c>
      <c r="AM13" s="22">
        <f>-Calc_COGS!AM12</f>
        <v>-1952.7938298000004</v>
      </c>
      <c r="AN13" s="22">
        <f>-Calc_COGS!AN12</f>
        <v>-1775.2671179999998</v>
      </c>
      <c r="AO13" s="22">
        <f>-Calc_COGS!AO12</f>
        <v>-1597.7404062000001</v>
      </c>
      <c r="AP13" s="22">
        <f>-Calc_COGS!AP12</f>
        <v>-1508.9770503</v>
      </c>
      <c r="AQ13" s="22">
        <f>-Calc_COGS!AQ12</f>
        <v>-1420.2136943999999</v>
      </c>
      <c r="AR13" s="22">
        <f>-Calc_COGS!AR12</f>
        <v>-1420.2136943999999</v>
      </c>
      <c r="AS13" s="22">
        <f>-Calc_COGS!AS12</f>
        <v>-1508.9770503</v>
      </c>
      <c r="AT13" s="22">
        <f>-Calc_COGS!AT12</f>
        <v>-1686.5037621000001</v>
      </c>
      <c r="AU13" s="22">
        <f>-Calc_COGS!AU12</f>
        <v>-1864.0304739000007</v>
      </c>
      <c r="AV13" s="22">
        <f>-Calc_COGS!AV12</f>
        <v>-2041.5571856999998</v>
      </c>
      <c r="AW13" s="22">
        <f>-Calc_COGS!AW12</f>
        <v>-2485.3739652000004</v>
      </c>
      <c r="AX13" s="22">
        <f>-Calc_COGS!AX12</f>
        <v>-2218.1518822630496</v>
      </c>
      <c r="AY13" s="22">
        <f>-Calc_COGS!AY12</f>
        <v>-2121.7104960777006</v>
      </c>
      <c r="AZ13" s="22">
        <f>-Calc_COGS!AZ12</f>
        <v>-1928.8277237069999</v>
      </c>
      <c r="BA13" s="22">
        <f>-Calc_COGS!BA12</f>
        <v>-1735.9449513362997</v>
      </c>
      <c r="BB13" s="22">
        <f>-Calc_COGS!BB12</f>
        <v>-1639.5035651509502</v>
      </c>
      <c r="BC13" s="22">
        <f>-Calc_COGS!BC12</f>
        <v>-1543.0621789655997</v>
      </c>
      <c r="BD13" s="22">
        <f>-Calc_COGS!BD12</f>
        <v>-1543.0621789655997</v>
      </c>
      <c r="BE13" s="22">
        <f>-Calc_COGS!BE12</f>
        <v>-1639.5035651509502</v>
      </c>
      <c r="BF13" s="22">
        <f>-Calc_COGS!BF12</f>
        <v>-1832.3863375216499</v>
      </c>
      <c r="BG13" s="22">
        <f>-Calc_COGS!BG12</f>
        <v>-2025.2691098923497</v>
      </c>
      <c r="BH13" s="22">
        <f>-Calc_COGS!BH12</f>
        <v>-2218.1518822630496</v>
      </c>
      <c r="BI13" s="22">
        <f>-Calc_COGS!BI12</f>
        <v>-2700.3588131898005</v>
      </c>
      <c r="BJ13" s="22">
        <f>-Calc_COGS!BJ12</f>
        <v>-2364.5499064924111</v>
      </c>
      <c r="BK13" s="22">
        <f>-Calc_COGS!BK12</f>
        <v>-2261.7433888188289</v>
      </c>
      <c r="BL13" s="22">
        <f>-Calc_COGS!BL12</f>
        <v>-2056.1303534716617</v>
      </c>
      <c r="BM13" s="22">
        <f>-Calc_COGS!BM12</f>
        <v>-1850.5173181244957</v>
      </c>
      <c r="BN13" s="22">
        <f>-Calc_COGS!BN12</f>
        <v>-1747.7108004509128</v>
      </c>
      <c r="BO13" s="22">
        <f>-Calc_COGS!BO12</f>
        <v>-1644.9042827773296</v>
      </c>
      <c r="BP13" s="22">
        <f>-Calc_COGS!BP12</f>
        <v>-1644.9042827773296</v>
      </c>
      <c r="BQ13" s="22">
        <f>-Calc_COGS!BQ12</f>
        <v>-1747.7108004509128</v>
      </c>
      <c r="BR13" s="22">
        <f>-Calc_COGS!BR12</f>
        <v>-1953.3238357980788</v>
      </c>
      <c r="BS13" s="22">
        <f>-Calc_COGS!BS12</f>
        <v>-2158.9368711452448</v>
      </c>
      <c r="BT13" s="22">
        <f>-Calc_COGS!BT12</f>
        <v>-2364.5499064924111</v>
      </c>
      <c r="BU13" s="22">
        <f>-Calc_COGS!BU12</f>
        <v>-2878.5824948603258</v>
      </c>
      <c r="BV13" s="22">
        <f>-Calc_COGS!BV12</f>
        <v>-2520.6102003209098</v>
      </c>
      <c r="BW13" s="22">
        <f>-Calc_COGS!BW12</f>
        <v>-2411.0184524808706</v>
      </c>
      <c r="BX13" s="22">
        <f>-Calc_COGS!BX12</f>
        <v>-2191.8349568007911</v>
      </c>
      <c r="BY13" s="22">
        <f>-Calc_COGS!BY12</f>
        <v>-1972.6514611207122</v>
      </c>
      <c r="BZ13" s="22">
        <f>-Calc_COGS!BZ12</f>
        <v>-1863.0597132806724</v>
      </c>
      <c r="CA13" s="22">
        <f>-Calc_COGS!CA12</f>
        <v>-1753.4679654406332</v>
      </c>
      <c r="CB13" s="22">
        <f>-Calc_COGS!CB12</f>
        <v>-1753.4679654406332</v>
      </c>
      <c r="CC13" s="22">
        <f>-Calc_COGS!CC12</f>
        <v>-1863.0597132806724</v>
      </c>
      <c r="CD13" s="22">
        <f>-Calc_COGS!CD12</f>
        <v>-2082.2432089607514</v>
      </c>
      <c r="CE13" s="22">
        <f>-Calc_COGS!CE12</f>
        <v>-2301.4267046408304</v>
      </c>
      <c r="CF13" s="22">
        <f>-Calc_COGS!CF12</f>
        <v>-2520.6102003209098</v>
      </c>
      <c r="CG13" s="22">
        <f>-Calc_COGS!CG12</f>
        <v>-3068.5689395211075</v>
      </c>
      <c r="CH13" s="22">
        <f>-Calc_COGS!CH12</f>
        <v>-2686.9704735420892</v>
      </c>
      <c r="CI13" s="22">
        <f>-Calc_COGS!CI12</f>
        <v>-2570.1456703446079</v>
      </c>
      <c r="CJ13" s="22">
        <f>-Calc_COGS!CJ12</f>
        <v>-2336.4960639496426</v>
      </c>
      <c r="CK13" s="22">
        <f>-Calc_COGS!CK12</f>
        <v>-2102.8464575546791</v>
      </c>
      <c r="CL13" s="22">
        <f>-Calc_COGS!CL12</f>
        <v>-1986.0216543571969</v>
      </c>
      <c r="CM13" s="22">
        <f>-Calc_COGS!CM12</f>
        <v>-1869.1968511597152</v>
      </c>
      <c r="CN13" s="22">
        <f>-Calc_COGS!CN12</f>
        <v>-1869.1968511597152</v>
      </c>
      <c r="CO13" s="22">
        <f>-Calc_COGS!CO12</f>
        <v>-1986.0216543571969</v>
      </c>
      <c r="CP13" s="22">
        <f>-Calc_COGS!CP12</f>
        <v>-2219.6712607521604</v>
      </c>
      <c r="CQ13" s="22">
        <f>-Calc_COGS!CQ12</f>
        <v>-2453.3208671471243</v>
      </c>
      <c r="CR13" s="22">
        <f>-Calc_COGS!CR12</f>
        <v>-2686.9704735420892</v>
      </c>
      <c r="CS13" s="22">
        <f>-Calc_COGS!CS12</f>
        <v>-3271.0944895294997</v>
      </c>
      <c r="CT13" s="22">
        <f>-Calc_COGS!CT12</f>
        <v>-2864.310524795867</v>
      </c>
      <c r="CU13" s="22">
        <f>-Calc_COGS!CU12</f>
        <v>-2739.7752845873515</v>
      </c>
      <c r="CV13" s="22">
        <f>-Calc_COGS!CV12</f>
        <v>-2490.7048041703197</v>
      </c>
      <c r="CW13" s="22">
        <f>-Calc_COGS!CW12</f>
        <v>-2241.6343237532874</v>
      </c>
      <c r="CX13" s="22">
        <f>-Calc_COGS!CX12</f>
        <v>-2117.0990835447715</v>
      </c>
      <c r="CY13" s="22">
        <f>-Calc_COGS!CY12</f>
        <v>-1992.5638433362558</v>
      </c>
      <c r="CZ13" s="22">
        <f>-Calc_COGS!CZ12</f>
        <v>-1992.5638433362558</v>
      </c>
      <c r="DA13" s="22">
        <f>-Calc_COGS!DA12</f>
        <v>-2117.0990835447715</v>
      </c>
      <c r="DB13" s="22">
        <f>-Calc_COGS!DB12</f>
        <v>-2366.1695639618033</v>
      </c>
      <c r="DC13" s="22">
        <f>-Calc_COGS!DC12</f>
        <v>-2615.2400443788356</v>
      </c>
      <c r="DD13" s="22">
        <f>-Calc_COGS!DD12</f>
        <v>-2864.310524795867</v>
      </c>
      <c r="DE13" s="22">
        <f>-Calc_COGS!DE12</f>
        <v>-3486.986725838447</v>
      </c>
      <c r="DF13" s="22">
        <f>-Calc_COGS!DF12</f>
        <v>-3053.3550194323943</v>
      </c>
      <c r="DG13" s="22">
        <f>-Calc_COGS!DG12</f>
        <v>-2920.6004533701162</v>
      </c>
      <c r="DH13" s="22">
        <f>-Calc_COGS!DH12</f>
        <v>-2655.0913212455607</v>
      </c>
      <c r="DI13" s="22">
        <f>-Calc_COGS!DI12</f>
        <v>-2389.5821891210039</v>
      </c>
      <c r="DJ13" s="22">
        <f>-Calc_COGS!DJ12</f>
        <v>-2256.8276230587262</v>
      </c>
      <c r="DK13" s="22">
        <f>-Calc_COGS!DK12</f>
        <v>-2124.0730569964485</v>
      </c>
      <c r="DL13" s="22">
        <f>-Calc_COGS!DL12</f>
        <v>-2124.0730569964485</v>
      </c>
      <c r="DM13" s="22">
        <f>-Calc_COGS!DM12</f>
        <v>-2256.8276230587262</v>
      </c>
      <c r="DN13" s="22">
        <f>-Calc_COGS!DN12</f>
        <v>-2522.3367551832825</v>
      </c>
      <c r="DO13" s="22">
        <f>-Calc_COGS!DO12</f>
        <v>-2787.845887307838</v>
      </c>
      <c r="DP13" s="22">
        <f>-Calc_COGS!DP12</f>
        <v>-3053.3550194323943</v>
      </c>
      <c r="DQ13" s="22">
        <f>-Calc_COGS!DQ12</f>
        <v>-3717.1278497437843</v>
      </c>
    </row>
    <row r="14" spans="1:121" ht="15" customHeight="1">
      <c r="A14" t="s">
        <v>512</v>
      </c>
      <c r="B14" s="22">
        <f>-Calc_COGS!B18</f>
        <v>-2025.7249999999997</v>
      </c>
      <c r="C14" s="22">
        <f>-Calc_COGS!C18</f>
        <v>-1937.6500000000003</v>
      </c>
      <c r="D14" s="22">
        <f>-Calc_COGS!D18</f>
        <v>-1761.5000000000002</v>
      </c>
      <c r="E14" s="22">
        <f>-Calc_COGS!E18</f>
        <v>-1585.35</v>
      </c>
      <c r="F14" s="22">
        <f>-Calc_COGS!F18</f>
        <v>-1497.2750000000001</v>
      </c>
      <c r="G14" s="22">
        <f>-Calc_COGS!G18</f>
        <v>-1409.2000000000003</v>
      </c>
      <c r="H14" s="22">
        <f>-Calc_COGS!H18</f>
        <v>-1409.2000000000003</v>
      </c>
      <c r="I14" s="22">
        <f>-Calc_COGS!I18</f>
        <v>-1497.2750000000001</v>
      </c>
      <c r="J14" s="22">
        <f>-Calc_COGS!J18</f>
        <v>-1673.425</v>
      </c>
      <c r="K14" s="22">
        <f>-Calc_COGS!K18</f>
        <v>-1849.575</v>
      </c>
      <c r="L14" s="22">
        <f>-Calc_COGS!L18</f>
        <v>-2025.7249999999997</v>
      </c>
      <c r="M14" s="22">
        <f>-Calc_COGS!M18</f>
        <v>-2466.1000000000004</v>
      </c>
      <c r="N14" s="22">
        <f>-Calc_COGS!N18</f>
        <v>-2242.4775749999999</v>
      </c>
      <c r="O14" s="22">
        <f>-Calc_COGS!O18</f>
        <v>-2144.9785500000003</v>
      </c>
      <c r="P14" s="22">
        <f>-Calc_COGS!P18</f>
        <v>-1949.9804999999999</v>
      </c>
      <c r="Q14" s="22">
        <f>-Calc_COGS!Q18</f>
        <v>-1754.98245</v>
      </c>
      <c r="R14" s="22">
        <f>-Calc_COGS!R18</f>
        <v>-1657.4834249999999</v>
      </c>
      <c r="S14" s="22">
        <f>-Calc_COGS!S18</f>
        <v>-1559.9844000000003</v>
      </c>
      <c r="T14" s="22">
        <f>-Calc_COGS!T18</f>
        <v>-1559.9844000000003</v>
      </c>
      <c r="U14" s="22">
        <f>-Calc_COGS!U18</f>
        <v>-1657.4834249999999</v>
      </c>
      <c r="V14" s="22">
        <f>-Calc_COGS!V18</f>
        <v>-1852.4814749999998</v>
      </c>
      <c r="W14" s="22">
        <f>-Calc_COGS!W18</f>
        <v>-2047.4795249999997</v>
      </c>
      <c r="X14" s="22">
        <f>-Calc_COGS!X18</f>
        <v>-2242.4775749999999</v>
      </c>
      <c r="Y14" s="22">
        <f>-Calc_COGS!Y18</f>
        <v>-2729.9727000000003</v>
      </c>
      <c r="Z14" s="22">
        <f>-Calc_COGS!Z18</f>
        <v>-2482.4226755249997</v>
      </c>
      <c r="AA14" s="22">
        <f>-Calc_COGS!AA18</f>
        <v>-2374.4912548500006</v>
      </c>
      <c r="AB14" s="22">
        <f>-Calc_COGS!AB18</f>
        <v>-2158.6284135000001</v>
      </c>
      <c r="AC14" s="22">
        <f>-Calc_COGS!AC18</f>
        <v>-1942.76557215</v>
      </c>
      <c r="AD14" s="22">
        <f>-Calc_COGS!AD18</f>
        <v>-1834.8341514750005</v>
      </c>
      <c r="AE14" s="22">
        <f>-Calc_COGS!AE18</f>
        <v>-1726.9027308000007</v>
      </c>
      <c r="AF14" s="22">
        <f>-Calc_COGS!AF18</f>
        <v>-1726.9027308000007</v>
      </c>
      <c r="AG14" s="22">
        <f>-Calc_COGS!AG18</f>
        <v>-1834.8341514750005</v>
      </c>
      <c r="AH14" s="22">
        <f>-Calc_COGS!AH18</f>
        <v>-2050.6969928250001</v>
      </c>
      <c r="AI14" s="22">
        <f>-Calc_COGS!AI18</f>
        <v>-2266.5598341750006</v>
      </c>
      <c r="AJ14" s="22">
        <f>-Calc_COGS!AJ18</f>
        <v>-2482.4226755249997</v>
      </c>
      <c r="AK14" s="22">
        <f>-Calc_COGS!AK18</f>
        <v>-3022.0797789000003</v>
      </c>
      <c r="AL14" s="22">
        <f>-Calc_COGS!AL18</f>
        <v>-2697.1522369579129</v>
      </c>
      <c r="AM14" s="22">
        <f>-Calc_COGS!AM18</f>
        <v>-2579.8847483945256</v>
      </c>
      <c r="AN14" s="22">
        <f>-Calc_COGS!AN18</f>
        <v>-2345.3497712677499</v>
      </c>
      <c r="AO14" s="22">
        <f>-Calc_COGS!AO18</f>
        <v>-2110.8147941409752</v>
      </c>
      <c r="AP14" s="22">
        <f>-Calc_COGS!AP18</f>
        <v>-1993.5473055775874</v>
      </c>
      <c r="AQ14" s="22">
        <f>-Calc_COGS!AQ18</f>
        <v>-1876.2798170142</v>
      </c>
      <c r="AR14" s="22">
        <f>-Calc_COGS!AR18</f>
        <v>-1876.2798170142</v>
      </c>
      <c r="AS14" s="22">
        <f>-Calc_COGS!AS18</f>
        <v>-1993.5473055775874</v>
      </c>
      <c r="AT14" s="22">
        <f>-Calc_COGS!AT18</f>
        <v>-2228.0822827043626</v>
      </c>
      <c r="AU14" s="22">
        <f>-Calc_COGS!AU18</f>
        <v>-2462.6172598311377</v>
      </c>
      <c r="AV14" s="22">
        <f>-Calc_COGS!AV18</f>
        <v>-2697.1522369579129</v>
      </c>
      <c r="AW14" s="22">
        <f>-Calc_COGS!AW18</f>
        <v>-3283.4896797748506</v>
      </c>
      <c r="AX14" s="22">
        <f>-Calc_COGS!AX18</f>
        <v>-2930.4559054547713</v>
      </c>
      <c r="AY14" s="22">
        <f>-Calc_COGS!AY18</f>
        <v>-2803.0447791306519</v>
      </c>
      <c r="AZ14" s="22">
        <f>-Calc_COGS!AZ18</f>
        <v>-2548.222526482411</v>
      </c>
      <c r="BA14" s="22">
        <f>-Calc_COGS!BA18</f>
        <v>-2293.4002738341696</v>
      </c>
      <c r="BB14" s="22">
        <f>-Calc_COGS!BB18</f>
        <v>-2165.989147510049</v>
      </c>
      <c r="BC14" s="22">
        <f>-Calc_COGS!BC18</f>
        <v>-2038.5780211859287</v>
      </c>
      <c r="BD14" s="22">
        <f>-Calc_COGS!BD18</f>
        <v>-2038.5780211859287</v>
      </c>
      <c r="BE14" s="22">
        <f>-Calc_COGS!BE18</f>
        <v>-2165.989147510049</v>
      </c>
      <c r="BF14" s="22">
        <f>-Calc_COGS!BF18</f>
        <v>-2420.8114001582899</v>
      </c>
      <c r="BG14" s="22">
        <f>-Calc_COGS!BG18</f>
        <v>-2675.6336528065312</v>
      </c>
      <c r="BH14" s="22">
        <f>-Calc_COGS!BH18</f>
        <v>-2930.4559054547713</v>
      </c>
      <c r="BI14" s="22">
        <f>-Calc_COGS!BI18</f>
        <v>-3567.5115370753747</v>
      </c>
      <c r="BJ14" s="22">
        <f>-Calc_COGS!BJ18</f>
        <v>-3123.8659952147868</v>
      </c>
      <c r="BK14" s="22">
        <f>-Calc_COGS!BK18</f>
        <v>-2988.045734553275</v>
      </c>
      <c r="BL14" s="22">
        <f>-Calc_COGS!BL18</f>
        <v>-2716.40521323025</v>
      </c>
      <c r="BM14" s="22">
        <f>-Calc_COGS!BM18</f>
        <v>-2444.764691907224</v>
      </c>
      <c r="BN14" s="22">
        <f>-Calc_COGS!BN18</f>
        <v>-2308.9444312457117</v>
      </c>
      <c r="BO14" s="22">
        <f>-Calc_COGS!BO18</f>
        <v>-2173.1241705841999</v>
      </c>
      <c r="BP14" s="22">
        <f>-Calc_COGS!BP18</f>
        <v>-2173.1241705841999</v>
      </c>
      <c r="BQ14" s="22">
        <f>-Calc_COGS!BQ18</f>
        <v>-2308.9444312457117</v>
      </c>
      <c r="BR14" s="22">
        <f>-Calc_COGS!BR18</f>
        <v>-2580.5849525687368</v>
      </c>
      <c r="BS14" s="22">
        <f>-Calc_COGS!BS18</f>
        <v>-2852.2254738917618</v>
      </c>
      <c r="BT14" s="22">
        <f>-Calc_COGS!BT18</f>
        <v>-3123.8659952147868</v>
      </c>
      <c r="BU14" s="22">
        <f>-Calc_COGS!BU18</f>
        <v>-3802.9672985223488</v>
      </c>
      <c r="BV14" s="22">
        <f>-Calc_COGS!BV18</f>
        <v>-3330.0411508989619</v>
      </c>
      <c r="BW14" s="22">
        <f>-Calc_COGS!BW18</f>
        <v>-3185.2567530337901</v>
      </c>
      <c r="BX14" s="22">
        <f>-Calc_COGS!BX18</f>
        <v>-2895.6879573034448</v>
      </c>
      <c r="BY14" s="22">
        <f>-Calc_COGS!BY18</f>
        <v>-2606.1191615731013</v>
      </c>
      <c r="BZ14" s="22">
        <f>-Calc_COGS!BZ18</f>
        <v>-2461.3347637079282</v>
      </c>
      <c r="CA14" s="22">
        <f>-Calc_COGS!CA18</f>
        <v>-2316.5503658427569</v>
      </c>
      <c r="CB14" s="22">
        <f>-Calc_COGS!CB18</f>
        <v>-2316.5503658427569</v>
      </c>
      <c r="CC14" s="22">
        <f>-Calc_COGS!CC18</f>
        <v>-2461.3347637079282</v>
      </c>
      <c r="CD14" s="22">
        <f>-Calc_COGS!CD18</f>
        <v>-2750.9035594382731</v>
      </c>
      <c r="CE14" s="22">
        <f>-Calc_COGS!CE18</f>
        <v>-3040.4723551686175</v>
      </c>
      <c r="CF14" s="22">
        <f>-Calc_COGS!CF18</f>
        <v>-3330.0411508989619</v>
      </c>
      <c r="CG14" s="22">
        <f>-Calc_COGS!CG18</f>
        <v>-4053.9631402248233</v>
      </c>
      <c r="CH14" s="22">
        <f>-Calc_COGS!CH18</f>
        <v>-3549.8238668582921</v>
      </c>
      <c r="CI14" s="22">
        <f>-Calc_COGS!CI18</f>
        <v>-3395.4836987340195</v>
      </c>
      <c r="CJ14" s="22">
        <f>-Calc_COGS!CJ18</f>
        <v>-3086.8033624854725</v>
      </c>
      <c r="CK14" s="22">
        <f>-Calc_COGS!CK18</f>
        <v>-2778.1230262369254</v>
      </c>
      <c r="CL14" s="22">
        <f>-Calc_COGS!CL18</f>
        <v>-2623.7828581126514</v>
      </c>
      <c r="CM14" s="22">
        <f>-Calc_COGS!CM18</f>
        <v>-2469.4426899883783</v>
      </c>
      <c r="CN14" s="22">
        <f>-Calc_COGS!CN18</f>
        <v>-2469.4426899883783</v>
      </c>
      <c r="CO14" s="22">
        <f>-Calc_COGS!CO18</f>
        <v>-2623.7828581126514</v>
      </c>
      <c r="CP14" s="22">
        <f>-Calc_COGS!CP18</f>
        <v>-2932.4631943611985</v>
      </c>
      <c r="CQ14" s="22">
        <f>-Calc_COGS!CQ18</f>
        <v>-3241.143530609746</v>
      </c>
      <c r="CR14" s="22">
        <f>-Calc_COGS!CR18</f>
        <v>-3549.8238668582921</v>
      </c>
      <c r="CS14" s="22">
        <f>-Calc_COGS!CS18</f>
        <v>-4321.5247074796598</v>
      </c>
      <c r="CT14" s="22">
        <f>-Calc_COGS!CT18</f>
        <v>-3784.1122420709398</v>
      </c>
      <c r="CU14" s="22">
        <f>-Calc_COGS!CU18</f>
        <v>-3619.5856228504654</v>
      </c>
      <c r="CV14" s="22">
        <f>-Calc_COGS!CV18</f>
        <v>-3290.5323844095133</v>
      </c>
      <c r="CW14" s="22">
        <f>-Calc_COGS!CW18</f>
        <v>-2961.4791459685625</v>
      </c>
      <c r="CX14" s="22">
        <f>-Calc_COGS!CX18</f>
        <v>-2796.9525267480858</v>
      </c>
      <c r="CY14" s="22">
        <f>-Calc_COGS!CY18</f>
        <v>-2632.4259075276113</v>
      </c>
      <c r="CZ14" s="22">
        <f>-Calc_COGS!CZ18</f>
        <v>-2632.4259075276113</v>
      </c>
      <c r="DA14" s="22">
        <f>-Calc_COGS!DA18</f>
        <v>-2796.9525267480858</v>
      </c>
      <c r="DB14" s="22">
        <f>-Calc_COGS!DB18</f>
        <v>-3126.005765189037</v>
      </c>
      <c r="DC14" s="22">
        <f>-Calc_COGS!DC18</f>
        <v>-3455.0590036299891</v>
      </c>
      <c r="DD14" s="22">
        <f>-Calc_COGS!DD18</f>
        <v>-3784.1122420709398</v>
      </c>
      <c r="DE14" s="22">
        <f>-Calc_COGS!DE18</f>
        <v>-4606.7453381733185</v>
      </c>
      <c r="DF14" s="22">
        <f>-Calc_COGS!DF18</f>
        <v>-4033.8636500476223</v>
      </c>
      <c r="DG14" s="22">
        <f>-Calc_COGS!DG18</f>
        <v>-3858.4782739585958</v>
      </c>
      <c r="DH14" s="22">
        <f>-Calc_COGS!DH18</f>
        <v>-3507.7075217805409</v>
      </c>
      <c r="DI14" s="22">
        <f>-Calc_COGS!DI18</f>
        <v>-3156.9367696024869</v>
      </c>
      <c r="DJ14" s="22">
        <f>-Calc_COGS!DJ18</f>
        <v>-2981.5513935134595</v>
      </c>
      <c r="DK14" s="22">
        <f>-Calc_COGS!DK18</f>
        <v>-2806.166017424433</v>
      </c>
      <c r="DL14" s="22">
        <f>-Calc_COGS!DL18</f>
        <v>-2806.166017424433</v>
      </c>
      <c r="DM14" s="22">
        <f>-Calc_COGS!DM18</f>
        <v>-2981.5513935134595</v>
      </c>
      <c r="DN14" s="22">
        <f>-Calc_COGS!DN18</f>
        <v>-3332.3221456915144</v>
      </c>
      <c r="DO14" s="22">
        <f>-Calc_COGS!DO18</f>
        <v>-3683.0928978695688</v>
      </c>
      <c r="DP14" s="22">
        <f>-Calc_COGS!DP18</f>
        <v>-4033.8636500476223</v>
      </c>
      <c r="DQ14" s="22">
        <f>-Calc_COGS!DQ18</f>
        <v>-4910.7905304927563</v>
      </c>
    </row>
    <row r="15" spans="1:121" ht="15" customHeight="1">
      <c r="A15" t="s">
        <v>513</v>
      </c>
      <c r="B15" s="22">
        <f>-Calc_COGS!B25</f>
        <v>-2146.6666666666665</v>
      </c>
      <c r="C15" s="22">
        <f>-Calc_COGS!C25</f>
        <v>-2053.3333333333335</v>
      </c>
      <c r="D15" s="22">
        <f>-Calc_COGS!D25</f>
        <v>-1866.6666666666667</v>
      </c>
      <c r="E15" s="22">
        <f>-Calc_COGS!E25</f>
        <v>-1680</v>
      </c>
      <c r="F15" s="22">
        <f>-Calc_COGS!F25</f>
        <v>-1586.6666666666667</v>
      </c>
      <c r="G15" s="22">
        <f>-Calc_COGS!G25</f>
        <v>-1493.3333333333337</v>
      </c>
      <c r="H15" s="22">
        <f>-Calc_COGS!H25</f>
        <v>-1493.3333333333337</v>
      </c>
      <c r="I15" s="22">
        <f>-Calc_COGS!I25</f>
        <v>-1586.6666666666667</v>
      </c>
      <c r="J15" s="22">
        <f>-Calc_COGS!J25</f>
        <v>-1773.3333333333333</v>
      </c>
      <c r="K15" s="22">
        <f>-Calc_COGS!K25</f>
        <v>-1960</v>
      </c>
      <c r="L15" s="22">
        <f>-Calc_COGS!L25</f>
        <v>-2146.6666666666665</v>
      </c>
      <c r="M15" s="22">
        <f>-Calc_COGS!M25</f>
        <v>-2613.333333333333</v>
      </c>
      <c r="N15" s="22">
        <f>-Calc_COGS!N25</f>
        <v>-2376.3599999999997</v>
      </c>
      <c r="O15" s="22">
        <f>-Calc_COGS!O25</f>
        <v>-2273.0400000000004</v>
      </c>
      <c r="P15" s="22">
        <f>-Calc_COGS!P25</f>
        <v>-2066.3999999999996</v>
      </c>
      <c r="Q15" s="22">
        <f>-Calc_COGS!Q25</f>
        <v>-1859.7599999999995</v>
      </c>
      <c r="R15" s="22">
        <f>-Calc_COGS!R25</f>
        <v>-1756.4399999999998</v>
      </c>
      <c r="S15" s="22">
        <f>-Calc_COGS!S25</f>
        <v>-1653.1200000000003</v>
      </c>
      <c r="T15" s="22">
        <f>-Calc_COGS!T25</f>
        <v>-1653.1200000000003</v>
      </c>
      <c r="U15" s="22">
        <f>-Calc_COGS!U25</f>
        <v>-1756.4399999999998</v>
      </c>
      <c r="V15" s="22">
        <f>-Calc_COGS!V25</f>
        <v>-1963.0800000000002</v>
      </c>
      <c r="W15" s="22">
        <f>-Calc_COGS!W25</f>
        <v>-2169.7199999999998</v>
      </c>
      <c r="X15" s="22">
        <f>-Calc_COGS!X25</f>
        <v>-2376.3599999999997</v>
      </c>
      <c r="Y15" s="22">
        <f>-Calc_COGS!Y25</f>
        <v>-2892.9599999999996</v>
      </c>
      <c r="Z15" s="22">
        <f>-Calc_COGS!Z25</f>
        <v>-2630.6305199999997</v>
      </c>
      <c r="AA15" s="22">
        <f>-Calc_COGS!AA25</f>
        <v>-2516.2552800000008</v>
      </c>
      <c r="AB15" s="22">
        <f>-Calc_COGS!AB25</f>
        <v>-2287.5048000000002</v>
      </c>
      <c r="AC15" s="22">
        <f>-Calc_COGS!AC25</f>
        <v>-2058.7543199999996</v>
      </c>
      <c r="AD15" s="22">
        <f>-Calc_COGS!AD25</f>
        <v>-1944.3790800000002</v>
      </c>
      <c r="AE15" s="22">
        <f>-Calc_COGS!AE25</f>
        <v>-1830.0038400000005</v>
      </c>
      <c r="AF15" s="22">
        <f>-Calc_COGS!AF25</f>
        <v>-1830.0038400000005</v>
      </c>
      <c r="AG15" s="22">
        <f>-Calc_COGS!AG25</f>
        <v>-1944.3790800000002</v>
      </c>
      <c r="AH15" s="22">
        <f>-Calc_COGS!AH25</f>
        <v>-2173.1295599999999</v>
      </c>
      <c r="AI15" s="22">
        <f>-Calc_COGS!AI25</f>
        <v>-2401.8800400000005</v>
      </c>
      <c r="AJ15" s="22">
        <f>-Calc_COGS!AJ25</f>
        <v>-2630.6305199999997</v>
      </c>
      <c r="AK15" s="22">
        <f>-Calc_COGS!AK25</f>
        <v>-3202.5067200000008</v>
      </c>
      <c r="AL15" s="22">
        <f>-Calc_COGS!AL25</f>
        <v>-2858.1800599799994</v>
      </c>
      <c r="AM15" s="22">
        <f>-Calc_COGS!AM25</f>
        <v>-2733.911361720001</v>
      </c>
      <c r="AN15" s="22">
        <f>-Calc_COGS!AN25</f>
        <v>-2485.3739652000004</v>
      </c>
      <c r="AO15" s="22">
        <f>-Calc_COGS!AO25</f>
        <v>-2236.8365686799998</v>
      </c>
      <c r="AP15" s="22">
        <f>-Calc_COGS!AP25</f>
        <v>-2112.5678704200004</v>
      </c>
      <c r="AQ15" s="22">
        <f>-Calc_COGS!AQ25</f>
        <v>-1988.2991721599999</v>
      </c>
      <c r="AR15" s="22">
        <f>-Calc_COGS!AR25</f>
        <v>-1988.2991721599999</v>
      </c>
      <c r="AS15" s="22">
        <f>-Calc_COGS!AS25</f>
        <v>-2112.5678704200004</v>
      </c>
      <c r="AT15" s="22">
        <f>-Calc_COGS!AT25</f>
        <v>-2361.1052669400001</v>
      </c>
      <c r="AU15" s="22">
        <f>-Calc_COGS!AU25</f>
        <v>-2609.6426634600007</v>
      </c>
      <c r="AV15" s="22">
        <f>-Calc_COGS!AV25</f>
        <v>-2858.1800599799994</v>
      </c>
      <c r="AW15" s="22">
        <f>-Calc_COGS!AW25</f>
        <v>-3479.52355128</v>
      </c>
      <c r="AX15" s="22">
        <f>-Calc_COGS!AX25</f>
        <v>-3105.4126351682694</v>
      </c>
      <c r="AY15" s="22">
        <f>-Calc_COGS!AY25</f>
        <v>-2970.3946945087805</v>
      </c>
      <c r="AZ15" s="22">
        <f>-Calc_COGS!AZ25</f>
        <v>-2700.3588131898</v>
      </c>
      <c r="BA15" s="22">
        <f>-Calc_COGS!BA25</f>
        <v>-2430.32293187082</v>
      </c>
      <c r="BB15" s="22">
        <f>-Calc_COGS!BB25</f>
        <v>-2295.3049912113297</v>
      </c>
      <c r="BC15" s="22">
        <f>-Calc_COGS!BC25</f>
        <v>-2160.2870505518399</v>
      </c>
      <c r="BD15" s="22">
        <f>-Calc_COGS!BD25</f>
        <v>-2160.2870505518399</v>
      </c>
      <c r="BE15" s="22">
        <f>-Calc_COGS!BE25</f>
        <v>-2295.3049912113297</v>
      </c>
      <c r="BF15" s="22">
        <f>-Calc_COGS!BF25</f>
        <v>-2565.3408725303098</v>
      </c>
      <c r="BG15" s="22">
        <f>-Calc_COGS!BG25</f>
        <v>-2835.3767538492903</v>
      </c>
      <c r="BH15" s="22">
        <f>-Calc_COGS!BH25</f>
        <v>-3105.4126351682694</v>
      </c>
      <c r="BI15" s="22">
        <f>-Calc_COGS!BI25</f>
        <v>-3780.5023384657197</v>
      </c>
      <c r="BJ15" s="22">
        <f>-Calc_COGS!BJ25</f>
        <v>-3310.3698690893752</v>
      </c>
      <c r="BK15" s="22">
        <f>-Calc_COGS!BK25</f>
        <v>-3166.4407443463597</v>
      </c>
      <c r="BL15" s="22">
        <f>-Calc_COGS!BL25</f>
        <v>-2878.5824948603267</v>
      </c>
      <c r="BM15" s="22">
        <f>-Calc_COGS!BM25</f>
        <v>-2590.7242453742938</v>
      </c>
      <c r="BN15" s="22">
        <f>-Calc_COGS!BN25</f>
        <v>-2446.7951206312778</v>
      </c>
      <c r="BO15" s="22">
        <f>-Calc_COGS!BO25</f>
        <v>-2302.8659958882613</v>
      </c>
      <c r="BP15" s="22">
        <f>-Calc_COGS!BP25</f>
        <v>-2302.8659958882613</v>
      </c>
      <c r="BQ15" s="22">
        <f>-Calc_COGS!BQ25</f>
        <v>-2446.7951206312778</v>
      </c>
      <c r="BR15" s="22">
        <f>-Calc_COGS!BR25</f>
        <v>-2734.6533701173098</v>
      </c>
      <c r="BS15" s="22">
        <f>-Calc_COGS!BS25</f>
        <v>-3022.5116196033423</v>
      </c>
      <c r="BT15" s="22">
        <f>-Calc_COGS!BT25</f>
        <v>-3310.3698690893752</v>
      </c>
      <c r="BU15" s="22">
        <f>-Calc_COGS!BU25</f>
        <v>-4030.0154928044572</v>
      </c>
      <c r="BV15" s="22">
        <f>-Calc_COGS!BV25</f>
        <v>-3528.8542804492736</v>
      </c>
      <c r="BW15" s="22">
        <f>-Calc_COGS!BW25</f>
        <v>-3375.4258334732194</v>
      </c>
      <c r="BX15" s="22">
        <f>-Calc_COGS!BX25</f>
        <v>-3068.568939521107</v>
      </c>
      <c r="BY15" s="22">
        <f>-Calc_COGS!BY25</f>
        <v>-2761.7120455689969</v>
      </c>
      <c r="BZ15" s="22">
        <f>-Calc_COGS!BZ25</f>
        <v>-2608.2835985929414</v>
      </c>
      <c r="CA15" s="22">
        <f>-Calc_COGS!CA25</f>
        <v>-2454.8551516168864</v>
      </c>
      <c r="CB15" s="22">
        <f>-Calc_COGS!CB25</f>
        <v>-2454.8551516168864</v>
      </c>
      <c r="CC15" s="22">
        <f>-Calc_COGS!CC25</f>
        <v>-2608.2835985929414</v>
      </c>
      <c r="CD15" s="22">
        <f>-Calc_COGS!CD25</f>
        <v>-2915.1404925450524</v>
      </c>
      <c r="CE15" s="22">
        <f>-Calc_COGS!CE25</f>
        <v>-3221.997386497163</v>
      </c>
      <c r="CF15" s="22">
        <f>-Calc_COGS!CF25</f>
        <v>-3528.8542804492736</v>
      </c>
      <c r="CG15" s="22">
        <f>-Calc_COGS!CG25</f>
        <v>-4295.9965153295507</v>
      </c>
      <c r="CH15" s="22">
        <f>-Calc_COGS!CH25</f>
        <v>-3761.758662958925</v>
      </c>
      <c r="CI15" s="22">
        <f>-Calc_COGS!CI25</f>
        <v>-3598.2039384824511</v>
      </c>
      <c r="CJ15" s="22">
        <f>-Calc_COGS!CJ25</f>
        <v>-3271.0944895295002</v>
      </c>
      <c r="CK15" s="22">
        <f>-Calc_COGS!CK25</f>
        <v>-2943.9850405765505</v>
      </c>
      <c r="CL15" s="22">
        <f>-Calc_COGS!CL25</f>
        <v>-2780.4303161000753</v>
      </c>
      <c r="CM15" s="22">
        <f>-Calc_COGS!CM25</f>
        <v>-2616.8755916236005</v>
      </c>
      <c r="CN15" s="22">
        <f>-Calc_COGS!CN25</f>
        <v>-2616.8755916236005</v>
      </c>
      <c r="CO15" s="22">
        <f>-Calc_COGS!CO25</f>
        <v>-2780.4303161000753</v>
      </c>
      <c r="CP15" s="22">
        <f>-Calc_COGS!CP25</f>
        <v>-3107.5397650530249</v>
      </c>
      <c r="CQ15" s="22">
        <f>-Calc_COGS!CQ25</f>
        <v>-3434.649214005975</v>
      </c>
      <c r="CR15" s="22">
        <f>-Calc_COGS!CR25</f>
        <v>-3761.758662958925</v>
      </c>
      <c r="CS15" s="22">
        <f>-Calc_COGS!CS25</f>
        <v>-4579.532285341299</v>
      </c>
      <c r="CT15" s="22">
        <f>-Calc_COGS!CT25</f>
        <v>-4010.0347347142133</v>
      </c>
      <c r="CU15" s="22">
        <f>-Calc_COGS!CU25</f>
        <v>-3835.6853984222921</v>
      </c>
      <c r="CV15" s="22">
        <f>-Calc_COGS!CV25</f>
        <v>-3486.986725838447</v>
      </c>
      <c r="CW15" s="22">
        <f>-Calc_COGS!CW25</f>
        <v>-3138.2880532546023</v>
      </c>
      <c r="CX15" s="22">
        <f>-Calc_COGS!CX25</f>
        <v>-2963.9387169626798</v>
      </c>
      <c r="CY15" s="22">
        <f>-Calc_COGS!CY25</f>
        <v>-2789.5893806707581</v>
      </c>
      <c r="CZ15" s="22">
        <f>-Calc_COGS!CZ25</f>
        <v>-2789.5893806707581</v>
      </c>
      <c r="DA15" s="22">
        <f>-Calc_COGS!DA25</f>
        <v>-2963.9387169626798</v>
      </c>
      <c r="DB15" s="22">
        <f>-Calc_COGS!DB25</f>
        <v>-3312.6373895465244</v>
      </c>
      <c r="DC15" s="22">
        <f>-Calc_COGS!DC25</f>
        <v>-3661.3360621303691</v>
      </c>
      <c r="DD15" s="22">
        <f>-Calc_COGS!DD25</f>
        <v>-4010.0347347142133</v>
      </c>
      <c r="DE15" s="22">
        <f>-Calc_COGS!DE25</f>
        <v>-4881.7814161738261</v>
      </c>
      <c r="DF15" s="22">
        <f>-Calc_COGS!DF25</f>
        <v>-4274.6970272053513</v>
      </c>
      <c r="DG15" s="22">
        <f>-Calc_COGS!DG25</f>
        <v>-4088.8406347181631</v>
      </c>
      <c r="DH15" s="22">
        <f>-Calc_COGS!DH25</f>
        <v>-3717.1278497437843</v>
      </c>
      <c r="DI15" s="22">
        <f>-Calc_COGS!DI25</f>
        <v>-3345.4150647694055</v>
      </c>
      <c r="DJ15" s="22">
        <f>-Calc_COGS!DJ25</f>
        <v>-3159.5586722822163</v>
      </c>
      <c r="DK15" s="22">
        <f>-Calc_COGS!DK25</f>
        <v>-2973.7022797950276</v>
      </c>
      <c r="DL15" s="22">
        <f>-Calc_COGS!DL25</f>
        <v>-2973.7022797950276</v>
      </c>
      <c r="DM15" s="22">
        <f>-Calc_COGS!DM25</f>
        <v>-3159.5586722822163</v>
      </c>
      <c r="DN15" s="22">
        <f>-Calc_COGS!DN25</f>
        <v>-3531.2714572565956</v>
      </c>
      <c r="DO15" s="22">
        <f>-Calc_COGS!DO25</f>
        <v>-3902.9842422309739</v>
      </c>
      <c r="DP15" s="22">
        <f>-Calc_COGS!DP25</f>
        <v>-4274.6970272053513</v>
      </c>
      <c r="DQ15" s="22">
        <f>-Calc_COGS!DQ25</f>
        <v>-5203.9789896412976</v>
      </c>
    </row>
    <row r="16" spans="1:121" ht="15" customHeight="1">
      <c r="A16" s="14" t="s">
        <v>447</v>
      </c>
      <c r="B16" s="30">
        <f>-Calc_COGS!B28</f>
        <v>-5705.7249999999985</v>
      </c>
      <c r="C16" s="30">
        <f>-Calc_COGS!C28</f>
        <v>-5457.6500000000015</v>
      </c>
      <c r="D16" s="30">
        <f>-Calc_COGS!D28</f>
        <v>-4961.5000000000009</v>
      </c>
      <c r="E16" s="30">
        <f>-Calc_COGS!E28</f>
        <v>-4465.3500000000004</v>
      </c>
      <c r="F16" s="30">
        <f>-Calc_COGS!F28</f>
        <v>-4217.2750000000005</v>
      </c>
      <c r="G16" s="30">
        <f>-Calc_COGS!G28</f>
        <v>-3969.2000000000007</v>
      </c>
      <c r="H16" s="30">
        <f>-Calc_COGS!H28</f>
        <v>-3969.2000000000007</v>
      </c>
      <c r="I16" s="30">
        <f>-Calc_COGS!I28</f>
        <v>-4217.2750000000005</v>
      </c>
      <c r="J16" s="30">
        <f>-Calc_COGS!J28</f>
        <v>-4713.4249999999993</v>
      </c>
      <c r="K16" s="30">
        <f>-Calc_COGS!K28</f>
        <v>-5209.5749999999998</v>
      </c>
      <c r="L16" s="30">
        <f>-Calc_COGS!L28</f>
        <v>-5705.7249999999985</v>
      </c>
      <c r="M16" s="30">
        <f>-Calc_COGS!M28</f>
        <v>-6946.0999999999995</v>
      </c>
      <c r="N16" s="30">
        <f>-Calc_COGS!N28</f>
        <v>-6316.2375749999992</v>
      </c>
      <c r="O16" s="30">
        <f>-Calc_COGS!O28</f>
        <v>-6041.6185500000011</v>
      </c>
      <c r="P16" s="30">
        <f>-Calc_COGS!P28</f>
        <v>-5492.3804999999993</v>
      </c>
      <c r="Q16" s="30">
        <f>-Calc_COGS!Q28</f>
        <v>-4943.1424499999994</v>
      </c>
      <c r="R16" s="30">
        <f>-Calc_COGS!R28</f>
        <v>-4668.5234249999994</v>
      </c>
      <c r="S16" s="30">
        <f>-Calc_COGS!S28</f>
        <v>-4393.9044000000013</v>
      </c>
      <c r="T16" s="30">
        <f>-Calc_COGS!T28</f>
        <v>-4393.9044000000013</v>
      </c>
      <c r="U16" s="30">
        <f>-Calc_COGS!U28</f>
        <v>-4668.5234249999994</v>
      </c>
      <c r="V16" s="30">
        <f>-Calc_COGS!V28</f>
        <v>-5217.7614749999993</v>
      </c>
      <c r="W16" s="30">
        <f>-Calc_COGS!W28</f>
        <v>-5766.9995249999993</v>
      </c>
      <c r="X16" s="30">
        <f>-Calc_COGS!X28</f>
        <v>-6316.2375749999992</v>
      </c>
      <c r="Y16" s="30">
        <f>-Calc_COGS!Y28</f>
        <v>-7689.332699999999</v>
      </c>
      <c r="Z16" s="30">
        <f>-Calc_COGS!Z28</f>
        <v>-6992.0749955249994</v>
      </c>
      <c r="AA16" s="30">
        <f>-Calc_COGS!AA28</f>
        <v>-6688.071734850002</v>
      </c>
      <c r="AB16" s="30">
        <f>-Calc_COGS!AB28</f>
        <v>-6080.0652135</v>
      </c>
      <c r="AC16" s="30">
        <f>-Calc_COGS!AC28</f>
        <v>-5472.0586921499998</v>
      </c>
      <c r="AD16" s="30">
        <f>-Calc_COGS!AD28</f>
        <v>-5168.0554314750007</v>
      </c>
      <c r="AE16" s="30">
        <f>-Calc_COGS!AE28</f>
        <v>-4864.0521708000015</v>
      </c>
      <c r="AF16" s="30">
        <f>-Calc_COGS!AF28</f>
        <v>-4864.0521708000015</v>
      </c>
      <c r="AG16" s="30">
        <f>-Calc_COGS!AG28</f>
        <v>-5168.0554314750007</v>
      </c>
      <c r="AH16" s="30">
        <f>-Calc_COGS!AH28</f>
        <v>-5776.061952824999</v>
      </c>
      <c r="AI16" s="30">
        <f>-Calc_COGS!AI28</f>
        <v>-6384.068474175001</v>
      </c>
      <c r="AJ16" s="30">
        <f>-Calc_COGS!AJ28</f>
        <v>-6992.0749955249994</v>
      </c>
      <c r="AK16" s="30">
        <f>-Calc_COGS!AK28</f>
        <v>-8512.0912989000008</v>
      </c>
      <c r="AL16" s="30">
        <f>-Calc_COGS!AL28</f>
        <v>-7596.8894826379128</v>
      </c>
      <c r="AM16" s="30">
        <f>-Calc_COGS!AM28</f>
        <v>-7266.5899399145264</v>
      </c>
      <c r="AN16" s="30">
        <f>-Calc_COGS!AN28</f>
        <v>-6605.9908544677501</v>
      </c>
      <c r="AO16" s="30">
        <f>-Calc_COGS!AO28</f>
        <v>-5945.3917690209746</v>
      </c>
      <c r="AP16" s="30">
        <f>-Calc_COGS!AP28</f>
        <v>-5615.0922262975873</v>
      </c>
      <c r="AQ16" s="30">
        <f>-Calc_COGS!AQ28</f>
        <v>-5284.7926835742001</v>
      </c>
      <c r="AR16" s="30">
        <f>-Calc_COGS!AR28</f>
        <v>-5284.7926835742001</v>
      </c>
      <c r="AS16" s="30">
        <f>-Calc_COGS!AS28</f>
        <v>-5615.0922262975873</v>
      </c>
      <c r="AT16" s="30">
        <f>-Calc_COGS!AT28</f>
        <v>-6275.6913117443628</v>
      </c>
      <c r="AU16" s="30">
        <f>-Calc_COGS!AU28</f>
        <v>-6936.2903971911401</v>
      </c>
      <c r="AV16" s="30">
        <f>-Calc_COGS!AV28</f>
        <v>-7596.8894826379128</v>
      </c>
      <c r="AW16" s="30">
        <f>-Calc_COGS!AW28</f>
        <v>-9248.387196254851</v>
      </c>
      <c r="AX16" s="30">
        <f>-Calc_COGS!AX28</f>
        <v>-8254.0204228860912</v>
      </c>
      <c r="AY16" s="30">
        <f>-Calc_COGS!AY28</f>
        <v>-7895.149969717133</v>
      </c>
      <c r="AZ16" s="30">
        <f>-Calc_COGS!AZ28</f>
        <v>-7177.4090633792111</v>
      </c>
      <c r="BA16" s="30">
        <f>-Calc_COGS!BA28</f>
        <v>-6459.6681570412893</v>
      </c>
      <c r="BB16" s="30">
        <f>-Calc_COGS!BB28</f>
        <v>-6100.7977038723293</v>
      </c>
      <c r="BC16" s="30">
        <f>-Calc_COGS!BC28</f>
        <v>-5741.9272507033684</v>
      </c>
      <c r="BD16" s="30">
        <f>-Calc_COGS!BD28</f>
        <v>-5741.9272507033684</v>
      </c>
      <c r="BE16" s="30">
        <f>-Calc_COGS!BE28</f>
        <v>-6100.7977038723293</v>
      </c>
      <c r="BF16" s="30">
        <f>-Calc_COGS!BF28</f>
        <v>-6818.5386102102493</v>
      </c>
      <c r="BG16" s="30">
        <f>-Calc_COGS!BG28</f>
        <v>-7536.2795165481712</v>
      </c>
      <c r="BH16" s="30">
        <f>-Calc_COGS!BH28</f>
        <v>-8254.0204228860912</v>
      </c>
      <c r="BI16" s="30">
        <f>-Calc_COGS!BI28</f>
        <v>-10048.372688730895</v>
      </c>
      <c r="BJ16" s="30">
        <f>-Calc_COGS!BJ28</f>
        <v>-8798.7857707965741</v>
      </c>
      <c r="BK16" s="30">
        <f>-Calc_COGS!BK28</f>
        <v>-8416.2298677184626</v>
      </c>
      <c r="BL16" s="30">
        <f>-Calc_COGS!BL28</f>
        <v>-7651.1180615622388</v>
      </c>
      <c r="BM16" s="30">
        <f>-Calc_COGS!BM28</f>
        <v>-6886.0062554060132</v>
      </c>
      <c r="BN16" s="30">
        <f>-Calc_COGS!BN28</f>
        <v>-6503.4503523279018</v>
      </c>
      <c r="BO16" s="30">
        <f>-Calc_COGS!BO28</f>
        <v>-6120.8944492497903</v>
      </c>
      <c r="BP16" s="30">
        <f>-Calc_COGS!BP28</f>
        <v>-6120.8944492497903</v>
      </c>
      <c r="BQ16" s="30">
        <f>-Calc_COGS!BQ28</f>
        <v>-6503.4503523279018</v>
      </c>
      <c r="BR16" s="30">
        <f>-Calc_COGS!BR28</f>
        <v>-7268.5621584841247</v>
      </c>
      <c r="BS16" s="30">
        <f>-Calc_COGS!BS28</f>
        <v>-8033.6739646403485</v>
      </c>
      <c r="BT16" s="30">
        <f>-Calc_COGS!BT28</f>
        <v>-8798.7857707965741</v>
      </c>
      <c r="BU16" s="30">
        <f>-Calc_COGS!BU28</f>
        <v>-10711.565286187131</v>
      </c>
      <c r="BV16" s="30">
        <f>-Calc_COGS!BV28</f>
        <v>-9379.5056316691443</v>
      </c>
      <c r="BW16" s="30">
        <f>-Calc_COGS!BW28</f>
        <v>-8971.7010389878815</v>
      </c>
      <c r="BX16" s="30">
        <f>-Calc_COGS!BX28</f>
        <v>-8156.091853625343</v>
      </c>
      <c r="BY16" s="30">
        <f>-Calc_COGS!BY28</f>
        <v>-7340.48266826281</v>
      </c>
      <c r="BZ16" s="30">
        <f>-Calc_COGS!BZ28</f>
        <v>-6932.6780755815416</v>
      </c>
      <c r="CA16" s="30">
        <f>-Calc_COGS!CA28</f>
        <v>-6524.8734829002769</v>
      </c>
      <c r="CB16" s="30">
        <f>-Calc_COGS!CB28</f>
        <v>-6524.8734829002769</v>
      </c>
      <c r="CC16" s="30">
        <f>-Calc_COGS!CC28</f>
        <v>-6932.6780755815416</v>
      </c>
      <c r="CD16" s="30">
        <f>-Calc_COGS!CD28</f>
        <v>-7748.2872609440774</v>
      </c>
      <c r="CE16" s="30">
        <f>-Calc_COGS!CE28</f>
        <v>-8563.8964463066113</v>
      </c>
      <c r="CF16" s="30">
        <f>-Calc_COGS!CF28</f>
        <v>-9379.5056316691443</v>
      </c>
      <c r="CG16" s="30">
        <f>-Calc_COGS!CG28</f>
        <v>-11418.528595075481</v>
      </c>
      <c r="CH16" s="30">
        <f>-Calc_COGS!CH28</f>
        <v>-9998.5530033593059</v>
      </c>
      <c r="CI16" s="30">
        <f>-Calc_COGS!CI28</f>
        <v>-9563.833307561079</v>
      </c>
      <c r="CJ16" s="30">
        <f>-Calc_COGS!CJ28</f>
        <v>-8694.3939159646143</v>
      </c>
      <c r="CK16" s="30">
        <f>-Calc_COGS!CK28</f>
        <v>-7824.954524368155</v>
      </c>
      <c r="CL16" s="30">
        <f>-Calc_COGS!CL28</f>
        <v>-7390.2348285699236</v>
      </c>
      <c r="CM16" s="30">
        <f>-Calc_COGS!CM28</f>
        <v>-6955.515132771694</v>
      </c>
      <c r="CN16" s="30">
        <f>-Calc_COGS!CN28</f>
        <v>-6955.515132771694</v>
      </c>
      <c r="CO16" s="30">
        <f>-Calc_COGS!CO28</f>
        <v>-7390.2348285699236</v>
      </c>
      <c r="CP16" s="30">
        <f>-Calc_COGS!CP28</f>
        <v>-8259.6742201663837</v>
      </c>
      <c r="CQ16" s="30">
        <f>-Calc_COGS!CQ28</f>
        <v>-9129.1136117628448</v>
      </c>
      <c r="CR16" s="30">
        <f>-Calc_COGS!CR28</f>
        <v>-9998.5530033593059</v>
      </c>
      <c r="CS16" s="30">
        <f>-Calc_COGS!CS28</f>
        <v>-12172.151482350459</v>
      </c>
      <c r="CT16" s="30">
        <f>-Calc_COGS!CT28</f>
        <v>-10658.457501581019</v>
      </c>
      <c r="CU16" s="30">
        <f>-Calc_COGS!CU28</f>
        <v>-10195.046305860109</v>
      </c>
      <c r="CV16" s="30">
        <f>-Calc_COGS!CV28</f>
        <v>-9268.2239144182804</v>
      </c>
      <c r="CW16" s="30">
        <f>-Calc_COGS!CW28</f>
        <v>-8341.4015229764518</v>
      </c>
      <c r="CX16" s="30">
        <f>-Calc_COGS!CX28</f>
        <v>-7877.9903272555375</v>
      </c>
      <c r="CY16" s="30">
        <f>-Calc_COGS!CY28</f>
        <v>-7414.579131534625</v>
      </c>
      <c r="CZ16" s="30">
        <f>-Calc_COGS!CZ28</f>
        <v>-7414.579131534625</v>
      </c>
      <c r="DA16" s="30">
        <f>-Calc_COGS!DA28</f>
        <v>-7877.9903272555375</v>
      </c>
      <c r="DB16" s="30">
        <f>-Calc_COGS!DB28</f>
        <v>-8804.8127186973652</v>
      </c>
      <c r="DC16" s="30">
        <f>-Calc_COGS!DC28</f>
        <v>-9731.6351101391938</v>
      </c>
      <c r="DD16" s="30">
        <f>-Calc_COGS!DD28</f>
        <v>-10658.457501581019</v>
      </c>
      <c r="DE16" s="30">
        <f>-Calc_COGS!DE28</f>
        <v>-12975.513480185591</v>
      </c>
      <c r="DF16" s="30">
        <f>-Calc_COGS!DF28</f>
        <v>-11361.915696685368</v>
      </c>
      <c r="DG16" s="30">
        <f>-Calc_COGS!DG28</f>
        <v>-10867.919362046874</v>
      </c>
      <c r="DH16" s="30">
        <f>-Calc_COGS!DH28</f>
        <v>-9879.9266927698845</v>
      </c>
      <c r="DI16" s="30">
        <f>-Calc_COGS!DI28</f>
        <v>-8891.9340234928968</v>
      </c>
      <c r="DJ16" s="30">
        <f>-Calc_COGS!DJ28</f>
        <v>-8397.9376888544029</v>
      </c>
      <c r="DK16" s="30">
        <f>-Calc_COGS!DK28</f>
        <v>-7903.9413542159091</v>
      </c>
      <c r="DL16" s="30">
        <f>-Calc_COGS!DL28</f>
        <v>-7903.9413542159091</v>
      </c>
      <c r="DM16" s="30">
        <f>-Calc_COGS!DM28</f>
        <v>-8397.9376888544029</v>
      </c>
      <c r="DN16" s="30">
        <f>-Calc_COGS!DN28</f>
        <v>-9385.9303581313925</v>
      </c>
      <c r="DO16" s="30">
        <f>-Calc_COGS!DO28</f>
        <v>-10373.92302740838</v>
      </c>
      <c r="DP16" s="30">
        <f>-Calc_COGS!DP28</f>
        <v>-11361.915696685368</v>
      </c>
      <c r="DQ16" s="30">
        <f>-Calc_COGS!DQ28</f>
        <v>-13831.897369877839</v>
      </c>
    </row>
    <row r="18" spans="1:121" ht="15" customHeight="1">
      <c r="A18" s="5" t="s">
        <v>514</v>
      </c>
    </row>
    <row r="19" spans="1:121" ht="15" customHeight="1">
      <c r="A19" s="14" t="s">
        <v>515</v>
      </c>
      <c r="B19" s="29">
        <f t="shared" ref="B19:AG19" si="0">B10+B16</f>
        <v>17306.44200000001</v>
      </c>
      <c r="C19" s="29">
        <f t="shared" si="0"/>
        <v>16553.988000000005</v>
      </c>
      <c r="D19" s="29">
        <f t="shared" si="0"/>
        <v>15049.080000000002</v>
      </c>
      <c r="E19" s="29">
        <f t="shared" si="0"/>
        <v>13544.171999999997</v>
      </c>
      <c r="F19" s="29">
        <f t="shared" si="0"/>
        <v>12791.718000000001</v>
      </c>
      <c r="G19" s="29">
        <f t="shared" si="0"/>
        <v>12039.264000000003</v>
      </c>
      <c r="H19" s="29">
        <f t="shared" si="0"/>
        <v>12039.264000000003</v>
      </c>
      <c r="I19" s="29">
        <f t="shared" si="0"/>
        <v>12791.718000000001</v>
      </c>
      <c r="J19" s="29">
        <f t="shared" si="0"/>
        <v>14296.626000000004</v>
      </c>
      <c r="K19" s="29">
        <f t="shared" si="0"/>
        <v>15801.534000000003</v>
      </c>
      <c r="L19" s="29">
        <f t="shared" si="0"/>
        <v>17306.44200000001</v>
      </c>
      <c r="M19" s="29">
        <f t="shared" si="0"/>
        <v>21068.712</v>
      </c>
      <c r="N19" s="29">
        <f t="shared" si="0"/>
        <v>19654.891206750006</v>
      </c>
      <c r="O19" s="29">
        <f t="shared" si="0"/>
        <v>18800.330719500002</v>
      </c>
      <c r="P19" s="29">
        <f t="shared" si="0"/>
        <v>17091.209744999996</v>
      </c>
      <c r="Q19" s="29">
        <f t="shared" si="0"/>
        <v>15382.088770499999</v>
      </c>
      <c r="R19" s="29">
        <f t="shared" si="0"/>
        <v>14527.528283249998</v>
      </c>
      <c r="S19" s="29">
        <f t="shared" si="0"/>
        <v>13672.967795999995</v>
      </c>
      <c r="T19" s="29">
        <f t="shared" si="0"/>
        <v>13672.967795999995</v>
      </c>
      <c r="U19" s="29">
        <f t="shared" si="0"/>
        <v>14527.528283249998</v>
      </c>
      <c r="V19" s="29">
        <f t="shared" si="0"/>
        <v>16236.649257749988</v>
      </c>
      <c r="W19" s="29">
        <f t="shared" si="0"/>
        <v>17945.770232250004</v>
      </c>
      <c r="X19" s="29">
        <f t="shared" si="0"/>
        <v>19654.891206750006</v>
      </c>
      <c r="Y19" s="29">
        <f t="shared" si="0"/>
        <v>23927.693642999995</v>
      </c>
      <c r="Z19" s="29">
        <f t="shared" si="0"/>
        <v>22294.357271642253</v>
      </c>
      <c r="AA19" s="29">
        <f t="shared" si="0"/>
        <v>21325.037390266501</v>
      </c>
      <c r="AB19" s="29">
        <f t="shared" si="0"/>
        <v>19386.397627515005</v>
      </c>
      <c r="AC19" s="29">
        <f t="shared" si="0"/>
        <v>17447.757864763495</v>
      </c>
      <c r="AD19" s="29">
        <f t="shared" si="0"/>
        <v>16478.437983387757</v>
      </c>
      <c r="AE19" s="29">
        <f t="shared" si="0"/>
        <v>15509.118102011995</v>
      </c>
      <c r="AF19" s="29">
        <f t="shared" si="0"/>
        <v>15509.118102011995</v>
      </c>
      <c r="AG19" s="29">
        <f t="shared" si="0"/>
        <v>16478.437983387757</v>
      </c>
      <c r="AH19" s="29">
        <f t="shared" ref="AH19:BM19" si="1">AH10+AH16</f>
        <v>18417.07774613925</v>
      </c>
      <c r="AI19" s="29">
        <f t="shared" si="1"/>
        <v>20355.717508890746</v>
      </c>
      <c r="AJ19" s="29">
        <f t="shared" si="1"/>
        <v>22294.357271642253</v>
      </c>
      <c r="AK19" s="29">
        <f t="shared" si="1"/>
        <v>27140.956678520997</v>
      </c>
      <c r="AL19" s="29">
        <f t="shared" si="1"/>
        <v>24791.3954437555</v>
      </c>
      <c r="AM19" s="29">
        <f t="shared" si="1"/>
        <v>23713.508685331359</v>
      </c>
      <c r="AN19" s="29">
        <f t="shared" si="1"/>
        <v>21557.735168483057</v>
      </c>
      <c r="AO19" s="29">
        <f t="shared" si="1"/>
        <v>19401.961651634738</v>
      </c>
      <c r="AP19" s="29">
        <f t="shared" si="1"/>
        <v>18324.074893210593</v>
      </c>
      <c r="AQ19" s="29">
        <f t="shared" si="1"/>
        <v>17246.188134786436</v>
      </c>
      <c r="AR19" s="29">
        <f t="shared" si="1"/>
        <v>17246.188134786436</v>
      </c>
      <c r="AS19" s="29">
        <f t="shared" si="1"/>
        <v>18324.074893210593</v>
      </c>
      <c r="AT19" s="29">
        <f t="shared" si="1"/>
        <v>20479.848410058887</v>
      </c>
      <c r="AU19" s="29">
        <f t="shared" si="1"/>
        <v>22635.621926907203</v>
      </c>
      <c r="AV19" s="29">
        <f t="shared" si="1"/>
        <v>24791.3954437555</v>
      </c>
      <c r="AW19" s="29">
        <f t="shared" si="1"/>
        <v>30180.829235876263</v>
      </c>
      <c r="AX19" s="29">
        <f t="shared" si="1"/>
        <v>27538.54199384353</v>
      </c>
      <c r="AY19" s="29">
        <f t="shared" si="1"/>
        <v>26341.214081067723</v>
      </c>
      <c r="AZ19" s="29">
        <f t="shared" si="1"/>
        <v>23946.558255516105</v>
      </c>
      <c r="BA19" s="29">
        <f t="shared" si="1"/>
        <v>21551.902429964495</v>
      </c>
      <c r="BB19" s="29">
        <f t="shared" si="1"/>
        <v>20354.574517188696</v>
      </c>
      <c r="BC19" s="29">
        <f t="shared" si="1"/>
        <v>19157.246604412889</v>
      </c>
      <c r="BD19" s="29">
        <f t="shared" si="1"/>
        <v>19157.246604412889</v>
      </c>
      <c r="BE19" s="29">
        <f t="shared" si="1"/>
        <v>20354.574517188696</v>
      </c>
      <c r="BF19" s="29">
        <f t="shared" si="1"/>
        <v>22749.230342740302</v>
      </c>
      <c r="BG19" s="29">
        <f t="shared" si="1"/>
        <v>25143.886168291916</v>
      </c>
      <c r="BH19" s="29">
        <f t="shared" si="1"/>
        <v>27538.54199384353</v>
      </c>
      <c r="BI19" s="29">
        <f t="shared" si="1"/>
        <v>33525.18155772255</v>
      </c>
      <c r="BJ19" s="29">
        <f t="shared" si="1"/>
        <v>29982.884243408473</v>
      </c>
      <c r="BK19" s="29">
        <f t="shared" si="1"/>
        <v>28679.280580651623</v>
      </c>
      <c r="BL19" s="29">
        <f t="shared" si="1"/>
        <v>26072.073255137821</v>
      </c>
      <c r="BM19" s="29">
        <f t="shared" si="1"/>
        <v>23464.865929624029</v>
      </c>
      <c r="BN19" s="29">
        <f t="shared" ref="BN19:CS19" si="2">BN10+BN16</f>
        <v>22161.262266867147</v>
      </c>
      <c r="BO19" s="29">
        <f t="shared" si="2"/>
        <v>20857.658604110264</v>
      </c>
      <c r="BP19" s="29">
        <f t="shared" si="2"/>
        <v>20857.658604110264</v>
      </c>
      <c r="BQ19" s="29">
        <f t="shared" si="2"/>
        <v>22161.262266867147</v>
      </c>
      <c r="BR19" s="29">
        <f t="shared" si="2"/>
        <v>24768.469592380916</v>
      </c>
      <c r="BS19" s="29">
        <f t="shared" si="2"/>
        <v>27375.676917894711</v>
      </c>
      <c r="BT19" s="29">
        <f t="shared" si="2"/>
        <v>29982.884243408473</v>
      </c>
      <c r="BU19" s="29">
        <f t="shared" si="2"/>
        <v>36500.902557192923</v>
      </c>
      <c r="BV19" s="29">
        <f t="shared" si="2"/>
        <v>32613.625020563592</v>
      </c>
      <c r="BW19" s="29">
        <f t="shared" si="2"/>
        <v>31195.641324017353</v>
      </c>
      <c r="BX19" s="29">
        <f t="shared" si="2"/>
        <v>28359.673930924873</v>
      </c>
      <c r="BY19" s="29">
        <f t="shared" si="2"/>
        <v>25523.706537832375</v>
      </c>
      <c r="BZ19" s="29">
        <f t="shared" si="2"/>
        <v>24105.722841286133</v>
      </c>
      <c r="CA19" s="29">
        <f t="shared" si="2"/>
        <v>22687.739144739891</v>
      </c>
      <c r="CB19" s="29">
        <f t="shared" si="2"/>
        <v>22687.739144739891</v>
      </c>
      <c r="CC19" s="29">
        <f t="shared" si="2"/>
        <v>24105.722841286133</v>
      </c>
      <c r="CD19" s="29">
        <f t="shared" si="2"/>
        <v>26941.690234378624</v>
      </c>
      <c r="CE19" s="29">
        <f t="shared" si="2"/>
        <v>29777.657627471108</v>
      </c>
      <c r="CF19" s="29">
        <f t="shared" si="2"/>
        <v>32613.625020563592</v>
      </c>
      <c r="CG19" s="29">
        <f t="shared" si="2"/>
        <v>39703.543503294815</v>
      </c>
      <c r="CH19" s="29">
        <f t="shared" si="2"/>
        <v>35444.069505694541</v>
      </c>
      <c r="CI19" s="29">
        <f t="shared" si="2"/>
        <v>33903.023005446958</v>
      </c>
      <c r="CJ19" s="29">
        <f t="shared" si="2"/>
        <v>30820.930004951766</v>
      </c>
      <c r="CK19" s="29">
        <f t="shared" si="2"/>
        <v>27738.837004456604</v>
      </c>
      <c r="CL19" s="29">
        <f t="shared" si="2"/>
        <v>26197.790504209017</v>
      </c>
      <c r="CM19" s="29">
        <f t="shared" si="2"/>
        <v>24656.744003961416</v>
      </c>
      <c r="CN19" s="29">
        <f t="shared" si="2"/>
        <v>24656.744003961416</v>
      </c>
      <c r="CO19" s="29">
        <f t="shared" si="2"/>
        <v>26197.790504209017</v>
      </c>
      <c r="CP19" s="29">
        <f t="shared" si="2"/>
        <v>29279.883504704183</v>
      </c>
      <c r="CQ19" s="29">
        <f t="shared" si="2"/>
        <v>32361.976505199349</v>
      </c>
      <c r="CR19" s="29">
        <f t="shared" si="2"/>
        <v>35444.069505694541</v>
      </c>
      <c r="CS19" s="29">
        <f t="shared" si="2"/>
        <v>43149.302006932485</v>
      </c>
      <c r="CT19" s="29">
        <f t="shared" ref="CT19:DQ19" si="3">CT10+CT16</f>
        <v>38488.441136195084</v>
      </c>
      <c r="CU19" s="29">
        <f t="shared" si="3"/>
        <v>36815.030652012691</v>
      </c>
      <c r="CV19" s="29">
        <f t="shared" si="3"/>
        <v>33468.209683647889</v>
      </c>
      <c r="CW19" s="29">
        <f t="shared" si="3"/>
        <v>30121.388715283112</v>
      </c>
      <c r="CX19" s="29">
        <f t="shared" si="3"/>
        <v>28447.978231100715</v>
      </c>
      <c r="CY19" s="29">
        <f t="shared" si="3"/>
        <v>26774.56774691831</v>
      </c>
      <c r="CZ19" s="29">
        <f t="shared" si="3"/>
        <v>26774.56774691831</v>
      </c>
      <c r="DA19" s="29">
        <f t="shared" si="3"/>
        <v>28447.978231100715</v>
      </c>
      <c r="DB19" s="29">
        <f t="shared" si="3"/>
        <v>31794.799199465495</v>
      </c>
      <c r="DC19" s="29">
        <f t="shared" si="3"/>
        <v>35141.620167830282</v>
      </c>
      <c r="DD19" s="29">
        <f t="shared" si="3"/>
        <v>38488.441136195084</v>
      </c>
      <c r="DE19" s="29">
        <f t="shared" si="3"/>
        <v>46855.493557107038</v>
      </c>
      <c r="DF19" s="29">
        <f t="shared" si="3"/>
        <v>41761.943816033621</v>
      </c>
      <c r="DG19" s="29">
        <f t="shared" si="3"/>
        <v>39946.207128380011</v>
      </c>
      <c r="DH19" s="29">
        <f t="shared" si="3"/>
        <v>36314.733753072731</v>
      </c>
      <c r="DI19" s="29">
        <f t="shared" si="3"/>
        <v>32683.260377765466</v>
      </c>
      <c r="DJ19" s="29">
        <f t="shared" si="3"/>
        <v>30867.523690111822</v>
      </c>
      <c r="DK19" s="29">
        <f t="shared" si="3"/>
        <v>29051.787002458193</v>
      </c>
      <c r="DL19" s="29">
        <f t="shared" si="3"/>
        <v>29051.787002458193</v>
      </c>
      <c r="DM19" s="29">
        <f t="shared" si="3"/>
        <v>30867.523690111822</v>
      </c>
      <c r="DN19" s="29">
        <f t="shared" si="3"/>
        <v>34498.997065419106</v>
      </c>
      <c r="DO19" s="29">
        <f t="shared" si="3"/>
        <v>38130.470440726363</v>
      </c>
      <c r="DP19" s="29">
        <f t="shared" si="3"/>
        <v>41761.943816033621</v>
      </c>
      <c r="DQ19" s="29">
        <f t="shared" si="3"/>
        <v>50840.627254301842</v>
      </c>
    </row>
    <row r="20" spans="1:121" ht="15" customHeight="1">
      <c r="A20" t="s">
        <v>449</v>
      </c>
      <c r="B20" s="13">
        <f t="shared" ref="B20:AG20" si="4">IF(B10&gt;0,B19/B10,0)</f>
        <v>0.75205616229014871</v>
      </c>
      <c r="C20" s="13">
        <f t="shared" si="4"/>
        <v>0.75205616229014849</v>
      </c>
      <c r="D20" s="13">
        <f t="shared" si="4"/>
        <v>0.75205616229014849</v>
      </c>
      <c r="E20" s="13">
        <f t="shared" si="4"/>
        <v>0.75205616229014849</v>
      </c>
      <c r="F20" s="13">
        <f t="shared" si="4"/>
        <v>0.75205616229014849</v>
      </c>
      <c r="G20" s="13">
        <f t="shared" si="4"/>
        <v>0.75205616229014849</v>
      </c>
      <c r="H20" s="13">
        <f t="shared" si="4"/>
        <v>0.75205616229014849</v>
      </c>
      <c r="I20" s="13">
        <f t="shared" si="4"/>
        <v>0.75205616229014849</v>
      </c>
      <c r="J20" s="13">
        <f t="shared" si="4"/>
        <v>0.7520561622901486</v>
      </c>
      <c r="K20" s="13">
        <f t="shared" si="4"/>
        <v>0.75205616229014849</v>
      </c>
      <c r="L20" s="13">
        <f t="shared" si="4"/>
        <v>0.75205616229014871</v>
      </c>
      <c r="M20" s="13">
        <f t="shared" si="4"/>
        <v>0.7520561622901486</v>
      </c>
      <c r="N20" s="13">
        <f t="shared" si="4"/>
        <v>0.75679772611814855</v>
      </c>
      <c r="O20" s="13">
        <f t="shared" si="4"/>
        <v>0.75679772611814855</v>
      </c>
      <c r="P20" s="13">
        <f t="shared" si="4"/>
        <v>0.75679772611814844</v>
      </c>
      <c r="Q20" s="13">
        <f t="shared" si="4"/>
        <v>0.75679772611814855</v>
      </c>
      <c r="R20" s="13">
        <f t="shared" si="4"/>
        <v>0.75679772611814844</v>
      </c>
      <c r="S20" s="13">
        <f t="shared" si="4"/>
        <v>0.75679772611814833</v>
      </c>
      <c r="T20" s="13">
        <f t="shared" si="4"/>
        <v>0.75679772611814833</v>
      </c>
      <c r="U20" s="13">
        <f t="shared" si="4"/>
        <v>0.75679772611814844</v>
      </c>
      <c r="V20" s="13">
        <f t="shared" si="4"/>
        <v>0.75679772611814844</v>
      </c>
      <c r="W20" s="13">
        <f t="shared" si="4"/>
        <v>0.75679772611814855</v>
      </c>
      <c r="X20" s="13">
        <f t="shared" si="4"/>
        <v>0.75679772611814855</v>
      </c>
      <c r="Y20" s="13">
        <f t="shared" si="4"/>
        <v>0.75679772611814844</v>
      </c>
      <c r="Z20" s="13">
        <f t="shared" si="4"/>
        <v>0.7612520729141955</v>
      </c>
      <c r="AA20" s="13">
        <f t="shared" si="4"/>
        <v>0.76125207291419539</v>
      </c>
      <c r="AB20" s="13">
        <f t="shared" si="4"/>
        <v>0.76125207291419561</v>
      </c>
      <c r="AC20" s="13">
        <f t="shared" si="4"/>
        <v>0.76125207291419539</v>
      </c>
      <c r="AD20" s="13">
        <f t="shared" si="4"/>
        <v>0.7612520729141955</v>
      </c>
      <c r="AE20" s="13">
        <f t="shared" si="4"/>
        <v>0.76125207291419539</v>
      </c>
      <c r="AF20" s="13">
        <f t="shared" si="4"/>
        <v>0.76125207291419539</v>
      </c>
      <c r="AG20" s="13">
        <f t="shared" si="4"/>
        <v>0.7612520729141955</v>
      </c>
      <c r="AH20" s="13">
        <f t="shared" ref="AH20:BM20" si="5">IF(AH10&gt;0,AH19/AH10,0)</f>
        <v>0.7612520729141955</v>
      </c>
      <c r="AI20" s="13">
        <f t="shared" si="5"/>
        <v>0.76125207291419539</v>
      </c>
      <c r="AJ20" s="13">
        <f t="shared" si="5"/>
        <v>0.7612520729141955</v>
      </c>
      <c r="AK20" s="13">
        <f t="shared" si="5"/>
        <v>0.7612520729141955</v>
      </c>
      <c r="AL20" s="13">
        <f t="shared" si="5"/>
        <v>0.76544329223042118</v>
      </c>
      <c r="AM20" s="13">
        <f t="shared" si="5"/>
        <v>0.76544329223042129</v>
      </c>
      <c r="AN20" s="13">
        <f t="shared" si="5"/>
        <v>0.7654432922304214</v>
      </c>
      <c r="AO20" s="13">
        <f t="shared" si="5"/>
        <v>0.76544329223042129</v>
      </c>
      <c r="AP20" s="13">
        <f t="shared" si="5"/>
        <v>0.76544329223042129</v>
      </c>
      <c r="AQ20" s="13">
        <f t="shared" si="5"/>
        <v>0.76544329223042129</v>
      </c>
      <c r="AR20" s="13">
        <f t="shared" si="5"/>
        <v>0.76544329223042129</v>
      </c>
      <c r="AS20" s="13">
        <f t="shared" si="5"/>
        <v>0.76544329223042129</v>
      </c>
      <c r="AT20" s="13">
        <f t="shared" si="5"/>
        <v>0.76544329223042118</v>
      </c>
      <c r="AU20" s="13">
        <f t="shared" si="5"/>
        <v>0.76544329223042118</v>
      </c>
      <c r="AV20" s="13">
        <f t="shared" si="5"/>
        <v>0.76544329223042118</v>
      </c>
      <c r="AW20" s="13">
        <f t="shared" si="5"/>
        <v>0.76544329223042118</v>
      </c>
      <c r="AX20" s="13">
        <f t="shared" si="5"/>
        <v>0.76939286081881297</v>
      </c>
      <c r="AY20" s="13">
        <f t="shared" si="5"/>
        <v>0.76939286081881297</v>
      </c>
      <c r="AZ20" s="13">
        <f t="shared" si="5"/>
        <v>0.76939286081881286</v>
      </c>
      <c r="BA20" s="13">
        <f t="shared" si="5"/>
        <v>0.76939286081881297</v>
      </c>
      <c r="BB20" s="13">
        <f t="shared" si="5"/>
        <v>0.76939286081881297</v>
      </c>
      <c r="BC20" s="13">
        <f t="shared" si="5"/>
        <v>0.76939286081881297</v>
      </c>
      <c r="BD20" s="13">
        <f t="shared" si="5"/>
        <v>0.76939286081881297</v>
      </c>
      <c r="BE20" s="13">
        <f t="shared" si="5"/>
        <v>0.76939286081881297</v>
      </c>
      <c r="BF20" s="13">
        <f t="shared" si="5"/>
        <v>0.76939286081881297</v>
      </c>
      <c r="BG20" s="13">
        <f t="shared" si="5"/>
        <v>0.76939286081881286</v>
      </c>
      <c r="BH20" s="13">
        <f t="shared" si="5"/>
        <v>0.76939286081881297</v>
      </c>
      <c r="BI20" s="13">
        <f t="shared" si="5"/>
        <v>0.76939286081881297</v>
      </c>
      <c r="BJ20" s="13">
        <f t="shared" si="5"/>
        <v>0.77311998767526691</v>
      </c>
      <c r="BK20" s="13">
        <f t="shared" si="5"/>
        <v>0.77311998767526713</v>
      </c>
      <c r="BL20" s="13">
        <f t="shared" si="5"/>
        <v>0.77311998767526702</v>
      </c>
      <c r="BM20" s="13">
        <f t="shared" si="5"/>
        <v>0.77311998767526691</v>
      </c>
      <c r="BN20" s="13">
        <f t="shared" ref="BN20:CS20" si="6">IF(BN10&gt;0,BN19/BN10,0)</f>
        <v>0.77311998767526702</v>
      </c>
      <c r="BO20" s="13">
        <f t="shared" si="6"/>
        <v>0.77311998767526702</v>
      </c>
      <c r="BP20" s="13">
        <f t="shared" si="6"/>
        <v>0.77311998767526702</v>
      </c>
      <c r="BQ20" s="13">
        <f t="shared" si="6"/>
        <v>0.77311998767526702</v>
      </c>
      <c r="BR20" s="13">
        <f t="shared" si="6"/>
        <v>0.77311998767526691</v>
      </c>
      <c r="BS20" s="13">
        <f t="shared" si="6"/>
        <v>0.77311998767526702</v>
      </c>
      <c r="BT20" s="13">
        <f t="shared" si="6"/>
        <v>0.77311998767526691</v>
      </c>
      <c r="BU20" s="13">
        <f t="shared" si="6"/>
        <v>0.77311998767526691</v>
      </c>
      <c r="BV20" s="13">
        <f t="shared" si="6"/>
        <v>0.776641905807267</v>
      </c>
      <c r="BW20" s="13">
        <f t="shared" si="6"/>
        <v>0.77664190580726689</v>
      </c>
      <c r="BX20" s="13">
        <f t="shared" si="6"/>
        <v>0.776641905807267</v>
      </c>
      <c r="BY20" s="13">
        <f t="shared" si="6"/>
        <v>0.77664190580726689</v>
      </c>
      <c r="BZ20" s="13">
        <f t="shared" si="6"/>
        <v>0.776641905807267</v>
      </c>
      <c r="CA20" s="13">
        <f t="shared" si="6"/>
        <v>0.77664190580726689</v>
      </c>
      <c r="CB20" s="13">
        <f t="shared" si="6"/>
        <v>0.77664190580726689</v>
      </c>
      <c r="CC20" s="13">
        <f t="shared" si="6"/>
        <v>0.776641905807267</v>
      </c>
      <c r="CD20" s="13">
        <f t="shared" si="6"/>
        <v>0.77664190580726689</v>
      </c>
      <c r="CE20" s="13">
        <f t="shared" si="6"/>
        <v>0.776641905807267</v>
      </c>
      <c r="CF20" s="13">
        <f t="shared" si="6"/>
        <v>0.776641905807267</v>
      </c>
      <c r="CG20" s="13">
        <f t="shared" si="6"/>
        <v>0.776641905807267</v>
      </c>
      <c r="CH20" s="13">
        <f t="shared" si="6"/>
        <v>0.77997412008148903</v>
      </c>
      <c r="CI20" s="13">
        <f t="shared" si="6"/>
        <v>0.77997412008148903</v>
      </c>
      <c r="CJ20" s="13">
        <f t="shared" si="6"/>
        <v>0.77997412008148892</v>
      </c>
      <c r="CK20" s="13">
        <f t="shared" si="6"/>
        <v>0.77997412008148892</v>
      </c>
      <c r="CL20" s="13">
        <f t="shared" si="6"/>
        <v>0.77997412008148903</v>
      </c>
      <c r="CM20" s="13">
        <f t="shared" si="6"/>
        <v>0.77997412008148892</v>
      </c>
      <c r="CN20" s="13">
        <f t="shared" si="6"/>
        <v>0.77997412008148892</v>
      </c>
      <c r="CO20" s="13">
        <f t="shared" si="6"/>
        <v>0.77997412008148903</v>
      </c>
      <c r="CP20" s="13">
        <f t="shared" si="6"/>
        <v>0.77997412008148903</v>
      </c>
      <c r="CQ20" s="13">
        <f t="shared" si="6"/>
        <v>0.77997412008148892</v>
      </c>
      <c r="CR20" s="13">
        <f t="shared" si="6"/>
        <v>0.77997412008148903</v>
      </c>
      <c r="CS20" s="13">
        <f t="shared" si="6"/>
        <v>0.77997412008148903</v>
      </c>
      <c r="CT20" s="13">
        <f t="shared" ref="CT20:DY20" si="7">IF(CT10&gt;0,CT19/CT10,0)</f>
        <v>0.78313061867573186</v>
      </c>
      <c r="CU20" s="13">
        <f t="shared" si="7"/>
        <v>0.78313061867573186</v>
      </c>
      <c r="CV20" s="13">
        <f t="shared" si="7"/>
        <v>0.78313061867573175</v>
      </c>
      <c r="CW20" s="13">
        <f t="shared" si="7"/>
        <v>0.78313061867573186</v>
      </c>
      <c r="CX20" s="13">
        <f t="shared" si="7"/>
        <v>0.78313061867573186</v>
      </c>
      <c r="CY20" s="13">
        <f t="shared" si="7"/>
        <v>0.78313061867573175</v>
      </c>
      <c r="CZ20" s="13">
        <f t="shared" si="7"/>
        <v>0.78313061867573175</v>
      </c>
      <c r="DA20" s="13">
        <f t="shared" si="7"/>
        <v>0.78313061867573186</v>
      </c>
      <c r="DB20" s="13">
        <f t="shared" si="7"/>
        <v>0.78313061867573175</v>
      </c>
      <c r="DC20" s="13">
        <f t="shared" si="7"/>
        <v>0.78313061867573186</v>
      </c>
      <c r="DD20" s="13">
        <f t="shared" si="7"/>
        <v>0.78313061867573186</v>
      </c>
      <c r="DE20" s="13">
        <f t="shared" si="7"/>
        <v>0.78313061867573175</v>
      </c>
      <c r="DF20" s="13">
        <f t="shared" si="7"/>
        <v>0.78612405422152953</v>
      </c>
      <c r="DG20" s="13">
        <f t="shared" si="7"/>
        <v>0.78612405422152964</v>
      </c>
      <c r="DH20" s="13">
        <f t="shared" si="7"/>
        <v>0.78612405422152964</v>
      </c>
      <c r="DI20" s="13">
        <f t="shared" si="7"/>
        <v>0.78612405422152964</v>
      </c>
      <c r="DJ20" s="13">
        <f t="shared" si="7"/>
        <v>0.78612405422152964</v>
      </c>
      <c r="DK20" s="13">
        <f t="shared" si="7"/>
        <v>0.78612405422152964</v>
      </c>
      <c r="DL20" s="13">
        <f t="shared" si="7"/>
        <v>0.78612405422152964</v>
      </c>
      <c r="DM20" s="13">
        <f t="shared" si="7"/>
        <v>0.78612405422152964</v>
      </c>
      <c r="DN20" s="13">
        <f t="shared" si="7"/>
        <v>0.78612405422152964</v>
      </c>
      <c r="DO20" s="13">
        <f t="shared" si="7"/>
        <v>0.78612405422152953</v>
      </c>
      <c r="DP20" s="13">
        <f t="shared" si="7"/>
        <v>0.78612405422152953</v>
      </c>
      <c r="DQ20" s="13">
        <f t="shared" si="7"/>
        <v>0.78612405422152964</v>
      </c>
    </row>
    <row r="22" spans="1:121" ht="15" customHeight="1">
      <c r="A22" s="5" t="s">
        <v>516</v>
      </c>
    </row>
    <row r="23" spans="1:121" ht="15" customHeight="1">
      <c r="A23" t="s">
        <v>517</v>
      </c>
      <c r="B23" s="22">
        <f>-Calc_Opex!B11</f>
        <v>-3200.8333333333335</v>
      </c>
      <c r="C23" s="22">
        <f>-Calc_Opex!C11</f>
        <v>-3061.6666666666674</v>
      </c>
      <c r="D23" s="22">
        <f>-Calc_Opex!D11</f>
        <v>-2783.3333333333339</v>
      </c>
      <c r="E23" s="22">
        <f>-Calc_Opex!E11</f>
        <v>-2505</v>
      </c>
      <c r="F23" s="22">
        <f>-Calc_Opex!F11</f>
        <v>-2365.8333333333339</v>
      </c>
      <c r="G23" s="22">
        <f>-Calc_Opex!G11</f>
        <v>-2226.6666666666665</v>
      </c>
      <c r="H23" s="22">
        <f>-Calc_Opex!H11</f>
        <v>-2226.6666666666665</v>
      </c>
      <c r="I23" s="22">
        <f>-Calc_Opex!I11</f>
        <v>-2365.8333333333339</v>
      </c>
      <c r="J23" s="22">
        <f>-Calc_Opex!J11</f>
        <v>-2644.1666666666665</v>
      </c>
      <c r="K23" s="22">
        <f>-Calc_Opex!K11</f>
        <v>-2922.5</v>
      </c>
      <c r="L23" s="22">
        <f>-Calc_Opex!L11</f>
        <v>-3200.8333333333335</v>
      </c>
      <c r="M23" s="22">
        <f>-Calc_Opex!M11</f>
        <v>-3896.6666666666665</v>
      </c>
      <c r="N23" s="22">
        <f>-Calc_Opex!N11</f>
        <v>-3543.3224999999998</v>
      </c>
      <c r="O23" s="22">
        <f>-Calc_Opex!O11</f>
        <v>-3389.2650000000008</v>
      </c>
      <c r="P23" s="22">
        <f>-Calc_Opex!P11</f>
        <v>-3081.1500000000005</v>
      </c>
      <c r="Q23" s="22">
        <f>-Calc_Opex!Q11</f>
        <v>-2773.0349999999999</v>
      </c>
      <c r="R23" s="22">
        <f>-Calc_Opex!R11</f>
        <v>-2618.9775</v>
      </c>
      <c r="S23" s="22">
        <f>-Calc_Opex!S11</f>
        <v>-2464.9200000000005</v>
      </c>
      <c r="T23" s="22">
        <f>-Calc_Opex!T11</f>
        <v>-2464.9200000000005</v>
      </c>
      <c r="U23" s="22">
        <f>-Calc_Opex!U11</f>
        <v>-2618.9775</v>
      </c>
      <c r="V23" s="22">
        <f>-Calc_Opex!V11</f>
        <v>-2927.0925000000002</v>
      </c>
      <c r="W23" s="22">
        <f>-Calc_Opex!W11</f>
        <v>-3235.2075</v>
      </c>
      <c r="X23" s="22">
        <f>-Calc_Opex!X11</f>
        <v>-3543.3224999999998</v>
      </c>
      <c r="Y23" s="22">
        <f>-Calc_Opex!Y11</f>
        <v>-4313.6099999999997</v>
      </c>
      <c r="Z23" s="22">
        <f>-Calc_Opex!Z11</f>
        <v>-3922.4580075000003</v>
      </c>
      <c r="AA23" s="22">
        <f>-Calc_Opex!AA11</f>
        <v>-3751.9163550000012</v>
      </c>
      <c r="AB23" s="22">
        <f>-Calc_Opex!AB11</f>
        <v>-3410.8330499999997</v>
      </c>
      <c r="AC23" s="22">
        <f>-Calc_Opex!AC11</f>
        <v>-3069.7497450000001</v>
      </c>
      <c r="AD23" s="22">
        <f>-Calc_Opex!AD11</f>
        <v>-2899.2080925000005</v>
      </c>
      <c r="AE23" s="22">
        <f>-Calc_Opex!AE11</f>
        <v>-2728.6664400000009</v>
      </c>
      <c r="AF23" s="22">
        <f>-Calc_Opex!AF11</f>
        <v>-2728.6664400000009</v>
      </c>
      <c r="AG23" s="22">
        <f>-Calc_Opex!AG11</f>
        <v>-2899.2080925000005</v>
      </c>
      <c r="AH23" s="22">
        <f>-Calc_Opex!AH11</f>
        <v>-3240.2913974999997</v>
      </c>
      <c r="AI23" s="22">
        <f>-Calc_Opex!AI11</f>
        <v>-3581.3747025000007</v>
      </c>
      <c r="AJ23" s="22">
        <f>-Calc_Opex!AJ11</f>
        <v>-3922.4580075000003</v>
      </c>
      <c r="AK23" s="22">
        <f>-Calc_Opex!AK11</f>
        <v>-4775.1662699999997</v>
      </c>
      <c r="AL23" s="22">
        <f>-Calc_Opex!AL11</f>
        <v>-4261.7506251487494</v>
      </c>
      <c r="AM23" s="22">
        <f>-Calc_Opex!AM11</f>
        <v>-4076.4571197075011</v>
      </c>
      <c r="AN23" s="22">
        <f>-Calc_Opex!AN11</f>
        <v>-3705.870108825</v>
      </c>
      <c r="AO23" s="22">
        <f>-Calc_Opex!AO11</f>
        <v>-3335.2830979425007</v>
      </c>
      <c r="AP23" s="22">
        <f>-Calc_Opex!AP11</f>
        <v>-3149.9895925012502</v>
      </c>
      <c r="AQ23" s="22">
        <f>-Calc_Opex!AQ11</f>
        <v>-2964.6960870600005</v>
      </c>
      <c r="AR23" s="22">
        <f>-Calc_Opex!AR11</f>
        <v>-2964.6960870600005</v>
      </c>
      <c r="AS23" s="22">
        <f>-Calc_Opex!AS11</f>
        <v>-3149.9895925012502</v>
      </c>
      <c r="AT23" s="22">
        <f>-Calc_Opex!AT11</f>
        <v>-3520.5766033837504</v>
      </c>
      <c r="AU23" s="22">
        <f>-Calc_Opex!AU11</f>
        <v>-3891.1636142662501</v>
      </c>
      <c r="AV23" s="22">
        <f>-Calc_Opex!AV11</f>
        <v>-4261.7506251487494</v>
      </c>
      <c r="AW23" s="22">
        <f>-Calc_Opex!AW11</f>
        <v>-5188.2181523549998</v>
      </c>
      <c r="AX23" s="22">
        <f>-Calc_Opex!AX11</f>
        <v>-4630.3920542241167</v>
      </c>
      <c r="AY23" s="22">
        <f>-Calc_Opex!AY11</f>
        <v>-4429.0706605621999</v>
      </c>
      <c r="AZ23" s="22">
        <f>-Calc_Opex!AZ11</f>
        <v>-4026.4278732383623</v>
      </c>
      <c r="BA23" s="22">
        <f>-Calc_Opex!BA11</f>
        <v>-3623.785085914526</v>
      </c>
      <c r="BB23" s="22">
        <f>-Calc_Opex!BB11</f>
        <v>-3422.4636922526088</v>
      </c>
      <c r="BC23" s="22">
        <f>-Calc_Opex!BC11</f>
        <v>-3221.1422985906902</v>
      </c>
      <c r="BD23" s="22">
        <f>-Calc_Opex!BD11</f>
        <v>-3221.1422985906902</v>
      </c>
      <c r="BE23" s="22">
        <f>-Calc_Opex!BE11</f>
        <v>-3422.4636922526088</v>
      </c>
      <c r="BF23" s="22">
        <f>-Calc_Opex!BF11</f>
        <v>-3825.1064795764441</v>
      </c>
      <c r="BG23" s="22">
        <f>-Calc_Opex!BG11</f>
        <v>-4227.7492669002813</v>
      </c>
      <c r="BH23" s="22">
        <f>-Calc_Opex!BH11</f>
        <v>-4630.3920542241167</v>
      </c>
      <c r="BI23" s="22">
        <f>-Calc_Opex!BI11</f>
        <v>-5636.9990225337078</v>
      </c>
      <c r="BJ23" s="22">
        <f>-Calc_Opex!BJ11</f>
        <v>-4935.9979298029084</v>
      </c>
      <c r="BK23" s="22">
        <f>-Calc_Opex!BK11</f>
        <v>-4721.3893241593041</v>
      </c>
      <c r="BL23" s="22">
        <f>-Calc_Opex!BL11</f>
        <v>-4292.1721128720937</v>
      </c>
      <c r="BM23" s="22">
        <f>-Calc_Opex!BM11</f>
        <v>-3862.9549015848852</v>
      </c>
      <c r="BN23" s="22">
        <f>-Calc_Opex!BN11</f>
        <v>-3648.34629594128</v>
      </c>
      <c r="BO23" s="22">
        <f>-Calc_Opex!BO11</f>
        <v>-3433.7376902976753</v>
      </c>
      <c r="BP23" s="22">
        <f>-Calc_Opex!BP11</f>
        <v>-3433.7376902976753</v>
      </c>
      <c r="BQ23" s="22">
        <f>-Calc_Opex!BQ11</f>
        <v>-3648.34629594128</v>
      </c>
      <c r="BR23" s="22">
        <f>-Calc_Opex!BR11</f>
        <v>-4077.5635072284886</v>
      </c>
      <c r="BS23" s="22">
        <f>-Calc_Opex!BS11</f>
        <v>-4506.780718515698</v>
      </c>
      <c r="BT23" s="22">
        <f>-Calc_Opex!BT11</f>
        <v>-4935.9979298029084</v>
      </c>
      <c r="BU23" s="22">
        <f>-Calc_Opex!BU11</f>
        <v>-6009.0409580209307</v>
      </c>
      <c r="BV23" s="22">
        <f>-Calc_Opex!BV11</f>
        <v>-5261.7737931698994</v>
      </c>
      <c r="BW23" s="22">
        <f>-Calc_Opex!BW11</f>
        <v>-5033.001019553818</v>
      </c>
      <c r="BX23" s="22">
        <f>-Calc_Opex!BX11</f>
        <v>-4575.4554723216515</v>
      </c>
      <c r="BY23" s="22">
        <f>-Calc_Opex!BY11</f>
        <v>-4117.9099250894869</v>
      </c>
      <c r="BZ23" s="22">
        <f>-Calc_Opex!BZ11</f>
        <v>-3889.1371514734037</v>
      </c>
      <c r="CA23" s="22">
        <f>-Calc_Opex!CA11</f>
        <v>-3660.3643778573219</v>
      </c>
      <c r="CB23" s="22">
        <f>-Calc_Opex!CB11</f>
        <v>-3660.3643778573219</v>
      </c>
      <c r="CC23" s="22">
        <f>-Calc_Opex!CC11</f>
        <v>-3889.1371514734037</v>
      </c>
      <c r="CD23" s="22">
        <f>-Calc_Opex!CD11</f>
        <v>-4346.6826987055692</v>
      </c>
      <c r="CE23" s="22">
        <f>-Calc_Opex!CE11</f>
        <v>-4804.2282459377338</v>
      </c>
      <c r="CF23" s="22">
        <f>-Calc_Opex!CF11</f>
        <v>-5261.7737931698994</v>
      </c>
      <c r="CG23" s="22">
        <f>-Calc_Opex!CG11</f>
        <v>-6405.6376612503136</v>
      </c>
      <c r="CH23" s="22">
        <f>-Calc_Opex!CH11</f>
        <v>-5609.0508635191109</v>
      </c>
      <c r="CI23" s="22">
        <f>-Calc_Opex!CI11</f>
        <v>-5365.1790868443686</v>
      </c>
      <c r="CJ23" s="22">
        <f>-Calc_Opex!CJ11</f>
        <v>-4877.4355334948796</v>
      </c>
      <c r="CK23" s="22">
        <f>-Calc_Opex!CK11</f>
        <v>-4389.6919801453923</v>
      </c>
      <c r="CL23" s="22">
        <f>-Calc_Opex!CL11</f>
        <v>-4145.8202034706483</v>
      </c>
      <c r="CM23" s="22">
        <f>-Calc_Opex!CM11</f>
        <v>-3901.9484267959042</v>
      </c>
      <c r="CN23" s="22">
        <f>-Calc_Opex!CN11</f>
        <v>-3901.9484267959042</v>
      </c>
      <c r="CO23" s="22">
        <f>-Calc_Opex!CO11</f>
        <v>-4145.8202034706483</v>
      </c>
      <c r="CP23" s="22">
        <f>-Calc_Opex!CP11</f>
        <v>-4633.5637568201355</v>
      </c>
      <c r="CQ23" s="22">
        <f>-Calc_Opex!CQ11</f>
        <v>-5121.3073101696236</v>
      </c>
      <c r="CR23" s="22">
        <f>-Calc_Opex!CR11</f>
        <v>-5609.0508635191109</v>
      </c>
      <c r="CS23" s="22">
        <f>-Calc_Opex!CS11</f>
        <v>-6828.4097468928294</v>
      </c>
      <c r="CT23" s="22">
        <f>-Calc_Opex!CT11</f>
        <v>-5979.248220511372</v>
      </c>
      <c r="CU23" s="22">
        <f>-Calc_Opex!CU11</f>
        <v>-5719.2809065760966</v>
      </c>
      <c r="CV23" s="22">
        <f>-Calc_Opex!CV11</f>
        <v>-5199.3462787055414</v>
      </c>
      <c r="CW23" s="22">
        <f>-Calc_Opex!CW11</f>
        <v>-4679.411650834988</v>
      </c>
      <c r="CX23" s="22">
        <f>-Calc_Opex!CX11</f>
        <v>-4419.4443368997099</v>
      </c>
      <c r="CY23" s="22">
        <f>-Calc_Opex!CY11</f>
        <v>-4159.4770229644337</v>
      </c>
      <c r="CZ23" s="22">
        <f>-Calc_Opex!CZ11</f>
        <v>-4159.4770229644337</v>
      </c>
      <c r="DA23" s="22">
        <f>-Calc_Opex!DA11</f>
        <v>-4419.4443368997099</v>
      </c>
      <c r="DB23" s="22">
        <f>-Calc_Opex!DB11</f>
        <v>-4939.3789647702642</v>
      </c>
      <c r="DC23" s="22">
        <f>-Calc_Opex!DC11</f>
        <v>-5459.3135926408186</v>
      </c>
      <c r="DD23" s="22">
        <f>-Calc_Opex!DD11</f>
        <v>-5979.248220511372</v>
      </c>
      <c r="DE23" s="22">
        <f>-Calc_Opex!DE11</f>
        <v>-7279.0847901877578</v>
      </c>
      <c r="DF23" s="22">
        <f>-Calc_Opex!DF11</f>
        <v>-6373.8786030651236</v>
      </c>
      <c r="DG23" s="22">
        <f>-Calc_Opex!DG11</f>
        <v>-6096.7534464101182</v>
      </c>
      <c r="DH23" s="22">
        <f>-Calc_Opex!DH11</f>
        <v>-5542.5031331001064</v>
      </c>
      <c r="DI23" s="22">
        <f>-Calc_Opex!DI11</f>
        <v>-4988.2528197900965</v>
      </c>
      <c r="DJ23" s="22">
        <f>-Calc_Opex!DJ11</f>
        <v>-4711.1276631350902</v>
      </c>
      <c r="DK23" s="22">
        <f>-Calc_Opex!DK11</f>
        <v>-4434.0025064800857</v>
      </c>
      <c r="DL23" s="22">
        <f>-Calc_Opex!DL11</f>
        <v>-4434.0025064800857</v>
      </c>
      <c r="DM23" s="22">
        <f>-Calc_Opex!DM11</f>
        <v>-4711.1276631350902</v>
      </c>
      <c r="DN23" s="22">
        <f>-Calc_Opex!DN11</f>
        <v>-5265.3779764451019</v>
      </c>
      <c r="DO23" s="22">
        <f>-Calc_Opex!DO11</f>
        <v>-5819.6282897551118</v>
      </c>
      <c r="DP23" s="22">
        <f>-Calc_Opex!DP11</f>
        <v>-6373.8786030651236</v>
      </c>
      <c r="DQ23" s="22">
        <f>-Calc_Opex!DQ11</f>
        <v>-7759.5043863401488</v>
      </c>
    </row>
    <row r="24" spans="1:121" ht="15" customHeight="1">
      <c r="A24" t="s">
        <v>518</v>
      </c>
      <c r="B24" s="22">
        <f>-(Calc_Opex!B14+Calc_Opex!B15+Calc_Opex!B16)</f>
        <v>-6123.4950833333332</v>
      </c>
      <c r="C24" s="22">
        <f>-(Calc_Opex!C14+Calc_Opex!C15+Calc_Opex!C16)</f>
        <v>-5857.256166666667</v>
      </c>
      <c r="D24" s="22">
        <f>-(Calc_Opex!D14+Calc_Opex!D15+Calc_Opex!D16)</f>
        <v>-5324.7783333333336</v>
      </c>
      <c r="E24" s="22">
        <f>-(Calc_Opex!E14+Calc_Opex!E15+Calc_Opex!E16)</f>
        <v>-4792.3004999999994</v>
      </c>
      <c r="F24" s="22">
        <f>-(Calc_Opex!F14+Calc_Opex!F15+Calc_Opex!F16)</f>
        <v>-4526.0615833333341</v>
      </c>
      <c r="G24" s="22">
        <f>-(Calc_Opex!G14+Calc_Opex!G15+Calc_Opex!G16)</f>
        <v>-4259.8226666666678</v>
      </c>
      <c r="H24" s="22">
        <f>-(Calc_Opex!H14+Calc_Opex!H15+Calc_Opex!H16)</f>
        <v>-4259.8226666666678</v>
      </c>
      <c r="I24" s="22">
        <f>-(Calc_Opex!I14+Calc_Opex!I15+Calc_Opex!I16)</f>
        <v>-4526.0615833333341</v>
      </c>
      <c r="J24" s="22">
        <f>-(Calc_Opex!J14+Calc_Opex!J15+Calc_Opex!J16)</f>
        <v>-5058.5394166666665</v>
      </c>
      <c r="K24" s="22">
        <f>-(Calc_Opex!K14+Calc_Opex!K15+Calc_Opex!K16)</f>
        <v>-5591.0172500000008</v>
      </c>
      <c r="L24" s="22">
        <f>-(Calc_Opex!L14+Calc_Opex!L15+Calc_Opex!L16)</f>
        <v>-6123.4950833333332</v>
      </c>
      <c r="M24" s="22">
        <f>-(Calc_Opex!M14+Calc_Opex!M15+Calc_Opex!M16)</f>
        <v>-7454.6896666666662</v>
      </c>
      <c r="N24" s="22">
        <f>-(Calc_Opex!N14+Calc_Opex!N15+Calc_Opex!N16)</f>
        <v>-6778.7090572500001</v>
      </c>
      <c r="O24" s="22">
        <f>-(Calc_Opex!O14+Calc_Opex!O15+Calc_Opex!O16)</f>
        <v>-6483.9825765000005</v>
      </c>
      <c r="P24" s="22">
        <f>-(Calc_Opex!P14+Calc_Opex!P15+Calc_Opex!P16)</f>
        <v>-5894.5296149999995</v>
      </c>
      <c r="Q24" s="22">
        <f>-(Calc_Opex!Q14+Calc_Opex!Q15+Calc_Opex!Q16)</f>
        <v>-5305.0766535000002</v>
      </c>
      <c r="R24" s="22">
        <f>-(Calc_Opex!R14+Calc_Opex!R15+Calc_Opex!R16)</f>
        <v>-5010.3501727500006</v>
      </c>
      <c r="S24" s="22">
        <f>-(Calc_Opex!S14+Calc_Opex!S15+Calc_Opex!S16)</f>
        <v>-4715.623692000001</v>
      </c>
      <c r="T24" s="22">
        <f>-(Calc_Opex!T14+Calc_Opex!T15+Calc_Opex!T16)</f>
        <v>-4715.623692000001</v>
      </c>
      <c r="U24" s="22">
        <f>-(Calc_Opex!U14+Calc_Opex!U15+Calc_Opex!U16)</f>
        <v>-5010.3501727500006</v>
      </c>
      <c r="V24" s="22">
        <f>-(Calc_Opex!V14+Calc_Opex!V15+Calc_Opex!V16)</f>
        <v>-5599.8031342499999</v>
      </c>
      <c r="W24" s="22">
        <f>-(Calc_Opex!W14+Calc_Opex!W15+Calc_Opex!W16)</f>
        <v>-6189.25609575</v>
      </c>
      <c r="X24" s="22">
        <f>-(Calc_Opex!X14+Calc_Opex!X15+Calc_Opex!X16)</f>
        <v>-6778.7090572500001</v>
      </c>
      <c r="Y24" s="22">
        <f>-(Calc_Opex!Y14+Calc_Opex!Y15+Calc_Opex!Y16)</f>
        <v>-8252.3414609999982</v>
      </c>
      <c r="Z24" s="22">
        <f>-(Calc_Opex!Z14+Calc_Opex!Z15+Calc_Opex!Z16)</f>
        <v>-7504.030926375749</v>
      </c>
      <c r="AA24" s="22">
        <f>-(Calc_Opex!AA14+Calc_Opex!AA15+Calc_Opex!AA16)</f>
        <v>-7177.7687121855024</v>
      </c>
      <c r="AB24" s="22">
        <f>-(Calc_Opex!AB14+Calc_Opex!AB15+Calc_Opex!AB16)</f>
        <v>-6525.2442838049992</v>
      </c>
      <c r="AC24" s="22">
        <f>-(Calc_Opex!AC14+Calc_Opex!AC15+Calc_Opex!AC16)</f>
        <v>-5872.7198554244997</v>
      </c>
      <c r="AD24" s="22">
        <f>-(Calc_Opex!AD14+Calc_Opex!AD15+Calc_Opex!AD16)</f>
        <v>-5546.4576412342522</v>
      </c>
      <c r="AE24" s="22">
        <f>-(Calc_Opex!AE14+Calc_Opex!AE15+Calc_Opex!AE16)</f>
        <v>-5220.1954270440001</v>
      </c>
      <c r="AF24" s="22">
        <f>-(Calc_Opex!AF14+Calc_Opex!AF15+Calc_Opex!AF16)</f>
        <v>-5220.1954270440001</v>
      </c>
      <c r="AG24" s="22">
        <f>-(Calc_Opex!AG14+Calc_Opex!AG15+Calc_Opex!AG16)</f>
        <v>-5546.4576412342522</v>
      </c>
      <c r="AH24" s="22">
        <f>-(Calc_Opex!AH14+Calc_Opex!AH15+Calc_Opex!AH16)</f>
        <v>-6198.9820696147499</v>
      </c>
      <c r="AI24" s="22">
        <f>-(Calc_Opex!AI14+Calc_Opex!AI15+Calc_Opex!AI16)</f>
        <v>-6851.5064979952494</v>
      </c>
      <c r="AJ24" s="22">
        <f>-(Calc_Opex!AJ14+Calc_Opex!AJ15+Calc_Opex!AJ16)</f>
        <v>-7504.030926375749</v>
      </c>
      <c r="AK24" s="22">
        <f>-(Calc_Opex!AK14+Calc_Opex!AK15+Calc_Opex!AK16)</f>
        <v>-9135.3419973269993</v>
      </c>
      <c r="AL24" s="22">
        <f>-(Calc_Opex!AL14+Calc_Opex!AL15+Calc_Opex!AL16)</f>
        <v>-8153.1296015072512</v>
      </c>
      <c r="AM24" s="22">
        <f>-(Calc_Opex!AM14+Calc_Opex!AM15+Calc_Opex!AM16)</f>
        <v>-7798.6457057895486</v>
      </c>
      <c r="AN24" s="22">
        <f>-(Calc_Opex!AN14+Calc_Opex!AN15+Calc_Opex!AN16)</f>
        <v>-7089.6779143541335</v>
      </c>
      <c r="AO24" s="22">
        <f>-(Calc_Opex!AO14+Calc_Opex!AO15+Calc_Opex!AO16)</f>
        <v>-6380.7101229187192</v>
      </c>
      <c r="AP24" s="22">
        <f>-(Calc_Opex!AP14+Calc_Opex!AP15+Calc_Opex!AP16)</f>
        <v>-6026.226227201013</v>
      </c>
      <c r="AQ24" s="22">
        <f>-(Calc_Opex!AQ14+Calc_Opex!AQ15+Calc_Opex!AQ16)</f>
        <v>-5671.7423314833059</v>
      </c>
      <c r="AR24" s="22">
        <f>-(Calc_Opex!AR14+Calc_Opex!AR15+Calc_Opex!AR16)</f>
        <v>-5671.7423314833059</v>
      </c>
      <c r="AS24" s="22">
        <f>-(Calc_Opex!AS14+Calc_Opex!AS15+Calc_Opex!AS16)</f>
        <v>-6026.226227201013</v>
      </c>
      <c r="AT24" s="22">
        <f>-(Calc_Opex!AT14+Calc_Opex!AT15+Calc_Opex!AT16)</f>
        <v>-6735.1940186364245</v>
      </c>
      <c r="AU24" s="22">
        <f>-(Calc_Opex!AU14+Calc_Opex!AU15+Calc_Opex!AU16)</f>
        <v>-7444.1618100718397</v>
      </c>
      <c r="AV24" s="22">
        <f>-(Calc_Opex!AV14+Calc_Opex!AV15+Calc_Opex!AV16)</f>
        <v>-8153.1296015072512</v>
      </c>
      <c r="AW24" s="22">
        <f>-(Calc_Opex!AW14+Calc_Opex!AW15+Calc_Opex!AW16)</f>
        <v>-9925.549080095785</v>
      </c>
      <c r="AX24" s="22">
        <f>-(Calc_Opex!AX14+Calc_Opex!AX15+Calc_Opex!AX16)</f>
        <v>-8858.3753120376277</v>
      </c>
      <c r="AY24" s="22">
        <f>-(Calc_Opex!AY14+Calc_Opex!AY15+Calc_Opex!AY16)</f>
        <v>-8473.2285593403431</v>
      </c>
      <c r="AZ24" s="22">
        <f>-(Calc_Opex!AZ14+Calc_Opex!AZ15+Calc_Opex!AZ16)</f>
        <v>-7702.9350539457646</v>
      </c>
      <c r="BA24" s="22">
        <f>-(Calc_Opex!BA14+Calc_Opex!BA15+Calc_Opex!BA16)</f>
        <v>-6932.641548551187</v>
      </c>
      <c r="BB24" s="22">
        <f>-(Calc_Opex!BB14+Calc_Opex!BB15+Calc_Opex!BB16)</f>
        <v>-6547.4947958539005</v>
      </c>
      <c r="BC24" s="22">
        <f>-(Calc_Opex!BC14+Calc_Opex!BC15+Calc_Opex!BC16)</f>
        <v>-6162.3480431566131</v>
      </c>
      <c r="BD24" s="22">
        <f>-(Calc_Opex!BD14+Calc_Opex!BD15+Calc_Opex!BD16)</f>
        <v>-6162.3480431566131</v>
      </c>
      <c r="BE24" s="22">
        <f>-(Calc_Opex!BE14+Calc_Opex!BE15+Calc_Opex!BE16)</f>
        <v>-6547.4947958539005</v>
      </c>
      <c r="BF24" s="22">
        <f>-(Calc_Opex!BF14+Calc_Opex!BF15+Calc_Opex!BF16)</f>
        <v>-7317.7883012484772</v>
      </c>
      <c r="BG24" s="22">
        <f>-(Calc_Opex!BG14+Calc_Opex!BG15+Calc_Opex!BG16)</f>
        <v>-8088.0818066430538</v>
      </c>
      <c r="BH24" s="22">
        <f>-(Calc_Opex!BH14+Calc_Opex!BH15+Calc_Opex!BH16)</f>
        <v>-8858.3753120376277</v>
      </c>
      <c r="BI24" s="22">
        <f>-(Calc_Opex!BI14+Calc_Opex!BI15+Calc_Opex!BI16)</f>
        <v>-10784.109075524071</v>
      </c>
      <c r="BJ24" s="22">
        <f>-(Calc_Opex!BJ14+Calc_Opex!BJ15+Calc_Opex!BJ16)</f>
        <v>-9443.0280826321105</v>
      </c>
      <c r="BK24" s="22">
        <f>-(Calc_Opex!BK14+Calc_Opex!BK15+Calc_Opex!BK16)</f>
        <v>-9032.4616442568058</v>
      </c>
      <c r="BL24" s="22">
        <f>-(Calc_Opex!BL14+Calc_Opex!BL15+Calc_Opex!BL16)</f>
        <v>-8211.3287675061838</v>
      </c>
      <c r="BM24" s="22">
        <f>-(Calc_Opex!BM14+Calc_Opex!BM15+Calc_Opex!BM16)</f>
        <v>-7390.1958907555663</v>
      </c>
      <c r="BN24" s="22">
        <f>-(Calc_Opex!BN14+Calc_Opex!BN15+Calc_Opex!BN16)</f>
        <v>-6979.6294523802571</v>
      </c>
      <c r="BO24" s="22">
        <f>-(Calc_Opex!BO14+Calc_Opex!BO15+Calc_Opex!BO16)</f>
        <v>-6569.0630140049489</v>
      </c>
      <c r="BP24" s="22">
        <f>-(Calc_Opex!BP14+Calc_Opex!BP15+Calc_Opex!BP16)</f>
        <v>-6569.0630140049489</v>
      </c>
      <c r="BQ24" s="22">
        <f>-(Calc_Opex!BQ14+Calc_Opex!BQ15+Calc_Opex!BQ16)</f>
        <v>-6979.6294523802571</v>
      </c>
      <c r="BR24" s="22">
        <f>-(Calc_Opex!BR14+Calc_Opex!BR15+Calc_Opex!BR16)</f>
        <v>-7800.7623291308737</v>
      </c>
      <c r="BS24" s="22">
        <f>-(Calc_Opex!BS14+Calc_Opex!BS15+Calc_Opex!BS16)</f>
        <v>-8621.8952058814939</v>
      </c>
      <c r="BT24" s="22">
        <f>-(Calc_Opex!BT14+Calc_Opex!BT15+Calc_Opex!BT16)</f>
        <v>-9443.0280826321105</v>
      </c>
      <c r="BU24" s="22">
        <f>-(Calc_Opex!BU14+Calc_Opex!BU15+Calc_Opex!BU16)</f>
        <v>-11495.860274508657</v>
      </c>
      <c r="BV24" s="22">
        <f>-(Calc_Opex!BV14+Calc_Opex!BV15+Calc_Opex!BV16)</f>
        <v>-10066.267936085831</v>
      </c>
      <c r="BW24" s="22">
        <f>-(Calc_Opex!BW14+Calc_Opex!BW15+Calc_Opex!BW16)</f>
        <v>-9628.6041127777517</v>
      </c>
      <c r="BX24" s="22">
        <f>-(Calc_Opex!BX14+Calc_Opex!BX15+Calc_Opex!BX16)</f>
        <v>-8753.2764661615911</v>
      </c>
      <c r="BY24" s="22">
        <f>-(Calc_Opex!BY14+Calc_Opex!BY15+Calc_Opex!BY16)</f>
        <v>-7877.9488195454333</v>
      </c>
      <c r="BZ24" s="22">
        <f>-(Calc_Opex!BZ14+Calc_Opex!BZ15+Calc_Opex!BZ16)</f>
        <v>-7440.284996237353</v>
      </c>
      <c r="CA24" s="22">
        <f>-(Calc_Opex!CA14+Calc_Opex!CA15+Calc_Opex!CA16)</f>
        <v>-7002.6211729292736</v>
      </c>
      <c r="CB24" s="22">
        <f>-(Calc_Opex!CB14+Calc_Opex!CB15+Calc_Opex!CB16)</f>
        <v>-7002.6211729292736</v>
      </c>
      <c r="CC24" s="22">
        <f>-(Calc_Opex!CC14+Calc_Opex!CC15+Calc_Opex!CC16)</f>
        <v>-7440.284996237353</v>
      </c>
      <c r="CD24" s="22">
        <f>-(Calc_Opex!CD14+Calc_Opex!CD15+Calc_Opex!CD16)</f>
        <v>-8315.6126428535117</v>
      </c>
      <c r="CE24" s="22">
        <f>-(Calc_Opex!CE14+Calc_Opex!CE15+Calc_Opex!CE16)</f>
        <v>-9190.9402894696705</v>
      </c>
      <c r="CF24" s="22">
        <f>-(Calc_Opex!CF14+Calc_Opex!CF15+Calc_Opex!CF16)</f>
        <v>-10066.267936085831</v>
      </c>
      <c r="CG24" s="22">
        <f>-(Calc_Opex!CG14+Calc_Opex!CG15+Calc_Opex!CG16)</f>
        <v>-12254.587052626226</v>
      </c>
      <c r="CH24" s="22">
        <f>-(Calc_Opex!CH14+Calc_Opex!CH15+Calc_Opex!CH16)</f>
        <v>-10730.641619867492</v>
      </c>
      <c r="CI24" s="22">
        <f>-(Calc_Opex!CI14+Calc_Opex!CI15+Calc_Opex!CI16)</f>
        <v>-10264.091984221081</v>
      </c>
      <c r="CJ24" s="22">
        <f>-(Calc_Opex!CJ14+Calc_Opex!CJ15+Calc_Opex!CJ16)</f>
        <v>-9330.9927129282532</v>
      </c>
      <c r="CK24" s="22">
        <f>-(Calc_Opex!CK14+Calc_Opex!CK15+Calc_Opex!CK16)</f>
        <v>-8397.8934416354314</v>
      </c>
      <c r="CL24" s="22">
        <f>-(Calc_Opex!CL14+Calc_Opex!CL15+Calc_Opex!CL16)</f>
        <v>-7931.3438059890177</v>
      </c>
      <c r="CM24" s="22">
        <f>-(Calc_Opex!CM14+Calc_Opex!CM15+Calc_Opex!CM16)</f>
        <v>-7464.794170342604</v>
      </c>
      <c r="CN24" s="22">
        <f>-(Calc_Opex!CN14+Calc_Opex!CN15+Calc_Opex!CN16)</f>
        <v>-7464.794170342604</v>
      </c>
      <c r="CO24" s="22">
        <f>-(Calc_Opex!CO14+Calc_Opex!CO15+Calc_Opex!CO16)</f>
        <v>-7931.3438059890177</v>
      </c>
      <c r="CP24" s="22">
        <f>-(Calc_Opex!CP14+Calc_Opex!CP15+Calc_Opex!CP16)</f>
        <v>-8864.4430772818414</v>
      </c>
      <c r="CQ24" s="22">
        <f>-(Calc_Opex!CQ14+Calc_Opex!CQ15+Calc_Opex!CQ16)</f>
        <v>-9797.5423485746651</v>
      </c>
      <c r="CR24" s="22">
        <f>-(Calc_Opex!CR14+Calc_Opex!CR15+Calc_Opex!CR16)</f>
        <v>-10730.641619867492</v>
      </c>
      <c r="CS24" s="22">
        <f>-(Calc_Opex!CS14+Calc_Opex!CS15+Calc_Opex!CS16)</f>
        <v>-13063.389798099555</v>
      </c>
      <c r="CT24" s="22">
        <f>-(Calc_Opex!CT14+Calc_Opex!CT15+Calc_Opex!CT16)</f>
        <v>-11438.863966778747</v>
      </c>
      <c r="CU24" s="22">
        <f>-(Calc_Opex!CU14+Calc_Opex!CU15+Calc_Opex!CU16)</f>
        <v>-10941.522055179672</v>
      </c>
      <c r="CV24" s="22">
        <f>-(Calc_Opex!CV14+Calc_Opex!CV15+Calc_Opex!CV16)</f>
        <v>-9946.8382319815191</v>
      </c>
      <c r="CW24" s="22">
        <f>-(Calc_Opex!CW14+Calc_Opex!CW15+Calc_Opex!CW16)</f>
        <v>-8952.1544087833681</v>
      </c>
      <c r="CX24" s="22">
        <f>-(Calc_Opex!CX14+Calc_Opex!CX15+Calc_Opex!CX16)</f>
        <v>-8454.8124971842917</v>
      </c>
      <c r="CY24" s="22">
        <f>-(Calc_Opex!CY14+Calc_Opex!CY15+Calc_Opex!CY16)</f>
        <v>-7957.4705855852153</v>
      </c>
      <c r="CZ24" s="22">
        <f>-(Calc_Opex!CZ14+Calc_Opex!CZ15+Calc_Opex!CZ16)</f>
        <v>-7957.4705855852153</v>
      </c>
      <c r="DA24" s="22">
        <f>-(Calc_Opex!DA14+Calc_Opex!DA15+Calc_Opex!DA16)</f>
        <v>-8454.8124971842917</v>
      </c>
      <c r="DB24" s="22">
        <f>-(Calc_Opex!DB14+Calc_Opex!DB15+Calc_Opex!DB16)</f>
        <v>-9449.4963203824427</v>
      </c>
      <c r="DC24" s="22">
        <f>-(Calc_Opex!DC14+Calc_Opex!DC15+Calc_Opex!DC16)</f>
        <v>-10444.180143580594</v>
      </c>
      <c r="DD24" s="22">
        <f>-(Calc_Opex!DD14+Calc_Opex!DD15+Calc_Opex!DD16)</f>
        <v>-11438.863966778747</v>
      </c>
      <c r="DE24" s="22">
        <f>-(Calc_Opex!DE14+Calc_Opex!DE15+Calc_Opex!DE16)</f>
        <v>-13925.573524774125</v>
      </c>
      <c r="DF24" s="22">
        <f>-(Calc_Opex!DF14+Calc_Opex!DF15+Calc_Opex!DF16)</f>
        <v>-12193.82898858614</v>
      </c>
      <c r="DG24" s="22">
        <f>-(Calc_Opex!DG14+Calc_Opex!DG15+Calc_Opex!DG16)</f>
        <v>-11663.66251082153</v>
      </c>
      <c r="DH24" s="22">
        <f>-(Calc_Opex!DH14+Calc_Opex!DH15+Calc_Opex!DH16)</f>
        <v>-10603.329555292301</v>
      </c>
      <c r="DI24" s="22">
        <f>-(Calc_Opex!DI14+Calc_Opex!DI15+Calc_Opex!DI16)</f>
        <v>-9542.9965997630698</v>
      </c>
      <c r="DJ24" s="22">
        <f>-(Calc_Opex!DJ14+Calc_Opex!DJ15+Calc_Opex!DJ16)</f>
        <v>-9012.8301219984533</v>
      </c>
      <c r="DK24" s="22">
        <f>-(Calc_Opex!DK14+Calc_Opex!DK15+Calc_Opex!DK16)</f>
        <v>-8482.6636442338404</v>
      </c>
      <c r="DL24" s="22">
        <f>-(Calc_Opex!DL14+Calc_Opex!DL15+Calc_Opex!DL16)</f>
        <v>-8482.6636442338404</v>
      </c>
      <c r="DM24" s="22">
        <f>-(Calc_Opex!DM14+Calc_Opex!DM15+Calc_Opex!DM16)</f>
        <v>-9012.8301219984533</v>
      </c>
      <c r="DN24" s="22">
        <f>-(Calc_Opex!DN14+Calc_Opex!DN15+Calc_Opex!DN16)</f>
        <v>-10073.163077527684</v>
      </c>
      <c r="DO24" s="22">
        <f>-(Calc_Opex!DO14+Calc_Opex!DO15+Calc_Opex!DO16)</f>
        <v>-11133.496033056912</v>
      </c>
      <c r="DP24" s="22">
        <f>-(Calc_Opex!DP14+Calc_Opex!DP15+Calc_Opex!DP16)</f>
        <v>-12193.82898858614</v>
      </c>
      <c r="DQ24" s="22">
        <f>-(Calc_Opex!DQ14+Calc_Opex!DQ15+Calc_Opex!DQ16)</f>
        <v>-14844.66137740922</v>
      </c>
    </row>
    <row r="25" spans="1:121" ht="15" customHeight="1">
      <c r="A25" t="s">
        <v>327</v>
      </c>
      <c r="B25" s="22">
        <f>-Calc_Opex!B17</f>
        <v>-1884.1523333333334</v>
      </c>
      <c r="C25" s="22">
        <f>-Calc_Opex!C17</f>
        <v>-1802.232666666667</v>
      </c>
      <c r="D25" s="22">
        <f>-Calc_Opex!D17</f>
        <v>-1638.3933333333334</v>
      </c>
      <c r="E25" s="22">
        <f>-Calc_Opex!E17</f>
        <v>-1474.5539999999999</v>
      </c>
      <c r="F25" s="22">
        <f>-Calc_Opex!F17</f>
        <v>-1392.6343333333334</v>
      </c>
      <c r="G25" s="22">
        <f>-Calc_Opex!G17</f>
        <v>-1310.714666666667</v>
      </c>
      <c r="H25" s="22">
        <f>-Calc_Opex!H17</f>
        <v>-1310.714666666667</v>
      </c>
      <c r="I25" s="22">
        <f>-Calc_Opex!I17</f>
        <v>-1392.6343333333334</v>
      </c>
      <c r="J25" s="22">
        <f>-Calc_Opex!J17</f>
        <v>-1556.4736666666668</v>
      </c>
      <c r="K25" s="22">
        <f>-Calc_Opex!K17</f>
        <v>-1720.3130000000001</v>
      </c>
      <c r="L25" s="22">
        <f>-Calc_Opex!L17</f>
        <v>-1884.1523333333334</v>
      </c>
      <c r="M25" s="22">
        <f>-Calc_Opex!M17</f>
        <v>-2293.7506666666663</v>
      </c>
      <c r="N25" s="22">
        <f>-Calc_Opex!N17</f>
        <v>-2085.756633</v>
      </c>
      <c r="O25" s="22">
        <f>-Calc_Opex!O17</f>
        <v>-1995.0715620000003</v>
      </c>
      <c r="P25" s="22">
        <f>-Calc_Opex!P17</f>
        <v>-1813.7014199999999</v>
      </c>
      <c r="Q25" s="22">
        <f>-Calc_Opex!Q17</f>
        <v>-1632.3312779999999</v>
      </c>
      <c r="R25" s="22">
        <f>-Calc_Opex!R17</f>
        <v>-1541.646207</v>
      </c>
      <c r="S25" s="22">
        <f>-Calc_Opex!S17</f>
        <v>-1450.9611360000001</v>
      </c>
      <c r="T25" s="22">
        <f>-Calc_Opex!T17</f>
        <v>-1450.9611360000001</v>
      </c>
      <c r="U25" s="22">
        <f>-Calc_Opex!U17</f>
        <v>-1541.646207</v>
      </c>
      <c r="V25" s="22">
        <f>-Calc_Opex!V17</f>
        <v>-1723.0163489999998</v>
      </c>
      <c r="W25" s="22">
        <f>-Calc_Opex!W17</f>
        <v>-1904.3864910000002</v>
      </c>
      <c r="X25" s="22">
        <f>-Calc_Opex!X17</f>
        <v>-2085.756633</v>
      </c>
      <c r="Y25" s="22">
        <f>-Calc_Opex!Y17</f>
        <v>-2539.1819879999998</v>
      </c>
      <c r="Z25" s="22">
        <f>-Calc_Opex!Z17</f>
        <v>-2308.9325927310001</v>
      </c>
      <c r="AA25" s="22">
        <f>-Calc_Opex!AA17</f>
        <v>-2208.5442191340007</v>
      </c>
      <c r="AB25" s="22">
        <f>-Calc_Opex!AB17</f>
        <v>-2007.76747194</v>
      </c>
      <c r="AC25" s="22">
        <f>-Calc_Opex!AC17</f>
        <v>-1806.9907247459998</v>
      </c>
      <c r="AD25" s="22">
        <f>-Calc_Opex!AD17</f>
        <v>-1706.6023511490005</v>
      </c>
      <c r="AE25" s="22">
        <f>-Calc_Opex!AE17</f>
        <v>-1606.2139775520002</v>
      </c>
      <c r="AF25" s="22">
        <f>-Calc_Opex!AF17</f>
        <v>-1606.2139775520002</v>
      </c>
      <c r="AG25" s="22">
        <f>-Calc_Opex!AG17</f>
        <v>-1706.6023511490005</v>
      </c>
      <c r="AH25" s="22">
        <f>-Calc_Opex!AH17</f>
        <v>-1907.3790983429999</v>
      </c>
      <c r="AI25" s="22">
        <f>-Calc_Opex!AI17</f>
        <v>-2108.155845537</v>
      </c>
      <c r="AJ25" s="22">
        <f>-Calc_Opex!AJ17</f>
        <v>-2308.9325927310001</v>
      </c>
      <c r="AK25" s="22">
        <f>-Calc_Opex!AK17</f>
        <v>-2810.8744607159997</v>
      </c>
      <c r="AL25" s="22">
        <f>-Calc_Opex!AL17</f>
        <v>-2508.6552620022312</v>
      </c>
      <c r="AM25" s="22">
        <f>-Calc_Opex!AM17</f>
        <v>-2399.5832940890919</v>
      </c>
      <c r="AN25" s="22">
        <f>-Calc_Opex!AN17</f>
        <v>-2181.4393582628104</v>
      </c>
      <c r="AO25" s="22">
        <f>-Calc_Opex!AO17</f>
        <v>-1963.295422436529</v>
      </c>
      <c r="AP25" s="22">
        <f>-Calc_Opex!AP17</f>
        <v>-1854.2234545233887</v>
      </c>
      <c r="AQ25" s="22">
        <f>-Calc_Opex!AQ17</f>
        <v>-1745.1514866102482</v>
      </c>
      <c r="AR25" s="22">
        <f>-Calc_Opex!AR17</f>
        <v>-1745.1514866102482</v>
      </c>
      <c r="AS25" s="22">
        <f>-Calc_Opex!AS17</f>
        <v>-1854.2234545233887</v>
      </c>
      <c r="AT25" s="22">
        <f>-Calc_Opex!AT17</f>
        <v>-2072.3673903496692</v>
      </c>
      <c r="AU25" s="22">
        <f>-Calc_Opex!AU17</f>
        <v>-2290.5113261759507</v>
      </c>
      <c r="AV25" s="22">
        <f>-Calc_Opex!AV17</f>
        <v>-2508.6552620022312</v>
      </c>
      <c r="AW25" s="22">
        <f>-Calc_Opex!AW17</f>
        <v>-3054.0151015679339</v>
      </c>
      <c r="AX25" s="22">
        <f>-Calc_Opex!AX17</f>
        <v>-2725.6539421654243</v>
      </c>
      <c r="AY25" s="22">
        <f>-Calc_Opex!AY17</f>
        <v>-2607.1472490277979</v>
      </c>
      <c r="AZ25" s="22">
        <f>-Calc_Opex!AZ17</f>
        <v>-2370.1338627525433</v>
      </c>
      <c r="BA25" s="22">
        <f>-Calc_Opex!BA17</f>
        <v>-2133.1204764772883</v>
      </c>
      <c r="BB25" s="22">
        <f>-Calc_Opex!BB17</f>
        <v>-2014.6137833396617</v>
      </c>
      <c r="BC25" s="22">
        <f>-Calc_Opex!BC17</f>
        <v>-1896.1070902020347</v>
      </c>
      <c r="BD25" s="22">
        <f>-Calc_Opex!BD17</f>
        <v>-1896.1070902020347</v>
      </c>
      <c r="BE25" s="22">
        <f>-Calc_Opex!BE17</f>
        <v>-2014.6137833396617</v>
      </c>
      <c r="BF25" s="22">
        <f>-Calc_Opex!BF17</f>
        <v>-2251.6271696149161</v>
      </c>
      <c r="BG25" s="22">
        <f>-Calc_Opex!BG17</f>
        <v>-2488.6405558901706</v>
      </c>
      <c r="BH25" s="22">
        <f>-Calc_Opex!BH17</f>
        <v>-2725.6539421654243</v>
      </c>
      <c r="BI25" s="22">
        <f>-Calc_Opex!BI17</f>
        <v>-3318.1874078535602</v>
      </c>
      <c r="BJ25" s="22">
        <f>-Calc_Opex!BJ17</f>
        <v>-2905.5471023483419</v>
      </c>
      <c r="BK25" s="22">
        <f>-Calc_Opex!BK17</f>
        <v>-2779.2189674636325</v>
      </c>
      <c r="BL25" s="22">
        <f>-Calc_Opex!BL17</f>
        <v>-2526.5626976942108</v>
      </c>
      <c r="BM25" s="22">
        <f>-Calc_Opex!BM17</f>
        <v>-2273.9064279247896</v>
      </c>
      <c r="BN25" s="22">
        <f>-Calc_Opex!BN17</f>
        <v>-2147.5782930400792</v>
      </c>
      <c r="BO25" s="22">
        <f>-Calc_Opex!BO17</f>
        <v>-2021.250158155369</v>
      </c>
      <c r="BP25" s="22">
        <f>-Calc_Opex!BP17</f>
        <v>-2021.250158155369</v>
      </c>
      <c r="BQ25" s="22">
        <f>-Calc_Opex!BQ17</f>
        <v>-2147.5782930400792</v>
      </c>
      <c r="BR25" s="22">
        <f>-Calc_Opex!BR17</f>
        <v>-2400.2345628094995</v>
      </c>
      <c r="BS25" s="22">
        <f>-Calc_Opex!BS17</f>
        <v>-2652.8908325789212</v>
      </c>
      <c r="BT25" s="22">
        <f>-Calc_Opex!BT17</f>
        <v>-2905.5471023483419</v>
      </c>
      <c r="BU25" s="22">
        <f>-Calc_Opex!BU17</f>
        <v>-3537.1877767718943</v>
      </c>
      <c r="BV25" s="22">
        <f>-Calc_Opex!BV17</f>
        <v>-3097.3132111033328</v>
      </c>
      <c r="BW25" s="22">
        <f>-Calc_Opex!BW17</f>
        <v>-2962.6474193162317</v>
      </c>
      <c r="BX25" s="22">
        <f>-Calc_Opex!BX17</f>
        <v>-2693.3158357420284</v>
      </c>
      <c r="BY25" s="22">
        <f>-Calc_Opex!BY17</f>
        <v>-2423.9842521678256</v>
      </c>
      <c r="BZ25" s="22">
        <f>-Calc_Opex!BZ17</f>
        <v>-2289.318460380724</v>
      </c>
      <c r="CA25" s="22">
        <f>-Calc_Opex!CA17</f>
        <v>-2154.6526685936228</v>
      </c>
      <c r="CB25" s="22">
        <f>-Calc_Opex!CB17</f>
        <v>-2154.6526685936228</v>
      </c>
      <c r="CC25" s="22">
        <f>-Calc_Opex!CC17</f>
        <v>-2289.318460380724</v>
      </c>
      <c r="CD25" s="22">
        <f>-Calc_Opex!CD17</f>
        <v>-2558.6500439549268</v>
      </c>
      <c r="CE25" s="22">
        <f>-Calc_Opex!CE17</f>
        <v>-2827.9816275291296</v>
      </c>
      <c r="CF25" s="22">
        <f>-Calc_Opex!CF17</f>
        <v>-3097.3132111033328</v>
      </c>
      <c r="CG25" s="22">
        <f>-Calc_Opex!CG17</f>
        <v>-3770.6421700388391</v>
      </c>
      <c r="CH25" s="22">
        <f>-Calc_Opex!CH17</f>
        <v>-3301.7358830361518</v>
      </c>
      <c r="CI25" s="22">
        <f>-Calc_Opex!CI17</f>
        <v>-3158.1821489911022</v>
      </c>
      <c r="CJ25" s="22">
        <f>-Calc_Opex!CJ17</f>
        <v>-2871.0746809010011</v>
      </c>
      <c r="CK25" s="22">
        <f>-Calc_Opex!CK17</f>
        <v>-2583.9672128109019</v>
      </c>
      <c r="CL25" s="22">
        <f>-Calc_Opex!CL17</f>
        <v>-2440.4134787658518</v>
      </c>
      <c r="CM25" s="22">
        <f>-Calc_Opex!CM17</f>
        <v>-2296.8597447208012</v>
      </c>
      <c r="CN25" s="22">
        <f>-Calc_Opex!CN17</f>
        <v>-2296.8597447208012</v>
      </c>
      <c r="CO25" s="22">
        <f>-Calc_Opex!CO17</f>
        <v>-2440.4134787658518</v>
      </c>
      <c r="CP25" s="22">
        <f>-Calc_Opex!CP17</f>
        <v>-2727.5209468559515</v>
      </c>
      <c r="CQ25" s="22">
        <f>-Calc_Opex!CQ17</f>
        <v>-3014.6284149460512</v>
      </c>
      <c r="CR25" s="22">
        <f>-Calc_Opex!CR17</f>
        <v>-3301.7358830361518</v>
      </c>
      <c r="CS25" s="22">
        <f>-Calc_Opex!CS17</f>
        <v>-4019.5045532614017</v>
      </c>
      <c r="CT25" s="22">
        <f>-Calc_Opex!CT17</f>
        <v>-3519.6504513165378</v>
      </c>
      <c r="CU25" s="22">
        <f>-Calc_Opex!CU17</f>
        <v>-3366.6221708245143</v>
      </c>
      <c r="CV25" s="22">
        <f>-Calc_Opex!CV17</f>
        <v>-3060.5656098404675</v>
      </c>
      <c r="CW25" s="22">
        <f>-Calc_Opex!CW17</f>
        <v>-2754.509048856421</v>
      </c>
      <c r="CX25" s="22">
        <f>-Calc_Opex!CX17</f>
        <v>-2601.4807683643976</v>
      </c>
      <c r="CY25" s="22">
        <f>-Calc_Opex!CY17</f>
        <v>-2448.4524878723741</v>
      </c>
      <c r="CZ25" s="22">
        <f>-Calc_Opex!CZ17</f>
        <v>-2448.4524878723741</v>
      </c>
      <c r="DA25" s="22">
        <f>-Calc_Opex!DA17</f>
        <v>-2601.4807683643976</v>
      </c>
      <c r="DB25" s="22">
        <f>-Calc_Opex!DB17</f>
        <v>-2907.537329348444</v>
      </c>
      <c r="DC25" s="22">
        <f>-Calc_Opex!DC17</f>
        <v>-3213.5938903324904</v>
      </c>
      <c r="DD25" s="22">
        <f>-Calc_Opex!DD17</f>
        <v>-3519.6504513165378</v>
      </c>
      <c r="DE25" s="22">
        <f>-Calc_Opex!DE17</f>
        <v>-4284.7918537766536</v>
      </c>
      <c r="DF25" s="22">
        <f>-Calc_Opex!DF17</f>
        <v>-3751.9473811034277</v>
      </c>
      <c r="DG25" s="22">
        <f>-Calc_Opex!DG17</f>
        <v>-3588.8192340989326</v>
      </c>
      <c r="DH25" s="22">
        <f>-Calc_Opex!DH17</f>
        <v>-3262.5629400899384</v>
      </c>
      <c r="DI25" s="22">
        <f>-Calc_Opex!DI17</f>
        <v>-2936.3066460809446</v>
      </c>
      <c r="DJ25" s="22">
        <f>-Calc_Opex!DJ17</f>
        <v>-2773.1784990764472</v>
      </c>
      <c r="DK25" s="22">
        <f>-Calc_Opex!DK17</f>
        <v>-2610.0503520719508</v>
      </c>
      <c r="DL25" s="22">
        <f>-Calc_Opex!DL17</f>
        <v>-2610.0503520719508</v>
      </c>
      <c r="DM25" s="22">
        <f>-Calc_Opex!DM17</f>
        <v>-2773.1784990764472</v>
      </c>
      <c r="DN25" s="22">
        <f>-Calc_Opex!DN17</f>
        <v>-3099.4347930854415</v>
      </c>
      <c r="DO25" s="22">
        <f>-Calc_Opex!DO17</f>
        <v>-3425.6910870944348</v>
      </c>
      <c r="DP25" s="22">
        <f>-Calc_Opex!DP17</f>
        <v>-3751.9473811034277</v>
      </c>
      <c r="DQ25" s="22">
        <f>-Calc_Opex!DQ17</f>
        <v>-4567.588116125914</v>
      </c>
    </row>
    <row r="26" spans="1:121" ht="15" customHeight="1">
      <c r="A26" s="14" t="s">
        <v>519</v>
      </c>
      <c r="B26" s="30">
        <f>-Calc_Opex!B21</f>
        <v>-11208.480750000001</v>
      </c>
      <c r="C26" s="30">
        <f>-Calc_Opex!C21</f>
        <v>-10721.155500000001</v>
      </c>
      <c r="D26" s="30">
        <f>-Calc_Opex!D21</f>
        <v>-9746.505000000001</v>
      </c>
      <c r="E26" s="30">
        <f>-Calc_Opex!E21</f>
        <v>-8771.8544999999995</v>
      </c>
      <c r="F26" s="30">
        <f>-Calc_Opex!F21</f>
        <v>-8284.5292500000014</v>
      </c>
      <c r="G26" s="30">
        <f>-Calc_Opex!G21</f>
        <v>-7797.2040000000015</v>
      </c>
      <c r="H26" s="30">
        <f>-Calc_Opex!H21</f>
        <v>-7797.2040000000015</v>
      </c>
      <c r="I26" s="30">
        <f>-Calc_Opex!I21</f>
        <v>-8284.5292500000014</v>
      </c>
      <c r="J26" s="30">
        <f>-Calc_Opex!J21</f>
        <v>-9259.1797499999993</v>
      </c>
      <c r="K26" s="30">
        <f>-Calc_Opex!K21</f>
        <v>-10233.830250000001</v>
      </c>
      <c r="L26" s="30">
        <f>-Calc_Opex!L21</f>
        <v>-11208.480750000001</v>
      </c>
      <c r="M26" s="30">
        <f>-Calc_Opex!M21</f>
        <v>-13645.106999999998</v>
      </c>
      <c r="N26" s="30">
        <f>-Calc_Opex!N21</f>
        <v>-12407.788190249999</v>
      </c>
      <c r="O26" s="30">
        <f>-Calc_Opex!O21</f>
        <v>-11868.319138500003</v>
      </c>
      <c r="P26" s="30">
        <f>-Calc_Opex!P21</f>
        <v>-10789.381034999999</v>
      </c>
      <c r="Q26" s="30">
        <f>-Calc_Opex!Q21</f>
        <v>-9710.4429314999998</v>
      </c>
      <c r="R26" s="30">
        <f>-Calc_Opex!R21</f>
        <v>-9170.9738797499995</v>
      </c>
      <c r="S26" s="30">
        <f>-Calc_Opex!S21</f>
        <v>-8631.504828000001</v>
      </c>
      <c r="T26" s="30">
        <f>-Calc_Opex!T21</f>
        <v>-8631.504828000001</v>
      </c>
      <c r="U26" s="30">
        <f>-Calc_Opex!U21</f>
        <v>-9170.9738797499995</v>
      </c>
      <c r="V26" s="30">
        <f>-Calc_Opex!V21</f>
        <v>-10249.91198325</v>
      </c>
      <c r="W26" s="30">
        <f>-Calc_Opex!W21</f>
        <v>-11328.850086750001</v>
      </c>
      <c r="X26" s="30">
        <f>-Calc_Opex!X21</f>
        <v>-12407.788190249999</v>
      </c>
      <c r="Y26" s="30">
        <f>-Calc_Opex!Y21</f>
        <v>-15105.133448999997</v>
      </c>
      <c r="Z26" s="30">
        <f>-Calc_Opex!Z21</f>
        <v>-13735.421526606751</v>
      </c>
      <c r="AA26" s="30">
        <f>-Calc_Opex!AA21</f>
        <v>-13138.229286319503</v>
      </c>
      <c r="AB26" s="30">
        <f>-Calc_Opex!AB21</f>
        <v>-11943.844805744999</v>
      </c>
      <c r="AC26" s="30">
        <f>-Calc_Opex!AC21</f>
        <v>-10749.460325170499</v>
      </c>
      <c r="AD26" s="30">
        <f>-Calc_Opex!AD21</f>
        <v>-10152.268084883253</v>
      </c>
      <c r="AE26" s="30">
        <f>-Calc_Opex!AE21</f>
        <v>-9555.0758445960018</v>
      </c>
      <c r="AF26" s="30">
        <f>-Calc_Opex!AF21</f>
        <v>-9555.0758445960018</v>
      </c>
      <c r="AG26" s="30">
        <f>-Calc_Opex!AG21</f>
        <v>-10152.268084883253</v>
      </c>
      <c r="AH26" s="30">
        <f>-Calc_Opex!AH21</f>
        <v>-11346.652565457749</v>
      </c>
      <c r="AI26" s="30">
        <f>-Calc_Opex!AI21</f>
        <v>-12541.03704603225</v>
      </c>
      <c r="AJ26" s="30">
        <f>-Calc_Opex!AJ21</f>
        <v>-13735.421526606751</v>
      </c>
      <c r="AK26" s="30">
        <f>-Calc_Opex!AK21</f>
        <v>-16721.382728042998</v>
      </c>
      <c r="AL26" s="30">
        <f>-Calc_Opex!AL21</f>
        <v>-14923.535488658232</v>
      </c>
      <c r="AM26" s="30">
        <f>-Calc_Opex!AM21</f>
        <v>-14274.686119586142</v>
      </c>
      <c r="AN26" s="30">
        <f>-Calc_Opex!AN21</f>
        <v>-12976.987381441944</v>
      </c>
      <c r="AO26" s="30">
        <f>-Calc_Opex!AO21</f>
        <v>-11679.28864329775</v>
      </c>
      <c r="AP26" s="30">
        <f>-Calc_Opex!AP21</f>
        <v>-11030.439274225651</v>
      </c>
      <c r="AQ26" s="30">
        <f>-Calc_Opex!AQ21</f>
        <v>-10381.589905153554</v>
      </c>
      <c r="AR26" s="30">
        <f>-Calc_Opex!AR21</f>
        <v>-10381.589905153554</v>
      </c>
      <c r="AS26" s="30">
        <f>-Calc_Opex!AS21</f>
        <v>-11030.439274225651</v>
      </c>
      <c r="AT26" s="30">
        <f>-Calc_Opex!AT21</f>
        <v>-12328.138012369844</v>
      </c>
      <c r="AU26" s="30">
        <f>-Calc_Opex!AU21</f>
        <v>-13625.836750514041</v>
      </c>
      <c r="AV26" s="30">
        <f>-Calc_Opex!AV21</f>
        <v>-14923.535488658232</v>
      </c>
      <c r="AW26" s="30">
        <f>-Calc_Opex!AW21</f>
        <v>-18167.782334018717</v>
      </c>
      <c r="AX26" s="30">
        <f>-Calc_Opex!AX21</f>
        <v>-16214.421308427169</v>
      </c>
      <c r="AY26" s="30">
        <f>-Calc_Opex!AY21</f>
        <v>-15509.44646893034</v>
      </c>
      <c r="AZ26" s="30">
        <f>-Calc_Opex!AZ21</f>
        <v>-14099.496789936671</v>
      </c>
      <c r="BA26" s="30">
        <f>-Calc_Opex!BA21</f>
        <v>-12689.547110943</v>
      </c>
      <c r="BB26" s="30">
        <f>-Calc_Opex!BB21</f>
        <v>-11984.57227144617</v>
      </c>
      <c r="BC26" s="30">
        <f>-Calc_Opex!BC21</f>
        <v>-11279.597431949338</v>
      </c>
      <c r="BD26" s="30">
        <f>-Calc_Opex!BD21</f>
        <v>-11279.597431949338</v>
      </c>
      <c r="BE26" s="30">
        <f>-Calc_Opex!BE21</f>
        <v>-11984.57227144617</v>
      </c>
      <c r="BF26" s="30">
        <f>-Calc_Opex!BF21</f>
        <v>-13394.521950439837</v>
      </c>
      <c r="BG26" s="30">
        <f>-Calc_Opex!BG21</f>
        <v>-14804.471629433505</v>
      </c>
      <c r="BH26" s="30">
        <f>-Calc_Opex!BH21</f>
        <v>-16214.421308427169</v>
      </c>
      <c r="BI26" s="30">
        <f>-Calc_Opex!BI21</f>
        <v>-19739.295505911337</v>
      </c>
      <c r="BJ26" s="30">
        <f>-Calc_Opex!BJ21</f>
        <v>-17284.573114783361</v>
      </c>
      <c r="BK26" s="30">
        <f>-Calc_Opex!BK21</f>
        <v>-16533.069935879743</v>
      </c>
      <c r="BL26" s="30">
        <f>-Calc_Opex!BL21</f>
        <v>-15030.063578072488</v>
      </c>
      <c r="BM26" s="30">
        <f>-Calc_Opex!BM21</f>
        <v>-13527.05722026524</v>
      </c>
      <c r="BN26" s="30">
        <f>-Calc_Opex!BN21</f>
        <v>-12775.554041361615</v>
      </c>
      <c r="BO26" s="30">
        <f>-Calc_Opex!BO21</f>
        <v>-12024.050862457994</v>
      </c>
      <c r="BP26" s="30">
        <f>-Calc_Opex!BP21</f>
        <v>-12024.050862457994</v>
      </c>
      <c r="BQ26" s="30">
        <f>-Calc_Opex!BQ21</f>
        <v>-12775.554041361615</v>
      </c>
      <c r="BR26" s="30">
        <f>-Calc_Opex!BR21</f>
        <v>-14278.560399168862</v>
      </c>
      <c r="BS26" s="30">
        <f>-Calc_Opex!BS21</f>
        <v>-15781.566756976114</v>
      </c>
      <c r="BT26" s="30">
        <f>-Calc_Opex!BT21</f>
        <v>-17284.573114783361</v>
      </c>
      <c r="BU26" s="30">
        <f>-Calc_Opex!BU21</f>
        <v>-21042.089009301482</v>
      </c>
      <c r="BV26" s="30">
        <f>-Calc_Opex!BV21</f>
        <v>-18425.354940359066</v>
      </c>
      <c r="BW26" s="30">
        <f>-Calc_Opex!BW21</f>
        <v>-17624.252551647802</v>
      </c>
      <c r="BX26" s="30">
        <f>-Calc_Opex!BX21</f>
        <v>-16022.047774225271</v>
      </c>
      <c r="BY26" s="30">
        <f>-Calc_Opex!BY21</f>
        <v>-14419.842996802745</v>
      </c>
      <c r="BZ26" s="30">
        <f>-Calc_Opex!BZ21</f>
        <v>-13618.740608091481</v>
      </c>
      <c r="CA26" s="30">
        <f>-Calc_Opex!CA21</f>
        <v>-12817.638219380218</v>
      </c>
      <c r="CB26" s="30">
        <f>-Calc_Opex!CB21</f>
        <v>-12817.638219380218</v>
      </c>
      <c r="CC26" s="30">
        <f>-Calc_Opex!CC21</f>
        <v>-13618.740608091481</v>
      </c>
      <c r="CD26" s="30">
        <f>-Calc_Opex!CD21</f>
        <v>-15220.945385514009</v>
      </c>
      <c r="CE26" s="30">
        <f>-Calc_Opex!CE21</f>
        <v>-16823.150162936534</v>
      </c>
      <c r="CF26" s="30">
        <f>-Calc_Opex!CF21</f>
        <v>-18425.354940359066</v>
      </c>
      <c r="CG26" s="30">
        <f>-Calc_Opex!CG21</f>
        <v>-22430.866883915376</v>
      </c>
      <c r="CH26" s="30">
        <f>-Calc_Opex!CH21</f>
        <v>-19641.428366422755</v>
      </c>
      <c r="CI26" s="30">
        <f>-Calc_Opex!CI21</f>
        <v>-18787.453220056552</v>
      </c>
      <c r="CJ26" s="30">
        <f>-Calc_Opex!CJ21</f>
        <v>-17079.502927324134</v>
      </c>
      <c r="CK26" s="30">
        <f>-Calc_Opex!CK21</f>
        <v>-15371.552634591724</v>
      </c>
      <c r="CL26" s="30">
        <f>-Calc_Opex!CL21</f>
        <v>-14517.577488225517</v>
      </c>
      <c r="CM26" s="30">
        <f>-Calc_Opex!CM21</f>
        <v>-13663.60234185931</v>
      </c>
      <c r="CN26" s="30">
        <f>-Calc_Opex!CN21</f>
        <v>-13663.60234185931</v>
      </c>
      <c r="CO26" s="30">
        <f>-Calc_Opex!CO21</f>
        <v>-14517.577488225517</v>
      </c>
      <c r="CP26" s="30">
        <f>-Calc_Opex!CP21</f>
        <v>-16225.527780957927</v>
      </c>
      <c r="CQ26" s="30">
        <f>-Calc_Opex!CQ21</f>
        <v>-17933.478073690341</v>
      </c>
      <c r="CR26" s="30">
        <f>-Calc_Opex!CR21</f>
        <v>-19641.428366422755</v>
      </c>
      <c r="CS26" s="30">
        <f>-Calc_Opex!CS21</f>
        <v>-23911.304098253786</v>
      </c>
      <c r="CT26" s="30">
        <f>-Calc_Opex!CT21</f>
        <v>-20937.762638606655</v>
      </c>
      <c r="CU26" s="30">
        <f>-Calc_Opex!CU21</f>
        <v>-20027.425132580283</v>
      </c>
      <c r="CV26" s="30">
        <f>-Calc_Opex!CV21</f>
        <v>-18206.750120527526</v>
      </c>
      <c r="CW26" s="30">
        <f>-Calc_Opex!CW21</f>
        <v>-16386.075108474775</v>
      </c>
      <c r="CX26" s="30">
        <f>-Calc_Opex!CX21</f>
        <v>-15475.7376024484</v>
      </c>
      <c r="CY26" s="30">
        <f>-Calc_Opex!CY21</f>
        <v>-14565.400096422025</v>
      </c>
      <c r="CZ26" s="30">
        <f>-Calc_Opex!CZ21</f>
        <v>-14565.400096422025</v>
      </c>
      <c r="DA26" s="30">
        <f>-Calc_Opex!DA21</f>
        <v>-15475.7376024484</v>
      </c>
      <c r="DB26" s="30">
        <f>-Calc_Opex!DB21</f>
        <v>-17296.412614501151</v>
      </c>
      <c r="DC26" s="30">
        <f>-Calc_Opex!DC21</f>
        <v>-19117.087626553901</v>
      </c>
      <c r="DD26" s="30">
        <f>-Calc_Opex!DD21</f>
        <v>-20937.762638606655</v>
      </c>
      <c r="DE26" s="30">
        <f>-Calc_Opex!DE21</f>
        <v>-25489.450168738535</v>
      </c>
      <c r="DF26" s="30">
        <f>-Calc_Opex!DF21</f>
        <v>-22319.654972754692</v>
      </c>
      <c r="DG26" s="30">
        <f>-Calc_Opex!DG21</f>
        <v>-21349.235191330583</v>
      </c>
      <c r="DH26" s="30">
        <f>-Calc_Opex!DH21</f>
        <v>-19408.395628482343</v>
      </c>
      <c r="DI26" s="30">
        <f>-Calc_Opex!DI21</f>
        <v>-17467.556065634111</v>
      </c>
      <c r="DJ26" s="30">
        <f>-Calc_Opex!DJ21</f>
        <v>-16497.136284209992</v>
      </c>
      <c r="DK26" s="30">
        <f>-Calc_Opex!DK21</f>
        <v>-15526.716502785875</v>
      </c>
      <c r="DL26" s="30">
        <f>-Calc_Opex!DL21</f>
        <v>-15526.716502785875</v>
      </c>
      <c r="DM26" s="30">
        <f>-Calc_Opex!DM21</f>
        <v>-16497.136284209992</v>
      </c>
      <c r="DN26" s="30">
        <f>-Calc_Opex!DN21</f>
        <v>-18437.975847058227</v>
      </c>
      <c r="DO26" s="30">
        <f>-Calc_Opex!DO21</f>
        <v>-20378.815409906456</v>
      </c>
      <c r="DP26" s="30">
        <f>-Calc_Opex!DP21</f>
        <v>-22319.654972754692</v>
      </c>
      <c r="DQ26" s="30">
        <f>-Calc_Opex!DQ21</f>
        <v>-27171.753879875283</v>
      </c>
    </row>
    <row r="28" spans="1:121" ht="15" customHeight="1">
      <c r="A28" s="5" t="s">
        <v>520</v>
      </c>
    </row>
    <row r="29" spans="1:121" ht="15" customHeight="1">
      <c r="A29" s="14" t="s">
        <v>520</v>
      </c>
      <c r="B29" s="29">
        <f t="shared" ref="B29:AG29" si="8">B19+B26</f>
        <v>6097.9612500000094</v>
      </c>
      <c r="C29" s="29">
        <f t="shared" si="8"/>
        <v>5832.8325000000041</v>
      </c>
      <c r="D29" s="29">
        <f t="shared" si="8"/>
        <v>5302.5750000000007</v>
      </c>
      <c r="E29" s="29">
        <f t="shared" si="8"/>
        <v>4772.3174999999974</v>
      </c>
      <c r="F29" s="29">
        <f t="shared" si="8"/>
        <v>4507.1887499999993</v>
      </c>
      <c r="G29" s="29">
        <f t="shared" si="8"/>
        <v>4242.0600000000013</v>
      </c>
      <c r="H29" s="29">
        <f t="shared" si="8"/>
        <v>4242.0600000000013</v>
      </c>
      <c r="I29" s="29">
        <f t="shared" si="8"/>
        <v>4507.1887499999993</v>
      </c>
      <c r="J29" s="29">
        <f t="shared" si="8"/>
        <v>5037.4462500000045</v>
      </c>
      <c r="K29" s="29">
        <f t="shared" si="8"/>
        <v>5567.7037500000024</v>
      </c>
      <c r="L29" s="29">
        <f t="shared" si="8"/>
        <v>6097.9612500000094</v>
      </c>
      <c r="M29" s="29">
        <f t="shared" si="8"/>
        <v>7423.6050000000014</v>
      </c>
      <c r="N29" s="29">
        <f t="shared" si="8"/>
        <v>7247.1030165000066</v>
      </c>
      <c r="O29" s="29">
        <f t="shared" si="8"/>
        <v>6932.0115809999988</v>
      </c>
      <c r="P29" s="29">
        <f t="shared" si="8"/>
        <v>6301.828709999998</v>
      </c>
      <c r="Q29" s="29">
        <f t="shared" si="8"/>
        <v>5671.6458389999989</v>
      </c>
      <c r="R29" s="29">
        <f t="shared" si="8"/>
        <v>5356.5544034999984</v>
      </c>
      <c r="S29" s="29">
        <f t="shared" si="8"/>
        <v>5041.4629679999944</v>
      </c>
      <c r="T29" s="29">
        <f t="shared" si="8"/>
        <v>5041.4629679999944</v>
      </c>
      <c r="U29" s="29">
        <f t="shared" si="8"/>
        <v>5356.5544034999984</v>
      </c>
      <c r="V29" s="29">
        <f t="shared" si="8"/>
        <v>5986.7372744999884</v>
      </c>
      <c r="W29" s="29">
        <f t="shared" si="8"/>
        <v>6616.9201455000039</v>
      </c>
      <c r="X29" s="29">
        <f t="shared" si="8"/>
        <v>7247.1030165000066</v>
      </c>
      <c r="Y29" s="29">
        <f t="shared" si="8"/>
        <v>8822.5601939999979</v>
      </c>
      <c r="Z29" s="29">
        <f t="shared" si="8"/>
        <v>8558.9357450355019</v>
      </c>
      <c r="AA29" s="29">
        <f t="shared" si="8"/>
        <v>8186.808103946998</v>
      </c>
      <c r="AB29" s="29">
        <f t="shared" si="8"/>
        <v>7442.5528217700066</v>
      </c>
      <c r="AC29" s="29">
        <f t="shared" si="8"/>
        <v>6698.2975395929952</v>
      </c>
      <c r="AD29" s="29">
        <f t="shared" si="8"/>
        <v>6326.1698985045041</v>
      </c>
      <c r="AE29" s="29">
        <f t="shared" si="8"/>
        <v>5954.0422574159929</v>
      </c>
      <c r="AF29" s="29">
        <f t="shared" si="8"/>
        <v>5954.0422574159929</v>
      </c>
      <c r="AG29" s="29">
        <f t="shared" si="8"/>
        <v>6326.1698985045041</v>
      </c>
      <c r="AH29" s="29">
        <f t="shared" ref="AH29:BM29" si="9">AH19+AH26</f>
        <v>7070.4251806815009</v>
      </c>
      <c r="AI29" s="29">
        <f t="shared" si="9"/>
        <v>7814.680462858496</v>
      </c>
      <c r="AJ29" s="29">
        <f t="shared" si="9"/>
        <v>8558.9357450355019</v>
      </c>
      <c r="AK29" s="29">
        <f t="shared" si="9"/>
        <v>10419.573950477999</v>
      </c>
      <c r="AL29" s="29">
        <f t="shared" si="9"/>
        <v>9867.8599550972685</v>
      </c>
      <c r="AM29" s="29">
        <f t="shared" si="9"/>
        <v>9438.8225657452167</v>
      </c>
      <c r="AN29" s="29">
        <f t="shared" si="9"/>
        <v>8580.747787041113</v>
      </c>
      <c r="AO29" s="29">
        <f t="shared" si="9"/>
        <v>7722.6730083369876</v>
      </c>
      <c r="AP29" s="29">
        <f t="shared" si="9"/>
        <v>7293.6356189849412</v>
      </c>
      <c r="AQ29" s="29">
        <f t="shared" si="9"/>
        <v>6864.5982296328821</v>
      </c>
      <c r="AR29" s="29">
        <f t="shared" si="9"/>
        <v>6864.5982296328821</v>
      </c>
      <c r="AS29" s="29">
        <f t="shared" si="9"/>
        <v>7293.6356189849412</v>
      </c>
      <c r="AT29" s="29">
        <f t="shared" si="9"/>
        <v>8151.710397689043</v>
      </c>
      <c r="AU29" s="29">
        <f t="shared" si="9"/>
        <v>9009.7851763931612</v>
      </c>
      <c r="AV29" s="29">
        <f t="shared" si="9"/>
        <v>9867.8599550972685</v>
      </c>
      <c r="AW29" s="29">
        <f t="shared" si="9"/>
        <v>12013.046901857546</v>
      </c>
      <c r="AX29" s="29">
        <f t="shared" si="9"/>
        <v>11324.120685416361</v>
      </c>
      <c r="AY29" s="29">
        <f t="shared" si="9"/>
        <v>10831.767612137382</v>
      </c>
      <c r="AZ29" s="29">
        <f t="shared" si="9"/>
        <v>9847.0614655794343</v>
      </c>
      <c r="BA29" s="29">
        <f t="shared" si="9"/>
        <v>8862.3553190214952</v>
      </c>
      <c r="BB29" s="29">
        <f t="shared" si="9"/>
        <v>8370.0022457425257</v>
      </c>
      <c r="BC29" s="29">
        <f t="shared" si="9"/>
        <v>7877.6491724635507</v>
      </c>
      <c r="BD29" s="29">
        <f t="shared" si="9"/>
        <v>7877.6491724635507</v>
      </c>
      <c r="BE29" s="29">
        <f t="shared" si="9"/>
        <v>8370.0022457425257</v>
      </c>
      <c r="BF29" s="29">
        <f t="shared" si="9"/>
        <v>9354.7083923004648</v>
      </c>
      <c r="BG29" s="29">
        <f t="shared" si="9"/>
        <v>10339.414538858411</v>
      </c>
      <c r="BH29" s="29">
        <f t="shared" si="9"/>
        <v>11324.120685416361</v>
      </c>
      <c r="BI29" s="29">
        <f t="shared" si="9"/>
        <v>13785.886051811212</v>
      </c>
      <c r="BJ29" s="29">
        <f t="shared" si="9"/>
        <v>12698.311128625111</v>
      </c>
      <c r="BK29" s="29">
        <f t="shared" si="9"/>
        <v>12146.21064477188</v>
      </c>
      <c r="BL29" s="29">
        <f t="shared" si="9"/>
        <v>11042.009677065333</v>
      </c>
      <c r="BM29" s="29">
        <f t="shared" si="9"/>
        <v>9937.8087093587892</v>
      </c>
      <c r="BN29" s="29">
        <f t="shared" ref="BN29:CS29" si="10">BN19+BN26</f>
        <v>9385.708225505532</v>
      </c>
      <c r="BO29" s="29">
        <f t="shared" si="10"/>
        <v>8833.6077416522694</v>
      </c>
      <c r="BP29" s="29">
        <f t="shared" si="10"/>
        <v>8833.6077416522694</v>
      </c>
      <c r="BQ29" s="29">
        <f t="shared" si="10"/>
        <v>9385.708225505532</v>
      </c>
      <c r="BR29" s="29">
        <f t="shared" si="10"/>
        <v>10489.909193212054</v>
      </c>
      <c r="BS29" s="29">
        <f t="shared" si="10"/>
        <v>11594.110160918597</v>
      </c>
      <c r="BT29" s="29">
        <f t="shared" si="10"/>
        <v>12698.311128625111</v>
      </c>
      <c r="BU29" s="29">
        <f t="shared" si="10"/>
        <v>15458.813547891441</v>
      </c>
      <c r="BV29" s="29">
        <f t="shared" si="10"/>
        <v>14188.270080204526</v>
      </c>
      <c r="BW29" s="29">
        <f t="shared" si="10"/>
        <v>13571.388772369552</v>
      </c>
      <c r="BX29" s="29">
        <f t="shared" si="10"/>
        <v>12337.626156699602</v>
      </c>
      <c r="BY29" s="29">
        <f t="shared" si="10"/>
        <v>11103.86354102963</v>
      </c>
      <c r="BZ29" s="29">
        <f t="shared" si="10"/>
        <v>10486.982233194653</v>
      </c>
      <c r="CA29" s="29">
        <f t="shared" si="10"/>
        <v>9870.1009253596731</v>
      </c>
      <c r="CB29" s="29">
        <f t="shared" si="10"/>
        <v>9870.1009253596731</v>
      </c>
      <c r="CC29" s="29">
        <f t="shared" si="10"/>
        <v>10486.982233194653</v>
      </c>
      <c r="CD29" s="29">
        <f t="shared" si="10"/>
        <v>11720.744848864615</v>
      </c>
      <c r="CE29" s="29">
        <f t="shared" si="10"/>
        <v>12954.507464534574</v>
      </c>
      <c r="CF29" s="29">
        <f t="shared" si="10"/>
        <v>14188.270080204526</v>
      </c>
      <c r="CG29" s="29">
        <f t="shared" si="10"/>
        <v>17272.676619379439</v>
      </c>
      <c r="CH29" s="29">
        <f t="shared" si="10"/>
        <v>15802.641139271786</v>
      </c>
      <c r="CI29" s="29">
        <f t="shared" si="10"/>
        <v>15115.569785390406</v>
      </c>
      <c r="CJ29" s="29">
        <f t="shared" si="10"/>
        <v>13741.427077627632</v>
      </c>
      <c r="CK29" s="29">
        <f t="shared" si="10"/>
        <v>12367.284369864879</v>
      </c>
      <c r="CL29" s="29">
        <f t="shared" si="10"/>
        <v>11680.2130159835</v>
      </c>
      <c r="CM29" s="29">
        <f t="shared" si="10"/>
        <v>10993.141662102105</v>
      </c>
      <c r="CN29" s="29">
        <f t="shared" si="10"/>
        <v>10993.141662102105</v>
      </c>
      <c r="CO29" s="29">
        <f t="shared" si="10"/>
        <v>11680.2130159835</v>
      </c>
      <c r="CP29" s="29">
        <f t="shared" si="10"/>
        <v>13054.355723746256</v>
      </c>
      <c r="CQ29" s="29">
        <f t="shared" si="10"/>
        <v>14428.498431509008</v>
      </c>
      <c r="CR29" s="29">
        <f t="shared" si="10"/>
        <v>15802.641139271786</v>
      </c>
      <c r="CS29" s="29">
        <f t="shared" si="10"/>
        <v>19237.997908678699</v>
      </c>
      <c r="CT29" s="29">
        <f t="shared" ref="CT29:DQ29" si="11">CT19+CT26</f>
        <v>17550.678497588429</v>
      </c>
      <c r="CU29" s="29">
        <f t="shared" si="11"/>
        <v>16787.605519432407</v>
      </c>
      <c r="CV29" s="29">
        <f t="shared" si="11"/>
        <v>15261.459563120363</v>
      </c>
      <c r="CW29" s="29">
        <f t="shared" si="11"/>
        <v>13735.313606808337</v>
      </c>
      <c r="CX29" s="29">
        <f t="shared" si="11"/>
        <v>12972.240628652315</v>
      </c>
      <c r="CY29" s="29">
        <f t="shared" si="11"/>
        <v>12209.167650496285</v>
      </c>
      <c r="CZ29" s="29">
        <f t="shared" si="11"/>
        <v>12209.167650496285</v>
      </c>
      <c r="DA29" s="29">
        <f t="shared" si="11"/>
        <v>12972.240628652315</v>
      </c>
      <c r="DB29" s="29">
        <f t="shared" si="11"/>
        <v>14498.386584964344</v>
      </c>
      <c r="DC29" s="29">
        <f t="shared" si="11"/>
        <v>16024.532541276381</v>
      </c>
      <c r="DD29" s="29">
        <f t="shared" si="11"/>
        <v>17550.678497588429</v>
      </c>
      <c r="DE29" s="29">
        <f t="shared" si="11"/>
        <v>21366.043388368504</v>
      </c>
      <c r="DF29" s="29">
        <f t="shared" si="11"/>
        <v>19442.28884327893</v>
      </c>
      <c r="DG29" s="29">
        <f t="shared" si="11"/>
        <v>18596.971937049428</v>
      </c>
      <c r="DH29" s="29">
        <f t="shared" si="11"/>
        <v>16906.338124590387</v>
      </c>
      <c r="DI29" s="29">
        <f t="shared" si="11"/>
        <v>15215.704312131355</v>
      </c>
      <c r="DJ29" s="29">
        <f t="shared" si="11"/>
        <v>14370.387405901831</v>
      </c>
      <c r="DK29" s="29">
        <f t="shared" si="11"/>
        <v>13525.070499672318</v>
      </c>
      <c r="DL29" s="29">
        <f t="shared" si="11"/>
        <v>13525.070499672318</v>
      </c>
      <c r="DM29" s="29">
        <f t="shared" si="11"/>
        <v>14370.387405901831</v>
      </c>
      <c r="DN29" s="29">
        <f t="shared" si="11"/>
        <v>16061.021218360878</v>
      </c>
      <c r="DO29" s="29">
        <f t="shared" si="11"/>
        <v>17751.655030819908</v>
      </c>
      <c r="DP29" s="29">
        <f t="shared" si="11"/>
        <v>19442.28884327893</v>
      </c>
      <c r="DQ29" s="29">
        <f t="shared" si="11"/>
        <v>23668.873374426559</v>
      </c>
    </row>
    <row r="30" spans="1:121" ht="15" customHeight="1">
      <c r="A30" t="s">
        <v>521</v>
      </c>
      <c r="B30" s="13">
        <f t="shared" ref="B30:AG30" si="12">IF(B10&gt;0,B29/B10,0)</f>
        <v>0.264988571045917</v>
      </c>
      <c r="C30" s="13">
        <f t="shared" si="12"/>
        <v>0.26498857104591683</v>
      </c>
      <c r="D30" s="13">
        <f t="shared" si="12"/>
        <v>0.26498857104591672</v>
      </c>
      <c r="E30" s="13">
        <f t="shared" si="12"/>
        <v>0.26498857104591661</v>
      </c>
      <c r="F30" s="13">
        <f t="shared" si="12"/>
        <v>0.26498857104591661</v>
      </c>
      <c r="G30" s="13">
        <f t="shared" si="12"/>
        <v>0.26498857104591672</v>
      </c>
      <c r="H30" s="13">
        <f t="shared" si="12"/>
        <v>0.26498857104591672</v>
      </c>
      <c r="I30" s="13">
        <f t="shared" si="12"/>
        <v>0.26498857104591661</v>
      </c>
      <c r="J30" s="13">
        <f t="shared" si="12"/>
        <v>0.26498857104591689</v>
      </c>
      <c r="K30" s="13">
        <f t="shared" si="12"/>
        <v>0.26498857104591678</v>
      </c>
      <c r="L30" s="13">
        <f t="shared" si="12"/>
        <v>0.264988571045917</v>
      </c>
      <c r="M30" s="13">
        <f t="shared" si="12"/>
        <v>0.26498857104591678</v>
      </c>
      <c r="N30" s="13">
        <f t="shared" si="12"/>
        <v>0.27904459129988102</v>
      </c>
      <c r="O30" s="13">
        <f t="shared" si="12"/>
        <v>0.27904459129988074</v>
      </c>
      <c r="P30" s="13">
        <f t="shared" si="12"/>
        <v>0.27904459129988074</v>
      </c>
      <c r="Q30" s="13">
        <f t="shared" si="12"/>
        <v>0.2790445912998808</v>
      </c>
      <c r="R30" s="13">
        <f t="shared" si="12"/>
        <v>0.27904459129988074</v>
      </c>
      <c r="S30" s="13">
        <f t="shared" si="12"/>
        <v>0.27904459129988052</v>
      </c>
      <c r="T30" s="13">
        <f t="shared" si="12"/>
        <v>0.27904459129988052</v>
      </c>
      <c r="U30" s="13">
        <f t="shared" si="12"/>
        <v>0.27904459129988074</v>
      </c>
      <c r="V30" s="13">
        <f t="shared" si="12"/>
        <v>0.27904459129988041</v>
      </c>
      <c r="W30" s="13">
        <f t="shared" si="12"/>
        <v>0.27904459129988091</v>
      </c>
      <c r="X30" s="13">
        <f t="shared" si="12"/>
        <v>0.27904459129988102</v>
      </c>
      <c r="Y30" s="13">
        <f t="shared" si="12"/>
        <v>0.2790445912998808</v>
      </c>
      <c r="Z30" s="13">
        <f t="shared" si="12"/>
        <v>0.2922491776040213</v>
      </c>
      <c r="AA30" s="13">
        <f t="shared" si="12"/>
        <v>0.29224917760402114</v>
      </c>
      <c r="AB30" s="13">
        <f t="shared" si="12"/>
        <v>0.29224917760402147</v>
      </c>
      <c r="AC30" s="13">
        <f t="shared" si="12"/>
        <v>0.29224917760402108</v>
      </c>
      <c r="AD30" s="13">
        <f t="shared" si="12"/>
        <v>0.2922491776040213</v>
      </c>
      <c r="AE30" s="13">
        <f t="shared" si="12"/>
        <v>0.29224917760402097</v>
      </c>
      <c r="AF30" s="13">
        <f t="shared" si="12"/>
        <v>0.29224917760402097</v>
      </c>
      <c r="AG30" s="13">
        <f t="shared" si="12"/>
        <v>0.2922491776040213</v>
      </c>
      <c r="AH30" s="13">
        <f t="shared" ref="AH30:BM30" si="13">IF(AH10&gt;0,AH29/AH10,0)</f>
        <v>0.2922491776040213</v>
      </c>
      <c r="AI30" s="13">
        <f t="shared" si="13"/>
        <v>0.29224917760402114</v>
      </c>
      <c r="AJ30" s="13">
        <f t="shared" si="13"/>
        <v>0.2922491776040213</v>
      </c>
      <c r="AK30" s="13">
        <f t="shared" si="13"/>
        <v>0.29224917760402125</v>
      </c>
      <c r="AL30" s="13">
        <f t="shared" si="13"/>
        <v>0.30467374167922945</v>
      </c>
      <c r="AM30" s="13">
        <f t="shared" si="13"/>
        <v>0.30467374167922945</v>
      </c>
      <c r="AN30" s="13">
        <f t="shared" si="13"/>
        <v>0.30467374167922967</v>
      </c>
      <c r="AO30" s="13">
        <f t="shared" si="13"/>
        <v>0.30467374167922928</v>
      </c>
      <c r="AP30" s="13">
        <f t="shared" si="13"/>
        <v>0.30467374167922956</v>
      </c>
      <c r="AQ30" s="13">
        <f t="shared" si="13"/>
        <v>0.30467374167922945</v>
      </c>
      <c r="AR30" s="13">
        <f t="shared" si="13"/>
        <v>0.30467374167922945</v>
      </c>
      <c r="AS30" s="13">
        <f t="shared" si="13"/>
        <v>0.30467374167922956</v>
      </c>
      <c r="AT30" s="13">
        <f t="shared" si="13"/>
        <v>0.30467374167922934</v>
      </c>
      <c r="AU30" s="13">
        <f t="shared" si="13"/>
        <v>0.3046737416792295</v>
      </c>
      <c r="AV30" s="13">
        <f t="shared" si="13"/>
        <v>0.30467374167922945</v>
      </c>
      <c r="AW30" s="13">
        <f t="shared" si="13"/>
        <v>0.3046737416792295</v>
      </c>
      <c r="AX30" s="13">
        <f t="shared" si="13"/>
        <v>0.31638194979087086</v>
      </c>
      <c r="AY30" s="13">
        <f t="shared" si="13"/>
        <v>0.31638194979087064</v>
      </c>
      <c r="AZ30" s="13">
        <f t="shared" si="13"/>
        <v>0.31638194979087059</v>
      </c>
      <c r="BA30" s="13">
        <f t="shared" si="13"/>
        <v>0.31638194979087075</v>
      </c>
      <c r="BB30" s="13">
        <f t="shared" si="13"/>
        <v>0.31638194979087075</v>
      </c>
      <c r="BC30" s="13">
        <f t="shared" si="13"/>
        <v>0.31638194979087064</v>
      </c>
      <c r="BD30" s="13">
        <f t="shared" si="13"/>
        <v>0.31638194979087064</v>
      </c>
      <c r="BE30" s="13">
        <f t="shared" si="13"/>
        <v>0.31638194979087075</v>
      </c>
      <c r="BF30" s="13">
        <f t="shared" si="13"/>
        <v>0.31638194979087064</v>
      </c>
      <c r="BG30" s="13">
        <f t="shared" si="13"/>
        <v>0.31638194979087064</v>
      </c>
      <c r="BH30" s="13">
        <f t="shared" si="13"/>
        <v>0.31638194979087086</v>
      </c>
      <c r="BI30" s="13">
        <f t="shared" si="13"/>
        <v>0.31638194979087064</v>
      </c>
      <c r="BJ30" s="13">
        <f t="shared" si="13"/>
        <v>0.32743074560672458</v>
      </c>
      <c r="BK30" s="13">
        <f t="shared" si="13"/>
        <v>0.32743074560672514</v>
      </c>
      <c r="BL30" s="13">
        <f t="shared" si="13"/>
        <v>0.32743074560672492</v>
      </c>
      <c r="BM30" s="13">
        <f t="shared" si="13"/>
        <v>0.32743074560672475</v>
      </c>
      <c r="BN30" s="13">
        <f t="shared" ref="BN30:CS30" si="14">IF(BN10&gt;0,BN29/BN10,0)</f>
        <v>0.32743074560672492</v>
      </c>
      <c r="BO30" s="13">
        <f t="shared" si="14"/>
        <v>0.32743074560672497</v>
      </c>
      <c r="BP30" s="13">
        <f t="shared" si="14"/>
        <v>0.32743074560672497</v>
      </c>
      <c r="BQ30" s="13">
        <f t="shared" si="14"/>
        <v>0.32743074560672492</v>
      </c>
      <c r="BR30" s="13">
        <f t="shared" si="14"/>
        <v>0.32743074560672469</v>
      </c>
      <c r="BS30" s="13">
        <f t="shared" si="14"/>
        <v>0.32743074560672492</v>
      </c>
      <c r="BT30" s="13">
        <f t="shared" si="14"/>
        <v>0.32743074560672458</v>
      </c>
      <c r="BU30" s="13">
        <f t="shared" si="14"/>
        <v>0.32743074560672458</v>
      </c>
      <c r="BV30" s="13">
        <f t="shared" si="14"/>
        <v>0.33787121512099383</v>
      </c>
      <c r="BW30" s="13">
        <f t="shared" si="14"/>
        <v>0.33787121512099388</v>
      </c>
      <c r="BX30" s="13">
        <f t="shared" si="14"/>
        <v>0.33787121512099405</v>
      </c>
      <c r="BY30" s="13">
        <f t="shared" si="14"/>
        <v>0.33787121512099383</v>
      </c>
      <c r="BZ30" s="13">
        <f t="shared" si="14"/>
        <v>0.33787121512099388</v>
      </c>
      <c r="CA30" s="13">
        <f t="shared" si="14"/>
        <v>0.33787121512099383</v>
      </c>
      <c r="CB30" s="13">
        <f t="shared" si="14"/>
        <v>0.33787121512099383</v>
      </c>
      <c r="CC30" s="13">
        <f t="shared" si="14"/>
        <v>0.33787121512099388</v>
      </c>
      <c r="CD30" s="13">
        <f t="shared" si="14"/>
        <v>0.33787121512099394</v>
      </c>
      <c r="CE30" s="13">
        <f t="shared" si="14"/>
        <v>0.33787121512099394</v>
      </c>
      <c r="CF30" s="13">
        <f t="shared" si="14"/>
        <v>0.33787121512099383</v>
      </c>
      <c r="CG30" s="13">
        <f t="shared" si="14"/>
        <v>0.33787121512099411</v>
      </c>
      <c r="CH30" s="13">
        <f t="shared" si="14"/>
        <v>0.34774932138045767</v>
      </c>
      <c r="CI30" s="13">
        <f t="shared" si="14"/>
        <v>0.34774932138045767</v>
      </c>
      <c r="CJ30" s="13">
        <f t="shared" si="14"/>
        <v>0.34774932138045755</v>
      </c>
      <c r="CK30" s="13">
        <f t="shared" si="14"/>
        <v>0.34774932138045767</v>
      </c>
      <c r="CL30" s="13">
        <f t="shared" si="14"/>
        <v>0.34774932138045772</v>
      </c>
      <c r="CM30" s="13">
        <f t="shared" si="14"/>
        <v>0.3477493213804575</v>
      </c>
      <c r="CN30" s="13">
        <f t="shared" si="14"/>
        <v>0.3477493213804575</v>
      </c>
      <c r="CO30" s="13">
        <f t="shared" si="14"/>
        <v>0.34774932138045772</v>
      </c>
      <c r="CP30" s="13">
        <f t="shared" si="14"/>
        <v>0.34774932138045761</v>
      </c>
      <c r="CQ30" s="13">
        <f t="shared" si="14"/>
        <v>0.34774932138045744</v>
      </c>
      <c r="CR30" s="13">
        <f t="shared" si="14"/>
        <v>0.34774932138045767</v>
      </c>
      <c r="CS30" s="13">
        <f t="shared" si="14"/>
        <v>0.34774932138045778</v>
      </c>
      <c r="CT30" s="13">
        <f t="shared" ref="CT30:DY30" si="15">IF(CT10&gt;0,CT29/CT10,0)</f>
        <v>0.3571065313183025</v>
      </c>
      <c r="CU30" s="13">
        <f t="shared" si="15"/>
        <v>0.35710653131830239</v>
      </c>
      <c r="CV30" s="13">
        <f t="shared" si="15"/>
        <v>0.35710653131830228</v>
      </c>
      <c r="CW30" s="13">
        <f t="shared" si="15"/>
        <v>0.35710653131830244</v>
      </c>
      <c r="CX30" s="13">
        <f t="shared" si="15"/>
        <v>0.35710653131830239</v>
      </c>
      <c r="CY30" s="13">
        <f t="shared" si="15"/>
        <v>0.35710653131830217</v>
      </c>
      <c r="CZ30" s="13">
        <f t="shared" si="15"/>
        <v>0.35710653131830217</v>
      </c>
      <c r="DA30" s="13">
        <f t="shared" si="15"/>
        <v>0.35710653131830239</v>
      </c>
      <c r="DB30" s="13">
        <f t="shared" si="15"/>
        <v>0.35710653131830228</v>
      </c>
      <c r="DC30" s="13">
        <f t="shared" si="15"/>
        <v>0.35710653131830233</v>
      </c>
      <c r="DD30" s="13">
        <f t="shared" si="15"/>
        <v>0.3571065313183025</v>
      </c>
      <c r="DE30" s="13">
        <f t="shared" si="15"/>
        <v>0.35710653131830228</v>
      </c>
      <c r="DF30" s="13">
        <f t="shared" si="15"/>
        <v>0.36598035273818968</v>
      </c>
      <c r="DG30" s="13">
        <f t="shared" si="15"/>
        <v>0.36598035273818985</v>
      </c>
      <c r="DH30" s="13">
        <f t="shared" si="15"/>
        <v>0.36598035273818985</v>
      </c>
      <c r="DI30" s="13">
        <f t="shared" si="15"/>
        <v>0.36598035273818991</v>
      </c>
      <c r="DJ30" s="13">
        <f t="shared" si="15"/>
        <v>0.36598035273818991</v>
      </c>
      <c r="DK30" s="13">
        <f t="shared" si="15"/>
        <v>0.36598035273818996</v>
      </c>
      <c r="DL30" s="13">
        <f t="shared" si="15"/>
        <v>0.36598035273818996</v>
      </c>
      <c r="DM30" s="13">
        <f t="shared" si="15"/>
        <v>0.36598035273818991</v>
      </c>
      <c r="DN30" s="13">
        <f t="shared" si="15"/>
        <v>0.36598035273818996</v>
      </c>
      <c r="DO30" s="13">
        <f t="shared" si="15"/>
        <v>0.36598035273818991</v>
      </c>
      <c r="DP30" s="13">
        <f t="shared" si="15"/>
        <v>0.36598035273818968</v>
      </c>
      <c r="DQ30" s="13">
        <f t="shared" si="15"/>
        <v>0.36598035273819002</v>
      </c>
    </row>
    <row r="32" spans="1:121" ht="15" customHeight="1">
      <c r="A32" t="s">
        <v>469</v>
      </c>
      <c r="B32" s="22">
        <f>-Calc_Capex!B15</f>
        <v>-375.69444444444446</v>
      </c>
      <c r="C32" s="22">
        <f>-Calc_Capex!C15</f>
        <v>-375.69444444444446</v>
      </c>
      <c r="D32" s="22">
        <f>-Calc_Capex!D15</f>
        <v>-375.69444444444446</v>
      </c>
      <c r="E32" s="22">
        <f>-Calc_Capex!E15</f>
        <v>-375.69444444444446</v>
      </c>
      <c r="F32" s="22">
        <f>-Calc_Capex!F15</f>
        <v>-375.69444444444446</v>
      </c>
      <c r="G32" s="22">
        <f>-Calc_Capex!G15</f>
        <v>-375.69444444444446</v>
      </c>
      <c r="H32" s="22">
        <f>-Calc_Capex!H15</f>
        <v>-375.69444444444446</v>
      </c>
      <c r="I32" s="22">
        <f>-Calc_Capex!I15</f>
        <v>-375.69444444444446</v>
      </c>
      <c r="J32" s="22">
        <f>-Calc_Capex!J15</f>
        <v>-375.69444444444446</v>
      </c>
      <c r="K32" s="22">
        <f>-Calc_Capex!K15</f>
        <v>-375.69444444444446</v>
      </c>
      <c r="L32" s="22">
        <f>-Calc_Capex!L15</f>
        <v>-375.69444444444446</v>
      </c>
      <c r="M32" s="22">
        <f>-Calc_Capex!M15</f>
        <v>-375.69444444444446</v>
      </c>
      <c r="N32" s="22">
        <f>-Calc_Capex!N15</f>
        <v>-375.69444444444446</v>
      </c>
      <c r="O32" s="22">
        <f>-Calc_Capex!O15</f>
        <v>-375.69444444444446</v>
      </c>
      <c r="P32" s="22">
        <f>-Calc_Capex!P15</f>
        <v>-375.69444444444446</v>
      </c>
      <c r="Q32" s="22">
        <f>-Calc_Capex!Q15</f>
        <v>-375.69444444444446</v>
      </c>
      <c r="R32" s="22">
        <f>-Calc_Capex!R15</f>
        <v>-375.69444444444446</v>
      </c>
      <c r="S32" s="22">
        <f>-Calc_Capex!S15</f>
        <v>-375.69444444444446</v>
      </c>
      <c r="T32" s="22">
        <f>-Calc_Capex!T15</f>
        <v>-375.69444444444446</v>
      </c>
      <c r="U32" s="22">
        <f>-Calc_Capex!U15</f>
        <v>-375.69444444444446</v>
      </c>
      <c r="V32" s="22">
        <f>-Calc_Capex!V15</f>
        <v>-375.69444444444446</v>
      </c>
      <c r="W32" s="22">
        <f>-Calc_Capex!W15</f>
        <v>-375.69444444444446</v>
      </c>
      <c r="X32" s="22">
        <f>-Calc_Capex!X15</f>
        <v>-375.69444444444446</v>
      </c>
      <c r="Y32" s="22">
        <f>-Calc_Capex!Y15</f>
        <v>-375.69444444444446</v>
      </c>
      <c r="Z32" s="22">
        <f>-Calc_Capex!Z15</f>
        <v>-375.69444444444446</v>
      </c>
      <c r="AA32" s="22">
        <f>-Calc_Capex!AA15</f>
        <v>-375.69444444444446</v>
      </c>
      <c r="AB32" s="22">
        <f>-Calc_Capex!AB15</f>
        <v>-375.69444444444446</v>
      </c>
      <c r="AC32" s="22">
        <f>-Calc_Capex!AC15</f>
        <v>-375.69444444444446</v>
      </c>
      <c r="AD32" s="22">
        <f>-Calc_Capex!AD15</f>
        <v>-375.69444444444446</v>
      </c>
      <c r="AE32" s="22">
        <f>-Calc_Capex!AE15</f>
        <v>-375.69444444444446</v>
      </c>
      <c r="AF32" s="22">
        <f>-Calc_Capex!AF15</f>
        <v>-375.69444444444446</v>
      </c>
      <c r="AG32" s="22">
        <f>-Calc_Capex!AG15</f>
        <v>-375.69444444444446</v>
      </c>
      <c r="AH32" s="22">
        <f>-Calc_Capex!AH15</f>
        <v>-375.69444444444446</v>
      </c>
      <c r="AI32" s="22">
        <f>-Calc_Capex!AI15</f>
        <v>-375.69444444444446</v>
      </c>
      <c r="AJ32" s="22">
        <f>-Calc_Capex!AJ15</f>
        <v>-375.69444444444446</v>
      </c>
      <c r="AK32" s="22">
        <f>-Calc_Capex!AK15</f>
        <v>-375.69444444444446</v>
      </c>
      <c r="AL32" s="22">
        <f>-Calc_Capex!AL15</f>
        <v>-375.69444444444446</v>
      </c>
      <c r="AM32" s="22">
        <f>-Calc_Capex!AM15</f>
        <v>-375.69444444444446</v>
      </c>
      <c r="AN32" s="22">
        <f>-Calc_Capex!AN15</f>
        <v>-375.69444444444446</v>
      </c>
      <c r="AO32" s="22">
        <f>-Calc_Capex!AO15</f>
        <v>-375.69444444444446</v>
      </c>
      <c r="AP32" s="22">
        <f>-Calc_Capex!AP15</f>
        <v>-375.69444444444446</v>
      </c>
      <c r="AQ32" s="22">
        <f>-Calc_Capex!AQ15</f>
        <v>-375.69444444444446</v>
      </c>
      <c r="AR32" s="22">
        <f>-Calc_Capex!AR15</f>
        <v>-375.69444444444446</v>
      </c>
      <c r="AS32" s="22">
        <f>-Calc_Capex!AS15</f>
        <v>-375.69444444444446</v>
      </c>
      <c r="AT32" s="22">
        <f>-Calc_Capex!AT15</f>
        <v>-375.69444444444446</v>
      </c>
      <c r="AU32" s="22">
        <f>-Calc_Capex!AU15</f>
        <v>-375.69444444444446</v>
      </c>
      <c r="AV32" s="22">
        <f>-Calc_Capex!AV15</f>
        <v>-375.69444444444446</v>
      </c>
      <c r="AW32" s="22">
        <f>-Calc_Capex!AW15</f>
        <v>-375.69444444444446</v>
      </c>
      <c r="AX32" s="22">
        <f>-Calc_Capex!AX15</f>
        <v>-375.69444444444446</v>
      </c>
      <c r="AY32" s="22">
        <f>-Calc_Capex!AY15</f>
        <v>-375.69444444444446</v>
      </c>
      <c r="AZ32" s="22">
        <f>-Calc_Capex!AZ15</f>
        <v>-375.69444444444446</v>
      </c>
      <c r="BA32" s="22">
        <f>-Calc_Capex!BA15</f>
        <v>-375.69444444444446</v>
      </c>
      <c r="BB32" s="22">
        <f>-Calc_Capex!BB15</f>
        <v>-375.69444444444446</v>
      </c>
      <c r="BC32" s="22">
        <f>-Calc_Capex!BC15</f>
        <v>-375.69444444444446</v>
      </c>
      <c r="BD32" s="22">
        <f>-Calc_Capex!BD15</f>
        <v>-375.69444444444446</v>
      </c>
      <c r="BE32" s="22">
        <f>-Calc_Capex!BE15</f>
        <v>-375.69444444444446</v>
      </c>
      <c r="BF32" s="22">
        <f>-Calc_Capex!BF15</f>
        <v>-375.69444444444446</v>
      </c>
      <c r="BG32" s="22">
        <f>-Calc_Capex!BG15</f>
        <v>-375.69444444444446</v>
      </c>
      <c r="BH32" s="22">
        <f>-Calc_Capex!BH15</f>
        <v>-375.69444444444446</v>
      </c>
      <c r="BI32" s="22">
        <f>-Calc_Capex!BI15</f>
        <v>-375.69444444444446</v>
      </c>
      <c r="BJ32" s="22">
        <f>-Calc_Capex!BJ15</f>
        <v>-375.69444444444446</v>
      </c>
      <c r="BK32" s="22">
        <f>-Calc_Capex!BK15</f>
        <v>-375.69444444444446</v>
      </c>
      <c r="BL32" s="22">
        <f>-Calc_Capex!BL15</f>
        <v>-375.69444444444446</v>
      </c>
      <c r="BM32" s="22">
        <f>-Calc_Capex!BM15</f>
        <v>-375.69444444444446</v>
      </c>
      <c r="BN32" s="22">
        <f>-Calc_Capex!BN15</f>
        <v>-375.69444444444446</v>
      </c>
      <c r="BO32" s="22">
        <f>-Calc_Capex!BO15</f>
        <v>-375.69444444444446</v>
      </c>
      <c r="BP32" s="22">
        <f>-Calc_Capex!BP15</f>
        <v>-375.69444444444446</v>
      </c>
      <c r="BQ32" s="22">
        <f>-Calc_Capex!BQ15</f>
        <v>-375.69444444444446</v>
      </c>
      <c r="BR32" s="22">
        <f>-Calc_Capex!BR15</f>
        <v>-375.69444444444446</v>
      </c>
      <c r="BS32" s="22">
        <f>-Calc_Capex!BS15</f>
        <v>-375.69444444444446</v>
      </c>
      <c r="BT32" s="22">
        <f>-Calc_Capex!BT15</f>
        <v>-375.69444444444446</v>
      </c>
      <c r="BU32" s="22">
        <f>-Calc_Capex!BU15</f>
        <v>-375.69444444444446</v>
      </c>
      <c r="BV32" s="22">
        <f>-Calc_Capex!BV15</f>
        <v>-375.69444444444446</v>
      </c>
      <c r="BW32" s="22">
        <f>-Calc_Capex!BW15</f>
        <v>-375.69444444444446</v>
      </c>
      <c r="BX32" s="22">
        <f>-Calc_Capex!BX15</f>
        <v>-375.69444444444446</v>
      </c>
      <c r="BY32" s="22">
        <f>-Calc_Capex!BY15</f>
        <v>-375.69444444444446</v>
      </c>
      <c r="BZ32" s="22">
        <f>-Calc_Capex!BZ15</f>
        <v>-375.69444444444446</v>
      </c>
      <c r="CA32" s="22">
        <f>-Calc_Capex!CA15</f>
        <v>-375.69444444444446</v>
      </c>
      <c r="CB32" s="22">
        <f>-Calc_Capex!CB15</f>
        <v>-375.69444444444446</v>
      </c>
      <c r="CC32" s="22">
        <f>-Calc_Capex!CC15</f>
        <v>-375.69444444444446</v>
      </c>
      <c r="CD32" s="22">
        <f>-Calc_Capex!CD15</f>
        <v>-375.69444444444446</v>
      </c>
      <c r="CE32" s="22">
        <f>-Calc_Capex!CE15</f>
        <v>-375.69444444444446</v>
      </c>
      <c r="CF32" s="22">
        <f>-Calc_Capex!CF15</f>
        <v>-375.69444444444446</v>
      </c>
      <c r="CG32" s="22">
        <f>-Calc_Capex!CG15</f>
        <v>-375.69444444444446</v>
      </c>
      <c r="CH32" s="22">
        <f>-Calc_Capex!CH15</f>
        <v>-375.69444444444446</v>
      </c>
      <c r="CI32" s="22">
        <f>-Calc_Capex!CI15</f>
        <v>-375.69444444444446</v>
      </c>
      <c r="CJ32" s="22">
        <f>-Calc_Capex!CJ15</f>
        <v>-375.69444444444446</v>
      </c>
      <c r="CK32" s="22">
        <f>-Calc_Capex!CK15</f>
        <v>-375.69444444444446</v>
      </c>
      <c r="CL32" s="22">
        <f>-Calc_Capex!CL15</f>
        <v>-375.69444444444446</v>
      </c>
      <c r="CM32" s="22">
        <f>-Calc_Capex!CM15</f>
        <v>-375.69444444444446</v>
      </c>
      <c r="CN32" s="22">
        <f>-Calc_Capex!CN15</f>
        <v>-375.69444444444446</v>
      </c>
      <c r="CO32" s="22">
        <f>-Calc_Capex!CO15</f>
        <v>-375.69444444444446</v>
      </c>
      <c r="CP32" s="22">
        <f>-Calc_Capex!CP15</f>
        <v>-375.69444444444446</v>
      </c>
      <c r="CQ32" s="22">
        <f>-Calc_Capex!CQ15</f>
        <v>-375.69444444444446</v>
      </c>
      <c r="CR32" s="22">
        <f>-Calc_Capex!CR15</f>
        <v>-375.69444444444446</v>
      </c>
      <c r="CS32" s="22">
        <f>-Calc_Capex!CS15</f>
        <v>-375.69444444444446</v>
      </c>
      <c r="CT32" s="22">
        <f>-Calc_Capex!CT15</f>
        <v>-375.69444444444446</v>
      </c>
      <c r="CU32" s="22">
        <f>-Calc_Capex!CU15</f>
        <v>-375.69444444444446</v>
      </c>
      <c r="CV32" s="22">
        <f>-Calc_Capex!CV15</f>
        <v>-375.69444444444446</v>
      </c>
      <c r="CW32" s="22">
        <f>-Calc_Capex!CW15</f>
        <v>-375.69444444444446</v>
      </c>
      <c r="CX32" s="22">
        <f>-Calc_Capex!CX15</f>
        <v>-375.69444444444446</v>
      </c>
      <c r="CY32" s="22">
        <f>-Calc_Capex!CY15</f>
        <v>-375.69444444444446</v>
      </c>
      <c r="CZ32" s="22">
        <f>-Calc_Capex!CZ15</f>
        <v>-375.69444444444446</v>
      </c>
      <c r="DA32" s="22">
        <f>-Calc_Capex!DA15</f>
        <v>-375.69444444444446</v>
      </c>
      <c r="DB32" s="22">
        <f>-Calc_Capex!DB15</f>
        <v>-375.69444444444446</v>
      </c>
      <c r="DC32" s="22">
        <f>-Calc_Capex!DC15</f>
        <v>-375.69444444444446</v>
      </c>
      <c r="DD32" s="22">
        <f>-Calc_Capex!DD15</f>
        <v>-375.69444444444446</v>
      </c>
      <c r="DE32" s="22">
        <f>-Calc_Capex!DE15</f>
        <v>-375.69444444444446</v>
      </c>
      <c r="DF32" s="22">
        <f>-Calc_Capex!DF15</f>
        <v>-375.69444444444446</v>
      </c>
      <c r="DG32" s="22">
        <f>-Calc_Capex!DG15</f>
        <v>-375.69444444444446</v>
      </c>
      <c r="DH32" s="22">
        <f>-Calc_Capex!DH15</f>
        <v>-375.69444444444446</v>
      </c>
      <c r="DI32" s="22">
        <f>-Calc_Capex!DI15</f>
        <v>-375.69444444444446</v>
      </c>
      <c r="DJ32" s="22">
        <f>-Calc_Capex!DJ15</f>
        <v>-375.69444444444446</v>
      </c>
      <c r="DK32" s="22">
        <f>-Calc_Capex!DK15</f>
        <v>-375.69444444444446</v>
      </c>
      <c r="DL32" s="22">
        <f>-Calc_Capex!DL15</f>
        <v>-375.69444444444446</v>
      </c>
      <c r="DM32" s="22">
        <f>-Calc_Capex!DM15</f>
        <v>-375.69444444444446</v>
      </c>
      <c r="DN32" s="22">
        <f>-Calc_Capex!DN15</f>
        <v>-375.69444444444446</v>
      </c>
      <c r="DO32" s="22">
        <f>-Calc_Capex!DO15</f>
        <v>-375.69444444444446</v>
      </c>
      <c r="DP32" s="22">
        <f>-Calc_Capex!DP15</f>
        <v>-375.69444444444446</v>
      </c>
      <c r="DQ32" s="22">
        <f>-Calc_Capex!DQ15</f>
        <v>-375.69444444444446</v>
      </c>
    </row>
    <row r="33" spans="1:121" ht="15" customHeight="1">
      <c r="A33" s="14" t="s">
        <v>522</v>
      </c>
      <c r="B33" s="29">
        <f t="shared" ref="B33:AG33" si="16">B29+B32</f>
        <v>5722.266805555565</v>
      </c>
      <c r="C33" s="29">
        <f t="shared" si="16"/>
        <v>5457.1380555555597</v>
      </c>
      <c r="D33" s="29">
        <f t="shared" si="16"/>
        <v>4926.8805555555564</v>
      </c>
      <c r="E33" s="29">
        <f t="shared" si="16"/>
        <v>4396.623055555553</v>
      </c>
      <c r="F33" s="29">
        <f t="shared" si="16"/>
        <v>4131.494305555555</v>
      </c>
      <c r="G33" s="29">
        <f t="shared" si="16"/>
        <v>3866.365555555557</v>
      </c>
      <c r="H33" s="29">
        <f t="shared" si="16"/>
        <v>3866.365555555557</v>
      </c>
      <c r="I33" s="29">
        <f t="shared" si="16"/>
        <v>4131.494305555555</v>
      </c>
      <c r="J33" s="29">
        <f t="shared" si="16"/>
        <v>4661.7518055555602</v>
      </c>
      <c r="K33" s="29">
        <f t="shared" si="16"/>
        <v>5192.0093055555581</v>
      </c>
      <c r="L33" s="29">
        <f t="shared" si="16"/>
        <v>5722.266805555565</v>
      </c>
      <c r="M33" s="29">
        <f t="shared" si="16"/>
        <v>7047.910555555557</v>
      </c>
      <c r="N33" s="29">
        <f t="shared" si="16"/>
        <v>6871.4085720555622</v>
      </c>
      <c r="O33" s="29">
        <f t="shared" si="16"/>
        <v>6556.3171365555545</v>
      </c>
      <c r="P33" s="29">
        <f t="shared" si="16"/>
        <v>5926.1342655555536</v>
      </c>
      <c r="Q33" s="29">
        <f t="shared" si="16"/>
        <v>5295.9513945555545</v>
      </c>
      <c r="R33" s="29">
        <f t="shared" si="16"/>
        <v>4980.8599590555541</v>
      </c>
      <c r="S33" s="29">
        <f t="shared" si="16"/>
        <v>4665.76852355555</v>
      </c>
      <c r="T33" s="29">
        <f t="shared" si="16"/>
        <v>4665.76852355555</v>
      </c>
      <c r="U33" s="29">
        <f t="shared" si="16"/>
        <v>4980.8599590555541</v>
      </c>
      <c r="V33" s="29">
        <f t="shared" si="16"/>
        <v>5611.0428300555441</v>
      </c>
      <c r="W33" s="29">
        <f t="shared" si="16"/>
        <v>6241.2257010555595</v>
      </c>
      <c r="X33" s="29">
        <f t="shared" si="16"/>
        <v>6871.4085720555622</v>
      </c>
      <c r="Y33" s="29">
        <f t="shared" si="16"/>
        <v>8446.8657495555526</v>
      </c>
      <c r="Z33" s="29">
        <f t="shared" si="16"/>
        <v>8183.2413005910576</v>
      </c>
      <c r="AA33" s="29">
        <f t="shared" si="16"/>
        <v>7811.1136595025537</v>
      </c>
      <c r="AB33" s="29">
        <f t="shared" si="16"/>
        <v>7066.8583773255623</v>
      </c>
      <c r="AC33" s="29">
        <f t="shared" si="16"/>
        <v>6322.6030951485509</v>
      </c>
      <c r="AD33" s="29">
        <f t="shared" si="16"/>
        <v>5950.4754540600597</v>
      </c>
      <c r="AE33" s="29">
        <f t="shared" si="16"/>
        <v>5578.3478129715486</v>
      </c>
      <c r="AF33" s="29">
        <f t="shared" si="16"/>
        <v>5578.3478129715486</v>
      </c>
      <c r="AG33" s="29">
        <f t="shared" si="16"/>
        <v>5950.4754540600597</v>
      </c>
      <c r="AH33" s="29">
        <f t="shared" ref="AH33:BM33" si="17">AH29+AH32</f>
        <v>6694.7307362370566</v>
      </c>
      <c r="AI33" s="29">
        <f t="shared" si="17"/>
        <v>7438.9860184140516</v>
      </c>
      <c r="AJ33" s="29">
        <f t="shared" si="17"/>
        <v>8183.2413005910576</v>
      </c>
      <c r="AK33" s="29">
        <f t="shared" si="17"/>
        <v>10043.879506033554</v>
      </c>
      <c r="AL33" s="29">
        <f t="shared" si="17"/>
        <v>9492.1655106528233</v>
      </c>
      <c r="AM33" s="29">
        <f t="shared" si="17"/>
        <v>9063.1281213007715</v>
      </c>
      <c r="AN33" s="29">
        <f t="shared" si="17"/>
        <v>8205.0533425966678</v>
      </c>
      <c r="AO33" s="29">
        <f t="shared" si="17"/>
        <v>7346.9785638925432</v>
      </c>
      <c r="AP33" s="29">
        <f t="shared" si="17"/>
        <v>6917.9411745404968</v>
      </c>
      <c r="AQ33" s="29">
        <f t="shared" si="17"/>
        <v>6488.9037851884377</v>
      </c>
      <c r="AR33" s="29">
        <f t="shared" si="17"/>
        <v>6488.9037851884377</v>
      </c>
      <c r="AS33" s="29">
        <f t="shared" si="17"/>
        <v>6917.9411745404968</v>
      </c>
      <c r="AT33" s="29">
        <f t="shared" si="17"/>
        <v>7776.0159532445987</v>
      </c>
      <c r="AU33" s="29">
        <f t="shared" si="17"/>
        <v>8634.090731948716</v>
      </c>
      <c r="AV33" s="29">
        <f t="shared" si="17"/>
        <v>9492.1655106528233</v>
      </c>
      <c r="AW33" s="29">
        <f t="shared" si="17"/>
        <v>11637.352457413101</v>
      </c>
      <c r="AX33" s="29">
        <f t="shared" si="17"/>
        <v>10948.426240971916</v>
      </c>
      <c r="AY33" s="29">
        <f t="shared" si="17"/>
        <v>10456.073167692937</v>
      </c>
      <c r="AZ33" s="29">
        <f t="shared" si="17"/>
        <v>9471.367021134989</v>
      </c>
      <c r="BA33" s="29">
        <f t="shared" si="17"/>
        <v>8486.66087457705</v>
      </c>
      <c r="BB33" s="29">
        <f t="shared" si="17"/>
        <v>7994.3078012980814</v>
      </c>
      <c r="BC33" s="29">
        <f t="shared" si="17"/>
        <v>7501.9547280191064</v>
      </c>
      <c r="BD33" s="29">
        <f t="shared" si="17"/>
        <v>7501.9547280191064</v>
      </c>
      <c r="BE33" s="29">
        <f t="shared" si="17"/>
        <v>7994.3078012980814</v>
      </c>
      <c r="BF33" s="29">
        <f t="shared" si="17"/>
        <v>8979.0139478560195</v>
      </c>
      <c r="BG33" s="29">
        <f t="shared" si="17"/>
        <v>9963.7200944139659</v>
      </c>
      <c r="BH33" s="29">
        <f t="shared" si="17"/>
        <v>10948.426240971916</v>
      </c>
      <c r="BI33" s="29">
        <f t="shared" si="17"/>
        <v>13410.191607366767</v>
      </c>
      <c r="BJ33" s="29">
        <f t="shared" si="17"/>
        <v>12322.616684180666</v>
      </c>
      <c r="BK33" s="29">
        <f t="shared" si="17"/>
        <v>11770.516200327434</v>
      </c>
      <c r="BL33" s="29">
        <f t="shared" si="17"/>
        <v>10666.315232620887</v>
      </c>
      <c r="BM33" s="29">
        <f t="shared" si="17"/>
        <v>9562.1142649143439</v>
      </c>
      <c r="BN33" s="29">
        <f t="shared" ref="BN33:CS33" si="18">BN29+BN32</f>
        <v>9010.0137810610868</v>
      </c>
      <c r="BO33" s="29">
        <f t="shared" si="18"/>
        <v>8457.9132972078241</v>
      </c>
      <c r="BP33" s="29">
        <f t="shared" si="18"/>
        <v>8457.9132972078241</v>
      </c>
      <c r="BQ33" s="29">
        <f t="shared" si="18"/>
        <v>9010.0137810610868</v>
      </c>
      <c r="BR33" s="29">
        <f t="shared" si="18"/>
        <v>10114.214748767608</v>
      </c>
      <c r="BS33" s="29">
        <f t="shared" si="18"/>
        <v>11218.415716474152</v>
      </c>
      <c r="BT33" s="29">
        <f t="shared" si="18"/>
        <v>12322.616684180666</v>
      </c>
      <c r="BU33" s="29">
        <f t="shared" si="18"/>
        <v>15083.119103446996</v>
      </c>
      <c r="BV33" s="29">
        <f t="shared" si="18"/>
        <v>13812.57563576008</v>
      </c>
      <c r="BW33" s="29">
        <f t="shared" si="18"/>
        <v>13195.694327925106</v>
      </c>
      <c r="BX33" s="29">
        <f t="shared" si="18"/>
        <v>11961.931712255157</v>
      </c>
      <c r="BY33" s="29">
        <f t="shared" si="18"/>
        <v>10728.169096585185</v>
      </c>
      <c r="BZ33" s="29">
        <f t="shared" si="18"/>
        <v>10111.287788750207</v>
      </c>
      <c r="CA33" s="29">
        <f t="shared" si="18"/>
        <v>9494.4064809152278</v>
      </c>
      <c r="CB33" s="29">
        <f t="shared" si="18"/>
        <v>9494.4064809152278</v>
      </c>
      <c r="CC33" s="29">
        <f t="shared" si="18"/>
        <v>10111.287788750207</v>
      </c>
      <c r="CD33" s="29">
        <f t="shared" si="18"/>
        <v>11345.05040442017</v>
      </c>
      <c r="CE33" s="29">
        <f t="shared" si="18"/>
        <v>12578.813020090129</v>
      </c>
      <c r="CF33" s="29">
        <f t="shared" si="18"/>
        <v>13812.57563576008</v>
      </c>
      <c r="CG33" s="29">
        <f t="shared" si="18"/>
        <v>16896.982174934994</v>
      </c>
      <c r="CH33" s="29">
        <f t="shared" si="18"/>
        <v>15426.94669482734</v>
      </c>
      <c r="CI33" s="29">
        <f t="shared" si="18"/>
        <v>14739.87534094596</v>
      </c>
      <c r="CJ33" s="29">
        <f t="shared" si="18"/>
        <v>13365.732633183186</v>
      </c>
      <c r="CK33" s="29">
        <f t="shared" si="18"/>
        <v>11991.589925420434</v>
      </c>
      <c r="CL33" s="29">
        <f t="shared" si="18"/>
        <v>11304.518571539054</v>
      </c>
      <c r="CM33" s="29">
        <f t="shared" si="18"/>
        <v>10617.44721765766</v>
      </c>
      <c r="CN33" s="29">
        <f t="shared" si="18"/>
        <v>10617.44721765766</v>
      </c>
      <c r="CO33" s="29">
        <f t="shared" si="18"/>
        <v>11304.518571539054</v>
      </c>
      <c r="CP33" s="29">
        <f t="shared" si="18"/>
        <v>12678.66127930181</v>
      </c>
      <c r="CQ33" s="29">
        <f t="shared" si="18"/>
        <v>14052.803987064563</v>
      </c>
      <c r="CR33" s="29">
        <f t="shared" si="18"/>
        <v>15426.94669482734</v>
      </c>
      <c r="CS33" s="29">
        <f t="shared" si="18"/>
        <v>18862.303464234254</v>
      </c>
      <c r="CT33" s="29">
        <f t="shared" ref="CT33:DY33" si="19">CT29+CT32</f>
        <v>17174.984053143984</v>
      </c>
      <c r="CU33" s="29">
        <f t="shared" si="19"/>
        <v>16411.911074987962</v>
      </c>
      <c r="CV33" s="29">
        <f t="shared" si="19"/>
        <v>14885.765118675918</v>
      </c>
      <c r="CW33" s="29">
        <f t="shared" si="19"/>
        <v>13359.619162363892</v>
      </c>
      <c r="CX33" s="29">
        <f t="shared" si="19"/>
        <v>12596.546184207869</v>
      </c>
      <c r="CY33" s="29">
        <f t="shared" si="19"/>
        <v>11833.47320605184</v>
      </c>
      <c r="CZ33" s="29">
        <f t="shared" si="19"/>
        <v>11833.47320605184</v>
      </c>
      <c r="DA33" s="29">
        <f t="shared" si="19"/>
        <v>12596.546184207869</v>
      </c>
      <c r="DB33" s="29">
        <f t="shared" si="19"/>
        <v>14122.692140519899</v>
      </c>
      <c r="DC33" s="29">
        <f t="shared" si="19"/>
        <v>15648.838096831936</v>
      </c>
      <c r="DD33" s="29">
        <f t="shared" si="19"/>
        <v>17174.984053143984</v>
      </c>
      <c r="DE33" s="29">
        <f t="shared" si="19"/>
        <v>20990.348943924058</v>
      </c>
      <c r="DF33" s="29">
        <f t="shared" si="19"/>
        <v>19066.594398834484</v>
      </c>
      <c r="DG33" s="29">
        <f t="shared" si="19"/>
        <v>18221.277492604982</v>
      </c>
      <c r="DH33" s="29">
        <f t="shared" si="19"/>
        <v>16530.643680145942</v>
      </c>
      <c r="DI33" s="29">
        <f t="shared" si="19"/>
        <v>14840.009867686909</v>
      </c>
      <c r="DJ33" s="29">
        <f t="shared" si="19"/>
        <v>13994.692961457386</v>
      </c>
      <c r="DK33" s="29">
        <f t="shared" si="19"/>
        <v>13149.376055227873</v>
      </c>
      <c r="DL33" s="29">
        <f t="shared" si="19"/>
        <v>13149.376055227873</v>
      </c>
      <c r="DM33" s="29">
        <f t="shared" si="19"/>
        <v>13994.692961457386</v>
      </c>
      <c r="DN33" s="29">
        <f t="shared" si="19"/>
        <v>15685.326773916433</v>
      </c>
      <c r="DO33" s="29">
        <f t="shared" si="19"/>
        <v>17375.960586375462</v>
      </c>
      <c r="DP33" s="29">
        <f t="shared" si="19"/>
        <v>19066.594398834484</v>
      </c>
      <c r="DQ33" s="29">
        <f t="shared" si="19"/>
        <v>23293.178929982114</v>
      </c>
    </row>
    <row r="34" spans="1:121" ht="15" customHeight="1">
      <c r="A34" t="s">
        <v>523</v>
      </c>
      <c r="B34" s="13">
        <f t="shared" ref="B34:AG34" si="20">IF(B10&gt;0,B33/B10,0)</f>
        <v>0.24866266638667983</v>
      </c>
      <c r="C34" s="13">
        <f t="shared" si="20"/>
        <v>0.24792057981125976</v>
      </c>
      <c r="D34" s="13">
        <f t="shared" si="20"/>
        <v>0.24621378068779395</v>
      </c>
      <c r="E34" s="13">
        <f t="shared" si="20"/>
        <v>0.24412769287022462</v>
      </c>
      <c r="F34" s="13">
        <f t="shared" si="20"/>
        <v>0.24290058238930162</v>
      </c>
      <c r="G34" s="13">
        <f t="shared" si="20"/>
        <v>0.24152008309826328</v>
      </c>
      <c r="H34" s="13">
        <f t="shared" si="20"/>
        <v>0.24152008309826328</v>
      </c>
      <c r="I34" s="13">
        <f t="shared" si="20"/>
        <v>0.24290058238930162</v>
      </c>
      <c r="J34" s="13">
        <f t="shared" si="20"/>
        <v>0.24522563382684032</v>
      </c>
      <c r="K34" s="13">
        <f t="shared" si="20"/>
        <v>0.24710781832389508</v>
      </c>
      <c r="L34" s="13">
        <f t="shared" si="20"/>
        <v>0.24866266638667983</v>
      </c>
      <c r="M34" s="13">
        <f t="shared" si="20"/>
        <v>0.25157800650440049</v>
      </c>
      <c r="N34" s="13">
        <f t="shared" si="20"/>
        <v>0.26457874164037581</v>
      </c>
      <c r="O34" s="13">
        <f t="shared" si="20"/>
        <v>0.26392120301948896</v>
      </c>
      <c r="P34" s="13">
        <f t="shared" si="20"/>
        <v>0.26240886419144976</v>
      </c>
      <c r="Q34" s="13">
        <f t="shared" si="20"/>
        <v>0.26056045006829076</v>
      </c>
      <c r="R34" s="13">
        <f t="shared" si="20"/>
        <v>0.25947314764290313</v>
      </c>
      <c r="S34" s="13">
        <f t="shared" si="20"/>
        <v>0.2582499324143418</v>
      </c>
      <c r="T34" s="13">
        <f t="shared" si="20"/>
        <v>0.2582499324143418</v>
      </c>
      <c r="U34" s="13">
        <f t="shared" si="20"/>
        <v>0.25947314764290313</v>
      </c>
      <c r="V34" s="13">
        <f t="shared" si="20"/>
        <v>0.26153329960679517</v>
      </c>
      <c r="W34" s="13">
        <f t="shared" si="20"/>
        <v>0.26320104167280378</v>
      </c>
      <c r="X34" s="13">
        <f t="shared" si="20"/>
        <v>0.26457874164037581</v>
      </c>
      <c r="Y34" s="13">
        <f t="shared" si="20"/>
        <v>0.26716192907957292</v>
      </c>
      <c r="Z34" s="13">
        <f t="shared" si="20"/>
        <v>0.27942090132177738</v>
      </c>
      <c r="AA34" s="13">
        <f t="shared" si="20"/>
        <v>0.27883779785440249</v>
      </c>
      <c r="AB34" s="13">
        <f t="shared" si="20"/>
        <v>0.27749665987944094</v>
      </c>
      <c r="AC34" s="13">
        <f t="shared" si="20"/>
        <v>0.27585749124337611</v>
      </c>
      <c r="AD34" s="13">
        <f t="shared" si="20"/>
        <v>0.27489327439863248</v>
      </c>
      <c r="AE34" s="13">
        <f t="shared" si="20"/>
        <v>0.27380853044829534</v>
      </c>
      <c r="AF34" s="13">
        <f t="shared" si="20"/>
        <v>0.27380853044829534</v>
      </c>
      <c r="AG34" s="13">
        <f t="shared" si="20"/>
        <v>0.27489327439863248</v>
      </c>
      <c r="AH34" s="13">
        <f t="shared" ref="AH34:BM34" si="21">IF(AH10&gt;0,AH33/AH10,0)</f>
        <v>0.27672021157814708</v>
      </c>
      <c r="AI34" s="13">
        <f t="shared" si="21"/>
        <v>0.27819916072346829</v>
      </c>
      <c r="AJ34" s="13">
        <f t="shared" si="21"/>
        <v>0.27942090132177738</v>
      </c>
      <c r="AK34" s="13">
        <f t="shared" si="21"/>
        <v>0.28171166494360661</v>
      </c>
      <c r="AL34" s="13">
        <f t="shared" si="21"/>
        <v>0.29307403995688575</v>
      </c>
      <c r="AM34" s="13">
        <f t="shared" si="21"/>
        <v>0.29254678078768831</v>
      </c>
      <c r="AN34" s="13">
        <f t="shared" si="21"/>
        <v>0.29133408469853439</v>
      </c>
      <c r="AO34" s="13">
        <f t="shared" si="21"/>
        <v>0.28985190058956789</v>
      </c>
      <c r="AP34" s="13">
        <f t="shared" si="21"/>
        <v>0.28898002758429397</v>
      </c>
      <c r="AQ34" s="13">
        <f t="shared" si="21"/>
        <v>0.28799917045336038</v>
      </c>
      <c r="AR34" s="13">
        <f t="shared" si="21"/>
        <v>0.28799917045336038</v>
      </c>
      <c r="AS34" s="13">
        <f t="shared" si="21"/>
        <v>0.28898002758429397</v>
      </c>
      <c r="AT34" s="13">
        <f t="shared" si="21"/>
        <v>0.2906319974890238</v>
      </c>
      <c r="AU34" s="13">
        <f t="shared" si="21"/>
        <v>0.29196930645951968</v>
      </c>
      <c r="AV34" s="13">
        <f t="shared" si="21"/>
        <v>0.29307403995688575</v>
      </c>
      <c r="AW34" s="13">
        <f t="shared" si="21"/>
        <v>0.29514541526444715</v>
      </c>
      <c r="AX34" s="13">
        <f t="shared" si="21"/>
        <v>0.30588551089190996</v>
      </c>
      <c r="AY34" s="13">
        <f t="shared" si="21"/>
        <v>0.30540840003286612</v>
      </c>
      <c r="AZ34" s="13">
        <f t="shared" si="21"/>
        <v>0.30431104505706558</v>
      </c>
      <c r="BA34" s="13">
        <f t="shared" si="21"/>
        <v>0.3029698334199763</v>
      </c>
      <c r="BB34" s="13">
        <f t="shared" si="21"/>
        <v>0.30218088539815902</v>
      </c>
      <c r="BC34" s="13">
        <f t="shared" si="21"/>
        <v>0.30129331887361444</v>
      </c>
      <c r="BD34" s="13">
        <f t="shared" si="21"/>
        <v>0.30129331887361444</v>
      </c>
      <c r="BE34" s="13">
        <f t="shared" si="21"/>
        <v>0.30218088539815902</v>
      </c>
      <c r="BF34" s="13">
        <f t="shared" si="21"/>
        <v>0.30367573428160222</v>
      </c>
      <c r="BG34" s="13">
        <f t="shared" si="21"/>
        <v>0.30488585004438973</v>
      </c>
      <c r="BH34" s="13">
        <f t="shared" si="21"/>
        <v>0.30588551089190996</v>
      </c>
      <c r="BI34" s="13">
        <f t="shared" si="21"/>
        <v>0.30775987498100993</v>
      </c>
      <c r="BJ34" s="13">
        <f t="shared" si="21"/>
        <v>0.31774332254560228</v>
      </c>
      <c r="BK34" s="13">
        <f t="shared" si="21"/>
        <v>0.31730298513373367</v>
      </c>
      <c r="BL34" s="13">
        <f t="shared" si="21"/>
        <v>0.31629020908643429</v>
      </c>
      <c r="BM34" s="13">
        <f t="shared" si="21"/>
        <v>0.31505237169529066</v>
      </c>
      <c r="BN34" s="13">
        <f t="shared" ref="BN34:CS34" si="22">IF(BN10&gt;0,BN33/BN10,0)</f>
        <v>0.31432423205344184</v>
      </c>
      <c r="BO34" s="13">
        <f t="shared" si="22"/>
        <v>0.31350507495636171</v>
      </c>
      <c r="BP34" s="13">
        <f t="shared" si="22"/>
        <v>0.31350507495636171</v>
      </c>
      <c r="BQ34" s="13">
        <f t="shared" si="22"/>
        <v>0.31432423205344184</v>
      </c>
      <c r="BR34" s="13">
        <f t="shared" si="22"/>
        <v>0.31570386505905035</v>
      </c>
      <c r="BS34" s="13">
        <f t="shared" si="22"/>
        <v>0.31682071082549573</v>
      </c>
      <c r="BT34" s="13">
        <f t="shared" si="22"/>
        <v>0.31774332254560228</v>
      </c>
      <c r="BU34" s="13">
        <f t="shared" si="22"/>
        <v>0.31947321952080271</v>
      </c>
      <c r="BV34" s="13">
        <f t="shared" si="22"/>
        <v>0.32892464603673643</v>
      </c>
      <c r="BW34" s="13">
        <f t="shared" si="22"/>
        <v>0.32851798380563391</v>
      </c>
      <c r="BX34" s="13">
        <f t="shared" si="22"/>
        <v>0.32758266067409814</v>
      </c>
      <c r="BY34" s="13">
        <f t="shared" si="22"/>
        <v>0.32643948795777611</v>
      </c>
      <c r="BZ34" s="13">
        <f t="shared" si="22"/>
        <v>0.32576703341876334</v>
      </c>
      <c r="CA34" s="13">
        <f t="shared" si="22"/>
        <v>0.32501052206237391</v>
      </c>
      <c r="CB34" s="13">
        <f t="shared" si="22"/>
        <v>0.32501052206237391</v>
      </c>
      <c r="CC34" s="13">
        <f t="shared" si="22"/>
        <v>0.32576703341876334</v>
      </c>
      <c r="CD34" s="13">
        <f t="shared" si="22"/>
        <v>0.32704115780847187</v>
      </c>
      <c r="CE34" s="13">
        <f t="shared" si="22"/>
        <v>0.32807259183823589</v>
      </c>
      <c r="CF34" s="13">
        <f t="shared" si="22"/>
        <v>0.32892464603673643</v>
      </c>
      <c r="CG34" s="13">
        <f t="shared" si="22"/>
        <v>0.33052224765892557</v>
      </c>
      <c r="CH34" s="13">
        <f t="shared" si="22"/>
        <v>0.33948187501180693</v>
      </c>
      <c r="CI34" s="13">
        <f t="shared" si="22"/>
        <v>0.33910608199504999</v>
      </c>
      <c r="CJ34" s="13">
        <f t="shared" si="22"/>
        <v>0.33824175805650913</v>
      </c>
      <c r="CK34" s="13">
        <f t="shared" si="22"/>
        <v>0.33718536213162614</v>
      </c>
      <c r="CL34" s="13">
        <f t="shared" si="22"/>
        <v>0.33656395276404788</v>
      </c>
      <c r="CM34" s="13">
        <f t="shared" si="22"/>
        <v>0.335864867225522</v>
      </c>
      <c r="CN34" s="13">
        <f t="shared" si="22"/>
        <v>0.335864867225522</v>
      </c>
      <c r="CO34" s="13">
        <f t="shared" si="22"/>
        <v>0.33656395276404788</v>
      </c>
      <c r="CP34" s="13">
        <f t="shared" si="22"/>
        <v>0.33774135998682775</v>
      </c>
      <c r="CQ34" s="13">
        <f t="shared" si="22"/>
        <v>0.33869449916717326</v>
      </c>
      <c r="CR34" s="13">
        <f t="shared" si="22"/>
        <v>0.33948187501180693</v>
      </c>
      <c r="CS34" s="13">
        <f t="shared" si="22"/>
        <v>0.3409582047204946</v>
      </c>
      <c r="CT34" s="13">
        <f t="shared" ref="CT34:DY34" si="23">IF(CT10&gt;0,CT33/CT10,0)</f>
        <v>0.34946221489432222</v>
      </c>
      <c r="CU34" s="13">
        <f t="shared" si="23"/>
        <v>0.34911474596595937</v>
      </c>
      <c r="CV34" s="13">
        <f t="shared" si="23"/>
        <v>0.34831556743072495</v>
      </c>
      <c r="CW34" s="13">
        <f t="shared" si="23"/>
        <v>0.34733879366543879</v>
      </c>
      <c r="CX34" s="13">
        <f t="shared" si="23"/>
        <v>0.34676422086232905</v>
      </c>
      <c r="CY34" s="13">
        <f t="shared" si="23"/>
        <v>0.34611782645883049</v>
      </c>
      <c r="CZ34" s="13">
        <f t="shared" si="23"/>
        <v>0.34611782645883049</v>
      </c>
      <c r="DA34" s="13">
        <f t="shared" si="23"/>
        <v>0.34676422086232905</v>
      </c>
      <c r="DB34" s="13">
        <f t="shared" si="23"/>
        <v>0.3478528851208525</v>
      </c>
      <c r="DC34" s="13">
        <f t="shared" si="23"/>
        <v>0.34873418475870488</v>
      </c>
      <c r="DD34" s="13">
        <f t="shared" si="23"/>
        <v>0.34946221489432222</v>
      </c>
      <c r="DE34" s="13">
        <f t="shared" si="23"/>
        <v>0.3508272713986042</v>
      </c>
      <c r="DF34" s="13">
        <f t="shared" si="23"/>
        <v>0.35890830549067193</v>
      </c>
      <c r="DG34" s="13">
        <f t="shared" si="23"/>
        <v>0.35858684879760311</v>
      </c>
      <c r="DH34" s="13">
        <f t="shared" si="23"/>
        <v>0.35784749840354441</v>
      </c>
      <c r="DI34" s="13">
        <f t="shared" si="23"/>
        <v>0.35694384792191725</v>
      </c>
      <c r="DJ34" s="13">
        <f t="shared" si="23"/>
        <v>0.35641228881507758</v>
      </c>
      <c r="DK34" s="13">
        <f t="shared" si="23"/>
        <v>0.3558142848198832</v>
      </c>
      <c r="DL34" s="13">
        <f t="shared" si="23"/>
        <v>0.3558142848198832</v>
      </c>
      <c r="DM34" s="13">
        <f t="shared" si="23"/>
        <v>0.35641228881507758</v>
      </c>
      <c r="DN34" s="13">
        <f t="shared" si="23"/>
        <v>0.35741945343856318</v>
      </c>
      <c r="DO34" s="13">
        <f t="shared" si="23"/>
        <v>0.35823477718138469</v>
      </c>
      <c r="DP34" s="13">
        <f t="shared" si="23"/>
        <v>0.35890830549067193</v>
      </c>
      <c r="DQ34" s="13">
        <f t="shared" si="23"/>
        <v>0.3601711710705861</v>
      </c>
    </row>
    <row r="36" spans="1:121" ht="15" customHeight="1">
      <c r="A36" t="s">
        <v>499</v>
      </c>
      <c r="B36" s="22">
        <f>-Calc_Debt!B21</f>
        <v>-139.58333333333331</v>
      </c>
      <c r="C36" s="22">
        <f>-Calc_Debt!C21</f>
        <v>-137.97123015873018</v>
      </c>
      <c r="D36" s="22">
        <f>-Calc_Debt!D21</f>
        <v>-136.35912698412699</v>
      </c>
      <c r="E36" s="22">
        <f>-Calc_Debt!E21</f>
        <v>-134.74702380952382</v>
      </c>
      <c r="F36" s="22">
        <f>-Calc_Debt!F21</f>
        <v>-133.13492063492066</v>
      </c>
      <c r="G36" s="22">
        <f>-Calc_Debt!G21</f>
        <v>-131.5228174603175</v>
      </c>
      <c r="H36" s="22">
        <f>-Calc_Debt!H21</f>
        <v>-129.91071428571436</v>
      </c>
      <c r="I36" s="22">
        <f>-Calc_Debt!I21</f>
        <v>-128.29861111111117</v>
      </c>
      <c r="J36" s="22">
        <f>-Calc_Debt!J21</f>
        <v>-126.68650793650801</v>
      </c>
      <c r="K36" s="22">
        <f>-Calc_Debt!K21</f>
        <v>-125.07440476190486</v>
      </c>
      <c r="L36" s="22">
        <f>-Calc_Debt!L21</f>
        <v>-123.46230158730168</v>
      </c>
      <c r="M36" s="22">
        <f>-Calc_Debt!M21</f>
        <v>-121.85019841269853</v>
      </c>
      <c r="N36" s="22">
        <f>-Calc_Debt!N21</f>
        <v>-120.23809523809535</v>
      </c>
      <c r="O36" s="22">
        <f>-Calc_Debt!O21</f>
        <v>-118.62599206349219</v>
      </c>
      <c r="P36" s="22">
        <f>-Calc_Debt!P21</f>
        <v>-117.01388888888903</v>
      </c>
      <c r="Q36" s="22">
        <f>-Calc_Debt!Q21</f>
        <v>-115.40178571428586</v>
      </c>
      <c r="R36" s="22">
        <f>-Calc_Debt!R21</f>
        <v>-113.7896825396827</v>
      </c>
      <c r="S36" s="22">
        <f>-Calc_Debt!S21</f>
        <v>-112.17757936507954</v>
      </c>
      <c r="T36" s="22">
        <f>-Calc_Debt!T21</f>
        <v>-110.56547619047636</v>
      </c>
      <c r="U36" s="22">
        <f>-Calc_Debt!U21</f>
        <v>-108.95337301587321</v>
      </c>
      <c r="V36" s="22">
        <f>-Calc_Debt!V21</f>
        <v>-107.34126984127003</v>
      </c>
      <c r="W36" s="22">
        <f>-Calc_Debt!W21</f>
        <v>-105.72916666666688</v>
      </c>
      <c r="X36" s="22">
        <f>-Calc_Debt!X21</f>
        <v>-104.11706349206371</v>
      </c>
      <c r="Y36" s="22">
        <f>-Calc_Debt!Y21</f>
        <v>-102.50496031746053</v>
      </c>
      <c r="Z36" s="22">
        <f>-Calc_Debt!Z21</f>
        <v>-100.89285714285738</v>
      </c>
      <c r="AA36" s="22">
        <f>-Calc_Debt!AA21</f>
        <v>-99.280753968254203</v>
      </c>
      <c r="AB36" s="22">
        <f>-Calc_Debt!AB21</f>
        <v>-97.668650793651054</v>
      </c>
      <c r="AC36" s="22">
        <f>-Calc_Debt!AC21</f>
        <v>-96.056547619047876</v>
      </c>
      <c r="AD36" s="22">
        <f>-Calc_Debt!AD21</f>
        <v>-94.444444444444713</v>
      </c>
      <c r="AE36" s="22">
        <f>-Calc_Debt!AE21</f>
        <v>-92.832341269841535</v>
      </c>
      <c r="AF36" s="22">
        <f>-Calc_Debt!AF21</f>
        <v>-91.220238095238358</v>
      </c>
      <c r="AG36" s="22">
        <f>-Calc_Debt!AG21</f>
        <v>-89.608134920635194</v>
      </c>
      <c r="AH36" s="22">
        <f>-Calc_Debt!AH21</f>
        <v>-87.996031746032017</v>
      </c>
      <c r="AI36" s="22">
        <f>-Calc_Debt!AI21</f>
        <v>-86.383928571428839</v>
      </c>
      <c r="AJ36" s="22">
        <f>-Calc_Debt!AJ21</f>
        <v>-84.771825396825662</v>
      </c>
      <c r="AK36" s="22">
        <f>-Calc_Debt!AK21</f>
        <v>-83.159722222222484</v>
      </c>
      <c r="AL36" s="22">
        <f>-Calc_Debt!AL21</f>
        <v>-81.547619047619321</v>
      </c>
      <c r="AM36" s="22">
        <f>-Calc_Debt!AM21</f>
        <v>-79.935515873016143</v>
      </c>
      <c r="AN36" s="22">
        <f>-Calc_Debt!AN21</f>
        <v>-78.323412698412966</v>
      </c>
      <c r="AO36" s="22">
        <f>-Calc_Debt!AO21</f>
        <v>-76.711309523809788</v>
      </c>
      <c r="AP36" s="22">
        <f>-Calc_Debt!AP21</f>
        <v>-75.099206349206611</v>
      </c>
      <c r="AQ36" s="22">
        <f>-Calc_Debt!AQ21</f>
        <v>-73.487103174603448</v>
      </c>
      <c r="AR36" s="22">
        <f>-Calc_Debt!AR21</f>
        <v>-71.875000000000256</v>
      </c>
      <c r="AS36" s="22">
        <f>-Calc_Debt!AS21</f>
        <v>-70.262896825397092</v>
      </c>
      <c r="AT36" s="22">
        <f>-Calc_Debt!AT21</f>
        <v>-68.650793650793915</v>
      </c>
      <c r="AU36" s="22">
        <f>-Calc_Debt!AU21</f>
        <v>-67.038690476190737</v>
      </c>
      <c r="AV36" s="22">
        <f>-Calc_Debt!AV21</f>
        <v>-65.42658730158756</v>
      </c>
      <c r="AW36" s="22">
        <f>-Calc_Debt!AW21</f>
        <v>-63.814484126984382</v>
      </c>
      <c r="AX36" s="22">
        <f>-Calc_Debt!AX21</f>
        <v>-62.202380952381205</v>
      </c>
      <c r="AY36" s="22">
        <f>-Calc_Debt!AY21</f>
        <v>-60.590277777778034</v>
      </c>
      <c r="AZ36" s="22">
        <f>-Calc_Debt!AZ21</f>
        <v>-58.97817460317485</v>
      </c>
      <c r="BA36" s="22">
        <f>-Calc_Debt!BA21</f>
        <v>-57.366071428571679</v>
      </c>
      <c r="BB36" s="22">
        <f>-Calc_Debt!BB21</f>
        <v>-55.753968253968509</v>
      </c>
      <c r="BC36" s="22">
        <f>-Calc_Debt!BC21</f>
        <v>-54.141865079365331</v>
      </c>
      <c r="BD36" s="22">
        <f>-Calc_Debt!BD21</f>
        <v>-52.529761904762154</v>
      </c>
      <c r="BE36" s="22">
        <f>-Calc_Debt!BE21</f>
        <v>-50.917658730158976</v>
      </c>
      <c r="BF36" s="22">
        <f>-Calc_Debt!BF21</f>
        <v>-49.305555555555806</v>
      </c>
      <c r="BG36" s="22">
        <f>-Calc_Debt!BG21</f>
        <v>-47.693452380952635</v>
      </c>
      <c r="BH36" s="22">
        <f>-Calc_Debt!BH21</f>
        <v>-46.081349206349458</v>
      </c>
      <c r="BI36" s="22">
        <f>-Calc_Debt!BI21</f>
        <v>-44.46924603174628</v>
      </c>
      <c r="BJ36" s="22">
        <f>-Calc_Debt!BJ21</f>
        <v>-42.857142857143103</v>
      </c>
      <c r="BK36" s="22">
        <f>-Calc_Debt!BK21</f>
        <v>-41.245039682539925</v>
      </c>
      <c r="BL36" s="22">
        <f>-Calc_Debt!BL21</f>
        <v>-39.632936507936755</v>
      </c>
      <c r="BM36" s="22">
        <f>-Calc_Debt!BM21</f>
        <v>-38.020833333333577</v>
      </c>
      <c r="BN36" s="22">
        <f>-Calc_Debt!BN21</f>
        <v>-36.408730158730407</v>
      </c>
      <c r="BO36" s="22">
        <f>-Calc_Debt!BO21</f>
        <v>-34.796626984127229</v>
      </c>
      <c r="BP36" s="22">
        <f>-Calc_Debt!BP21</f>
        <v>-33.184523809524059</v>
      </c>
      <c r="BQ36" s="22">
        <f>-Calc_Debt!BQ21</f>
        <v>-31.572420634920881</v>
      </c>
      <c r="BR36" s="22">
        <f>-Calc_Debt!BR21</f>
        <v>-29.960317460317707</v>
      </c>
      <c r="BS36" s="22">
        <f>-Calc_Debt!BS21</f>
        <v>-28.34821428571453</v>
      </c>
      <c r="BT36" s="22">
        <f>-Calc_Debt!BT21</f>
        <v>-26.736111111111356</v>
      </c>
      <c r="BU36" s="22">
        <f>-Calc_Debt!BU21</f>
        <v>-25.124007936508182</v>
      </c>
      <c r="BV36" s="22">
        <f>-Calc_Debt!BV21</f>
        <v>-23.511904761905008</v>
      </c>
      <c r="BW36" s="22">
        <f>-Calc_Debt!BW21</f>
        <v>-21.89980158730183</v>
      </c>
      <c r="BX36" s="22">
        <f>-Calc_Debt!BX21</f>
        <v>-20.287698412698656</v>
      </c>
      <c r="BY36" s="22">
        <f>-Calc_Debt!BY21</f>
        <v>-18.675595238095479</v>
      </c>
      <c r="BZ36" s="22">
        <f>-Calc_Debt!BZ21</f>
        <v>-17.063492063492305</v>
      </c>
      <c r="CA36" s="22">
        <f>-Calc_Debt!CA21</f>
        <v>-15.451388888889131</v>
      </c>
      <c r="CB36" s="22">
        <f>-Calc_Debt!CB21</f>
        <v>-13.839285714285953</v>
      </c>
      <c r="CC36" s="22">
        <f>-Calc_Debt!CC21</f>
        <v>-12.227182539682779</v>
      </c>
      <c r="CD36" s="22">
        <f>-Calc_Debt!CD21</f>
        <v>-10.615079365079605</v>
      </c>
      <c r="CE36" s="22">
        <f>-Calc_Debt!CE21</f>
        <v>-9.0029761904764278</v>
      </c>
      <c r="CF36" s="22">
        <f>-Calc_Debt!CF21</f>
        <v>-7.3908730158732538</v>
      </c>
      <c r="CG36" s="22">
        <f>-Calc_Debt!CG21</f>
        <v>-5.778769841270079</v>
      </c>
      <c r="CH36" s="22">
        <f>-Calc_Debt!CH21</f>
        <v>-4.1666666666669041</v>
      </c>
      <c r="CI36" s="22">
        <f>-Calc_Debt!CI21</f>
        <v>-4.166666666666667</v>
      </c>
      <c r="CJ36" s="22">
        <f>-Calc_Debt!CJ21</f>
        <v>-4.166666666666667</v>
      </c>
      <c r="CK36" s="22">
        <f>-Calc_Debt!CK21</f>
        <v>-4.166666666666667</v>
      </c>
      <c r="CL36" s="22">
        <f>-Calc_Debt!CL21</f>
        <v>-4.166666666666667</v>
      </c>
      <c r="CM36" s="22">
        <f>-Calc_Debt!CM21</f>
        <v>-4.166666666666667</v>
      </c>
      <c r="CN36" s="22">
        <f>-Calc_Debt!CN21</f>
        <v>-4.166666666666667</v>
      </c>
      <c r="CO36" s="22">
        <f>-Calc_Debt!CO21</f>
        <v>-4.166666666666667</v>
      </c>
      <c r="CP36" s="22">
        <f>-Calc_Debt!CP21</f>
        <v>-4.166666666666667</v>
      </c>
      <c r="CQ36" s="22">
        <f>-Calc_Debt!CQ21</f>
        <v>-4.166666666666667</v>
      </c>
      <c r="CR36" s="22">
        <f>-Calc_Debt!CR21</f>
        <v>-4.166666666666667</v>
      </c>
      <c r="CS36" s="22">
        <f>-Calc_Debt!CS21</f>
        <v>-4.166666666666667</v>
      </c>
      <c r="CT36" s="22">
        <f>-Calc_Debt!CT21</f>
        <v>-4.166666666666667</v>
      </c>
      <c r="CU36" s="22">
        <f>-Calc_Debt!CU21</f>
        <v>-4.166666666666667</v>
      </c>
      <c r="CV36" s="22">
        <f>-Calc_Debt!CV21</f>
        <v>-4.166666666666667</v>
      </c>
      <c r="CW36" s="22">
        <f>-Calc_Debt!CW21</f>
        <v>-4.166666666666667</v>
      </c>
      <c r="CX36" s="22">
        <f>-Calc_Debt!CX21</f>
        <v>-4.166666666666667</v>
      </c>
      <c r="CY36" s="22">
        <f>-Calc_Debt!CY21</f>
        <v>-4.166666666666667</v>
      </c>
      <c r="CZ36" s="22">
        <f>-Calc_Debt!CZ21</f>
        <v>-4.166666666666667</v>
      </c>
      <c r="DA36" s="22">
        <f>-Calc_Debt!DA21</f>
        <v>-4.166666666666667</v>
      </c>
      <c r="DB36" s="22">
        <f>-Calc_Debt!DB21</f>
        <v>-4.166666666666667</v>
      </c>
      <c r="DC36" s="22">
        <f>-Calc_Debt!DC21</f>
        <v>-4.166666666666667</v>
      </c>
      <c r="DD36" s="22">
        <f>-Calc_Debt!DD21</f>
        <v>-4.166666666666667</v>
      </c>
      <c r="DE36" s="22">
        <f>-Calc_Debt!DE21</f>
        <v>-4.166666666666667</v>
      </c>
      <c r="DF36" s="22">
        <f>-Calc_Debt!DF21</f>
        <v>-4.166666666666667</v>
      </c>
      <c r="DG36" s="22">
        <f>-Calc_Debt!DG21</f>
        <v>-4.166666666666667</v>
      </c>
      <c r="DH36" s="22">
        <f>-Calc_Debt!DH21</f>
        <v>-4.166666666666667</v>
      </c>
      <c r="DI36" s="22">
        <f>-Calc_Debt!DI21</f>
        <v>-4.166666666666667</v>
      </c>
      <c r="DJ36" s="22">
        <f>-Calc_Debt!DJ21</f>
        <v>-4.166666666666667</v>
      </c>
      <c r="DK36" s="22">
        <f>-Calc_Debt!DK21</f>
        <v>-4.166666666666667</v>
      </c>
      <c r="DL36" s="22">
        <f>-Calc_Debt!DL21</f>
        <v>-4.166666666666667</v>
      </c>
      <c r="DM36" s="22">
        <f>-Calc_Debt!DM21</f>
        <v>-4.166666666666667</v>
      </c>
      <c r="DN36" s="22">
        <f>-Calc_Debt!DN21</f>
        <v>-4.166666666666667</v>
      </c>
      <c r="DO36" s="22">
        <f>-Calc_Debt!DO21</f>
        <v>-4.166666666666667</v>
      </c>
      <c r="DP36" s="22">
        <f>-Calc_Debt!DP21</f>
        <v>-4.166666666666667</v>
      </c>
      <c r="DQ36" s="22">
        <f>-Calc_Debt!DQ21</f>
        <v>-4.166666666666667</v>
      </c>
    </row>
    <row r="37" spans="1:121" ht="15" customHeight="1">
      <c r="A37" s="14" t="s">
        <v>524</v>
      </c>
      <c r="B37" s="29">
        <f t="shared" ref="B37:AG37" si="24">B33+B36</f>
        <v>5582.683472222232</v>
      </c>
      <c r="C37" s="29">
        <f t="shared" si="24"/>
        <v>5319.1668253968292</v>
      </c>
      <c r="D37" s="29">
        <f t="shared" si="24"/>
        <v>4790.5214285714292</v>
      </c>
      <c r="E37" s="29">
        <f t="shared" si="24"/>
        <v>4261.8760317460292</v>
      </c>
      <c r="F37" s="29">
        <f t="shared" si="24"/>
        <v>3998.3593849206345</v>
      </c>
      <c r="G37" s="29">
        <f t="shared" si="24"/>
        <v>3734.8427380952394</v>
      </c>
      <c r="H37" s="29">
        <f t="shared" si="24"/>
        <v>3736.4548412698427</v>
      </c>
      <c r="I37" s="29">
        <f t="shared" si="24"/>
        <v>4003.1956944444437</v>
      </c>
      <c r="J37" s="29">
        <f t="shared" si="24"/>
        <v>4535.0652976190522</v>
      </c>
      <c r="K37" s="29">
        <f t="shared" si="24"/>
        <v>5066.9349007936535</v>
      </c>
      <c r="L37" s="29">
        <f t="shared" si="24"/>
        <v>5598.8045039682638</v>
      </c>
      <c r="M37" s="29">
        <f t="shared" si="24"/>
        <v>6926.0603571428583</v>
      </c>
      <c r="N37" s="29">
        <f t="shared" si="24"/>
        <v>6751.1704768174668</v>
      </c>
      <c r="O37" s="29">
        <f t="shared" si="24"/>
        <v>6437.6911444920624</v>
      </c>
      <c r="P37" s="29">
        <f t="shared" si="24"/>
        <v>5809.1203766666649</v>
      </c>
      <c r="Q37" s="29">
        <f t="shared" si="24"/>
        <v>5180.5496088412683</v>
      </c>
      <c r="R37" s="29">
        <f t="shared" si="24"/>
        <v>4867.0702765158712</v>
      </c>
      <c r="S37" s="29">
        <f t="shared" si="24"/>
        <v>4553.5909441904705</v>
      </c>
      <c r="T37" s="29">
        <f t="shared" si="24"/>
        <v>4555.2030473650739</v>
      </c>
      <c r="U37" s="29">
        <f t="shared" si="24"/>
        <v>4871.9065860396813</v>
      </c>
      <c r="V37" s="29">
        <f t="shared" si="24"/>
        <v>5503.7015602142737</v>
      </c>
      <c r="W37" s="29">
        <f t="shared" si="24"/>
        <v>6135.4965343888925</v>
      </c>
      <c r="X37" s="29">
        <f t="shared" si="24"/>
        <v>6767.2915085634986</v>
      </c>
      <c r="Y37" s="29">
        <f t="shared" si="24"/>
        <v>8344.3607892380915</v>
      </c>
      <c r="Z37" s="29">
        <f t="shared" si="24"/>
        <v>8082.3484434481998</v>
      </c>
      <c r="AA37" s="29">
        <f t="shared" si="24"/>
        <v>7711.8329055342992</v>
      </c>
      <c r="AB37" s="29">
        <f t="shared" si="24"/>
        <v>6969.1897265319112</v>
      </c>
      <c r="AC37" s="29">
        <f t="shared" si="24"/>
        <v>6226.5465475295032</v>
      </c>
      <c r="AD37" s="29">
        <f t="shared" si="24"/>
        <v>5856.0310096156154</v>
      </c>
      <c r="AE37" s="29">
        <f t="shared" si="24"/>
        <v>5485.5154717017067</v>
      </c>
      <c r="AF37" s="29">
        <f t="shared" si="24"/>
        <v>5487.1275748763101</v>
      </c>
      <c r="AG37" s="29">
        <f t="shared" si="24"/>
        <v>5860.8673191394246</v>
      </c>
      <c r="AH37" s="29">
        <f t="shared" ref="AH37:BM37" si="25">AH33+AH36</f>
        <v>6606.7347044910248</v>
      </c>
      <c r="AI37" s="29">
        <f t="shared" si="25"/>
        <v>7352.6020898426232</v>
      </c>
      <c r="AJ37" s="29">
        <f t="shared" si="25"/>
        <v>8098.4694751942316</v>
      </c>
      <c r="AK37" s="29">
        <f t="shared" si="25"/>
        <v>9960.7197838113316</v>
      </c>
      <c r="AL37" s="29">
        <f t="shared" si="25"/>
        <v>9410.6178916052031</v>
      </c>
      <c r="AM37" s="29">
        <f t="shared" si="25"/>
        <v>8983.1926054277556</v>
      </c>
      <c r="AN37" s="29">
        <f t="shared" si="25"/>
        <v>8126.7299298982553</v>
      </c>
      <c r="AO37" s="29">
        <f t="shared" si="25"/>
        <v>7270.2672543687331</v>
      </c>
      <c r="AP37" s="29">
        <f t="shared" si="25"/>
        <v>6842.8419681912901</v>
      </c>
      <c r="AQ37" s="29">
        <f t="shared" si="25"/>
        <v>6415.4166820138344</v>
      </c>
      <c r="AR37" s="29">
        <f t="shared" si="25"/>
        <v>6417.0287851884377</v>
      </c>
      <c r="AS37" s="29">
        <f t="shared" si="25"/>
        <v>6847.6782777151002</v>
      </c>
      <c r="AT37" s="29">
        <f t="shared" si="25"/>
        <v>7707.3651595938045</v>
      </c>
      <c r="AU37" s="29">
        <f t="shared" si="25"/>
        <v>8567.0520414725252</v>
      </c>
      <c r="AV37" s="29">
        <f t="shared" si="25"/>
        <v>9426.7389233512349</v>
      </c>
      <c r="AW37" s="29">
        <f t="shared" si="25"/>
        <v>11573.537973286117</v>
      </c>
      <c r="AX37" s="29">
        <f t="shared" si="25"/>
        <v>10886.223860019534</v>
      </c>
      <c r="AY37" s="29">
        <f t="shared" si="25"/>
        <v>10395.48288991516</v>
      </c>
      <c r="AZ37" s="29">
        <f t="shared" si="25"/>
        <v>9412.3888465318141</v>
      </c>
      <c r="BA37" s="29">
        <f t="shared" si="25"/>
        <v>8429.2948031484775</v>
      </c>
      <c r="BB37" s="29">
        <f t="shared" si="25"/>
        <v>7938.5538330441132</v>
      </c>
      <c r="BC37" s="29">
        <f t="shared" si="25"/>
        <v>7447.8128629397406</v>
      </c>
      <c r="BD37" s="29">
        <f t="shared" si="25"/>
        <v>7449.424966114344</v>
      </c>
      <c r="BE37" s="29">
        <f t="shared" si="25"/>
        <v>7943.3901425679223</v>
      </c>
      <c r="BF37" s="29">
        <f t="shared" si="25"/>
        <v>8929.7083923004629</v>
      </c>
      <c r="BG37" s="29">
        <f t="shared" si="25"/>
        <v>9916.0266420330136</v>
      </c>
      <c r="BH37" s="29">
        <f t="shared" si="25"/>
        <v>10902.344891765566</v>
      </c>
      <c r="BI37" s="29">
        <f t="shared" si="25"/>
        <v>13365.722361335022</v>
      </c>
      <c r="BJ37" s="29">
        <f t="shared" si="25"/>
        <v>12279.759541323523</v>
      </c>
      <c r="BK37" s="29">
        <f t="shared" si="25"/>
        <v>11729.271160644894</v>
      </c>
      <c r="BL37" s="29">
        <f t="shared" si="25"/>
        <v>10626.682296112951</v>
      </c>
      <c r="BM37" s="29">
        <f t="shared" si="25"/>
        <v>9524.09343158101</v>
      </c>
      <c r="BN37" s="29">
        <f t="shared" ref="BN37:CS37" si="26">BN33+BN36</f>
        <v>8973.6050509023571</v>
      </c>
      <c r="BO37" s="29">
        <f t="shared" si="26"/>
        <v>8423.1166702236969</v>
      </c>
      <c r="BP37" s="29">
        <f t="shared" si="26"/>
        <v>8424.7287733982994</v>
      </c>
      <c r="BQ37" s="29">
        <f t="shared" si="26"/>
        <v>8978.4413604261663</v>
      </c>
      <c r="BR37" s="29">
        <f t="shared" si="26"/>
        <v>10084.25443130729</v>
      </c>
      <c r="BS37" s="29">
        <f t="shared" si="26"/>
        <v>11190.067502188438</v>
      </c>
      <c r="BT37" s="29">
        <f t="shared" si="26"/>
        <v>12295.880573069555</v>
      </c>
      <c r="BU37" s="29">
        <f t="shared" si="26"/>
        <v>15057.995095510487</v>
      </c>
      <c r="BV37" s="29">
        <f t="shared" si="26"/>
        <v>13789.063730998176</v>
      </c>
      <c r="BW37" s="29">
        <f t="shared" si="26"/>
        <v>13173.794526337804</v>
      </c>
      <c r="BX37" s="29">
        <f t="shared" si="26"/>
        <v>11941.644013842459</v>
      </c>
      <c r="BY37" s="29">
        <f t="shared" si="26"/>
        <v>10709.493501347089</v>
      </c>
      <c r="BZ37" s="29">
        <f t="shared" si="26"/>
        <v>10094.224296686714</v>
      </c>
      <c r="CA37" s="29">
        <f t="shared" si="26"/>
        <v>9478.9550920263391</v>
      </c>
      <c r="CB37" s="29">
        <f t="shared" si="26"/>
        <v>9480.5671952009416</v>
      </c>
      <c r="CC37" s="29">
        <f t="shared" si="26"/>
        <v>10099.060606210525</v>
      </c>
      <c r="CD37" s="29">
        <f t="shared" si="26"/>
        <v>11334.43532505509</v>
      </c>
      <c r="CE37" s="29">
        <f t="shared" si="26"/>
        <v>12569.810043899652</v>
      </c>
      <c r="CF37" s="29">
        <f t="shared" si="26"/>
        <v>13805.184762744208</v>
      </c>
      <c r="CG37" s="29">
        <f t="shared" si="26"/>
        <v>16891.203405093725</v>
      </c>
      <c r="CH37" s="29">
        <f t="shared" si="26"/>
        <v>15422.780028160674</v>
      </c>
      <c r="CI37" s="29">
        <f t="shared" si="26"/>
        <v>14735.708674279294</v>
      </c>
      <c r="CJ37" s="29">
        <f t="shared" si="26"/>
        <v>13361.56596651652</v>
      </c>
      <c r="CK37" s="29">
        <f t="shared" si="26"/>
        <v>11987.423258753768</v>
      </c>
      <c r="CL37" s="29">
        <f t="shared" si="26"/>
        <v>11300.351904872388</v>
      </c>
      <c r="CM37" s="29">
        <f t="shared" si="26"/>
        <v>10613.280550990994</v>
      </c>
      <c r="CN37" s="29">
        <f t="shared" si="26"/>
        <v>10613.280550990994</v>
      </c>
      <c r="CO37" s="29">
        <f t="shared" si="26"/>
        <v>11300.351904872388</v>
      </c>
      <c r="CP37" s="29">
        <f t="shared" si="26"/>
        <v>12674.494612635144</v>
      </c>
      <c r="CQ37" s="29">
        <f t="shared" si="26"/>
        <v>14048.637320397896</v>
      </c>
      <c r="CR37" s="29">
        <f t="shared" si="26"/>
        <v>15422.780028160674</v>
      </c>
      <c r="CS37" s="29">
        <f t="shared" si="26"/>
        <v>18858.136797567586</v>
      </c>
      <c r="CT37" s="29">
        <f t="shared" ref="CT37:DY37" si="27">CT33+CT36</f>
        <v>17170.817386477316</v>
      </c>
      <c r="CU37" s="29">
        <f t="shared" si="27"/>
        <v>16407.744408321294</v>
      </c>
      <c r="CV37" s="29">
        <f t="shared" si="27"/>
        <v>14881.598452009252</v>
      </c>
      <c r="CW37" s="29">
        <f t="shared" si="27"/>
        <v>13355.452495697225</v>
      </c>
      <c r="CX37" s="29">
        <f t="shared" si="27"/>
        <v>12592.379517541203</v>
      </c>
      <c r="CY37" s="29">
        <f t="shared" si="27"/>
        <v>11829.306539385174</v>
      </c>
      <c r="CZ37" s="29">
        <f t="shared" si="27"/>
        <v>11829.306539385174</v>
      </c>
      <c r="DA37" s="29">
        <f t="shared" si="27"/>
        <v>12592.379517541203</v>
      </c>
      <c r="DB37" s="29">
        <f t="shared" si="27"/>
        <v>14118.525473853233</v>
      </c>
      <c r="DC37" s="29">
        <f t="shared" si="27"/>
        <v>15644.67143016527</v>
      </c>
      <c r="DD37" s="29">
        <f t="shared" si="27"/>
        <v>17170.817386477316</v>
      </c>
      <c r="DE37" s="29">
        <f t="shared" si="27"/>
        <v>20986.182277257391</v>
      </c>
      <c r="DF37" s="29">
        <f t="shared" si="27"/>
        <v>19062.427732167816</v>
      </c>
      <c r="DG37" s="29">
        <f t="shared" si="27"/>
        <v>18217.110825938315</v>
      </c>
      <c r="DH37" s="29">
        <f t="shared" si="27"/>
        <v>16526.477013479274</v>
      </c>
      <c r="DI37" s="29">
        <f t="shared" si="27"/>
        <v>14835.843201020243</v>
      </c>
      <c r="DJ37" s="29">
        <f t="shared" si="27"/>
        <v>13990.526294790719</v>
      </c>
      <c r="DK37" s="29">
        <f t="shared" si="27"/>
        <v>13145.209388561207</v>
      </c>
      <c r="DL37" s="29">
        <f t="shared" si="27"/>
        <v>13145.209388561207</v>
      </c>
      <c r="DM37" s="29">
        <f t="shared" si="27"/>
        <v>13990.526294790719</v>
      </c>
      <c r="DN37" s="29">
        <f t="shared" si="27"/>
        <v>15681.160107249767</v>
      </c>
      <c r="DO37" s="29">
        <f t="shared" si="27"/>
        <v>17371.793919708794</v>
      </c>
      <c r="DP37" s="29">
        <f t="shared" si="27"/>
        <v>19062.427732167816</v>
      </c>
      <c r="DQ37" s="29">
        <f t="shared" si="27"/>
        <v>23289.012263315446</v>
      </c>
    </row>
    <row r="39" spans="1:121" ht="15" customHeight="1">
      <c r="A39" t="s">
        <v>525</v>
      </c>
      <c r="B39" s="22">
        <f>-MAX(0,B37)*Control!$D$16</f>
        <v>-1674.8050416666695</v>
      </c>
      <c r="C39" s="22">
        <f>-MAX(0,C37)*Control!$D$16</f>
        <v>-1595.7500476190487</v>
      </c>
      <c r="D39" s="22">
        <f>-MAX(0,D37)*Control!$D$16</f>
        <v>-1437.1564285714287</v>
      </c>
      <c r="E39" s="22">
        <f>-MAX(0,E37)*Control!$D$16</f>
        <v>-1278.5628095238087</v>
      </c>
      <c r="F39" s="22">
        <f>-MAX(0,F37)*Control!$D$16</f>
        <v>-1199.5078154761902</v>
      </c>
      <c r="G39" s="22">
        <f>-MAX(0,G37)*Control!$D$16</f>
        <v>-1120.4528214285717</v>
      </c>
      <c r="H39" s="22">
        <f>-MAX(0,H37)*Control!$D$16</f>
        <v>-1120.9364523809527</v>
      </c>
      <c r="I39" s="22">
        <f>-MAX(0,I37)*Control!$D$16</f>
        <v>-1200.9587083333331</v>
      </c>
      <c r="J39" s="22">
        <f>-MAX(0,J37)*Control!$D$16</f>
        <v>-1360.5195892857157</v>
      </c>
      <c r="K39" s="22">
        <f>-MAX(0,K37)*Control!$D$16</f>
        <v>-1520.080470238096</v>
      </c>
      <c r="L39" s="22">
        <f>-MAX(0,L37)*Control!$D$16</f>
        <v>-1679.6413511904791</v>
      </c>
      <c r="M39" s="22">
        <f>-MAX(0,M37)*Control!$D$16</f>
        <v>-2077.8181071428576</v>
      </c>
      <c r="N39" s="22">
        <f>-MAX(0,N37)*Control!$D$16</f>
        <v>-2025.35114304524</v>
      </c>
      <c r="O39" s="22">
        <f>-MAX(0,O37)*Control!$D$16</f>
        <v>-1931.3073433476186</v>
      </c>
      <c r="P39" s="22">
        <f>-MAX(0,P37)*Control!$D$16</f>
        <v>-1742.7361129999995</v>
      </c>
      <c r="Q39" s="22">
        <f>-MAX(0,Q37)*Control!$D$16</f>
        <v>-1554.1648826523804</v>
      </c>
      <c r="R39" s="22">
        <f>-MAX(0,R37)*Control!$D$16</f>
        <v>-1460.1210829547613</v>
      </c>
      <c r="S39" s="22">
        <f>-MAX(0,S37)*Control!$D$16</f>
        <v>-1366.0772832571411</v>
      </c>
      <c r="T39" s="22">
        <f>-MAX(0,T37)*Control!$D$16</f>
        <v>-1366.560914209522</v>
      </c>
      <c r="U39" s="22">
        <f>-MAX(0,U37)*Control!$D$16</f>
        <v>-1461.5719758119044</v>
      </c>
      <c r="V39" s="22">
        <f>-MAX(0,V37)*Control!$D$16</f>
        <v>-1651.110468064282</v>
      </c>
      <c r="W39" s="22">
        <f>-MAX(0,W37)*Control!$D$16</f>
        <v>-1840.6489603166676</v>
      </c>
      <c r="X39" s="22">
        <f>-MAX(0,X37)*Control!$D$16</f>
        <v>-2030.1874525690496</v>
      </c>
      <c r="Y39" s="22">
        <f>-MAX(0,Y37)*Control!$D$16</f>
        <v>-2503.3082367714273</v>
      </c>
      <c r="Z39" s="22">
        <f>-MAX(0,Z37)*Control!$D$16</f>
        <v>-2424.7045330344599</v>
      </c>
      <c r="AA39" s="22">
        <f>-MAX(0,AA37)*Control!$D$16</f>
        <v>-2313.5498716602897</v>
      </c>
      <c r="AB39" s="22">
        <f>-MAX(0,AB37)*Control!$D$16</f>
        <v>-2090.7569179595735</v>
      </c>
      <c r="AC39" s="22">
        <f>-MAX(0,AC37)*Control!$D$16</f>
        <v>-1867.9639642588509</v>
      </c>
      <c r="AD39" s="22">
        <f>-MAX(0,AD37)*Control!$D$16</f>
        <v>-1756.8093028846845</v>
      </c>
      <c r="AE39" s="22">
        <f>-MAX(0,AE37)*Control!$D$16</f>
        <v>-1645.654641510512</v>
      </c>
      <c r="AF39" s="22">
        <f>-MAX(0,AF37)*Control!$D$16</f>
        <v>-1646.1382724628929</v>
      </c>
      <c r="AG39" s="22">
        <f>-MAX(0,AG37)*Control!$D$16</f>
        <v>-1758.2601957418274</v>
      </c>
      <c r="AH39" s="22">
        <f>-MAX(0,AH37)*Control!$D$16</f>
        <v>-1982.0204113473073</v>
      </c>
      <c r="AI39" s="22">
        <f>-MAX(0,AI37)*Control!$D$16</f>
        <v>-2205.7806269527869</v>
      </c>
      <c r="AJ39" s="22">
        <f>-MAX(0,AJ37)*Control!$D$16</f>
        <v>-2429.5408425582696</v>
      </c>
      <c r="AK39" s="22">
        <f>-MAX(0,AK37)*Control!$D$16</f>
        <v>-2988.2159351433993</v>
      </c>
      <c r="AL39" s="22">
        <f>-MAX(0,AL37)*Control!$D$16</f>
        <v>-2823.1853674815607</v>
      </c>
      <c r="AM39" s="22">
        <f>-MAX(0,AM37)*Control!$D$16</f>
        <v>-2694.9577816283268</v>
      </c>
      <c r="AN39" s="22">
        <f>-MAX(0,AN37)*Control!$D$16</f>
        <v>-2438.0189789694764</v>
      </c>
      <c r="AO39" s="22">
        <f>-MAX(0,AO37)*Control!$D$16</f>
        <v>-2181.0801763106197</v>
      </c>
      <c r="AP39" s="22">
        <f>-MAX(0,AP37)*Control!$D$16</f>
        <v>-2052.8525904573871</v>
      </c>
      <c r="AQ39" s="22">
        <f>-MAX(0,AQ37)*Control!$D$16</f>
        <v>-1924.6250046041503</v>
      </c>
      <c r="AR39" s="22">
        <f>-MAX(0,AR37)*Control!$D$16</f>
        <v>-1925.1086355565312</v>
      </c>
      <c r="AS39" s="22">
        <f>-MAX(0,AS37)*Control!$D$16</f>
        <v>-2054.3034833145298</v>
      </c>
      <c r="AT39" s="22">
        <f>-MAX(0,AT37)*Control!$D$16</f>
        <v>-2312.2095478781412</v>
      </c>
      <c r="AU39" s="22">
        <f>-MAX(0,AU37)*Control!$D$16</f>
        <v>-2570.1156124417575</v>
      </c>
      <c r="AV39" s="22">
        <f>-MAX(0,AV37)*Control!$D$16</f>
        <v>-2828.0216770053703</v>
      </c>
      <c r="AW39" s="22">
        <f>-MAX(0,AW37)*Control!$D$16</f>
        <v>-3472.0613919858347</v>
      </c>
      <c r="AX39" s="22">
        <f>-MAX(0,AX37)*Control!$D$16</f>
        <v>-3265.8671580058603</v>
      </c>
      <c r="AY39" s="22">
        <f>-MAX(0,AY37)*Control!$D$16</f>
        <v>-3118.6448669745478</v>
      </c>
      <c r="AZ39" s="22">
        <f>-MAX(0,AZ37)*Control!$D$16</f>
        <v>-2823.7166539595441</v>
      </c>
      <c r="BA39" s="22">
        <f>-MAX(0,BA37)*Control!$D$16</f>
        <v>-2528.7884409445433</v>
      </c>
      <c r="BB39" s="22">
        <f>-MAX(0,BB37)*Control!$D$16</f>
        <v>-2381.5661499132339</v>
      </c>
      <c r="BC39" s="22">
        <f>-MAX(0,BC37)*Control!$D$16</f>
        <v>-2234.3438588819222</v>
      </c>
      <c r="BD39" s="22">
        <f>-MAX(0,BD37)*Control!$D$16</f>
        <v>-2234.8274898343029</v>
      </c>
      <c r="BE39" s="22">
        <f>-MAX(0,BE37)*Control!$D$16</f>
        <v>-2383.0170427703765</v>
      </c>
      <c r="BF39" s="22">
        <f>-MAX(0,BF37)*Control!$D$16</f>
        <v>-2678.9125176901389</v>
      </c>
      <c r="BG39" s="22">
        <f>-MAX(0,BG37)*Control!$D$16</f>
        <v>-2974.807992609904</v>
      </c>
      <c r="BH39" s="22">
        <f>-MAX(0,BH37)*Control!$D$16</f>
        <v>-3270.7034675296695</v>
      </c>
      <c r="BI39" s="22">
        <f>-MAX(0,BI37)*Control!$D$16</f>
        <v>-4009.7167084005064</v>
      </c>
      <c r="BJ39" s="22">
        <f>-MAX(0,BJ37)*Control!$D$16</f>
        <v>-3683.9278623970567</v>
      </c>
      <c r="BK39" s="22">
        <f>-MAX(0,BK37)*Control!$D$16</f>
        <v>-3518.7813481934681</v>
      </c>
      <c r="BL39" s="22">
        <f>-MAX(0,BL37)*Control!$D$16</f>
        <v>-3188.0046888338852</v>
      </c>
      <c r="BM39" s="22">
        <f>-MAX(0,BM37)*Control!$D$16</f>
        <v>-2857.2280294743027</v>
      </c>
      <c r="BN39" s="22">
        <f>-MAX(0,BN37)*Control!$D$16</f>
        <v>-2692.0815152707069</v>
      </c>
      <c r="BO39" s="22">
        <f>-MAX(0,BO37)*Control!$D$16</f>
        <v>-2526.9350010671092</v>
      </c>
      <c r="BP39" s="22">
        <f>-MAX(0,BP37)*Control!$D$16</f>
        <v>-2527.4186320194899</v>
      </c>
      <c r="BQ39" s="22">
        <f>-MAX(0,BQ37)*Control!$D$16</f>
        <v>-2693.53240812785</v>
      </c>
      <c r="BR39" s="22">
        <f>-MAX(0,BR37)*Control!$D$16</f>
        <v>-3025.2763293921871</v>
      </c>
      <c r="BS39" s="22">
        <f>-MAX(0,BS37)*Control!$D$16</f>
        <v>-3357.0202506565315</v>
      </c>
      <c r="BT39" s="22">
        <f>-MAX(0,BT37)*Control!$D$16</f>
        <v>-3688.7641719208664</v>
      </c>
      <c r="BU39" s="22">
        <f>-MAX(0,BU37)*Control!$D$16</f>
        <v>-4517.3985286531461</v>
      </c>
      <c r="BV39" s="22">
        <f>-MAX(0,BV37)*Control!$D$16</f>
        <v>-4136.7191192994524</v>
      </c>
      <c r="BW39" s="22">
        <f>-MAX(0,BW37)*Control!$D$16</f>
        <v>-3952.1383579013409</v>
      </c>
      <c r="BX39" s="22">
        <f>-MAX(0,BX37)*Control!$D$16</f>
        <v>-3582.4932041527377</v>
      </c>
      <c r="BY39" s="22">
        <f>-MAX(0,BY37)*Control!$D$16</f>
        <v>-3212.8480504041268</v>
      </c>
      <c r="BZ39" s="22">
        <f>-MAX(0,BZ37)*Control!$D$16</f>
        <v>-3028.2672890060144</v>
      </c>
      <c r="CA39" s="22">
        <f>-MAX(0,CA37)*Control!$D$16</f>
        <v>-2843.6865276079016</v>
      </c>
      <c r="CB39" s="22">
        <f>-MAX(0,CB37)*Control!$D$16</f>
        <v>-2844.1701585602823</v>
      </c>
      <c r="CC39" s="22">
        <f>-MAX(0,CC37)*Control!$D$16</f>
        <v>-3029.7181818631575</v>
      </c>
      <c r="CD39" s="22">
        <f>-MAX(0,CD37)*Control!$D$16</f>
        <v>-3400.3305975165272</v>
      </c>
      <c r="CE39" s="22">
        <f>-MAX(0,CE37)*Control!$D$16</f>
        <v>-3770.9430131698955</v>
      </c>
      <c r="CF39" s="22">
        <f>-MAX(0,CF37)*Control!$D$16</f>
        <v>-4141.5554288232624</v>
      </c>
      <c r="CG39" s="22">
        <f>-MAX(0,CG37)*Control!$D$16</f>
        <v>-5067.3610215281178</v>
      </c>
      <c r="CH39" s="22">
        <f>-MAX(0,CH37)*Control!$D$16</f>
        <v>-4626.8340084482024</v>
      </c>
      <c r="CI39" s="22">
        <f>-MAX(0,CI37)*Control!$D$16</f>
        <v>-4420.7126022837883</v>
      </c>
      <c r="CJ39" s="22">
        <f>-MAX(0,CJ37)*Control!$D$16</f>
        <v>-4008.469789954956</v>
      </c>
      <c r="CK39" s="22">
        <f>-MAX(0,CK37)*Control!$D$16</f>
        <v>-3596.2269776261305</v>
      </c>
      <c r="CL39" s="22">
        <f>-MAX(0,CL37)*Control!$D$16</f>
        <v>-3390.1055714617164</v>
      </c>
      <c r="CM39" s="22">
        <f>-MAX(0,CM37)*Control!$D$16</f>
        <v>-3183.9841652972982</v>
      </c>
      <c r="CN39" s="22">
        <f>-MAX(0,CN37)*Control!$D$16</f>
        <v>-3183.9841652972982</v>
      </c>
      <c r="CO39" s="22">
        <f>-MAX(0,CO37)*Control!$D$16</f>
        <v>-3390.1055714617164</v>
      </c>
      <c r="CP39" s="22">
        <f>-MAX(0,CP37)*Control!$D$16</f>
        <v>-3802.3483837905433</v>
      </c>
      <c r="CQ39" s="22">
        <f>-MAX(0,CQ37)*Control!$D$16</f>
        <v>-4214.5911961193688</v>
      </c>
      <c r="CR39" s="22">
        <f>-MAX(0,CR37)*Control!$D$16</f>
        <v>-4626.8340084482024</v>
      </c>
      <c r="CS39" s="22">
        <f>-MAX(0,CS37)*Control!$D$16</f>
        <v>-5657.4410392702757</v>
      </c>
      <c r="CT39" s="22">
        <f>-MAX(0,CT37)*Control!$D$16</f>
        <v>-5151.245215943195</v>
      </c>
      <c r="CU39" s="22">
        <f>-MAX(0,CU37)*Control!$D$16</f>
        <v>-4922.3233224963878</v>
      </c>
      <c r="CV39" s="22">
        <f>-MAX(0,CV37)*Control!$D$16</f>
        <v>-4464.4795356027753</v>
      </c>
      <c r="CW39" s="22">
        <f>-MAX(0,CW37)*Control!$D$16</f>
        <v>-4006.6357487091673</v>
      </c>
      <c r="CX39" s="22">
        <f>-MAX(0,CX37)*Control!$D$16</f>
        <v>-3777.713855262361</v>
      </c>
      <c r="CY39" s="22">
        <f>-MAX(0,CY37)*Control!$D$16</f>
        <v>-3548.791961815552</v>
      </c>
      <c r="CZ39" s="22">
        <f>-MAX(0,CZ37)*Control!$D$16</f>
        <v>-3548.791961815552</v>
      </c>
      <c r="DA39" s="22">
        <f>-MAX(0,DA37)*Control!$D$16</f>
        <v>-3777.713855262361</v>
      </c>
      <c r="DB39" s="22">
        <f>-MAX(0,DB37)*Control!$D$16</f>
        <v>-4235.5576421559699</v>
      </c>
      <c r="DC39" s="22">
        <f>-MAX(0,DC37)*Control!$D$16</f>
        <v>-4693.4014290495807</v>
      </c>
      <c r="DD39" s="22">
        <f>-MAX(0,DD37)*Control!$D$16</f>
        <v>-5151.245215943195</v>
      </c>
      <c r="DE39" s="22">
        <f>-MAX(0,DE37)*Control!$D$16</f>
        <v>-6295.8546831772173</v>
      </c>
      <c r="DF39" s="22">
        <f>-MAX(0,DF37)*Control!$D$16</f>
        <v>-5718.7283196503449</v>
      </c>
      <c r="DG39" s="22">
        <f>-MAX(0,DG37)*Control!$D$16</f>
        <v>-5465.133247781494</v>
      </c>
      <c r="DH39" s="22">
        <f>-MAX(0,DH37)*Control!$D$16</f>
        <v>-4957.9431040437821</v>
      </c>
      <c r="DI39" s="22">
        <f>-MAX(0,DI37)*Control!$D$16</f>
        <v>-4450.752960306073</v>
      </c>
      <c r="DJ39" s="22">
        <f>-MAX(0,DJ37)*Control!$D$16</f>
        <v>-4197.1578884372157</v>
      </c>
      <c r="DK39" s="22">
        <f>-MAX(0,DK37)*Control!$D$16</f>
        <v>-3943.562816568362</v>
      </c>
      <c r="DL39" s="22">
        <f>-MAX(0,DL37)*Control!$D$16</f>
        <v>-3943.562816568362</v>
      </c>
      <c r="DM39" s="22">
        <f>-MAX(0,DM37)*Control!$D$16</f>
        <v>-4197.1578884372157</v>
      </c>
      <c r="DN39" s="22">
        <f>-MAX(0,DN37)*Control!$D$16</f>
        <v>-4704.3480321749303</v>
      </c>
      <c r="DO39" s="22">
        <f>-MAX(0,DO37)*Control!$D$16</f>
        <v>-5211.5381759126385</v>
      </c>
      <c r="DP39" s="22">
        <f>-MAX(0,DP37)*Control!$D$16</f>
        <v>-5718.7283196503449</v>
      </c>
      <c r="DQ39" s="22">
        <f>-MAX(0,DQ37)*Control!$D$16</f>
        <v>-6986.7036789946333</v>
      </c>
    </row>
    <row r="40" spans="1:121" ht="15" customHeight="1">
      <c r="A40" s="14" t="s">
        <v>526</v>
      </c>
      <c r="B40" s="31">
        <f t="shared" ref="B40:AG40" si="28">B37+B39</f>
        <v>3907.8784305555628</v>
      </c>
      <c r="C40" s="31">
        <f t="shared" si="28"/>
        <v>3723.4167777777802</v>
      </c>
      <c r="D40" s="31">
        <f t="shared" si="28"/>
        <v>3353.3650000000007</v>
      </c>
      <c r="E40" s="31">
        <f t="shared" si="28"/>
        <v>2983.3132222222202</v>
      </c>
      <c r="F40" s="31">
        <f t="shared" si="28"/>
        <v>2798.8515694444441</v>
      </c>
      <c r="G40" s="31">
        <f t="shared" si="28"/>
        <v>2614.3899166666679</v>
      </c>
      <c r="H40" s="31">
        <f t="shared" si="28"/>
        <v>2615.5183888888901</v>
      </c>
      <c r="I40" s="31">
        <f t="shared" si="28"/>
        <v>2802.2369861111106</v>
      </c>
      <c r="J40" s="31">
        <f t="shared" si="28"/>
        <v>3174.5457083333367</v>
      </c>
      <c r="K40" s="31">
        <f t="shared" si="28"/>
        <v>3546.8544305555574</v>
      </c>
      <c r="L40" s="31">
        <f t="shared" si="28"/>
        <v>3919.1631527777845</v>
      </c>
      <c r="M40" s="31">
        <f t="shared" si="28"/>
        <v>4848.2422500000011</v>
      </c>
      <c r="N40" s="31">
        <f t="shared" si="28"/>
        <v>4725.8193337722269</v>
      </c>
      <c r="O40" s="31">
        <f t="shared" si="28"/>
        <v>4506.3838011444441</v>
      </c>
      <c r="P40" s="31">
        <f t="shared" si="28"/>
        <v>4066.3842636666654</v>
      </c>
      <c r="Q40" s="31">
        <f t="shared" si="28"/>
        <v>3626.3847261888877</v>
      </c>
      <c r="R40" s="31">
        <f t="shared" si="28"/>
        <v>3406.94919356111</v>
      </c>
      <c r="S40" s="31">
        <f t="shared" si="28"/>
        <v>3187.5136609333294</v>
      </c>
      <c r="T40" s="31">
        <f t="shared" si="28"/>
        <v>3188.6421331555521</v>
      </c>
      <c r="U40" s="31">
        <f t="shared" si="28"/>
        <v>3410.3346102277769</v>
      </c>
      <c r="V40" s="31">
        <f t="shared" si="28"/>
        <v>3852.5910921499917</v>
      </c>
      <c r="W40" s="31">
        <f t="shared" si="28"/>
        <v>4294.8475740722251</v>
      </c>
      <c r="X40" s="31">
        <f t="shared" si="28"/>
        <v>4737.1040559944486</v>
      </c>
      <c r="Y40" s="31">
        <f t="shared" si="28"/>
        <v>5841.0525524666646</v>
      </c>
      <c r="Z40" s="31">
        <f t="shared" si="28"/>
        <v>5657.6439104137398</v>
      </c>
      <c r="AA40" s="31">
        <f t="shared" si="28"/>
        <v>5398.2830338740096</v>
      </c>
      <c r="AB40" s="31">
        <f t="shared" si="28"/>
        <v>4878.4328085723373</v>
      </c>
      <c r="AC40" s="31">
        <f t="shared" si="28"/>
        <v>4358.5825832706523</v>
      </c>
      <c r="AD40" s="31">
        <f t="shared" si="28"/>
        <v>4099.2217067309311</v>
      </c>
      <c r="AE40" s="31">
        <f t="shared" si="28"/>
        <v>3839.8608301911945</v>
      </c>
      <c r="AF40" s="31">
        <f t="shared" si="28"/>
        <v>3840.9893024134171</v>
      </c>
      <c r="AG40" s="31">
        <f t="shared" si="28"/>
        <v>4102.6071233975972</v>
      </c>
      <c r="AH40" s="31">
        <f t="shared" ref="AH40:BM40" si="29">AH37+AH39</f>
        <v>4624.7142931437174</v>
      </c>
      <c r="AI40" s="31">
        <f t="shared" si="29"/>
        <v>5146.8214628898368</v>
      </c>
      <c r="AJ40" s="31">
        <f t="shared" si="29"/>
        <v>5668.9286326359615</v>
      </c>
      <c r="AK40" s="31">
        <f t="shared" si="29"/>
        <v>6972.5038486679323</v>
      </c>
      <c r="AL40" s="31">
        <f t="shared" si="29"/>
        <v>6587.432524123642</v>
      </c>
      <c r="AM40" s="31">
        <f t="shared" si="29"/>
        <v>6288.2348237994283</v>
      </c>
      <c r="AN40" s="31">
        <f t="shared" si="29"/>
        <v>5688.7109509287784</v>
      </c>
      <c r="AO40" s="31">
        <f t="shared" si="29"/>
        <v>5089.1870780581139</v>
      </c>
      <c r="AP40" s="31">
        <f t="shared" si="29"/>
        <v>4789.989377733903</v>
      </c>
      <c r="AQ40" s="31">
        <f t="shared" si="29"/>
        <v>4490.7916774096839</v>
      </c>
      <c r="AR40" s="31">
        <f t="shared" si="29"/>
        <v>4491.9201496319065</v>
      </c>
      <c r="AS40" s="31">
        <f t="shared" si="29"/>
        <v>4793.37479440057</v>
      </c>
      <c r="AT40" s="31">
        <f t="shared" si="29"/>
        <v>5395.1556117156633</v>
      </c>
      <c r="AU40" s="31">
        <f t="shared" si="29"/>
        <v>5996.9364290307676</v>
      </c>
      <c r="AV40" s="31">
        <f t="shared" si="29"/>
        <v>6598.7172463458646</v>
      </c>
      <c r="AW40" s="31">
        <f t="shared" si="29"/>
        <v>8101.4765813002814</v>
      </c>
      <c r="AX40" s="31">
        <f t="shared" si="29"/>
        <v>7620.3567020136743</v>
      </c>
      <c r="AY40" s="31">
        <f t="shared" si="29"/>
        <v>7276.8380229406121</v>
      </c>
      <c r="AZ40" s="31">
        <f t="shared" si="29"/>
        <v>6588.6721925722704</v>
      </c>
      <c r="BA40" s="31">
        <f t="shared" si="29"/>
        <v>5900.5063622039343</v>
      </c>
      <c r="BB40" s="31">
        <f t="shared" si="29"/>
        <v>5556.9876831308793</v>
      </c>
      <c r="BC40" s="31">
        <f t="shared" si="29"/>
        <v>5213.4690040578189</v>
      </c>
      <c r="BD40" s="31">
        <f t="shared" si="29"/>
        <v>5214.5974762800415</v>
      </c>
      <c r="BE40" s="31">
        <f t="shared" si="29"/>
        <v>5560.3730997975454</v>
      </c>
      <c r="BF40" s="31">
        <f t="shared" si="29"/>
        <v>6250.7958746103241</v>
      </c>
      <c r="BG40" s="31">
        <f t="shared" si="29"/>
        <v>6941.21864942311</v>
      </c>
      <c r="BH40" s="31">
        <f t="shared" si="29"/>
        <v>7631.6414242358969</v>
      </c>
      <c r="BI40" s="31">
        <f t="shared" si="29"/>
        <v>9356.0056529345147</v>
      </c>
      <c r="BJ40" s="31">
        <f t="shared" si="29"/>
        <v>8595.8316789264663</v>
      </c>
      <c r="BK40" s="31">
        <f t="shared" si="29"/>
        <v>8210.4898124514257</v>
      </c>
      <c r="BL40" s="31">
        <f t="shared" si="29"/>
        <v>7438.6776072790653</v>
      </c>
      <c r="BM40" s="31">
        <f t="shared" si="29"/>
        <v>6666.8654021067068</v>
      </c>
      <c r="BN40" s="31">
        <f t="shared" ref="BN40:CS40" si="30">BN37+BN39</f>
        <v>6281.5235356316498</v>
      </c>
      <c r="BO40" s="31">
        <f t="shared" si="30"/>
        <v>5896.1816691565873</v>
      </c>
      <c r="BP40" s="31">
        <f t="shared" si="30"/>
        <v>5897.3101413788099</v>
      </c>
      <c r="BQ40" s="31">
        <f t="shared" si="30"/>
        <v>6284.9089522983159</v>
      </c>
      <c r="BR40" s="31">
        <f t="shared" si="30"/>
        <v>7058.9781019151033</v>
      </c>
      <c r="BS40" s="31">
        <f t="shared" si="30"/>
        <v>7833.047251531907</v>
      </c>
      <c r="BT40" s="31">
        <f t="shared" si="30"/>
        <v>8607.116401148689</v>
      </c>
      <c r="BU40" s="31">
        <f t="shared" si="30"/>
        <v>10540.596566857341</v>
      </c>
      <c r="BV40" s="31">
        <f t="shared" si="30"/>
        <v>9652.3446116987234</v>
      </c>
      <c r="BW40" s="31">
        <f t="shared" si="30"/>
        <v>9221.6561684364642</v>
      </c>
      <c r="BX40" s="31">
        <f t="shared" si="30"/>
        <v>8359.1508096897214</v>
      </c>
      <c r="BY40" s="31">
        <f t="shared" si="30"/>
        <v>7496.6454509429623</v>
      </c>
      <c r="BZ40" s="31">
        <f t="shared" si="30"/>
        <v>7065.9570076806995</v>
      </c>
      <c r="CA40" s="31">
        <f t="shared" si="30"/>
        <v>6635.2685644184376</v>
      </c>
      <c r="CB40" s="31">
        <f t="shared" si="30"/>
        <v>6636.3970366406593</v>
      </c>
      <c r="CC40" s="31">
        <f t="shared" si="30"/>
        <v>7069.3424243473673</v>
      </c>
      <c r="CD40" s="31">
        <f t="shared" si="30"/>
        <v>7934.1047275385627</v>
      </c>
      <c r="CE40" s="31">
        <f t="shared" si="30"/>
        <v>8798.8670307297562</v>
      </c>
      <c r="CF40" s="31">
        <f t="shared" si="30"/>
        <v>9663.6293339209442</v>
      </c>
      <c r="CG40" s="31">
        <f t="shared" si="30"/>
        <v>11823.842383565607</v>
      </c>
      <c r="CH40" s="31">
        <f t="shared" si="30"/>
        <v>10795.946019712472</v>
      </c>
      <c r="CI40" s="31">
        <f t="shared" si="30"/>
        <v>10314.996071995505</v>
      </c>
      <c r="CJ40" s="31">
        <f t="shared" si="30"/>
        <v>9353.0961765615648</v>
      </c>
      <c r="CK40" s="31">
        <f t="shared" si="30"/>
        <v>8391.1962811276371</v>
      </c>
      <c r="CL40" s="31">
        <f t="shared" si="30"/>
        <v>7910.2463334106724</v>
      </c>
      <c r="CM40" s="31">
        <f t="shared" si="30"/>
        <v>7429.2963856936958</v>
      </c>
      <c r="CN40" s="31">
        <f t="shared" si="30"/>
        <v>7429.2963856936958</v>
      </c>
      <c r="CO40" s="31">
        <f t="shared" si="30"/>
        <v>7910.2463334106724</v>
      </c>
      <c r="CP40" s="31">
        <f t="shared" si="30"/>
        <v>8872.1462288446019</v>
      </c>
      <c r="CQ40" s="31">
        <f t="shared" si="30"/>
        <v>9834.0461242785277</v>
      </c>
      <c r="CR40" s="31">
        <f t="shared" si="30"/>
        <v>10795.946019712472</v>
      </c>
      <c r="CS40" s="31">
        <f t="shared" si="30"/>
        <v>13200.69575829731</v>
      </c>
      <c r="CT40" s="31">
        <f t="shared" ref="CT40:DY40" si="31">CT37+CT39</f>
        <v>12019.57217053412</v>
      </c>
      <c r="CU40" s="31">
        <f t="shared" si="31"/>
        <v>11485.421085824906</v>
      </c>
      <c r="CV40" s="31">
        <f t="shared" si="31"/>
        <v>10417.118916406476</v>
      </c>
      <c r="CW40" s="31">
        <f t="shared" si="31"/>
        <v>9348.8167469880573</v>
      </c>
      <c r="CX40" s="31">
        <f t="shared" si="31"/>
        <v>8814.6656622788432</v>
      </c>
      <c r="CY40" s="31">
        <f t="shared" si="31"/>
        <v>8280.5145775696219</v>
      </c>
      <c r="CZ40" s="31">
        <f t="shared" si="31"/>
        <v>8280.5145775696219</v>
      </c>
      <c r="DA40" s="31">
        <f t="shared" si="31"/>
        <v>8814.6656622788432</v>
      </c>
      <c r="DB40" s="31">
        <f t="shared" si="31"/>
        <v>9882.967831697264</v>
      </c>
      <c r="DC40" s="31">
        <f t="shared" si="31"/>
        <v>10951.270001115689</v>
      </c>
      <c r="DD40" s="31">
        <f t="shared" si="31"/>
        <v>12019.57217053412</v>
      </c>
      <c r="DE40" s="31">
        <f t="shared" si="31"/>
        <v>14690.327594080172</v>
      </c>
      <c r="DF40" s="31">
        <f t="shared" si="31"/>
        <v>13343.699412517472</v>
      </c>
      <c r="DG40" s="31">
        <f t="shared" si="31"/>
        <v>12751.977578156821</v>
      </c>
      <c r="DH40" s="31">
        <f t="shared" si="31"/>
        <v>11568.533909435493</v>
      </c>
      <c r="DI40" s="31">
        <f t="shared" si="31"/>
        <v>10385.090240714169</v>
      </c>
      <c r="DJ40" s="31">
        <f t="shared" si="31"/>
        <v>9793.3684063535038</v>
      </c>
      <c r="DK40" s="31">
        <f t="shared" si="31"/>
        <v>9201.6465719928456</v>
      </c>
      <c r="DL40" s="31">
        <f t="shared" si="31"/>
        <v>9201.6465719928456</v>
      </c>
      <c r="DM40" s="31">
        <f t="shared" si="31"/>
        <v>9793.3684063535038</v>
      </c>
      <c r="DN40" s="31">
        <f t="shared" si="31"/>
        <v>10976.812075074837</v>
      </c>
      <c r="DO40" s="31">
        <f t="shared" si="31"/>
        <v>12160.255743796155</v>
      </c>
      <c r="DP40" s="31">
        <f t="shared" si="31"/>
        <v>13343.699412517472</v>
      </c>
      <c r="DQ40" s="31">
        <f t="shared" si="31"/>
        <v>16302.308584320814</v>
      </c>
    </row>
    <row r="41" spans="1:121" ht="15" customHeight="1">
      <c r="A41" t="s">
        <v>527</v>
      </c>
      <c r="B41" s="13">
        <f t="shared" ref="B41:AG41" si="32">IF(B10&gt;0,B40/B10,0)</f>
        <v>0.16981792416835673</v>
      </c>
      <c r="C41" s="13">
        <f t="shared" si="32"/>
        <v>0.16915673325982278</v>
      </c>
      <c r="D41" s="13">
        <f t="shared" si="32"/>
        <v>0.16757960039139297</v>
      </c>
      <c r="E41" s="13">
        <f t="shared" si="32"/>
        <v>0.16565199355220092</v>
      </c>
      <c r="F41" s="13">
        <f t="shared" si="32"/>
        <v>0.16455127998726576</v>
      </c>
      <c r="G41" s="13">
        <f t="shared" si="32"/>
        <v>0.16331297722671378</v>
      </c>
      <c r="H41" s="13">
        <f t="shared" si="32"/>
        <v>0.16338346945021642</v>
      </c>
      <c r="I41" s="13">
        <f t="shared" si="32"/>
        <v>0.16475031685362621</v>
      </c>
      <c r="J41" s="13">
        <f t="shared" si="32"/>
        <v>0.16699301376589343</v>
      </c>
      <c r="K41" s="13">
        <f t="shared" si="32"/>
        <v>0.16880853031391901</v>
      </c>
      <c r="L41" s="13">
        <f t="shared" si="32"/>
        <v>0.17030830485359258</v>
      </c>
      <c r="M41" s="13">
        <f t="shared" si="32"/>
        <v>0.17305996020962058</v>
      </c>
      <c r="N41" s="13">
        <f t="shared" si="32"/>
        <v>0.18196434099903563</v>
      </c>
      <c r="O41" s="13">
        <f t="shared" si="32"/>
        <v>0.18140218194057783</v>
      </c>
      <c r="P41" s="13">
        <f t="shared" si="32"/>
        <v>0.18005924742488463</v>
      </c>
      <c r="Q41" s="13">
        <f t="shared" si="32"/>
        <v>0.17841788301681516</v>
      </c>
      <c r="R41" s="13">
        <f t="shared" si="32"/>
        <v>0.17748176788338646</v>
      </c>
      <c r="S41" s="13">
        <f t="shared" si="32"/>
        <v>0.17642863835827902</v>
      </c>
      <c r="T41" s="13">
        <f t="shared" si="32"/>
        <v>0.17649109920982986</v>
      </c>
      <c r="U41" s="13">
        <f t="shared" si="32"/>
        <v>0.17765812793482411</v>
      </c>
      <c r="V41" s="13">
        <f t="shared" si="32"/>
        <v>0.17957105138613955</v>
      </c>
      <c r="W41" s="13">
        <f t="shared" si="32"/>
        <v>0.18111960846577643</v>
      </c>
      <c r="X41" s="13">
        <f t="shared" si="32"/>
        <v>0.18239885127069358</v>
      </c>
      <c r="Y41" s="13">
        <f t="shared" si="32"/>
        <v>0.18474389365715518</v>
      </c>
      <c r="Z41" s="13">
        <f t="shared" si="32"/>
        <v>0.1931831046814286</v>
      </c>
      <c r="AA41" s="13">
        <f t="shared" si="32"/>
        <v>0.19270560114421281</v>
      </c>
      <c r="AB41" s="13">
        <f t="shared" si="32"/>
        <v>0.19156303091748489</v>
      </c>
      <c r="AC41" s="13">
        <f t="shared" si="32"/>
        <v>0.19016655619592807</v>
      </c>
      <c r="AD41" s="13">
        <f t="shared" si="32"/>
        <v>0.18937116641332555</v>
      </c>
      <c r="AE41" s="13">
        <f t="shared" si="32"/>
        <v>0.18847635290789722</v>
      </c>
      <c r="AF41" s="13">
        <f t="shared" si="32"/>
        <v>0.1885317430218123</v>
      </c>
      <c r="AG41" s="13">
        <f t="shared" si="32"/>
        <v>0.18952756202908574</v>
      </c>
      <c r="AH41" s="13">
        <f t="shared" ref="AH41:BM41" si="33">IF(AH10&gt;0,AH40/AH10,0)</f>
        <v>0.19115808657698569</v>
      </c>
      <c r="AI41" s="13">
        <f t="shared" si="33"/>
        <v>0.19247803502052366</v>
      </c>
      <c r="AJ41" s="13">
        <f t="shared" si="33"/>
        <v>0.19356842721301171</v>
      </c>
      <c r="AK41" s="13">
        <f t="shared" si="33"/>
        <v>0.19556543533342802</v>
      </c>
      <c r="AL41" s="13">
        <f t="shared" si="33"/>
        <v>0.20338935942716443</v>
      </c>
      <c r="AM41" s="13">
        <f t="shared" si="33"/>
        <v>0.20297659151656491</v>
      </c>
      <c r="AN41" s="13">
        <f t="shared" si="33"/>
        <v>0.20198715703643083</v>
      </c>
      <c r="AO41" s="13">
        <f t="shared" si="33"/>
        <v>0.20077784822737763</v>
      </c>
      <c r="AP41" s="13">
        <f t="shared" si="33"/>
        <v>0.20009005968426152</v>
      </c>
      <c r="AQ41" s="13">
        <f t="shared" si="33"/>
        <v>0.19931629757325567</v>
      </c>
      <c r="AR41" s="13">
        <f t="shared" si="33"/>
        <v>0.19936638293044984</v>
      </c>
      <c r="AS41" s="13">
        <f t="shared" si="33"/>
        <v>0.20023147716339798</v>
      </c>
      <c r="AT41" s="13">
        <f t="shared" si="33"/>
        <v>0.20164630083388371</v>
      </c>
      <c r="AU41" s="13">
        <f t="shared" si="33"/>
        <v>0.20279163428142</v>
      </c>
      <c r="AV41" s="13">
        <f t="shared" si="33"/>
        <v>0.20373777930329767</v>
      </c>
      <c r="AW41" s="13">
        <f t="shared" si="33"/>
        <v>0.20546887091315205</v>
      </c>
      <c r="AX41" s="13">
        <f t="shared" si="33"/>
        <v>0.21290335721959605</v>
      </c>
      <c r="AY41" s="13">
        <f t="shared" si="33"/>
        <v>0.21254704536224819</v>
      </c>
      <c r="AZ41" s="13">
        <f t="shared" si="33"/>
        <v>0.21169127075173019</v>
      </c>
      <c r="BA41" s="13">
        <f t="shared" si="33"/>
        <v>0.21064532400554167</v>
      </c>
      <c r="BB41" s="13">
        <f t="shared" si="33"/>
        <v>0.21005138905991205</v>
      </c>
      <c r="BC41" s="13">
        <f t="shared" si="33"/>
        <v>0.20938321224607861</v>
      </c>
      <c r="BD41" s="13">
        <f t="shared" si="33"/>
        <v>0.20942853391935137</v>
      </c>
      <c r="BE41" s="13">
        <f t="shared" si="33"/>
        <v>0.21017935613738795</v>
      </c>
      <c r="BF41" s="13">
        <f t="shared" si="33"/>
        <v>0.21140573320079872</v>
      </c>
      <c r="BG41" s="13">
        <f t="shared" si="33"/>
        <v>0.21239851463308379</v>
      </c>
      <c r="BH41" s="13">
        <f t="shared" si="33"/>
        <v>0.21321863842497152</v>
      </c>
      <c r="BI41" s="13">
        <f t="shared" si="33"/>
        <v>0.21471752338624114</v>
      </c>
      <c r="BJ41" s="13">
        <f t="shared" si="33"/>
        <v>0.22164676445800202</v>
      </c>
      <c r="BK41" s="13">
        <f t="shared" si="33"/>
        <v>0.22133378711364196</v>
      </c>
      <c r="BL41" s="13">
        <f t="shared" si="33"/>
        <v>0.22058047642707404</v>
      </c>
      <c r="BM41" s="13">
        <f t="shared" si="33"/>
        <v>0.21965976336571322</v>
      </c>
      <c r="BN41" s="13">
        <f t="shared" ref="BN41:CS41" si="34">IF(BN10&gt;0,BN40/BN10,0)</f>
        <v>0.21913785144405348</v>
      </c>
      <c r="BO41" s="13">
        <f t="shared" si="34"/>
        <v>0.21855070053218606</v>
      </c>
      <c r="BP41" s="13">
        <f t="shared" si="34"/>
        <v>0.21859252902535956</v>
      </c>
      <c r="BQ41" s="13">
        <f t="shared" si="34"/>
        <v>0.21925595542477852</v>
      </c>
      <c r="BR41" s="13">
        <f t="shared" si="34"/>
        <v>0.22033808115586431</v>
      </c>
      <c r="BS41" s="13">
        <f t="shared" si="34"/>
        <v>0.22121408770007694</v>
      </c>
      <c r="BT41" s="13">
        <f t="shared" si="34"/>
        <v>0.22193774528007826</v>
      </c>
      <c r="BU41" s="13">
        <f t="shared" si="34"/>
        <v>0.22325875024843253</v>
      </c>
      <c r="BV41" s="13">
        <f t="shared" si="34"/>
        <v>0.2298553230440207</v>
      </c>
      <c r="BW41" s="13">
        <f t="shared" si="34"/>
        <v>0.22958093879095565</v>
      </c>
      <c r="BX41" s="13">
        <f t="shared" si="34"/>
        <v>0.2289189513102439</v>
      </c>
      <c r="BY41" s="13">
        <f t="shared" si="34"/>
        <v>0.22810985550048471</v>
      </c>
      <c r="BZ41" s="13">
        <f t="shared" si="34"/>
        <v>0.22765209543513365</v>
      </c>
      <c r="CA41" s="13">
        <f t="shared" si="34"/>
        <v>0.22713711536161368</v>
      </c>
      <c r="CB41" s="13">
        <f t="shared" si="34"/>
        <v>0.22717574498494131</v>
      </c>
      <c r="CC41" s="13">
        <f t="shared" si="34"/>
        <v>0.22776116731276469</v>
      </c>
      <c r="CD41" s="13">
        <f t="shared" si="34"/>
        <v>0.22871461155050704</v>
      </c>
      <c r="CE41" s="13">
        <f t="shared" si="34"/>
        <v>0.22948644736201276</v>
      </c>
      <c r="CF41" s="13">
        <f t="shared" si="34"/>
        <v>0.23012405085847387</v>
      </c>
      <c r="CG41" s="13">
        <f t="shared" si="34"/>
        <v>0.23128644630862949</v>
      </c>
      <c r="CH41" s="13">
        <f t="shared" si="34"/>
        <v>0.2375731290059574</v>
      </c>
      <c r="CI41" s="13">
        <f t="shared" si="34"/>
        <v>0.23730715646230446</v>
      </c>
      <c r="CJ41" s="13">
        <f t="shared" si="34"/>
        <v>0.23669541961190285</v>
      </c>
      <c r="CK41" s="13">
        <f t="shared" si="34"/>
        <v>0.23594774123918988</v>
      </c>
      <c r="CL41" s="13">
        <f t="shared" si="34"/>
        <v>0.2355079304317117</v>
      </c>
      <c r="CM41" s="13">
        <f t="shared" si="34"/>
        <v>0.23501314327329845</v>
      </c>
      <c r="CN41" s="13">
        <f t="shared" si="34"/>
        <v>0.23501314327329845</v>
      </c>
      <c r="CO41" s="13">
        <f t="shared" si="34"/>
        <v>0.2355079304317117</v>
      </c>
      <c r="CP41" s="13">
        <f t="shared" si="34"/>
        <v>0.23634125617219676</v>
      </c>
      <c r="CQ41" s="13">
        <f t="shared" si="34"/>
        <v>0.23701585320020838</v>
      </c>
      <c r="CR41" s="13">
        <f t="shared" si="34"/>
        <v>0.2375731290059574</v>
      </c>
      <c r="CS41" s="13">
        <f t="shared" si="34"/>
        <v>0.23861802114173652</v>
      </c>
      <c r="CT41" s="13">
        <f t="shared" ref="CT41:DY41" si="35">IF(CT10&gt;0,CT40/CT10,0)</f>
        <v>0.24456420453142161</v>
      </c>
      <c r="CU41" s="13">
        <f t="shared" si="35"/>
        <v>0.24431827874090381</v>
      </c>
      <c r="CV41" s="13">
        <f t="shared" si="35"/>
        <v>0.24375264942271299</v>
      </c>
      <c r="CW41" s="13">
        <f t="shared" si="35"/>
        <v>0.24306132470047992</v>
      </c>
      <c r="CX41" s="13">
        <f t="shared" si="35"/>
        <v>0.24265466309916628</v>
      </c>
      <c r="CY41" s="13">
        <f t="shared" si="35"/>
        <v>0.24219716879768824</v>
      </c>
      <c r="CZ41" s="13">
        <f t="shared" si="35"/>
        <v>0.24219716879768824</v>
      </c>
      <c r="DA41" s="13">
        <f t="shared" si="35"/>
        <v>0.24265466309916628</v>
      </c>
      <c r="DB41" s="13">
        <f t="shared" si="35"/>
        <v>0.24342517981744466</v>
      </c>
      <c r="DC41" s="13">
        <f t="shared" si="35"/>
        <v>0.24404893144652723</v>
      </c>
      <c r="DD41" s="13">
        <f t="shared" si="35"/>
        <v>0.24456420453142161</v>
      </c>
      <c r="DE41" s="13">
        <f t="shared" si="35"/>
        <v>0.24553034156559828</v>
      </c>
      <c r="DF41" s="13">
        <f t="shared" si="35"/>
        <v>0.25118091070402565</v>
      </c>
      <c r="DG41" s="13">
        <f t="shared" si="35"/>
        <v>0.25095339542162998</v>
      </c>
      <c r="DH41" s="13">
        <f t="shared" si="35"/>
        <v>0.2504301102721197</v>
      </c>
      <c r="DI41" s="13">
        <f t="shared" si="35"/>
        <v>0.2497905395338294</v>
      </c>
      <c r="DJ41" s="13">
        <f t="shared" si="35"/>
        <v>0.24941432145248213</v>
      </c>
      <c r="DK41" s="13">
        <f t="shared" si="35"/>
        <v>0.24899107611096652</v>
      </c>
      <c r="DL41" s="13">
        <f t="shared" si="35"/>
        <v>0.24899107611096652</v>
      </c>
      <c r="DM41" s="13">
        <f t="shared" si="35"/>
        <v>0.24941432145248213</v>
      </c>
      <c r="DN41" s="13">
        <f t="shared" si="35"/>
        <v>0.25012715571187699</v>
      </c>
      <c r="DO41" s="13">
        <f t="shared" si="35"/>
        <v>0.25070421201710125</v>
      </c>
      <c r="DP41" s="13">
        <f t="shared" si="35"/>
        <v>0.25118091070402565</v>
      </c>
      <c r="DQ41" s="13">
        <f t="shared" si="35"/>
        <v>0.25207472074200932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Q25"/>
  <sheetViews>
    <sheetView zoomScaleNormal="100" workbookViewId="0"/>
  </sheetViews>
  <sheetFormatPr defaultColWidth="8.7109375" defaultRowHeight="15"/>
  <cols>
    <col min="1" max="1" width="28" customWidth="1"/>
    <col min="2" max="121" width="10" customWidth="1"/>
  </cols>
  <sheetData>
    <row r="1" spans="1:121" ht="17.25" customHeight="1">
      <c r="A1" s="4" t="s">
        <v>528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529</v>
      </c>
    </row>
    <row r="7" spans="1:121" ht="15" customHeight="1">
      <c r="A7" t="s">
        <v>530</v>
      </c>
      <c r="B7" s="22">
        <f>IS!B40</f>
        <v>3907.8784305555628</v>
      </c>
      <c r="C7" s="22">
        <f>IS!C40</f>
        <v>3723.4167777777802</v>
      </c>
      <c r="D7" s="22">
        <f>IS!D40</f>
        <v>3353.3650000000007</v>
      </c>
      <c r="E7" s="22">
        <f>IS!E40</f>
        <v>2983.3132222222202</v>
      </c>
      <c r="F7" s="22">
        <f>IS!F40</f>
        <v>2798.8515694444441</v>
      </c>
      <c r="G7" s="22">
        <f>IS!G40</f>
        <v>2614.3899166666679</v>
      </c>
      <c r="H7" s="22">
        <f>IS!H40</f>
        <v>2615.5183888888901</v>
      </c>
      <c r="I7" s="22">
        <f>IS!I40</f>
        <v>2802.2369861111106</v>
      </c>
      <c r="J7" s="22">
        <f>IS!J40</f>
        <v>3174.5457083333367</v>
      </c>
      <c r="K7" s="22">
        <f>IS!K40</f>
        <v>3546.8544305555574</v>
      </c>
      <c r="L7" s="22">
        <f>IS!L40</f>
        <v>3919.1631527777845</v>
      </c>
      <c r="M7" s="22">
        <f>IS!M40</f>
        <v>4848.2422500000011</v>
      </c>
      <c r="N7" s="22">
        <f>IS!N40</f>
        <v>4725.8193337722269</v>
      </c>
      <c r="O7" s="22">
        <f>IS!O40</f>
        <v>4506.3838011444441</v>
      </c>
      <c r="P7" s="22">
        <f>IS!P40</f>
        <v>4066.3842636666654</v>
      </c>
      <c r="Q7" s="22">
        <f>IS!Q40</f>
        <v>3626.3847261888877</v>
      </c>
      <c r="R7" s="22">
        <f>IS!R40</f>
        <v>3406.94919356111</v>
      </c>
      <c r="S7" s="22">
        <f>IS!S40</f>
        <v>3187.5136609333294</v>
      </c>
      <c r="T7" s="22">
        <f>IS!T40</f>
        <v>3188.6421331555521</v>
      </c>
      <c r="U7" s="22">
        <f>IS!U40</f>
        <v>3410.3346102277769</v>
      </c>
      <c r="V7" s="22">
        <f>IS!V40</f>
        <v>3852.5910921499917</v>
      </c>
      <c r="W7" s="22">
        <f>IS!W40</f>
        <v>4294.8475740722251</v>
      </c>
      <c r="X7" s="22">
        <f>IS!X40</f>
        <v>4737.1040559944486</v>
      </c>
      <c r="Y7" s="22">
        <f>IS!Y40</f>
        <v>5841.0525524666646</v>
      </c>
      <c r="Z7" s="22">
        <f>IS!Z40</f>
        <v>5657.6439104137398</v>
      </c>
      <c r="AA7" s="22">
        <f>IS!AA40</f>
        <v>5398.2830338740096</v>
      </c>
      <c r="AB7" s="22">
        <f>IS!AB40</f>
        <v>4878.4328085723373</v>
      </c>
      <c r="AC7" s="22">
        <f>IS!AC40</f>
        <v>4358.5825832706523</v>
      </c>
      <c r="AD7" s="22">
        <f>IS!AD40</f>
        <v>4099.2217067309311</v>
      </c>
      <c r="AE7" s="22">
        <f>IS!AE40</f>
        <v>3839.8608301911945</v>
      </c>
      <c r="AF7" s="22">
        <f>IS!AF40</f>
        <v>3840.9893024134171</v>
      </c>
      <c r="AG7" s="22">
        <f>IS!AG40</f>
        <v>4102.6071233975972</v>
      </c>
      <c r="AH7" s="22">
        <f>IS!AH40</f>
        <v>4624.7142931437174</v>
      </c>
      <c r="AI7" s="22">
        <f>IS!AI40</f>
        <v>5146.8214628898368</v>
      </c>
      <c r="AJ7" s="22">
        <f>IS!AJ40</f>
        <v>5668.9286326359615</v>
      </c>
      <c r="AK7" s="22">
        <f>IS!AK40</f>
        <v>6972.5038486679323</v>
      </c>
      <c r="AL7" s="22">
        <f>IS!AL40</f>
        <v>6587.432524123642</v>
      </c>
      <c r="AM7" s="22">
        <f>IS!AM40</f>
        <v>6288.2348237994283</v>
      </c>
      <c r="AN7" s="22">
        <f>IS!AN40</f>
        <v>5688.7109509287784</v>
      </c>
      <c r="AO7" s="22">
        <f>IS!AO40</f>
        <v>5089.1870780581139</v>
      </c>
      <c r="AP7" s="22">
        <f>IS!AP40</f>
        <v>4789.989377733903</v>
      </c>
      <c r="AQ7" s="22">
        <f>IS!AQ40</f>
        <v>4490.7916774096839</v>
      </c>
      <c r="AR7" s="22">
        <f>IS!AR40</f>
        <v>4491.9201496319065</v>
      </c>
      <c r="AS7" s="22">
        <f>IS!AS40</f>
        <v>4793.37479440057</v>
      </c>
      <c r="AT7" s="22">
        <f>IS!AT40</f>
        <v>5395.1556117156633</v>
      </c>
      <c r="AU7" s="22">
        <f>IS!AU40</f>
        <v>5996.9364290307676</v>
      </c>
      <c r="AV7" s="22">
        <f>IS!AV40</f>
        <v>6598.7172463458646</v>
      </c>
      <c r="AW7" s="22">
        <f>IS!AW40</f>
        <v>8101.4765813002814</v>
      </c>
      <c r="AX7" s="22">
        <f>IS!AX40</f>
        <v>7620.3567020136743</v>
      </c>
      <c r="AY7" s="22">
        <f>IS!AY40</f>
        <v>7276.8380229406121</v>
      </c>
      <c r="AZ7" s="22">
        <f>IS!AZ40</f>
        <v>6588.6721925722704</v>
      </c>
      <c r="BA7" s="22">
        <f>IS!BA40</f>
        <v>5900.5063622039343</v>
      </c>
      <c r="BB7" s="22">
        <f>IS!BB40</f>
        <v>5556.9876831308793</v>
      </c>
      <c r="BC7" s="22">
        <f>IS!BC40</f>
        <v>5213.4690040578189</v>
      </c>
      <c r="BD7" s="22">
        <f>IS!BD40</f>
        <v>5214.5974762800415</v>
      </c>
      <c r="BE7" s="22">
        <f>IS!BE40</f>
        <v>5560.3730997975454</v>
      </c>
      <c r="BF7" s="22">
        <f>IS!BF40</f>
        <v>6250.7958746103241</v>
      </c>
      <c r="BG7" s="22">
        <f>IS!BG40</f>
        <v>6941.21864942311</v>
      </c>
      <c r="BH7" s="22">
        <f>IS!BH40</f>
        <v>7631.6414242358969</v>
      </c>
      <c r="BI7" s="22">
        <f>IS!BI40</f>
        <v>9356.0056529345147</v>
      </c>
      <c r="BJ7" s="22">
        <f>IS!BJ40</f>
        <v>8595.8316789264663</v>
      </c>
      <c r="BK7" s="22">
        <f>IS!BK40</f>
        <v>8210.4898124514257</v>
      </c>
      <c r="BL7" s="22">
        <f>IS!BL40</f>
        <v>7438.6776072790653</v>
      </c>
      <c r="BM7" s="22">
        <f>IS!BM40</f>
        <v>6666.8654021067068</v>
      </c>
      <c r="BN7" s="22">
        <f>IS!BN40</f>
        <v>6281.5235356316498</v>
      </c>
      <c r="BO7" s="22">
        <f>IS!BO40</f>
        <v>5896.1816691565873</v>
      </c>
      <c r="BP7" s="22">
        <f>IS!BP40</f>
        <v>5897.3101413788099</v>
      </c>
      <c r="BQ7" s="22">
        <f>IS!BQ40</f>
        <v>6284.9089522983159</v>
      </c>
      <c r="BR7" s="22">
        <f>IS!BR40</f>
        <v>7058.9781019151033</v>
      </c>
      <c r="BS7" s="22">
        <f>IS!BS40</f>
        <v>7833.047251531907</v>
      </c>
      <c r="BT7" s="22">
        <f>IS!BT40</f>
        <v>8607.116401148689</v>
      </c>
      <c r="BU7" s="22">
        <f>IS!BU40</f>
        <v>10540.596566857341</v>
      </c>
      <c r="BV7" s="22">
        <f>IS!BV40</f>
        <v>9652.3446116987234</v>
      </c>
      <c r="BW7" s="22">
        <f>IS!BW40</f>
        <v>9221.6561684364642</v>
      </c>
      <c r="BX7" s="22">
        <f>IS!BX40</f>
        <v>8359.1508096897214</v>
      </c>
      <c r="BY7" s="22">
        <f>IS!BY40</f>
        <v>7496.6454509429623</v>
      </c>
      <c r="BZ7" s="22">
        <f>IS!BZ40</f>
        <v>7065.9570076806995</v>
      </c>
      <c r="CA7" s="22">
        <f>IS!CA40</f>
        <v>6635.2685644184376</v>
      </c>
      <c r="CB7" s="22">
        <f>IS!CB40</f>
        <v>6636.3970366406593</v>
      </c>
      <c r="CC7" s="22">
        <f>IS!CC40</f>
        <v>7069.3424243473673</v>
      </c>
      <c r="CD7" s="22">
        <f>IS!CD40</f>
        <v>7934.1047275385627</v>
      </c>
      <c r="CE7" s="22">
        <f>IS!CE40</f>
        <v>8798.8670307297562</v>
      </c>
      <c r="CF7" s="22">
        <f>IS!CF40</f>
        <v>9663.6293339209442</v>
      </c>
      <c r="CG7" s="22">
        <f>IS!CG40</f>
        <v>11823.842383565607</v>
      </c>
      <c r="CH7" s="22">
        <f>IS!CH40</f>
        <v>10795.946019712472</v>
      </c>
      <c r="CI7" s="22">
        <f>IS!CI40</f>
        <v>10314.996071995505</v>
      </c>
      <c r="CJ7" s="22">
        <f>IS!CJ40</f>
        <v>9353.0961765615648</v>
      </c>
      <c r="CK7" s="22">
        <f>IS!CK40</f>
        <v>8391.1962811276371</v>
      </c>
      <c r="CL7" s="22">
        <f>IS!CL40</f>
        <v>7910.2463334106724</v>
      </c>
      <c r="CM7" s="22">
        <f>IS!CM40</f>
        <v>7429.2963856936958</v>
      </c>
      <c r="CN7" s="22">
        <f>IS!CN40</f>
        <v>7429.2963856936958</v>
      </c>
      <c r="CO7" s="22">
        <f>IS!CO40</f>
        <v>7910.2463334106724</v>
      </c>
      <c r="CP7" s="22">
        <f>IS!CP40</f>
        <v>8872.1462288446019</v>
      </c>
      <c r="CQ7" s="22">
        <f>IS!CQ40</f>
        <v>9834.0461242785277</v>
      </c>
      <c r="CR7" s="22">
        <f>IS!CR40</f>
        <v>10795.946019712472</v>
      </c>
      <c r="CS7" s="22">
        <f>IS!CS40</f>
        <v>13200.69575829731</v>
      </c>
      <c r="CT7" s="22">
        <f>IS!CT40</f>
        <v>12019.57217053412</v>
      </c>
      <c r="CU7" s="22">
        <f>IS!CU40</f>
        <v>11485.421085824906</v>
      </c>
      <c r="CV7" s="22">
        <f>IS!CV40</f>
        <v>10417.118916406476</v>
      </c>
      <c r="CW7" s="22">
        <f>IS!CW40</f>
        <v>9348.8167469880573</v>
      </c>
      <c r="CX7" s="22">
        <f>IS!CX40</f>
        <v>8814.6656622788432</v>
      </c>
      <c r="CY7" s="22">
        <f>IS!CY40</f>
        <v>8280.5145775696219</v>
      </c>
      <c r="CZ7" s="22">
        <f>IS!CZ40</f>
        <v>8280.5145775696219</v>
      </c>
      <c r="DA7" s="22">
        <f>IS!DA40</f>
        <v>8814.6656622788432</v>
      </c>
      <c r="DB7" s="22">
        <f>IS!DB40</f>
        <v>9882.967831697264</v>
      </c>
      <c r="DC7" s="22">
        <f>IS!DC40</f>
        <v>10951.270001115689</v>
      </c>
      <c r="DD7" s="22">
        <f>IS!DD40</f>
        <v>12019.57217053412</v>
      </c>
      <c r="DE7" s="22">
        <f>IS!DE40</f>
        <v>14690.327594080172</v>
      </c>
      <c r="DF7" s="22">
        <f>IS!DF40</f>
        <v>13343.699412517472</v>
      </c>
      <c r="DG7" s="22">
        <f>IS!DG40</f>
        <v>12751.977578156821</v>
      </c>
      <c r="DH7" s="22">
        <f>IS!DH40</f>
        <v>11568.533909435493</v>
      </c>
      <c r="DI7" s="22">
        <f>IS!DI40</f>
        <v>10385.090240714169</v>
      </c>
      <c r="DJ7" s="22">
        <f>IS!DJ40</f>
        <v>9793.3684063535038</v>
      </c>
      <c r="DK7" s="22">
        <f>IS!DK40</f>
        <v>9201.6465719928456</v>
      </c>
      <c r="DL7" s="22">
        <f>IS!DL40</f>
        <v>9201.6465719928456</v>
      </c>
      <c r="DM7" s="22">
        <f>IS!DM40</f>
        <v>9793.3684063535038</v>
      </c>
      <c r="DN7" s="22">
        <f>IS!DN40</f>
        <v>10976.812075074837</v>
      </c>
      <c r="DO7" s="22">
        <f>IS!DO40</f>
        <v>12160.255743796155</v>
      </c>
      <c r="DP7" s="22">
        <f>IS!DP40</f>
        <v>13343.699412517472</v>
      </c>
      <c r="DQ7" s="22">
        <f>IS!DQ40</f>
        <v>16302.308584320814</v>
      </c>
    </row>
    <row r="8" spans="1:121" ht="15" customHeight="1">
      <c r="A8" t="s">
        <v>531</v>
      </c>
      <c r="B8" s="22">
        <f>Calc_Capex!B15</f>
        <v>375.69444444444446</v>
      </c>
      <c r="C8" s="22">
        <f>Calc_Capex!C15</f>
        <v>375.69444444444446</v>
      </c>
      <c r="D8" s="22">
        <f>Calc_Capex!D15</f>
        <v>375.69444444444446</v>
      </c>
      <c r="E8" s="22">
        <f>Calc_Capex!E15</f>
        <v>375.69444444444446</v>
      </c>
      <c r="F8" s="22">
        <f>Calc_Capex!F15</f>
        <v>375.69444444444446</v>
      </c>
      <c r="G8" s="22">
        <f>Calc_Capex!G15</f>
        <v>375.69444444444446</v>
      </c>
      <c r="H8" s="22">
        <f>Calc_Capex!H15</f>
        <v>375.69444444444446</v>
      </c>
      <c r="I8" s="22">
        <f>Calc_Capex!I15</f>
        <v>375.69444444444446</v>
      </c>
      <c r="J8" s="22">
        <f>Calc_Capex!J15</f>
        <v>375.69444444444446</v>
      </c>
      <c r="K8" s="22">
        <f>Calc_Capex!K15</f>
        <v>375.69444444444446</v>
      </c>
      <c r="L8" s="22">
        <f>Calc_Capex!L15</f>
        <v>375.69444444444446</v>
      </c>
      <c r="M8" s="22">
        <f>Calc_Capex!M15</f>
        <v>375.69444444444446</v>
      </c>
      <c r="N8" s="22">
        <f>Calc_Capex!N15</f>
        <v>375.69444444444446</v>
      </c>
      <c r="O8" s="22">
        <f>Calc_Capex!O15</f>
        <v>375.69444444444446</v>
      </c>
      <c r="P8" s="22">
        <f>Calc_Capex!P15</f>
        <v>375.69444444444446</v>
      </c>
      <c r="Q8" s="22">
        <f>Calc_Capex!Q15</f>
        <v>375.69444444444446</v>
      </c>
      <c r="R8" s="22">
        <f>Calc_Capex!R15</f>
        <v>375.69444444444446</v>
      </c>
      <c r="S8" s="22">
        <f>Calc_Capex!S15</f>
        <v>375.69444444444446</v>
      </c>
      <c r="T8" s="22">
        <f>Calc_Capex!T15</f>
        <v>375.69444444444446</v>
      </c>
      <c r="U8" s="22">
        <f>Calc_Capex!U15</f>
        <v>375.69444444444446</v>
      </c>
      <c r="V8" s="22">
        <f>Calc_Capex!V15</f>
        <v>375.69444444444446</v>
      </c>
      <c r="W8" s="22">
        <f>Calc_Capex!W15</f>
        <v>375.69444444444446</v>
      </c>
      <c r="X8" s="22">
        <f>Calc_Capex!X15</f>
        <v>375.69444444444446</v>
      </c>
      <c r="Y8" s="22">
        <f>Calc_Capex!Y15</f>
        <v>375.69444444444446</v>
      </c>
      <c r="Z8" s="22">
        <f>Calc_Capex!Z15</f>
        <v>375.69444444444446</v>
      </c>
      <c r="AA8" s="22">
        <f>Calc_Capex!AA15</f>
        <v>375.69444444444446</v>
      </c>
      <c r="AB8" s="22">
        <f>Calc_Capex!AB15</f>
        <v>375.69444444444446</v>
      </c>
      <c r="AC8" s="22">
        <f>Calc_Capex!AC15</f>
        <v>375.69444444444446</v>
      </c>
      <c r="AD8" s="22">
        <f>Calc_Capex!AD15</f>
        <v>375.69444444444446</v>
      </c>
      <c r="AE8" s="22">
        <f>Calc_Capex!AE15</f>
        <v>375.69444444444446</v>
      </c>
      <c r="AF8" s="22">
        <f>Calc_Capex!AF15</f>
        <v>375.69444444444446</v>
      </c>
      <c r="AG8" s="22">
        <f>Calc_Capex!AG15</f>
        <v>375.69444444444446</v>
      </c>
      <c r="AH8" s="22">
        <f>Calc_Capex!AH15</f>
        <v>375.69444444444446</v>
      </c>
      <c r="AI8" s="22">
        <f>Calc_Capex!AI15</f>
        <v>375.69444444444446</v>
      </c>
      <c r="AJ8" s="22">
        <f>Calc_Capex!AJ15</f>
        <v>375.69444444444446</v>
      </c>
      <c r="AK8" s="22">
        <f>Calc_Capex!AK15</f>
        <v>375.69444444444446</v>
      </c>
      <c r="AL8" s="22">
        <f>Calc_Capex!AL15</f>
        <v>375.69444444444446</v>
      </c>
      <c r="AM8" s="22">
        <f>Calc_Capex!AM15</f>
        <v>375.69444444444446</v>
      </c>
      <c r="AN8" s="22">
        <f>Calc_Capex!AN15</f>
        <v>375.69444444444446</v>
      </c>
      <c r="AO8" s="22">
        <f>Calc_Capex!AO15</f>
        <v>375.69444444444446</v>
      </c>
      <c r="AP8" s="22">
        <f>Calc_Capex!AP15</f>
        <v>375.69444444444446</v>
      </c>
      <c r="AQ8" s="22">
        <f>Calc_Capex!AQ15</f>
        <v>375.69444444444446</v>
      </c>
      <c r="AR8" s="22">
        <f>Calc_Capex!AR15</f>
        <v>375.69444444444446</v>
      </c>
      <c r="AS8" s="22">
        <f>Calc_Capex!AS15</f>
        <v>375.69444444444446</v>
      </c>
      <c r="AT8" s="22">
        <f>Calc_Capex!AT15</f>
        <v>375.69444444444446</v>
      </c>
      <c r="AU8" s="22">
        <f>Calc_Capex!AU15</f>
        <v>375.69444444444446</v>
      </c>
      <c r="AV8" s="22">
        <f>Calc_Capex!AV15</f>
        <v>375.69444444444446</v>
      </c>
      <c r="AW8" s="22">
        <f>Calc_Capex!AW15</f>
        <v>375.69444444444446</v>
      </c>
      <c r="AX8" s="22">
        <f>Calc_Capex!AX15</f>
        <v>375.69444444444446</v>
      </c>
      <c r="AY8" s="22">
        <f>Calc_Capex!AY15</f>
        <v>375.69444444444446</v>
      </c>
      <c r="AZ8" s="22">
        <f>Calc_Capex!AZ15</f>
        <v>375.69444444444446</v>
      </c>
      <c r="BA8" s="22">
        <f>Calc_Capex!BA15</f>
        <v>375.69444444444446</v>
      </c>
      <c r="BB8" s="22">
        <f>Calc_Capex!BB15</f>
        <v>375.69444444444446</v>
      </c>
      <c r="BC8" s="22">
        <f>Calc_Capex!BC15</f>
        <v>375.69444444444446</v>
      </c>
      <c r="BD8" s="22">
        <f>Calc_Capex!BD15</f>
        <v>375.69444444444446</v>
      </c>
      <c r="BE8" s="22">
        <f>Calc_Capex!BE15</f>
        <v>375.69444444444446</v>
      </c>
      <c r="BF8" s="22">
        <f>Calc_Capex!BF15</f>
        <v>375.69444444444446</v>
      </c>
      <c r="BG8" s="22">
        <f>Calc_Capex!BG15</f>
        <v>375.69444444444446</v>
      </c>
      <c r="BH8" s="22">
        <f>Calc_Capex!BH15</f>
        <v>375.69444444444446</v>
      </c>
      <c r="BI8" s="22">
        <f>Calc_Capex!BI15</f>
        <v>375.69444444444446</v>
      </c>
      <c r="BJ8" s="22">
        <f>Calc_Capex!BJ15</f>
        <v>375.69444444444446</v>
      </c>
      <c r="BK8" s="22">
        <f>Calc_Capex!BK15</f>
        <v>375.69444444444446</v>
      </c>
      <c r="BL8" s="22">
        <f>Calc_Capex!BL15</f>
        <v>375.69444444444446</v>
      </c>
      <c r="BM8" s="22">
        <f>Calc_Capex!BM15</f>
        <v>375.69444444444446</v>
      </c>
      <c r="BN8" s="22">
        <f>Calc_Capex!BN15</f>
        <v>375.69444444444446</v>
      </c>
      <c r="BO8" s="22">
        <f>Calc_Capex!BO15</f>
        <v>375.69444444444446</v>
      </c>
      <c r="BP8" s="22">
        <f>Calc_Capex!BP15</f>
        <v>375.69444444444446</v>
      </c>
      <c r="BQ8" s="22">
        <f>Calc_Capex!BQ15</f>
        <v>375.69444444444446</v>
      </c>
      <c r="BR8" s="22">
        <f>Calc_Capex!BR15</f>
        <v>375.69444444444446</v>
      </c>
      <c r="BS8" s="22">
        <f>Calc_Capex!BS15</f>
        <v>375.69444444444446</v>
      </c>
      <c r="BT8" s="22">
        <f>Calc_Capex!BT15</f>
        <v>375.69444444444446</v>
      </c>
      <c r="BU8" s="22">
        <f>Calc_Capex!BU15</f>
        <v>375.69444444444446</v>
      </c>
      <c r="BV8" s="22">
        <f>Calc_Capex!BV15</f>
        <v>375.69444444444446</v>
      </c>
      <c r="BW8" s="22">
        <f>Calc_Capex!BW15</f>
        <v>375.69444444444446</v>
      </c>
      <c r="BX8" s="22">
        <f>Calc_Capex!BX15</f>
        <v>375.69444444444446</v>
      </c>
      <c r="BY8" s="22">
        <f>Calc_Capex!BY15</f>
        <v>375.69444444444446</v>
      </c>
      <c r="BZ8" s="22">
        <f>Calc_Capex!BZ15</f>
        <v>375.69444444444446</v>
      </c>
      <c r="CA8" s="22">
        <f>Calc_Capex!CA15</f>
        <v>375.69444444444446</v>
      </c>
      <c r="CB8" s="22">
        <f>Calc_Capex!CB15</f>
        <v>375.69444444444446</v>
      </c>
      <c r="CC8" s="22">
        <f>Calc_Capex!CC15</f>
        <v>375.69444444444446</v>
      </c>
      <c r="CD8" s="22">
        <f>Calc_Capex!CD15</f>
        <v>375.69444444444446</v>
      </c>
      <c r="CE8" s="22">
        <f>Calc_Capex!CE15</f>
        <v>375.69444444444446</v>
      </c>
      <c r="CF8" s="22">
        <f>Calc_Capex!CF15</f>
        <v>375.69444444444446</v>
      </c>
      <c r="CG8" s="22">
        <f>Calc_Capex!CG15</f>
        <v>375.69444444444446</v>
      </c>
      <c r="CH8" s="22">
        <f>Calc_Capex!CH15</f>
        <v>375.69444444444446</v>
      </c>
      <c r="CI8" s="22">
        <f>Calc_Capex!CI15</f>
        <v>375.69444444444446</v>
      </c>
      <c r="CJ8" s="22">
        <f>Calc_Capex!CJ15</f>
        <v>375.69444444444446</v>
      </c>
      <c r="CK8" s="22">
        <f>Calc_Capex!CK15</f>
        <v>375.69444444444446</v>
      </c>
      <c r="CL8" s="22">
        <f>Calc_Capex!CL15</f>
        <v>375.69444444444446</v>
      </c>
      <c r="CM8" s="22">
        <f>Calc_Capex!CM15</f>
        <v>375.69444444444446</v>
      </c>
      <c r="CN8" s="22">
        <f>Calc_Capex!CN15</f>
        <v>375.69444444444446</v>
      </c>
      <c r="CO8" s="22">
        <f>Calc_Capex!CO15</f>
        <v>375.69444444444446</v>
      </c>
      <c r="CP8" s="22">
        <f>Calc_Capex!CP15</f>
        <v>375.69444444444446</v>
      </c>
      <c r="CQ8" s="22">
        <f>Calc_Capex!CQ15</f>
        <v>375.69444444444446</v>
      </c>
      <c r="CR8" s="22">
        <f>Calc_Capex!CR15</f>
        <v>375.69444444444446</v>
      </c>
      <c r="CS8" s="22">
        <f>Calc_Capex!CS15</f>
        <v>375.69444444444446</v>
      </c>
      <c r="CT8" s="22">
        <f>Calc_Capex!CT15</f>
        <v>375.69444444444446</v>
      </c>
      <c r="CU8" s="22">
        <f>Calc_Capex!CU15</f>
        <v>375.69444444444446</v>
      </c>
      <c r="CV8" s="22">
        <f>Calc_Capex!CV15</f>
        <v>375.69444444444446</v>
      </c>
      <c r="CW8" s="22">
        <f>Calc_Capex!CW15</f>
        <v>375.69444444444446</v>
      </c>
      <c r="CX8" s="22">
        <f>Calc_Capex!CX15</f>
        <v>375.69444444444446</v>
      </c>
      <c r="CY8" s="22">
        <f>Calc_Capex!CY15</f>
        <v>375.69444444444446</v>
      </c>
      <c r="CZ8" s="22">
        <f>Calc_Capex!CZ15</f>
        <v>375.69444444444446</v>
      </c>
      <c r="DA8" s="22">
        <f>Calc_Capex!DA15</f>
        <v>375.69444444444446</v>
      </c>
      <c r="DB8" s="22">
        <f>Calc_Capex!DB15</f>
        <v>375.69444444444446</v>
      </c>
      <c r="DC8" s="22">
        <f>Calc_Capex!DC15</f>
        <v>375.69444444444446</v>
      </c>
      <c r="DD8" s="22">
        <f>Calc_Capex!DD15</f>
        <v>375.69444444444446</v>
      </c>
      <c r="DE8" s="22">
        <f>Calc_Capex!DE15</f>
        <v>375.69444444444446</v>
      </c>
      <c r="DF8" s="22">
        <f>Calc_Capex!DF15</f>
        <v>375.69444444444446</v>
      </c>
      <c r="DG8" s="22">
        <f>Calc_Capex!DG15</f>
        <v>375.69444444444446</v>
      </c>
      <c r="DH8" s="22">
        <f>Calc_Capex!DH15</f>
        <v>375.69444444444446</v>
      </c>
      <c r="DI8" s="22">
        <f>Calc_Capex!DI15</f>
        <v>375.69444444444446</v>
      </c>
      <c r="DJ8" s="22">
        <f>Calc_Capex!DJ15</f>
        <v>375.69444444444446</v>
      </c>
      <c r="DK8" s="22">
        <f>Calc_Capex!DK15</f>
        <v>375.69444444444446</v>
      </c>
      <c r="DL8" s="22">
        <f>Calc_Capex!DL15</f>
        <v>375.69444444444446</v>
      </c>
      <c r="DM8" s="22">
        <f>Calc_Capex!DM15</f>
        <v>375.69444444444446</v>
      </c>
      <c r="DN8" s="22">
        <f>Calc_Capex!DN15</f>
        <v>375.69444444444446</v>
      </c>
      <c r="DO8" s="22">
        <f>Calc_Capex!DO15</f>
        <v>375.69444444444446</v>
      </c>
      <c r="DP8" s="22">
        <f>Calc_Capex!DP15</f>
        <v>375.69444444444446</v>
      </c>
      <c r="DQ8" s="22">
        <f>Calc_Capex!DQ15</f>
        <v>375.69444444444446</v>
      </c>
    </row>
    <row r="9" spans="1:121" ht="15" customHeight="1">
      <c r="A9" t="s">
        <v>532</v>
      </c>
      <c r="B9" s="22">
        <f>-Calc_WC!B24</f>
        <v>-38.649632328779262</v>
      </c>
      <c r="C9" s="22">
        <f>-Calc_WC!C24</f>
        <v>1049.506505753423</v>
      </c>
      <c r="D9" s="22">
        <f>-Calc_WC!D24</f>
        <v>2099.0130115068569</v>
      </c>
      <c r="E9" s="22">
        <f>-Calc_WC!E24</f>
        <v>2099.0130115068569</v>
      </c>
      <c r="F9" s="22">
        <f>-Calc_WC!F24</f>
        <v>1049.5065057534157</v>
      </c>
      <c r="G9" s="22">
        <f>-Calc_WC!G24</f>
        <v>1049.506505753423</v>
      </c>
      <c r="H9" s="22">
        <f>-Calc_WC!H24</f>
        <v>0</v>
      </c>
      <c r="I9" s="22">
        <f>-Calc_WC!I24</f>
        <v>-1049.506505753423</v>
      </c>
      <c r="J9" s="22">
        <f>-Calc_WC!J24</f>
        <v>-2099.0130115068459</v>
      </c>
      <c r="K9" s="22">
        <f>-Calc_WC!K24</f>
        <v>-2099.0130115068496</v>
      </c>
      <c r="L9" s="22">
        <f>-Calc_WC!L24</f>
        <v>-2099.0130115068569</v>
      </c>
      <c r="M9" s="22">
        <f>-Calc_WC!M24</f>
        <v>-5247.5325287671076</v>
      </c>
      <c r="N9" s="22">
        <f>-Calc_WC!N24</f>
        <v>1947.0574619864346</v>
      </c>
      <c r="O9" s="22">
        <f>-Calc_WC!O24</f>
        <v>1193.0054217004072</v>
      </c>
      <c r="P9" s="22">
        <f>-Calc_WC!P24</f>
        <v>2386.0108434008253</v>
      </c>
      <c r="Q9" s="22">
        <f>-Calc_WC!Q24</f>
        <v>2386.010843400818</v>
      </c>
      <c r="R9" s="22">
        <f>-Calc_WC!R24</f>
        <v>1193.0054217004144</v>
      </c>
      <c r="S9" s="22">
        <f>-Calc_WC!S24</f>
        <v>1193.0054217004144</v>
      </c>
      <c r="T9" s="22">
        <f>-Calc_WC!T24</f>
        <v>0</v>
      </c>
      <c r="U9" s="22">
        <f>-Calc_WC!U24</f>
        <v>-1193.0054217004144</v>
      </c>
      <c r="V9" s="22">
        <f>-Calc_WC!V24</f>
        <v>-2386.0108434008071</v>
      </c>
      <c r="W9" s="22">
        <f>-Calc_WC!W24</f>
        <v>-2386.0108434008398</v>
      </c>
      <c r="X9" s="22">
        <f>-Calc_WC!X24</f>
        <v>-2386.010843400818</v>
      </c>
      <c r="Y9" s="22">
        <f>-Calc_WC!Y24</f>
        <v>-5965.0271085020504</v>
      </c>
      <c r="Z9" s="22">
        <f>-Calc_WC!Z24</f>
        <v>2253.9900450861096</v>
      </c>
      <c r="AA9" s="22">
        <f>-Calc_WC!AA24</f>
        <v>1354.3548592402331</v>
      </c>
      <c r="AB9" s="22">
        <f>-Calc_WC!AB24</f>
        <v>2708.7097184804697</v>
      </c>
      <c r="AC9" s="22">
        <f>-Calc_WC!AC24</f>
        <v>2708.7097184804734</v>
      </c>
      <c r="AD9" s="22">
        <f>-Calc_WC!AD24</f>
        <v>1354.3548592402221</v>
      </c>
      <c r="AE9" s="22">
        <f>-Calc_WC!AE24</f>
        <v>1354.3548592402512</v>
      </c>
      <c r="AF9" s="22">
        <f>-Calc_WC!AF24</f>
        <v>0</v>
      </c>
      <c r="AG9" s="22">
        <f>-Calc_WC!AG24</f>
        <v>-1354.3548592402512</v>
      </c>
      <c r="AH9" s="22">
        <f>-Calc_WC!AH24</f>
        <v>-2708.7097184804588</v>
      </c>
      <c r="AI9" s="22">
        <f>-Calc_WC!AI24</f>
        <v>-2708.7097184804661</v>
      </c>
      <c r="AJ9" s="22">
        <f>-Calc_WC!AJ24</f>
        <v>-2708.7097184804734</v>
      </c>
      <c r="AK9" s="22">
        <f>-Calc_WC!AK24</f>
        <v>-6771.7742962011616</v>
      </c>
      <c r="AL9" s="22">
        <f>-Calc_WC!AL24</f>
        <v>3255.7315398948267</v>
      </c>
      <c r="AM9" s="22">
        <f>-Calc_WC!AM24</f>
        <v>1507.2262834274588</v>
      </c>
      <c r="AN9" s="22">
        <f>-Calc_WC!AN24</f>
        <v>3014.4525668549177</v>
      </c>
      <c r="AO9" s="22">
        <f>-Calc_WC!AO24</f>
        <v>3014.4525668549613</v>
      </c>
      <c r="AP9" s="22">
        <f>-Calc_WC!AP24</f>
        <v>1507.2262834274625</v>
      </c>
      <c r="AQ9" s="22">
        <f>-Calc_WC!AQ24</f>
        <v>1507.2262834274552</v>
      </c>
      <c r="AR9" s="22">
        <f>-Calc_WC!AR24</f>
        <v>0</v>
      </c>
      <c r="AS9" s="22">
        <f>-Calc_WC!AS24</f>
        <v>-1507.2262834274552</v>
      </c>
      <c r="AT9" s="22">
        <f>-Calc_WC!AT24</f>
        <v>-3014.4525668549468</v>
      </c>
      <c r="AU9" s="22">
        <f>-Calc_WC!AU24</f>
        <v>-3014.4525668549504</v>
      </c>
      <c r="AV9" s="22">
        <f>-Calc_WC!AV24</f>
        <v>-3014.4525668549031</v>
      </c>
      <c r="AW9" s="22">
        <f>-Calc_WC!AW24</f>
        <v>-7536.1314171373378</v>
      </c>
      <c r="AX9" s="22">
        <f>-Calc_WC!AX24</f>
        <v>3666.6577365795893</v>
      </c>
      <c r="AY9" s="22">
        <f>-Calc_WC!AY24</f>
        <v>1675.4642695386938</v>
      </c>
      <c r="AZ9" s="22">
        <f>-Calc_WC!AZ24</f>
        <v>3350.9285390773439</v>
      </c>
      <c r="BA9" s="22">
        <f>-Calc_WC!BA24</f>
        <v>3350.9285390773366</v>
      </c>
      <c r="BB9" s="22">
        <f>-Calc_WC!BB24</f>
        <v>1675.4642695386719</v>
      </c>
      <c r="BC9" s="22">
        <f>-Calc_WC!BC24</f>
        <v>1675.4642695386829</v>
      </c>
      <c r="BD9" s="22">
        <f>-Calc_WC!BD24</f>
        <v>0</v>
      </c>
      <c r="BE9" s="22">
        <f>-Calc_WC!BE24</f>
        <v>-1675.4642695386829</v>
      </c>
      <c r="BF9" s="22">
        <f>-Calc_WC!BF24</f>
        <v>-3350.9285390773366</v>
      </c>
      <c r="BG9" s="22">
        <f>-Calc_WC!BG24</f>
        <v>-3350.9285390773584</v>
      </c>
      <c r="BH9" s="22">
        <f>-Calc_WC!BH24</f>
        <v>-3350.9285390773512</v>
      </c>
      <c r="BI9" s="22">
        <f>-Calc_WC!BI24</f>
        <v>-8377.3213476933379</v>
      </c>
      <c r="BJ9" s="22">
        <f>-Calc_WC!BJ24</f>
        <v>4928.2857172677541</v>
      </c>
      <c r="BK9" s="22">
        <f>-Calc_WC!BK24</f>
        <v>1825.4223404267032</v>
      </c>
      <c r="BL9" s="22">
        <f>-Calc_WC!BL24</f>
        <v>3650.8446808534936</v>
      </c>
      <c r="BM9" s="22">
        <f>-Calc_WC!BM24</f>
        <v>3650.8446808535082</v>
      </c>
      <c r="BN9" s="22">
        <f>-Calc_WC!BN24</f>
        <v>1825.4223404267213</v>
      </c>
      <c r="BO9" s="22">
        <f>-Calc_WC!BO24</f>
        <v>1825.4223404267395</v>
      </c>
      <c r="BP9" s="22">
        <f>-Calc_WC!BP24</f>
        <v>0</v>
      </c>
      <c r="BQ9" s="22">
        <f>-Calc_WC!BQ24</f>
        <v>-1825.4223404267395</v>
      </c>
      <c r="BR9" s="22">
        <f>-Calc_WC!BR24</f>
        <v>-3650.8446808534463</v>
      </c>
      <c r="BS9" s="22">
        <f>-Calc_WC!BS24</f>
        <v>-3650.8446808535082</v>
      </c>
      <c r="BT9" s="22">
        <f>-Calc_WC!BT24</f>
        <v>-3650.8446808534718</v>
      </c>
      <c r="BU9" s="22">
        <f>-Calc_WC!BU24</f>
        <v>-9127.1117021337122</v>
      </c>
      <c r="BV9" s="22">
        <f>-Calc_WC!BV24</f>
        <v>5414.2124853293426</v>
      </c>
      <c r="BW9" s="22">
        <f>-Calc_WC!BW24</f>
        <v>1986.8527411573741</v>
      </c>
      <c r="BX9" s="22">
        <f>-Calc_WC!BX24</f>
        <v>3973.7054823147046</v>
      </c>
      <c r="BY9" s="22">
        <f>-Calc_WC!BY24</f>
        <v>3973.7054823147482</v>
      </c>
      <c r="BZ9" s="22">
        <f>-Calc_WC!BZ24</f>
        <v>1986.8527411573887</v>
      </c>
      <c r="CA9" s="22">
        <f>-Calc_WC!CA24</f>
        <v>1986.8527411573414</v>
      </c>
      <c r="CB9" s="22">
        <f>-Calc_WC!CB24</f>
        <v>0</v>
      </c>
      <c r="CC9" s="22">
        <f>-Calc_WC!CC24</f>
        <v>-1986.8527411573414</v>
      </c>
      <c r="CD9" s="22">
        <f>-Calc_WC!CD24</f>
        <v>-3973.7054823147337</v>
      </c>
      <c r="CE9" s="22">
        <f>-Calc_WC!CE24</f>
        <v>-3973.7054823147337</v>
      </c>
      <c r="CF9" s="22">
        <f>-Calc_WC!CF24</f>
        <v>-3973.7054823147482</v>
      </c>
      <c r="CG9" s="22">
        <f>-Calc_WC!CG24</f>
        <v>-9934.2637057868269</v>
      </c>
      <c r="CH9" s="22">
        <f>-Calc_WC!CH24</f>
        <v>5938.6368165119566</v>
      </c>
      <c r="CI9" s="22">
        <f>-Calc_WC!CI24</f>
        <v>2160.5756493866866</v>
      </c>
      <c r="CJ9" s="22">
        <f>-Calc_WC!CJ24</f>
        <v>4321.1512987734459</v>
      </c>
      <c r="CK9" s="22">
        <f>-Calc_WC!CK24</f>
        <v>4321.1512987733731</v>
      </c>
      <c r="CL9" s="22">
        <f>-Calc_WC!CL24</f>
        <v>2160.5756493867157</v>
      </c>
      <c r="CM9" s="22">
        <f>-Calc_WC!CM24</f>
        <v>2160.5756493867302</v>
      </c>
      <c r="CN9" s="22">
        <f>-Calc_WC!CN24</f>
        <v>0</v>
      </c>
      <c r="CO9" s="22">
        <f>-Calc_WC!CO24</f>
        <v>-2160.5756493867302</v>
      </c>
      <c r="CP9" s="22">
        <f>-Calc_WC!CP24</f>
        <v>-4321.1512987734095</v>
      </c>
      <c r="CQ9" s="22">
        <f>-Calc_WC!CQ24</f>
        <v>-4321.1512987734168</v>
      </c>
      <c r="CR9" s="22">
        <f>-Calc_WC!CR24</f>
        <v>-4321.151298773395</v>
      </c>
      <c r="CS9" s="22">
        <f>-Calc_WC!CS24</f>
        <v>-10802.878246933557</v>
      </c>
      <c r="CT9" s="22">
        <f>-Calc_WC!CT24</f>
        <v>6504.3566058385841</v>
      </c>
      <c r="CU9" s="22">
        <f>-Calc_WC!CU24</f>
        <v>2347.4678946516942</v>
      </c>
      <c r="CV9" s="22">
        <f>-Calc_WC!CV24</f>
        <v>4694.9357893034176</v>
      </c>
      <c r="CW9" s="22">
        <f>-Calc_WC!CW24</f>
        <v>4694.9357893034176</v>
      </c>
      <c r="CX9" s="22">
        <f>-Calc_WC!CX24</f>
        <v>2347.4678946517088</v>
      </c>
      <c r="CY9" s="22">
        <f>-Calc_WC!CY24</f>
        <v>2347.4678946517161</v>
      </c>
      <c r="CZ9" s="22">
        <f>-Calc_WC!CZ24</f>
        <v>0</v>
      </c>
      <c r="DA9" s="22">
        <f>-Calc_WC!DA24</f>
        <v>-2347.4678946517161</v>
      </c>
      <c r="DB9" s="22">
        <f>-Calc_WC!DB24</f>
        <v>-4694.9357893033884</v>
      </c>
      <c r="DC9" s="22">
        <f>-Calc_WC!DC24</f>
        <v>-4694.9357893034321</v>
      </c>
      <c r="DD9" s="22">
        <f>-Calc_WC!DD24</f>
        <v>-4694.9357893034176</v>
      </c>
      <c r="DE9" s="22">
        <f>-Calc_WC!DE24</f>
        <v>-11737.339473258544</v>
      </c>
      <c r="DF9" s="22">
        <f>-Calc_WC!DF24</f>
        <v>7114.3646916382859</v>
      </c>
      <c r="DG9" s="22">
        <f>-Calc_WC!DG24</f>
        <v>2548.466798200403</v>
      </c>
      <c r="DH9" s="22">
        <f>-Calc_WC!DH24</f>
        <v>5096.9335964008424</v>
      </c>
      <c r="DI9" s="22">
        <f>-Calc_WC!DI24</f>
        <v>5096.9335964008133</v>
      </c>
      <c r="DJ9" s="22">
        <f>-Calc_WC!DJ24</f>
        <v>2548.466798200403</v>
      </c>
      <c r="DK9" s="22">
        <f>-Calc_WC!DK24</f>
        <v>2548.4667982004248</v>
      </c>
      <c r="DL9" s="22">
        <f>-Calc_WC!DL24</f>
        <v>0</v>
      </c>
      <c r="DM9" s="22">
        <f>-Calc_WC!DM24</f>
        <v>-2548.4667982004248</v>
      </c>
      <c r="DN9" s="22">
        <f>-Calc_WC!DN24</f>
        <v>-5096.9335964008496</v>
      </c>
      <c r="DO9" s="22">
        <f>-Calc_WC!DO24</f>
        <v>-5096.933596400806</v>
      </c>
      <c r="DP9" s="22">
        <f>-Calc_WC!DP24</f>
        <v>-5096.933596400806</v>
      </c>
      <c r="DQ9" s="22">
        <f>-Calc_WC!DQ24</f>
        <v>-12742.333991002131</v>
      </c>
    </row>
    <row r="10" spans="1:121" ht="15" customHeight="1">
      <c r="A10" s="14" t="s">
        <v>533</v>
      </c>
      <c r="B10" s="30">
        <f t="shared" ref="B10:AG10" si="0">SUM(B7:B9)</f>
        <v>4244.9232426712279</v>
      </c>
      <c r="C10" s="30">
        <f t="shared" si="0"/>
        <v>5148.6177279756475</v>
      </c>
      <c r="D10" s="30">
        <f t="shared" si="0"/>
        <v>5828.0724559513019</v>
      </c>
      <c r="E10" s="30">
        <f t="shared" si="0"/>
        <v>5458.0206781735214</v>
      </c>
      <c r="F10" s="30">
        <f t="shared" si="0"/>
        <v>4224.0525196423041</v>
      </c>
      <c r="G10" s="30">
        <f t="shared" si="0"/>
        <v>4039.5908668645352</v>
      </c>
      <c r="H10" s="30">
        <f t="shared" si="0"/>
        <v>2991.2128333333344</v>
      </c>
      <c r="I10" s="30">
        <f t="shared" si="0"/>
        <v>2128.424924802132</v>
      </c>
      <c r="J10" s="30">
        <f t="shared" si="0"/>
        <v>1451.2271412709351</v>
      </c>
      <c r="K10" s="30">
        <f t="shared" si="0"/>
        <v>1823.5358634931522</v>
      </c>
      <c r="L10" s="30">
        <f t="shared" si="0"/>
        <v>2195.844585715372</v>
      </c>
      <c r="M10" s="30">
        <f t="shared" si="0"/>
        <v>-23.595834322662085</v>
      </c>
      <c r="N10" s="30">
        <f t="shared" si="0"/>
        <v>7048.5712402031058</v>
      </c>
      <c r="O10" s="30">
        <f t="shared" si="0"/>
        <v>6075.0836672892956</v>
      </c>
      <c r="P10" s="30">
        <f t="shared" si="0"/>
        <v>6828.0895515119355</v>
      </c>
      <c r="Q10" s="30">
        <f t="shared" si="0"/>
        <v>6388.09001403415</v>
      </c>
      <c r="R10" s="30">
        <f t="shared" si="0"/>
        <v>4975.6490597059692</v>
      </c>
      <c r="S10" s="30">
        <f t="shared" si="0"/>
        <v>4756.2135270781882</v>
      </c>
      <c r="T10" s="30">
        <f t="shared" si="0"/>
        <v>3564.3365775999964</v>
      </c>
      <c r="U10" s="30">
        <f t="shared" si="0"/>
        <v>2593.0236329718068</v>
      </c>
      <c r="V10" s="30">
        <f t="shared" si="0"/>
        <v>1842.274693193629</v>
      </c>
      <c r="W10" s="30">
        <f t="shared" si="0"/>
        <v>2284.5311751158297</v>
      </c>
      <c r="X10" s="30">
        <f t="shared" si="0"/>
        <v>2726.7876570380749</v>
      </c>
      <c r="Y10" s="30">
        <f t="shared" si="0"/>
        <v>251.71988840905851</v>
      </c>
      <c r="Z10" s="30">
        <f t="shared" si="0"/>
        <v>8287.3283999442938</v>
      </c>
      <c r="AA10" s="30">
        <f t="shared" si="0"/>
        <v>7128.332337558687</v>
      </c>
      <c r="AB10" s="30">
        <f t="shared" si="0"/>
        <v>7962.8369714972514</v>
      </c>
      <c r="AC10" s="30">
        <f t="shared" si="0"/>
        <v>7442.98674619557</v>
      </c>
      <c r="AD10" s="30">
        <f t="shared" si="0"/>
        <v>5829.2710104155976</v>
      </c>
      <c r="AE10" s="30">
        <f t="shared" si="0"/>
        <v>5569.9101338758901</v>
      </c>
      <c r="AF10" s="30">
        <f t="shared" si="0"/>
        <v>4216.6837468578615</v>
      </c>
      <c r="AG10" s="30">
        <f t="shared" si="0"/>
        <v>3123.9467086017903</v>
      </c>
      <c r="AH10" s="30">
        <f t="shared" ref="AH10:BM10" si="1">SUM(AH7:AH9)</f>
        <v>2291.699019107703</v>
      </c>
      <c r="AI10" s="30">
        <f t="shared" si="1"/>
        <v>2813.806188853815</v>
      </c>
      <c r="AJ10" s="30">
        <f t="shared" si="1"/>
        <v>3335.9133585999325</v>
      </c>
      <c r="AK10" s="30">
        <f t="shared" si="1"/>
        <v>576.423996911215</v>
      </c>
      <c r="AL10" s="30">
        <f t="shared" si="1"/>
        <v>10218.858508462912</v>
      </c>
      <c r="AM10" s="30">
        <f t="shared" si="1"/>
        <v>8171.1555516713315</v>
      </c>
      <c r="AN10" s="30">
        <f t="shared" si="1"/>
        <v>9078.8579622281395</v>
      </c>
      <c r="AO10" s="30">
        <f t="shared" si="1"/>
        <v>8479.3340893575187</v>
      </c>
      <c r="AP10" s="30">
        <f t="shared" si="1"/>
        <v>6672.9101056058098</v>
      </c>
      <c r="AQ10" s="30">
        <f t="shared" si="1"/>
        <v>6373.7124052815834</v>
      </c>
      <c r="AR10" s="30">
        <f t="shared" si="1"/>
        <v>4867.6145940763508</v>
      </c>
      <c r="AS10" s="30">
        <f t="shared" si="1"/>
        <v>3661.8429554175591</v>
      </c>
      <c r="AT10" s="30">
        <f t="shared" si="1"/>
        <v>2756.3974893051609</v>
      </c>
      <c r="AU10" s="30">
        <f t="shared" si="1"/>
        <v>3358.1783066202615</v>
      </c>
      <c r="AV10" s="30">
        <f t="shared" si="1"/>
        <v>3959.9591239354058</v>
      </c>
      <c r="AW10" s="30">
        <f t="shared" si="1"/>
        <v>941.0396086073888</v>
      </c>
      <c r="AX10" s="30">
        <f t="shared" si="1"/>
        <v>11662.708883037707</v>
      </c>
      <c r="AY10" s="30">
        <f t="shared" si="1"/>
        <v>9327.9967369237493</v>
      </c>
      <c r="AZ10" s="30">
        <f t="shared" si="1"/>
        <v>10315.29517609406</v>
      </c>
      <c r="BA10" s="30">
        <f t="shared" si="1"/>
        <v>9627.1293457257161</v>
      </c>
      <c r="BB10" s="30">
        <f t="shared" si="1"/>
        <v>7608.1463971139956</v>
      </c>
      <c r="BC10" s="30">
        <f t="shared" si="1"/>
        <v>7264.6277180409461</v>
      </c>
      <c r="BD10" s="30">
        <f t="shared" si="1"/>
        <v>5590.2919207244859</v>
      </c>
      <c r="BE10" s="30">
        <f t="shared" si="1"/>
        <v>4260.6032747033069</v>
      </c>
      <c r="BF10" s="30">
        <f t="shared" si="1"/>
        <v>3275.5617799774318</v>
      </c>
      <c r="BG10" s="30">
        <f t="shared" si="1"/>
        <v>3965.9845547901959</v>
      </c>
      <c r="BH10" s="30">
        <f t="shared" si="1"/>
        <v>4656.4073296029901</v>
      </c>
      <c r="BI10" s="30">
        <f t="shared" si="1"/>
        <v>1354.3787496856221</v>
      </c>
      <c r="BJ10" s="30">
        <f t="shared" si="1"/>
        <v>13899.811840638666</v>
      </c>
      <c r="BK10" s="30">
        <f t="shared" si="1"/>
        <v>10411.606597322574</v>
      </c>
      <c r="BL10" s="30">
        <f t="shared" si="1"/>
        <v>11465.216732577002</v>
      </c>
      <c r="BM10" s="30">
        <f t="shared" si="1"/>
        <v>10693.404527404658</v>
      </c>
      <c r="BN10" s="30">
        <f t="shared" ref="BN10:CS10" si="2">SUM(BN7:BN9)</f>
        <v>8482.6403205028146</v>
      </c>
      <c r="BO10" s="30">
        <f t="shared" si="2"/>
        <v>8097.2984540277712</v>
      </c>
      <c r="BP10" s="30">
        <f t="shared" si="2"/>
        <v>6273.0045858232543</v>
      </c>
      <c r="BQ10" s="30">
        <f t="shared" si="2"/>
        <v>4835.1810563160207</v>
      </c>
      <c r="BR10" s="30">
        <f t="shared" si="2"/>
        <v>3783.8278655061013</v>
      </c>
      <c r="BS10" s="30">
        <f t="shared" si="2"/>
        <v>4557.8970151228441</v>
      </c>
      <c r="BT10" s="30">
        <f t="shared" si="2"/>
        <v>5331.9661647396624</v>
      </c>
      <c r="BU10" s="30">
        <f t="shared" si="2"/>
        <v>1789.1793091680738</v>
      </c>
      <c r="BV10" s="30">
        <f t="shared" si="2"/>
        <v>15442.251541472511</v>
      </c>
      <c r="BW10" s="30">
        <f t="shared" si="2"/>
        <v>11584.203354038284</v>
      </c>
      <c r="BX10" s="30">
        <f t="shared" si="2"/>
        <v>12708.550736448871</v>
      </c>
      <c r="BY10" s="30">
        <f t="shared" si="2"/>
        <v>11846.045377702154</v>
      </c>
      <c r="BZ10" s="30">
        <f t="shared" si="2"/>
        <v>9428.5041932825334</v>
      </c>
      <c r="CA10" s="30">
        <f t="shared" si="2"/>
        <v>8997.8157500202233</v>
      </c>
      <c r="CB10" s="30">
        <f t="shared" si="2"/>
        <v>7012.0914810851036</v>
      </c>
      <c r="CC10" s="30">
        <f t="shared" si="2"/>
        <v>5458.1841276344703</v>
      </c>
      <c r="CD10" s="30">
        <f t="shared" si="2"/>
        <v>4336.0936896682742</v>
      </c>
      <c r="CE10" s="30">
        <f t="shared" si="2"/>
        <v>5200.8559928594677</v>
      </c>
      <c r="CF10" s="30">
        <f t="shared" si="2"/>
        <v>6065.6182960506412</v>
      </c>
      <c r="CG10" s="30">
        <f t="shared" si="2"/>
        <v>2265.2731222232251</v>
      </c>
      <c r="CH10" s="30">
        <f t="shared" si="2"/>
        <v>17110.277280668874</v>
      </c>
      <c r="CI10" s="30">
        <f t="shared" si="2"/>
        <v>12851.266165826637</v>
      </c>
      <c r="CJ10" s="30">
        <f t="shared" si="2"/>
        <v>14049.941919779456</v>
      </c>
      <c r="CK10" s="30">
        <f t="shared" si="2"/>
        <v>13088.042024345456</v>
      </c>
      <c r="CL10" s="30">
        <f t="shared" si="2"/>
        <v>10446.516427241833</v>
      </c>
      <c r="CM10" s="30">
        <f t="shared" si="2"/>
        <v>9965.5664795248704</v>
      </c>
      <c r="CN10" s="30">
        <f t="shared" si="2"/>
        <v>7804.9908301381402</v>
      </c>
      <c r="CO10" s="30">
        <f t="shared" si="2"/>
        <v>6125.3651284683874</v>
      </c>
      <c r="CP10" s="30">
        <f t="shared" si="2"/>
        <v>4926.6893745156376</v>
      </c>
      <c r="CQ10" s="30">
        <f t="shared" si="2"/>
        <v>5888.5892699495562</v>
      </c>
      <c r="CR10" s="30">
        <f t="shared" si="2"/>
        <v>6850.489165383522</v>
      </c>
      <c r="CS10" s="30">
        <f t="shared" si="2"/>
        <v>2773.5119558081988</v>
      </c>
      <c r="CT10" s="30">
        <f t="shared" ref="CT10:DY10" si="3">SUM(CT7:CT9)</f>
        <v>18899.62322081715</v>
      </c>
      <c r="CU10" s="30">
        <f t="shared" si="3"/>
        <v>14208.583424921046</v>
      </c>
      <c r="CV10" s="30">
        <f t="shared" si="3"/>
        <v>15487.749150154339</v>
      </c>
      <c r="CW10" s="30">
        <f t="shared" si="3"/>
        <v>14419.44698073592</v>
      </c>
      <c r="CX10" s="30">
        <f t="shared" si="3"/>
        <v>11537.828001374997</v>
      </c>
      <c r="CY10" s="30">
        <f t="shared" si="3"/>
        <v>11003.676916665783</v>
      </c>
      <c r="CZ10" s="30">
        <f t="shared" si="3"/>
        <v>8656.2090220140672</v>
      </c>
      <c r="DA10" s="30">
        <f t="shared" si="3"/>
        <v>6842.8922120715724</v>
      </c>
      <c r="DB10" s="30">
        <f t="shared" si="3"/>
        <v>5563.7264868383209</v>
      </c>
      <c r="DC10" s="30">
        <f t="shared" si="3"/>
        <v>6632.0286562567017</v>
      </c>
      <c r="DD10" s="30">
        <f t="shared" si="3"/>
        <v>7700.3308256751479</v>
      </c>
      <c r="DE10" s="30">
        <f t="shared" si="3"/>
        <v>3328.6825652660737</v>
      </c>
      <c r="DF10" s="30">
        <f t="shared" si="3"/>
        <v>20833.758548600203</v>
      </c>
      <c r="DG10" s="30">
        <f t="shared" si="3"/>
        <v>15676.138820801669</v>
      </c>
      <c r="DH10" s="30">
        <f t="shared" si="3"/>
        <v>17041.161950280781</v>
      </c>
      <c r="DI10" s="30">
        <f t="shared" si="3"/>
        <v>15857.718281559428</v>
      </c>
      <c r="DJ10" s="30">
        <f t="shared" si="3"/>
        <v>12717.529648998352</v>
      </c>
      <c r="DK10" s="30">
        <f t="shared" si="3"/>
        <v>12125.807814637716</v>
      </c>
      <c r="DL10" s="30">
        <f t="shared" si="3"/>
        <v>9577.3410164372908</v>
      </c>
      <c r="DM10" s="30">
        <f t="shared" si="3"/>
        <v>7620.5960525975242</v>
      </c>
      <c r="DN10" s="30">
        <f t="shared" si="3"/>
        <v>6255.5729231184323</v>
      </c>
      <c r="DO10" s="30">
        <f t="shared" si="3"/>
        <v>7439.0165918397943</v>
      </c>
      <c r="DP10" s="30">
        <f t="shared" si="3"/>
        <v>8622.4602605611108</v>
      </c>
      <c r="DQ10" s="30">
        <f t="shared" si="3"/>
        <v>3935.6690377631276</v>
      </c>
    </row>
    <row r="12" spans="1:121" ht="15" customHeight="1">
      <c r="A12" s="5" t="s">
        <v>534</v>
      </c>
    </row>
    <row r="13" spans="1:121" ht="15" customHeight="1">
      <c r="A13" t="s">
        <v>535</v>
      </c>
      <c r="B13" s="22">
        <f>-Calc_Capex!B14</f>
        <v>-103.33333333333333</v>
      </c>
      <c r="C13" s="22">
        <f>-Calc_Capex!C14</f>
        <v>-103.50555555555557</v>
      </c>
      <c r="D13" s="22">
        <f>-Calc_Capex!D14</f>
        <v>-103.67806481481483</v>
      </c>
      <c r="E13" s="22">
        <f>-Calc_Capex!E14</f>
        <v>-103.85086158950618</v>
      </c>
      <c r="F13" s="22">
        <f>-Calc_Capex!F14</f>
        <v>-104.02394635882202</v>
      </c>
      <c r="G13" s="22">
        <f>-Calc_Capex!G14</f>
        <v>-104.1973196027534</v>
      </c>
      <c r="H13" s="22">
        <f>-Calc_Capex!H14</f>
        <v>-104.37098180209131</v>
      </c>
      <c r="I13" s="22">
        <f>-Calc_Capex!I14</f>
        <v>-104.54493343842813</v>
      </c>
      <c r="J13" s="22">
        <f>-Calc_Capex!J14</f>
        <v>-104.71917499415885</v>
      </c>
      <c r="K13" s="22">
        <f>-Calc_Capex!K14</f>
        <v>-104.89370695248243</v>
      </c>
      <c r="L13" s="22">
        <f>-Calc_Capex!L14</f>
        <v>-105.06852979740324</v>
      </c>
      <c r="M13" s="22">
        <f>-Calc_Capex!M14</f>
        <v>-105.24364401373225</v>
      </c>
      <c r="N13" s="22">
        <f>-Calc_Capex!N14</f>
        <v>-105.41905008708846</v>
      </c>
      <c r="O13" s="22">
        <f>-Calc_Capex!O14</f>
        <v>-105.59474850390029</v>
      </c>
      <c r="P13" s="22">
        <f>-Calc_Capex!P14</f>
        <v>-105.77073975140679</v>
      </c>
      <c r="Q13" s="22">
        <f>-Calc_Capex!Q14</f>
        <v>-105.94702431765914</v>
      </c>
      <c r="R13" s="22">
        <f>-Calc_Capex!R14</f>
        <v>-106.12360269152191</v>
      </c>
      <c r="S13" s="22">
        <f>-Calc_Capex!S14</f>
        <v>-106.30047536267445</v>
      </c>
      <c r="T13" s="22">
        <f>-Calc_Capex!T14</f>
        <v>-106.47764282161224</v>
      </c>
      <c r="U13" s="22">
        <f>-Calc_Capex!U14</f>
        <v>-106.65510555964825</v>
      </c>
      <c r="V13" s="22">
        <f>-Calc_Capex!V14</f>
        <v>-106.83286406891433</v>
      </c>
      <c r="W13" s="22">
        <f>-Calc_Capex!W14</f>
        <v>-107.01091884236253</v>
      </c>
      <c r="X13" s="22">
        <f>-Calc_Capex!X14</f>
        <v>-107.18927037376646</v>
      </c>
      <c r="Y13" s="22">
        <f>-Calc_Capex!Y14</f>
        <v>-107.36791915772274</v>
      </c>
      <c r="Z13" s="22">
        <f>-Calc_Capex!Z14</f>
        <v>-107.54686568965229</v>
      </c>
      <c r="AA13" s="22">
        <f>-Calc_Capex!AA14</f>
        <v>-107.72611046580171</v>
      </c>
      <c r="AB13" s="22">
        <f>-Calc_Capex!AB14</f>
        <v>-107.9056539832447</v>
      </c>
      <c r="AC13" s="22">
        <f>-Calc_Capex!AC14</f>
        <v>-108.08549673988347</v>
      </c>
      <c r="AD13" s="22">
        <f>-Calc_Capex!AD14</f>
        <v>-108.26563923444992</v>
      </c>
      <c r="AE13" s="22">
        <f>-Calc_Capex!AE14</f>
        <v>-108.44608196650735</v>
      </c>
      <c r="AF13" s="22">
        <f>-Calc_Capex!AF14</f>
        <v>-108.62682543645154</v>
      </c>
      <c r="AG13" s="22">
        <f>-Calc_Capex!AG14</f>
        <v>-108.8078701455123</v>
      </c>
      <c r="AH13" s="22">
        <f>-Calc_Capex!AH14</f>
        <v>-108.9892165957548</v>
      </c>
      <c r="AI13" s="22">
        <f>-Calc_Capex!AI14</f>
        <v>-109.17086529008107</v>
      </c>
      <c r="AJ13" s="22">
        <f>-Calc_Capex!AJ14</f>
        <v>-109.3528167322312</v>
      </c>
      <c r="AK13" s="22">
        <f>-Calc_Capex!AK14</f>
        <v>-109.53507142678494</v>
      </c>
      <c r="AL13" s="22">
        <f>-Calc_Capex!AL14</f>
        <v>-109.71762987916291</v>
      </c>
      <c r="AM13" s="22">
        <f>-Calc_Capex!AM14</f>
        <v>-109.90049259562817</v>
      </c>
      <c r="AN13" s="22">
        <f>-Calc_Capex!AN14</f>
        <v>-110.08366008328754</v>
      </c>
      <c r="AO13" s="22">
        <f>-Calc_Capex!AO14</f>
        <v>-110.26713285009301</v>
      </c>
      <c r="AP13" s="22">
        <f>-Calc_Capex!AP14</f>
        <v>-110.45091140484317</v>
      </c>
      <c r="AQ13" s="22">
        <f>-Calc_Capex!AQ14</f>
        <v>-110.63499625718457</v>
      </c>
      <c r="AR13" s="22">
        <f>-Calc_Capex!AR14</f>
        <v>-110.8193879176132</v>
      </c>
      <c r="AS13" s="22">
        <f>-Calc_Capex!AS14</f>
        <v>-111.00408689747589</v>
      </c>
      <c r="AT13" s="22">
        <f>-Calc_Capex!AT14</f>
        <v>-111.18909370897167</v>
      </c>
      <c r="AU13" s="22">
        <f>-Calc_Capex!AU14</f>
        <v>-111.37440886515331</v>
      </c>
      <c r="AV13" s="22">
        <f>-Calc_Capex!AV14</f>
        <v>-111.56003287992858</v>
      </c>
      <c r="AW13" s="22">
        <f>-Calc_Capex!AW14</f>
        <v>-111.74596626806181</v>
      </c>
      <c r="AX13" s="22">
        <f>-Calc_Capex!AX14</f>
        <v>-111.93220954517524</v>
      </c>
      <c r="AY13" s="22">
        <f>-Calc_Capex!AY14</f>
        <v>-112.11876322775053</v>
      </c>
      <c r="AZ13" s="22">
        <f>-Calc_Capex!AZ14</f>
        <v>-112.30562783313012</v>
      </c>
      <c r="BA13" s="22">
        <f>-Calc_Capex!BA14</f>
        <v>-112.49280387951866</v>
      </c>
      <c r="BB13" s="22">
        <f>-Calc_Capex!BB14</f>
        <v>-112.68029188598452</v>
      </c>
      <c r="BC13" s="22">
        <f>-Calc_Capex!BC14</f>
        <v>-112.86809237246119</v>
      </c>
      <c r="BD13" s="22">
        <f>-Calc_Capex!BD14</f>
        <v>-113.05620585974862</v>
      </c>
      <c r="BE13" s="22">
        <f>-Calc_Capex!BE14</f>
        <v>-113.24463286951486</v>
      </c>
      <c r="BF13" s="22">
        <f>-Calc_Capex!BF14</f>
        <v>-113.43337392429737</v>
      </c>
      <c r="BG13" s="22">
        <f>-Calc_Capex!BG14</f>
        <v>-113.62242954750452</v>
      </c>
      <c r="BH13" s="22">
        <f>-Calc_Capex!BH14</f>
        <v>-113.81180026341706</v>
      </c>
      <c r="BI13" s="22">
        <f>-Calc_Capex!BI14</f>
        <v>-114.00148659718941</v>
      </c>
      <c r="BJ13" s="22">
        <f>-Calc_Capex!BJ14</f>
        <v>-114.19148907485139</v>
      </c>
      <c r="BK13" s="22">
        <f>-Calc_Capex!BK14</f>
        <v>-114.38180822330946</v>
      </c>
      <c r="BL13" s="22">
        <f>-Calc_Capex!BL14</f>
        <v>-114.57244457034831</v>
      </c>
      <c r="BM13" s="22">
        <f>-Calc_Capex!BM14</f>
        <v>-114.76339864463223</v>
      </c>
      <c r="BN13" s="22">
        <f>-Calc_Capex!BN14</f>
        <v>-114.95467097570662</v>
      </c>
      <c r="BO13" s="22">
        <f>-Calc_Capex!BO14</f>
        <v>-115.14626209399948</v>
      </c>
      <c r="BP13" s="22">
        <f>-Calc_Capex!BP14</f>
        <v>-115.3381725308228</v>
      </c>
      <c r="BQ13" s="22">
        <f>-Calc_Capex!BQ14</f>
        <v>-115.53040281837418</v>
      </c>
      <c r="BR13" s="22">
        <f>-Calc_Capex!BR14</f>
        <v>-115.72295348973813</v>
      </c>
      <c r="BS13" s="22">
        <f>-Calc_Capex!BS14</f>
        <v>-115.91582507888769</v>
      </c>
      <c r="BT13" s="22">
        <f>-Calc_Capex!BT14</f>
        <v>-116.10901812068585</v>
      </c>
      <c r="BU13" s="22">
        <f>-Calc_Capex!BU14</f>
        <v>-116.30253315088699</v>
      </c>
      <c r="BV13" s="22">
        <f>-Calc_Capex!BV14</f>
        <v>-116.49637070613846</v>
      </c>
      <c r="BW13" s="22">
        <f>-Calc_Capex!BW14</f>
        <v>-116.69053132398203</v>
      </c>
      <c r="BX13" s="22">
        <f>-Calc_Capex!BX14</f>
        <v>-116.88501554285533</v>
      </c>
      <c r="BY13" s="22">
        <f>-Calc_Capex!BY14</f>
        <v>-117.07982390209342</v>
      </c>
      <c r="BZ13" s="22">
        <f>-Calc_Capex!BZ14</f>
        <v>-117.27495694193023</v>
      </c>
      <c r="CA13" s="22">
        <f>-Calc_Capex!CA14</f>
        <v>-117.47041520350011</v>
      </c>
      <c r="CB13" s="22">
        <f>-Calc_Capex!CB14</f>
        <v>-117.66619922883928</v>
      </c>
      <c r="CC13" s="22">
        <f>-Calc_Capex!CC14</f>
        <v>-117.86230956088735</v>
      </c>
      <c r="CD13" s="22">
        <f>-Calc_Capex!CD14</f>
        <v>-118.05874674348884</v>
      </c>
      <c r="CE13" s="22">
        <f>-Calc_Capex!CE14</f>
        <v>-118.25551132139464</v>
      </c>
      <c r="CF13" s="22">
        <f>-Calc_Capex!CF14</f>
        <v>-118.45260384026362</v>
      </c>
      <c r="CG13" s="22">
        <f>-Calc_Capex!CG14</f>
        <v>-118.65002484666407</v>
      </c>
      <c r="CH13" s="22">
        <f>-Calc_Capex!CH14</f>
        <v>-118.84777488807516</v>
      </c>
      <c r="CI13" s="22">
        <f>-Calc_Capex!CI14</f>
        <v>-119.04585451288862</v>
      </c>
      <c r="CJ13" s="22">
        <f>-Calc_Capex!CJ14</f>
        <v>-119.24426427041011</v>
      </c>
      <c r="CK13" s="22">
        <f>-Calc_Capex!CK14</f>
        <v>-119.44300471086079</v>
      </c>
      <c r="CL13" s="22">
        <f>-Calc_Capex!CL14</f>
        <v>-119.6420763853789</v>
      </c>
      <c r="CM13" s="22">
        <f>-Calc_Capex!CM14</f>
        <v>-119.84147984602122</v>
      </c>
      <c r="CN13" s="22">
        <f>-Calc_Capex!CN14</f>
        <v>-120.04121564576457</v>
      </c>
      <c r="CO13" s="22">
        <f>-Calc_Capex!CO14</f>
        <v>-120.2412843385075</v>
      </c>
      <c r="CP13" s="22">
        <f>-Calc_Capex!CP14</f>
        <v>-120.44168647907168</v>
      </c>
      <c r="CQ13" s="22">
        <f>-Calc_Capex!CQ14</f>
        <v>-120.64242262320346</v>
      </c>
      <c r="CR13" s="22">
        <f>-Calc_Capex!CR14</f>
        <v>-120.84349332757546</v>
      </c>
      <c r="CS13" s="22">
        <f>-Calc_Capex!CS14</f>
        <v>-121.04489914978808</v>
      </c>
      <c r="CT13" s="22">
        <f>-Calc_Capex!CT14</f>
        <v>-121.24664064837106</v>
      </c>
      <c r="CU13" s="22">
        <f>-Calc_Capex!CU14</f>
        <v>-121.448718382785</v>
      </c>
      <c r="CV13" s="22">
        <f>-Calc_Capex!CV14</f>
        <v>-121.651132913423</v>
      </c>
      <c r="CW13" s="22">
        <f>-Calc_Capex!CW14</f>
        <v>-121.85388480161203</v>
      </c>
      <c r="CX13" s="22">
        <f>-Calc_Capex!CX14</f>
        <v>-122.05697460961473</v>
      </c>
      <c r="CY13" s="22">
        <f>-Calc_Capex!CY14</f>
        <v>-122.26040290063075</v>
      </c>
      <c r="CZ13" s="22">
        <f>-Calc_Capex!CZ14</f>
        <v>-122.46417023879847</v>
      </c>
      <c r="DA13" s="22">
        <f>-Calc_Capex!DA14</f>
        <v>-122.66827718919647</v>
      </c>
      <c r="DB13" s="22">
        <f>-Calc_Capex!DB14</f>
        <v>-122.87272431784514</v>
      </c>
      <c r="DC13" s="22">
        <f>-Calc_Capex!DC14</f>
        <v>-123.07751219170821</v>
      </c>
      <c r="DD13" s="22">
        <f>-Calc_Capex!DD14</f>
        <v>-123.28264137869439</v>
      </c>
      <c r="DE13" s="22">
        <f>-Calc_Capex!DE14</f>
        <v>-123.48811244765888</v>
      </c>
      <c r="DF13" s="22">
        <f>-Calc_Capex!DF14</f>
        <v>-123.69392596840497</v>
      </c>
      <c r="DG13" s="22">
        <f>-Calc_Capex!DG14</f>
        <v>-123.90008251168564</v>
      </c>
      <c r="DH13" s="22">
        <f>-Calc_Capex!DH14</f>
        <v>-124.10658264920511</v>
      </c>
      <c r="DI13" s="22">
        <f>-Calc_Capex!DI14</f>
        <v>-124.31342695362046</v>
      </c>
      <c r="DJ13" s="22">
        <f>-Calc_Capex!DJ14</f>
        <v>-124.52061599854318</v>
      </c>
      <c r="DK13" s="22">
        <f>-Calc_Capex!DK14</f>
        <v>-124.72815035854074</v>
      </c>
      <c r="DL13" s="22">
        <f>-Calc_Capex!DL14</f>
        <v>-124.9360306091383</v>
      </c>
      <c r="DM13" s="22">
        <f>-Calc_Capex!DM14</f>
        <v>-125.1442573268202</v>
      </c>
      <c r="DN13" s="22">
        <f>-Calc_Capex!DN14</f>
        <v>-125.35283108903155</v>
      </c>
      <c r="DO13" s="22">
        <f>-Calc_Capex!DO14</f>
        <v>-125.56175247417993</v>
      </c>
      <c r="DP13" s="22">
        <f>-Calc_Capex!DP14</f>
        <v>-125.77102206163691</v>
      </c>
      <c r="DQ13" s="22">
        <f>-Calc_Capex!DQ14</f>
        <v>-125.98064043173964</v>
      </c>
    </row>
    <row r="14" spans="1:121" ht="15" customHeight="1">
      <c r="A14" s="14" t="s">
        <v>536</v>
      </c>
      <c r="B14" s="30">
        <f t="shared" ref="B14:AG14" si="4">B13</f>
        <v>-103.33333333333333</v>
      </c>
      <c r="C14" s="30">
        <f t="shared" si="4"/>
        <v>-103.50555555555557</v>
      </c>
      <c r="D14" s="30">
        <f t="shared" si="4"/>
        <v>-103.67806481481483</v>
      </c>
      <c r="E14" s="30">
        <f t="shared" si="4"/>
        <v>-103.85086158950618</v>
      </c>
      <c r="F14" s="30">
        <f t="shared" si="4"/>
        <v>-104.02394635882202</v>
      </c>
      <c r="G14" s="30">
        <f t="shared" si="4"/>
        <v>-104.1973196027534</v>
      </c>
      <c r="H14" s="30">
        <f t="shared" si="4"/>
        <v>-104.37098180209131</v>
      </c>
      <c r="I14" s="30">
        <f t="shared" si="4"/>
        <v>-104.54493343842813</v>
      </c>
      <c r="J14" s="30">
        <f t="shared" si="4"/>
        <v>-104.71917499415885</v>
      </c>
      <c r="K14" s="30">
        <f t="shared" si="4"/>
        <v>-104.89370695248243</v>
      </c>
      <c r="L14" s="30">
        <f t="shared" si="4"/>
        <v>-105.06852979740324</v>
      </c>
      <c r="M14" s="30">
        <f t="shared" si="4"/>
        <v>-105.24364401373225</v>
      </c>
      <c r="N14" s="30">
        <f t="shared" si="4"/>
        <v>-105.41905008708846</v>
      </c>
      <c r="O14" s="30">
        <f t="shared" si="4"/>
        <v>-105.59474850390029</v>
      </c>
      <c r="P14" s="30">
        <f t="shared" si="4"/>
        <v>-105.77073975140679</v>
      </c>
      <c r="Q14" s="30">
        <f t="shared" si="4"/>
        <v>-105.94702431765914</v>
      </c>
      <c r="R14" s="30">
        <f t="shared" si="4"/>
        <v>-106.12360269152191</v>
      </c>
      <c r="S14" s="30">
        <f t="shared" si="4"/>
        <v>-106.30047536267445</v>
      </c>
      <c r="T14" s="30">
        <f t="shared" si="4"/>
        <v>-106.47764282161224</v>
      </c>
      <c r="U14" s="30">
        <f t="shared" si="4"/>
        <v>-106.65510555964825</v>
      </c>
      <c r="V14" s="30">
        <f t="shared" si="4"/>
        <v>-106.83286406891433</v>
      </c>
      <c r="W14" s="30">
        <f t="shared" si="4"/>
        <v>-107.01091884236253</v>
      </c>
      <c r="X14" s="30">
        <f t="shared" si="4"/>
        <v>-107.18927037376646</v>
      </c>
      <c r="Y14" s="30">
        <f t="shared" si="4"/>
        <v>-107.36791915772274</v>
      </c>
      <c r="Z14" s="30">
        <f t="shared" si="4"/>
        <v>-107.54686568965229</v>
      </c>
      <c r="AA14" s="30">
        <f t="shared" si="4"/>
        <v>-107.72611046580171</v>
      </c>
      <c r="AB14" s="30">
        <f t="shared" si="4"/>
        <v>-107.9056539832447</v>
      </c>
      <c r="AC14" s="30">
        <f t="shared" si="4"/>
        <v>-108.08549673988347</v>
      </c>
      <c r="AD14" s="30">
        <f t="shared" si="4"/>
        <v>-108.26563923444992</v>
      </c>
      <c r="AE14" s="30">
        <f t="shared" si="4"/>
        <v>-108.44608196650735</v>
      </c>
      <c r="AF14" s="30">
        <f t="shared" si="4"/>
        <v>-108.62682543645154</v>
      </c>
      <c r="AG14" s="30">
        <f t="shared" si="4"/>
        <v>-108.8078701455123</v>
      </c>
      <c r="AH14" s="30">
        <f t="shared" ref="AH14:BM14" si="5">AH13</f>
        <v>-108.9892165957548</v>
      </c>
      <c r="AI14" s="30">
        <f t="shared" si="5"/>
        <v>-109.17086529008107</v>
      </c>
      <c r="AJ14" s="30">
        <f t="shared" si="5"/>
        <v>-109.3528167322312</v>
      </c>
      <c r="AK14" s="30">
        <f t="shared" si="5"/>
        <v>-109.53507142678494</v>
      </c>
      <c r="AL14" s="30">
        <f t="shared" si="5"/>
        <v>-109.71762987916291</v>
      </c>
      <c r="AM14" s="30">
        <f t="shared" si="5"/>
        <v>-109.90049259562817</v>
      </c>
      <c r="AN14" s="30">
        <f t="shared" si="5"/>
        <v>-110.08366008328754</v>
      </c>
      <c r="AO14" s="30">
        <f t="shared" si="5"/>
        <v>-110.26713285009301</v>
      </c>
      <c r="AP14" s="30">
        <f t="shared" si="5"/>
        <v>-110.45091140484317</v>
      </c>
      <c r="AQ14" s="30">
        <f t="shared" si="5"/>
        <v>-110.63499625718457</v>
      </c>
      <c r="AR14" s="30">
        <f t="shared" si="5"/>
        <v>-110.8193879176132</v>
      </c>
      <c r="AS14" s="30">
        <f t="shared" si="5"/>
        <v>-111.00408689747589</v>
      </c>
      <c r="AT14" s="30">
        <f t="shared" si="5"/>
        <v>-111.18909370897167</v>
      </c>
      <c r="AU14" s="30">
        <f t="shared" si="5"/>
        <v>-111.37440886515331</v>
      </c>
      <c r="AV14" s="30">
        <f t="shared" si="5"/>
        <v>-111.56003287992858</v>
      </c>
      <c r="AW14" s="30">
        <f t="shared" si="5"/>
        <v>-111.74596626806181</v>
      </c>
      <c r="AX14" s="30">
        <f t="shared" si="5"/>
        <v>-111.93220954517524</v>
      </c>
      <c r="AY14" s="30">
        <f t="shared" si="5"/>
        <v>-112.11876322775053</v>
      </c>
      <c r="AZ14" s="30">
        <f t="shared" si="5"/>
        <v>-112.30562783313012</v>
      </c>
      <c r="BA14" s="30">
        <f t="shared" si="5"/>
        <v>-112.49280387951866</v>
      </c>
      <c r="BB14" s="30">
        <f t="shared" si="5"/>
        <v>-112.68029188598452</v>
      </c>
      <c r="BC14" s="30">
        <f t="shared" si="5"/>
        <v>-112.86809237246119</v>
      </c>
      <c r="BD14" s="30">
        <f t="shared" si="5"/>
        <v>-113.05620585974862</v>
      </c>
      <c r="BE14" s="30">
        <f t="shared" si="5"/>
        <v>-113.24463286951486</v>
      </c>
      <c r="BF14" s="30">
        <f t="shared" si="5"/>
        <v>-113.43337392429737</v>
      </c>
      <c r="BG14" s="30">
        <f t="shared" si="5"/>
        <v>-113.62242954750452</v>
      </c>
      <c r="BH14" s="30">
        <f t="shared" si="5"/>
        <v>-113.81180026341706</v>
      </c>
      <c r="BI14" s="30">
        <f t="shared" si="5"/>
        <v>-114.00148659718941</v>
      </c>
      <c r="BJ14" s="30">
        <f t="shared" si="5"/>
        <v>-114.19148907485139</v>
      </c>
      <c r="BK14" s="30">
        <f t="shared" si="5"/>
        <v>-114.38180822330946</v>
      </c>
      <c r="BL14" s="30">
        <f t="shared" si="5"/>
        <v>-114.57244457034831</v>
      </c>
      <c r="BM14" s="30">
        <f t="shared" si="5"/>
        <v>-114.76339864463223</v>
      </c>
      <c r="BN14" s="30">
        <f t="shared" ref="BN14:CS14" si="6">BN13</f>
        <v>-114.95467097570662</v>
      </c>
      <c r="BO14" s="30">
        <f t="shared" si="6"/>
        <v>-115.14626209399948</v>
      </c>
      <c r="BP14" s="30">
        <f t="shared" si="6"/>
        <v>-115.3381725308228</v>
      </c>
      <c r="BQ14" s="30">
        <f t="shared" si="6"/>
        <v>-115.53040281837418</v>
      </c>
      <c r="BR14" s="30">
        <f t="shared" si="6"/>
        <v>-115.72295348973813</v>
      </c>
      <c r="BS14" s="30">
        <f t="shared" si="6"/>
        <v>-115.91582507888769</v>
      </c>
      <c r="BT14" s="30">
        <f t="shared" si="6"/>
        <v>-116.10901812068585</v>
      </c>
      <c r="BU14" s="30">
        <f t="shared" si="6"/>
        <v>-116.30253315088699</v>
      </c>
      <c r="BV14" s="30">
        <f t="shared" si="6"/>
        <v>-116.49637070613846</v>
      </c>
      <c r="BW14" s="30">
        <f t="shared" si="6"/>
        <v>-116.69053132398203</v>
      </c>
      <c r="BX14" s="30">
        <f t="shared" si="6"/>
        <v>-116.88501554285533</v>
      </c>
      <c r="BY14" s="30">
        <f t="shared" si="6"/>
        <v>-117.07982390209342</v>
      </c>
      <c r="BZ14" s="30">
        <f t="shared" si="6"/>
        <v>-117.27495694193023</v>
      </c>
      <c r="CA14" s="30">
        <f t="shared" si="6"/>
        <v>-117.47041520350011</v>
      </c>
      <c r="CB14" s="30">
        <f t="shared" si="6"/>
        <v>-117.66619922883928</v>
      </c>
      <c r="CC14" s="30">
        <f t="shared" si="6"/>
        <v>-117.86230956088735</v>
      </c>
      <c r="CD14" s="30">
        <f t="shared" si="6"/>
        <v>-118.05874674348884</v>
      </c>
      <c r="CE14" s="30">
        <f t="shared" si="6"/>
        <v>-118.25551132139464</v>
      </c>
      <c r="CF14" s="30">
        <f t="shared" si="6"/>
        <v>-118.45260384026362</v>
      </c>
      <c r="CG14" s="30">
        <f t="shared" si="6"/>
        <v>-118.65002484666407</v>
      </c>
      <c r="CH14" s="30">
        <f t="shared" si="6"/>
        <v>-118.84777488807516</v>
      </c>
      <c r="CI14" s="30">
        <f t="shared" si="6"/>
        <v>-119.04585451288862</v>
      </c>
      <c r="CJ14" s="30">
        <f t="shared" si="6"/>
        <v>-119.24426427041011</v>
      </c>
      <c r="CK14" s="30">
        <f t="shared" si="6"/>
        <v>-119.44300471086079</v>
      </c>
      <c r="CL14" s="30">
        <f t="shared" si="6"/>
        <v>-119.6420763853789</v>
      </c>
      <c r="CM14" s="30">
        <f t="shared" si="6"/>
        <v>-119.84147984602122</v>
      </c>
      <c r="CN14" s="30">
        <f t="shared" si="6"/>
        <v>-120.04121564576457</v>
      </c>
      <c r="CO14" s="30">
        <f t="shared" si="6"/>
        <v>-120.2412843385075</v>
      </c>
      <c r="CP14" s="30">
        <f t="shared" si="6"/>
        <v>-120.44168647907168</v>
      </c>
      <c r="CQ14" s="30">
        <f t="shared" si="6"/>
        <v>-120.64242262320346</v>
      </c>
      <c r="CR14" s="30">
        <f t="shared" si="6"/>
        <v>-120.84349332757546</v>
      </c>
      <c r="CS14" s="30">
        <f t="shared" si="6"/>
        <v>-121.04489914978808</v>
      </c>
      <c r="CT14" s="30">
        <f t="shared" ref="CT14:DY14" si="7">CT13</f>
        <v>-121.24664064837106</v>
      </c>
      <c r="CU14" s="30">
        <f t="shared" si="7"/>
        <v>-121.448718382785</v>
      </c>
      <c r="CV14" s="30">
        <f t="shared" si="7"/>
        <v>-121.651132913423</v>
      </c>
      <c r="CW14" s="30">
        <f t="shared" si="7"/>
        <v>-121.85388480161203</v>
      </c>
      <c r="CX14" s="30">
        <f t="shared" si="7"/>
        <v>-122.05697460961473</v>
      </c>
      <c r="CY14" s="30">
        <f t="shared" si="7"/>
        <v>-122.26040290063075</v>
      </c>
      <c r="CZ14" s="30">
        <f t="shared" si="7"/>
        <v>-122.46417023879847</v>
      </c>
      <c r="DA14" s="30">
        <f t="shared" si="7"/>
        <v>-122.66827718919647</v>
      </c>
      <c r="DB14" s="30">
        <f t="shared" si="7"/>
        <v>-122.87272431784514</v>
      </c>
      <c r="DC14" s="30">
        <f t="shared" si="7"/>
        <v>-123.07751219170821</v>
      </c>
      <c r="DD14" s="30">
        <f t="shared" si="7"/>
        <v>-123.28264137869439</v>
      </c>
      <c r="DE14" s="30">
        <f t="shared" si="7"/>
        <v>-123.48811244765888</v>
      </c>
      <c r="DF14" s="30">
        <f t="shared" si="7"/>
        <v>-123.69392596840497</v>
      </c>
      <c r="DG14" s="30">
        <f t="shared" si="7"/>
        <v>-123.90008251168564</v>
      </c>
      <c r="DH14" s="30">
        <f t="shared" si="7"/>
        <v>-124.10658264920511</v>
      </c>
      <c r="DI14" s="30">
        <f t="shared" si="7"/>
        <v>-124.31342695362046</v>
      </c>
      <c r="DJ14" s="30">
        <f t="shared" si="7"/>
        <v>-124.52061599854318</v>
      </c>
      <c r="DK14" s="30">
        <f t="shared" si="7"/>
        <v>-124.72815035854074</v>
      </c>
      <c r="DL14" s="30">
        <f t="shared" si="7"/>
        <v>-124.9360306091383</v>
      </c>
      <c r="DM14" s="30">
        <f t="shared" si="7"/>
        <v>-125.1442573268202</v>
      </c>
      <c r="DN14" s="30">
        <f t="shared" si="7"/>
        <v>-125.35283108903155</v>
      </c>
      <c r="DO14" s="30">
        <f t="shared" si="7"/>
        <v>-125.56175247417993</v>
      </c>
      <c r="DP14" s="30">
        <f t="shared" si="7"/>
        <v>-125.77102206163691</v>
      </c>
      <c r="DQ14" s="30">
        <f t="shared" si="7"/>
        <v>-125.98064043173964</v>
      </c>
    </row>
    <row r="16" spans="1:121" ht="15" customHeight="1">
      <c r="A16" s="5" t="s">
        <v>537</v>
      </c>
    </row>
    <row r="17" spans="1:121" ht="15" customHeight="1">
      <c r="A17" t="s">
        <v>538</v>
      </c>
      <c r="B17" s="22">
        <f>-Calc_Debt!B8</f>
        <v>-297.61904761904765</v>
      </c>
      <c r="C17" s="22">
        <f>-Calc_Debt!C8</f>
        <v>-297.61904761904765</v>
      </c>
      <c r="D17" s="22">
        <f>-Calc_Debt!D8</f>
        <v>-297.61904761904765</v>
      </c>
      <c r="E17" s="22">
        <f>-Calc_Debt!E8</f>
        <v>-297.61904761904765</v>
      </c>
      <c r="F17" s="22">
        <f>-Calc_Debt!F8</f>
        <v>-297.61904761904765</v>
      </c>
      <c r="G17" s="22">
        <f>-Calc_Debt!G8</f>
        <v>-297.61904761904765</v>
      </c>
      <c r="H17" s="22">
        <f>-Calc_Debt!H8</f>
        <v>-297.61904761904765</v>
      </c>
      <c r="I17" s="22">
        <f>-Calc_Debt!I8</f>
        <v>-297.61904761904765</v>
      </c>
      <c r="J17" s="22">
        <f>-Calc_Debt!J8</f>
        <v>-297.61904761904765</v>
      </c>
      <c r="K17" s="22">
        <f>-Calc_Debt!K8</f>
        <v>-297.61904761904765</v>
      </c>
      <c r="L17" s="22">
        <f>-Calc_Debt!L8</f>
        <v>-297.61904761904765</v>
      </c>
      <c r="M17" s="22">
        <f>-Calc_Debt!M8</f>
        <v>-297.61904761904765</v>
      </c>
      <c r="N17" s="22">
        <f>-Calc_Debt!N8</f>
        <v>-297.61904761904765</v>
      </c>
      <c r="O17" s="22">
        <f>-Calc_Debt!O8</f>
        <v>-297.61904761904765</v>
      </c>
      <c r="P17" s="22">
        <f>-Calc_Debt!P8</f>
        <v>-297.61904761904765</v>
      </c>
      <c r="Q17" s="22">
        <f>-Calc_Debt!Q8</f>
        <v>-297.61904761904765</v>
      </c>
      <c r="R17" s="22">
        <f>-Calc_Debt!R8</f>
        <v>-297.61904761904765</v>
      </c>
      <c r="S17" s="22">
        <f>-Calc_Debt!S8</f>
        <v>-297.61904761904765</v>
      </c>
      <c r="T17" s="22">
        <f>-Calc_Debt!T8</f>
        <v>-297.61904761904765</v>
      </c>
      <c r="U17" s="22">
        <f>-Calc_Debt!U8</f>
        <v>-297.61904761904765</v>
      </c>
      <c r="V17" s="22">
        <f>-Calc_Debt!V8</f>
        <v>-297.61904761904765</v>
      </c>
      <c r="W17" s="22">
        <f>-Calc_Debt!W8</f>
        <v>-297.61904761904765</v>
      </c>
      <c r="X17" s="22">
        <f>-Calc_Debt!X8</f>
        <v>-297.61904761904765</v>
      </c>
      <c r="Y17" s="22">
        <f>-Calc_Debt!Y8</f>
        <v>-297.61904761904765</v>
      </c>
      <c r="Z17" s="22">
        <f>-Calc_Debt!Z8</f>
        <v>-297.61904761904765</v>
      </c>
      <c r="AA17" s="22">
        <f>-Calc_Debt!AA8</f>
        <v>-297.61904761904765</v>
      </c>
      <c r="AB17" s="22">
        <f>-Calc_Debt!AB8</f>
        <v>-297.61904761904765</v>
      </c>
      <c r="AC17" s="22">
        <f>-Calc_Debt!AC8</f>
        <v>-297.61904761904765</v>
      </c>
      <c r="AD17" s="22">
        <f>-Calc_Debt!AD8</f>
        <v>-297.61904761904765</v>
      </c>
      <c r="AE17" s="22">
        <f>-Calc_Debt!AE8</f>
        <v>-297.61904761904765</v>
      </c>
      <c r="AF17" s="22">
        <f>-Calc_Debt!AF8</f>
        <v>-297.61904761904765</v>
      </c>
      <c r="AG17" s="22">
        <f>-Calc_Debt!AG8</f>
        <v>-297.61904761904765</v>
      </c>
      <c r="AH17" s="22">
        <f>-Calc_Debt!AH8</f>
        <v>-297.61904761904765</v>
      </c>
      <c r="AI17" s="22">
        <f>-Calc_Debt!AI8</f>
        <v>-297.61904761904765</v>
      </c>
      <c r="AJ17" s="22">
        <f>-Calc_Debt!AJ8</f>
        <v>-297.61904761904765</v>
      </c>
      <c r="AK17" s="22">
        <f>-Calc_Debt!AK8</f>
        <v>-297.61904761904765</v>
      </c>
      <c r="AL17" s="22">
        <f>-Calc_Debt!AL8</f>
        <v>-297.61904761904765</v>
      </c>
      <c r="AM17" s="22">
        <f>-Calc_Debt!AM8</f>
        <v>-297.61904761904765</v>
      </c>
      <c r="AN17" s="22">
        <f>-Calc_Debt!AN8</f>
        <v>-297.61904761904765</v>
      </c>
      <c r="AO17" s="22">
        <f>-Calc_Debt!AO8</f>
        <v>-297.61904761904765</v>
      </c>
      <c r="AP17" s="22">
        <f>-Calc_Debt!AP8</f>
        <v>-297.61904761904765</v>
      </c>
      <c r="AQ17" s="22">
        <f>-Calc_Debt!AQ8</f>
        <v>-297.61904761904765</v>
      </c>
      <c r="AR17" s="22">
        <f>-Calc_Debt!AR8</f>
        <v>-297.61904761904765</v>
      </c>
      <c r="AS17" s="22">
        <f>-Calc_Debt!AS8</f>
        <v>-297.61904761904765</v>
      </c>
      <c r="AT17" s="22">
        <f>-Calc_Debt!AT8</f>
        <v>-297.61904761904765</v>
      </c>
      <c r="AU17" s="22">
        <f>-Calc_Debt!AU8</f>
        <v>-297.61904761904765</v>
      </c>
      <c r="AV17" s="22">
        <f>-Calc_Debt!AV8</f>
        <v>-297.61904761904765</v>
      </c>
      <c r="AW17" s="22">
        <f>-Calc_Debt!AW8</f>
        <v>-297.61904761904765</v>
      </c>
      <c r="AX17" s="22">
        <f>-Calc_Debt!AX8</f>
        <v>-297.61904761904765</v>
      </c>
      <c r="AY17" s="22">
        <f>-Calc_Debt!AY8</f>
        <v>-297.61904761904765</v>
      </c>
      <c r="AZ17" s="22">
        <f>-Calc_Debt!AZ8</f>
        <v>-297.61904761904765</v>
      </c>
      <c r="BA17" s="22">
        <f>-Calc_Debt!BA8</f>
        <v>-297.61904761904765</v>
      </c>
      <c r="BB17" s="22">
        <f>-Calc_Debt!BB8</f>
        <v>-297.61904761904765</v>
      </c>
      <c r="BC17" s="22">
        <f>-Calc_Debt!BC8</f>
        <v>-297.61904761904765</v>
      </c>
      <c r="BD17" s="22">
        <f>-Calc_Debt!BD8</f>
        <v>-297.61904761904765</v>
      </c>
      <c r="BE17" s="22">
        <f>-Calc_Debt!BE8</f>
        <v>-297.61904761904765</v>
      </c>
      <c r="BF17" s="22">
        <f>-Calc_Debt!BF8</f>
        <v>-297.61904761904765</v>
      </c>
      <c r="BG17" s="22">
        <f>-Calc_Debt!BG8</f>
        <v>-297.61904761904765</v>
      </c>
      <c r="BH17" s="22">
        <f>-Calc_Debt!BH8</f>
        <v>-297.61904761904765</v>
      </c>
      <c r="BI17" s="22">
        <f>-Calc_Debt!BI8</f>
        <v>-297.61904761904765</v>
      </c>
      <c r="BJ17" s="22">
        <f>-Calc_Debt!BJ8</f>
        <v>-297.61904761904765</v>
      </c>
      <c r="BK17" s="22">
        <f>-Calc_Debt!BK8</f>
        <v>-297.61904761904765</v>
      </c>
      <c r="BL17" s="22">
        <f>-Calc_Debt!BL8</f>
        <v>-297.61904761904765</v>
      </c>
      <c r="BM17" s="22">
        <f>-Calc_Debt!BM8</f>
        <v>-297.61904761904765</v>
      </c>
      <c r="BN17" s="22">
        <f>-Calc_Debt!BN8</f>
        <v>-297.61904761904765</v>
      </c>
      <c r="BO17" s="22">
        <f>-Calc_Debt!BO8</f>
        <v>-297.61904761904765</v>
      </c>
      <c r="BP17" s="22">
        <f>-Calc_Debt!BP8</f>
        <v>-297.61904761904765</v>
      </c>
      <c r="BQ17" s="22">
        <f>-Calc_Debt!BQ8</f>
        <v>-297.61904761904765</v>
      </c>
      <c r="BR17" s="22">
        <f>-Calc_Debt!BR8</f>
        <v>-297.61904761904765</v>
      </c>
      <c r="BS17" s="22">
        <f>-Calc_Debt!BS8</f>
        <v>-297.61904761904765</v>
      </c>
      <c r="BT17" s="22">
        <f>-Calc_Debt!BT8</f>
        <v>-297.61904761904765</v>
      </c>
      <c r="BU17" s="22">
        <f>-Calc_Debt!BU8</f>
        <v>-297.61904761904765</v>
      </c>
      <c r="BV17" s="22">
        <f>-Calc_Debt!BV8</f>
        <v>-297.61904761904765</v>
      </c>
      <c r="BW17" s="22">
        <f>-Calc_Debt!BW8</f>
        <v>-297.61904761904765</v>
      </c>
      <c r="BX17" s="22">
        <f>-Calc_Debt!BX8</f>
        <v>-297.61904761904765</v>
      </c>
      <c r="BY17" s="22">
        <f>-Calc_Debt!BY8</f>
        <v>-297.61904761904765</v>
      </c>
      <c r="BZ17" s="22">
        <f>-Calc_Debt!BZ8</f>
        <v>-297.61904761904765</v>
      </c>
      <c r="CA17" s="22">
        <f>-Calc_Debt!CA8</f>
        <v>-297.61904761904765</v>
      </c>
      <c r="CB17" s="22">
        <f>-Calc_Debt!CB8</f>
        <v>-297.61904761904765</v>
      </c>
      <c r="CC17" s="22">
        <f>-Calc_Debt!CC8</f>
        <v>-297.61904761904765</v>
      </c>
      <c r="CD17" s="22">
        <f>-Calc_Debt!CD8</f>
        <v>-297.61904761904765</v>
      </c>
      <c r="CE17" s="22">
        <f>-Calc_Debt!CE8</f>
        <v>-297.61904761904765</v>
      </c>
      <c r="CF17" s="22">
        <f>-Calc_Debt!CF8</f>
        <v>-297.61904761904765</v>
      </c>
      <c r="CG17" s="22">
        <f>-Calc_Debt!CG8</f>
        <v>-297.61904761904765</v>
      </c>
      <c r="CH17" s="22">
        <f>-Calc_Debt!CH8</f>
        <v>-4.3769432522822171E-11</v>
      </c>
      <c r="CI17" s="22">
        <f>-Calc_Debt!CI8</f>
        <v>0</v>
      </c>
      <c r="CJ17" s="22">
        <f>-Calc_Debt!CJ8</f>
        <v>0</v>
      </c>
      <c r="CK17" s="22">
        <f>-Calc_Debt!CK8</f>
        <v>0</v>
      </c>
      <c r="CL17" s="22">
        <f>-Calc_Debt!CL8</f>
        <v>0</v>
      </c>
      <c r="CM17" s="22">
        <f>-Calc_Debt!CM8</f>
        <v>0</v>
      </c>
      <c r="CN17" s="22">
        <f>-Calc_Debt!CN8</f>
        <v>0</v>
      </c>
      <c r="CO17" s="22">
        <f>-Calc_Debt!CO8</f>
        <v>0</v>
      </c>
      <c r="CP17" s="22">
        <f>-Calc_Debt!CP8</f>
        <v>0</v>
      </c>
      <c r="CQ17" s="22">
        <f>-Calc_Debt!CQ8</f>
        <v>0</v>
      </c>
      <c r="CR17" s="22">
        <f>-Calc_Debt!CR8</f>
        <v>0</v>
      </c>
      <c r="CS17" s="22">
        <f>-Calc_Debt!CS8</f>
        <v>0</v>
      </c>
      <c r="CT17" s="22">
        <f>-Calc_Debt!CT8</f>
        <v>0</v>
      </c>
      <c r="CU17" s="22">
        <f>-Calc_Debt!CU8</f>
        <v>0</v>
      </c>
      <c r="CV17" s="22">
        <f>-Calc_Debt!CV8</f>
        <v>0</v>
      </c>
      <c r="CW17" s="22">
        <f>-Calc_Debt!CW8</f>
        <v>0</v>
      </c>
      <c r="CX17" s="22">
        <f>-Calc_Debt!CX8</f>
        <v>0</v>
      </c>
      <c r="CY17" s="22">
        <f>-Calc_Debt!CY8</f>
        <v>0</v>
      </c>
      <c r="CZ17" s="22">
        <f>-Calc_Debt!CZ8</f>
        <v>0</v>
      </c>
      <c r="DA17" s="22">
        <f>-Calc_Debt!DA8</f>
        <v>0</v>
      </c>
      <c r="DB17" s="22">
        <f>-Calc_Debt!DB8</f>
        <v>0</v>
      </c>
      <c r="DC17" s="22">
        <f>-Calc_Debt!DC8</f>
        <v>0</v>
      </c>
      <c r="DD17" s="22">
        <f>-Calc_Debt!DD8</f>
        <v>0</v>
      </c>
      <c r="DE17" s="22">
        <f>-Calc_Debt!DE8</f>
        <v>0</v>
      </c>
      <c r="DF17" s="22">
        <f>-Calc_Debt!DF8</f>
        <v>0</v>
      </c>
      <c r="DG17" s="22">
        <f>-Calc_Debt!DG8</f>
        <v>0</v>
      </c>
      <c r="DH17" s="22">
        <f>-Calc_Debt!DH8</f>
        <v>0</v>
      </c>
      <c r="DI17" s="22">
        <f>-Calc_Debt!DI8</f>
        <v>0</v>
      </c>
      <c r="DJ17" s="22">
        <f>-Calc_Debt!DJ8</f>
        <v>0</v>
      </c>
      <c r="DK17" s="22">
        <f>-Calc_Debt!DK8</f>
        <v>0</v>
      </c>
      <c r="DL17" s="22">
        <f>-Calc_Debt!DL8</f>
        <v>0</v>
      </c>
      <c r="DM17" s="22">
        <f>-Calc_Debt!DM8</f>
        <v>0</v>
      </c>
      <c r="DN17" s="22">
        <f>-Calc_Debt!DN8</f>
        <v>0</v>
      </c>
      <c r="DO17" s="22">
        <f>-Calc_Debt!DO8</f>
        <v>0</v>
      </c>
      <c r="DP17" s="22">
        <f>-Calc_Debt!DP8</f>
        <v>0</v>
      </c>
      <c r="DQ17" s="22">
        <f>-Calc_Debt!DQ8</f>
        <v>0</v>
      </c>
    </row>
    <row r="18" spans="1:121" ht="15" customHeight="1">
      <c r="A18" t="s">
        <v>539</v>
      </c>
      <c r="B18" s="22">
        <f>Calc_Debt!B14</f>
        <v>0</v>
      </c>
      <c r="C18" s="22">
        <f>Calc_Debt!C14</f>
        <v>0</v>
      </c>
      <c r="D18" s="22">
        <f>Calc_Debt!D14</f>
        <v>0</v>
      </c>
      <c r="E18" s="22">
        <f>Calc_Debt!E14</f>
        <v>0</v>
      </c>
      <c r="F18" s="22">
        <f>Calc_Debt!F14</f>
        <v>0</v>
      </c>
      <c r="G18" s="22">
        <f>Calc_Debt!G14</f>
        <v>0</v>
      </c>
      <c r="H18" s="22">
        <f>Calc_Debt!H14</f>
        <v>0</v>
      </c>
      <c r="I18" s="22">
        <f>Calc_Debt!I14</f>
        <v>0</v>
      </c>
      <c r="J18" s="22">
        <f>Calc_Debt!J14</f>
        <v>0</v>
      </c>
      <c r="K18" s="22">
        <f>Calc_Debt!K14</f>
        <v>0</v>
      </c>
      <c r="L18" s="22">
        <f>Calc_Debt!L14</f>
        <v>0</v>
      </c>
      <c r="M18" s="22">
        <f>Calc_Debt!M14</f>
        <v>0</v>
      </c>
      <c r="N18" s="22">
        <f>Calc_Debt!N14</f>
        <v>0</v>
      </c>
      <c r="O18" s="22">
        <f>Calc_Debt!O14</f>
        <v>0</v>
      </c>
      <c r="P18" s="22">
        <f>Calc_Debt!P14</f>
        <v>0</v>
      </c>
      <c r="Q18" s="22">
        <f>Calc_Debt!Q14</f>
        <v>0</v>
      </c>
      <c r="R18" s="22">
        <f>Calc_Debt!R14</f>
        <v>0</v>
      </c>
      <c r="S18" s="22">
        <f>Calc_Debt!S14</f>
        <v>0</v>
      </c>
      <c r="T18" s="22">
        <f>Calc_Debt!T14</f>
        <v>0</v>
      </c>
      <c r="U18" s="22">
        <f>Calc_Debt!U14</f>
        <v>0</v>
      </c>
      <c r="V18" s="22">
        <f>Calc_Debt!V14</f>
        <v>0</v>
      </c>
      <c r="W18" s="22">
        <f>Calc_Debt!W14</f>
        <v>0</v>
      </c>
      <c r="X18" s="22">
        <f>Calc_Debt!X14</f>
        <v>0</v>
      </c>
      <c r="Y18" s="22">
        <f>Calc_Debt!Y14</f>
        <v>0</v>
      </c>
      <c r="Z18" s="22">
        <f>Calc_Debt!Z14</f>
        <v>0</v>
      </c>
      <c r="AA18" s="22">
        <f>Calc_Debt!AA14</f>
        <v>0</v>
      </c>
      <c r="AB18" s="22">
        <f>Calc_Debt!AB14</f>
        <v>0</v>
      </c>
      <c r="AC18" s="22">
        <f>Calc_Debt!AC14</f>
        <v>0</v>
      </c>
      <c r="AD18" s="22">
        <f>Calc_Debt!AD14</f>
        <v>0</v>
      </c>
      <c r="AE18" s="22">
        <f>Calc_Debt!AE14</f>
        <v>0</v>
      </c>
      <c r="AF18" s="22">
        <f>Calc_Debt!AF14</f>
        <v>0</v>
      </c>
      <c r="AG18" s="22">
        <f>Calc_Debt!AG14</f>
        <v>0</v>
      </c>
      <c r="AH18" s="22">
        <f>Calc_Debt!AH14</f>
        <v>0</v>
      </c>
      <c r="AI18" s="22">
        <f>Calc_Debt!AI14</f>
        <v>0</v>
      </c>
      <c r="AJ18" s="22">
        <f>Calc_Debt!AJ14</f>
        <v>0</v>
      </c>
      <c r="AK18" s="22">
        <f>Calc_Debt!AK14</f>
        <v>0</v>
      </c>
      <c r="AL18" s="22">
        <f>Calc_Debt!AL14</f>
        <v>0</v>
      </c>
      <c r="AM18" s="22">
        <f>Calc_Debt!AM14</f>
        <v>0</v>
      </c>
      <c r="AN18" s="22">
        <f>Calc_Debt!AN14</f>
        <v>0</v>
      </c>
      <c r="AO18" s="22">
        <f>Calc_Debt!AO14</f>
        <v>0</v>
      </c>
      <c r="AP18" s="22">
        <f>Calc_Debt!AP14</f>
        <v>0</v>
      </c>
      <c r="AQ18" s="22">
        <f>Calc_Debt!AQ14</f>
        <v>0</v>
      </c>
      <c r="AR18" s="22">
        <f>Calc_Debt!AR14</f>
        <v>0</v>
      </c>
      <c r="AS18" s="22">
        <f>Calc_Debt!AS14</f>
        <v>0</v>
      </c>
      <c r="AT18" s="22">
        <f>Calc_Debt!AT14</f>
        <v>0</v>
      </c>
      <c r="AU18" s="22">
        <f>Calc_Debt!AU14</f>
        <v>0</v>
      </c>
      <c r="AV18" s="22">
        <f>Calc_Debt!AV14</f>
        <v>0</v>
      </c>
      <c r="AW18" s="22">
        <f>Calc_Debt!AW14</f>
        <v>0</v>
      </c>
      <c r="AX18" s="22">
        <f>Calc_Debt!AX14</f>
        <v>0</v>
      </c>
      <c r="AY18" s="22">
        <f>Calc_Debt!AY14</f>
        <v>0</v>
      </c>
      <c r="AZ18" s="22">
        <f>Calc_Debt!AZ14</f>
        <v>0</v>
      </c>
      <c r="BA18" s="22">
        <f>Calc_Debt!BA14</f>
        <v>0</v>
      </c>
      <c r="BB18" s="22">
        <f>Calc_Debt!BB14</f>
        <v>0</v>
      </c>
      <c r="BC18" s="22">
        <f>Calc_Debt!BC14</f>
        <v>0</v>
      </c>
      <c r="BD18" s="22">
        <f>Calc_Debt!BD14</f>
        <v>0</v>
      </c>
      <c r="BE18" s="22">
        <f>Calc_Debt!BE14</f>
        <v>0</v>
      </c>
      <c r="BF18" s="22">
        <f>Calc_Debt!BF14</f>
        <v>0</v>
      </c>
      <c r="BG18" s="22">
        <f>Calc_Debt!BG14</f>
        <v>0</v>
      </c>
      <c r="BH18" s="22">
        <f>Calc_Debt!BH14</f>
        <v>0</v>
      </c>
      <c r="BI18" s="22">
        <f>Calc_Debt!BI14</f>
        <v>0</v>
      </c>
      <c r="BJ18" s="22">
        <f>Calc_Debt!BJ14</f>
        <v>0</v>
      </c>
      <c r="BK18" s="22">
        <f>Calc_Debt!BK14</f>
        <v>0</v>
      </c>
      <c r="BL18" s="22">
        <f>Calc_Debt!BL14</f>
        <v>0</v>
      </c>
      <c r="BM18" s="22">
        <f>Calc_Debt!BM14</f>
        <v>0</v>
      </c>
      <c r="BN18" s="22">
        <f>Calc_Debt!BN14</f>
        <v>0</v>
      </c>
      <c r="BO18" s="22">
        <f>Calc_Debt!BO14</f>
        <v>0</v>
      </c>
      <c r="BP18" s="22">
        <f>Calc_Debt!BP14</f>
        <v>0</v>
      </c>
      <c r="BQ18" s="22">
        <f>Calc_Debt!BQ14</f>
        <v>0</v>
      </c>
      <c r="BR18" s="22">
        <f>Calc_Debt!BR14</f>
        <v>0</v>
      </c>
      <c r="BS18" s="22">
        <f>Calc_Debt!BS14</f>
        <v>0</v>
      </c>
      <c r="BT18" s="22">
        <f>Calc_Debt!BT14</f>
        <v>0</v>
      </c>
      <c r="BU18" s="22">
        <f>Calc_Debt!BU14</f>
        <v>0</v>
      </c>
      <c r="BV18" s="22">
        <f>Calc_Debt!BV14</f>
        <v>0</v>
      </c>
      <c r="BW18" s="22">
        <f>Calc_Debt!BW14</f>
        <v>0</v>
      </c>
      <c r="BX18" s="22">
        <f>Calc_Debt!BX14</f>
        <v>0</v>
      </c>
      <c r="BY18" s="22">
        <f>Calc_Debt!BY14</f>
        <v>0</v>
      </c>
      <c r="BZ18" s="22">
        <f>Calc_Debt!BZ14</f>
        <v>0</v>
      </c>
      <c r="CA18" s="22">
        <f>Calc_Debt!CA14</f>
        <v>0</v>
      </c>
      <c r="CB18" s="22">
        <f>Calc_Debt!CB14</f>
        <v>0</v>
      </c>
      <c r="CC18" s="22">
        <f>Calc_Debt!CC14</f>
        <v>0</v>
      </c>
      <c r="CD18" s="22">
        <f>Calc_Debt!CD14</f>
        <v>0</v>
      </c>
      <c r="CE18" s="22">
        <f>Calc_Debt!CE14</f>
        <v>0</v>
      </c>
      <c r="CF18" s="22">
        <f>Calc_Debt!CF14</f>
        <v>0</v>
      </c>
      <c r="CG18" s="22">
        <f>Calc_Debt!CG14</f>
        <v>0</v>
      </c>
      <c r="CH18" s="22">
        <f>Calc_Debt!CH14</f>
        <v>0</v>
      </c>
      <c r="CI18" s="22">
        <f>Calc_Debt!CI14</f>
        <v>0</v>
      </c>
      <c r="CJ18" s="22">
        <f>Calc_Debt!CJ14</f>
        <v>0</v>
      </c>
      <c r="CK18" s="22">
        <f>Calc_Debt!CK14</f>
        <v>0</v>
      </c>
      <c r="CL18" s="22">
        <f>Calc_Debt!CL14</f>
        <v>0</v>
      </c>
      <c r="CM18" s="22">
        <f>Calc_Debt!CM14</f>
        <v>0</v>
      </c>
      <c r="CN18" s="22">
        <f>Calc_Debt!CN14</f>
        <v>0</v>
      </c>
      <c r="CO18" s="22">
        <f>Calc_Debt!CO14</f>
        <v>0</v>
      </c>
      <c r="CP18" s="22">
        <f>Calc_Debt!CP14</f>
        <v>0</v>
      </c>
      <c r="CQ18" s="22">
        <f>Calc_Debt!CQ14</f>
        <v>0</v>
      </c>
      <c r="CR18" s="22">
        <f>Calc_Debt!CR14</f>
        <v>0</v>
      </c>
      <c r="CS18" s="22">
        <f>Calc_Debt!CS14</f>
        <v>0</v>
      </c>
      <c r="CT18" s="22">
        <f>Calc_Debt!CT14</f>
        <v>0</v>
      </c>
      <c r="CU18" s="22">
        <f>Calc_Debt!CU14</f>
        <v>0</v>
      </c>
      <c r="CV18" s="22">
        <f>Calc_Debt!CV14</f>
        <v>0</v>
      </c>
      <c r="CW18" s="22">
        <f>Calc_Debt!CW14</f>
        <v>0</v>
      </c>
      <c r="CX18" s="22">
        <f>Calc_Debt!CX14</f>
        <v>0</v>
      </c>
      <c r="CY18" s="22">
        <f>Calc_Debt!CY14</f>
        <v>0</v>
      </c>
      <c r="CZ18" s="22">
        <f>Calc_Debt!CZ14</f>
        <v>0</v>
      </c>
      <c r="DA18" s="22">
        <f>Calc_Debt!DA14</f>
        <v>0</v>
      </c>
      <c r="DB18" s="22">
        <f>Calc_Debt!DB14</f>
        <v>0</v>
      </c>
      <c r="DC18" s="22">
        <f>Calc_Debt!DC14</f>
        <v>0</v>
      </c>
      <c r="DD18" s="22">
        <f>Calc_Debt!DD14</f>
        <v>0</v>
      </c>
      <c r="DE18" s="22">
        <f>Calc_Debt!DE14</f>
        <v>0</v>
      </c>
      <c r="DF18" s="22">
        <f>Calc_Debt!DF14</f>
        <v>0</v>
      </c>
      <c r="DG18" s="22">
        <f>Calc_Debt!DG14</f>
        <v>0</v>
      </c>
      <c r="DH18" s="22">
        <f>Calc_Debt!DH14</f>
        <v>0</v>
      </c>
      <c r="DI18" s="22">
        <f>Calc_Debt!DI14</f>
        <v>0</v>
      </c>
      <c r="DJ18" s="22">
        <f>Calc_Debt!DJ14</f>
        <v>0</v>
      </c>
      <c r="DK18" s="22">
        <f>Calc_Debt!DK14</f>
        <v>0</v>
      </c>
      <c r="DL18" s="22">
        <f>Calc_Debt!DL14</f>
        <v>0</v>
      </c>
      <c r="DM18" s="22">
        <f>Calc_Debt!DM14</f>
        <v>0</v>
      </c>
      <c r="DN18" s="22">
        <f>Calc_Debt!DN14</f>
        <v>0</v>
      </c>
      <c r="DO18" s="22">
        <f>Calc_Debt!DO14</f>
        <v>0</v>
      </c>
      <c r="DP18" s="22">
        <f>Calc_Debt!DP14</f>
        <v>0</v>
      </c>
      <c r="DQ18" s="22">
        <f>Calc_Debt!DQ14</f>
        <v>0</v>
      </c>
    </row>
    <row r="19" spans="1:121" ht="15" customHeight="1">
      <c r="A19" t="s">
        <v>540</v>
      </c>
      <c r="B19" s="22">
        <f>-MAX(0,IS!B40)*Assum_Finance!$C$23</f>
        <v>-1563.1513722222253</v>
      </c>
      <c r="C19" s="22">
        <f>-MAX(0,IS!C40)*Assum_Finance!$C$23</f>
        <v>-1489.3667111111122</v>
      </c>
      <c r="D19" s="22">
        <f>-MAX(0,IS!D40)*Assum_Finance!$C$23</f>
        <v>-1341.3460000000005</v>
      </c>
      <c r="E19" s="22">
        <f>-MAX(0,IS!E40)*Assum_Finance!$C$23</f>
        <v>-1193.3252888888881</v>
      </c>
      <c r="F19" s="22">
        <f>-MAX(0,IS!F40)*Assum_Finance!$C$23</f>
        <v>-1119.5406277777777</v>
      </c>
      <c r="G19" s="22">
        <f>-MAX(0,IS!G40)*Assum_Finance!$C$23</f>
        <v>-1045.7559666666673</v>
      </c>
      <c r="H19" s="22">
        <f>-MAX(0,IS!H40)*Assum_Finance!$C$23</f>
        <v>-1046.207355555556</v>
      </c>
      <c r="I19" s="22">
        <f>-MAX(0,IS!I40)*Assum_Finance!$C$23</f>
        <v>-1120.8947944444442</v>
      </c>
      <c r="J19" s="22">
        <f>-MAX(0,IS!J40)*Assum_Finance!$C$23</f>
        <v>-1269.8182833333349</v>
      </c>
      <c r="K19" s="22">
        <f>-MAX(0,IS!K40)*Assum_Finance!$C$23</f>
        <v>-1418.7417722222231</v>
      </c>
      <c r="L19" s="22">
        <f>-MAX(0,IS!L40)*Assum_Finance!$C$23</f>
        <v>-1567.665261111114</v>
      </c>
      <c r="M19" s="22">
        <f>-MAX(0,IS!M40)*Assum_Finance!$C$23</f>
        <v>-1939.2969000000005</v>
      </c>
      <c r="N19" s="22">
        <f>-MAX(0,IS!N40)*Assum_Finance!$C$23</f>
        <v>-1890.3277335088908</v>
      </c>
      <c r="O19" s="22">
        <f>-MAX(0,IS!O40)*Assum_Finance!$C$23</f>
        <v>-1802.5535204577777</v>
      </c>
      <c r="P19" s="22">
        <f>-MAX(0,IS!P40)*Assum_Finance!$C$23</f>
        <v>-1626.5537054666663</v>
      </c>
      <c r="Q19" s="22">
        <f>-MAX(0,IS!Q40)*Assum_Finance!$C$23</f>
        <v>-1450.5538904755551</v>
      </c>
      <c r="R19" s="22">
        <f>-MAX(0,IS!R40)*Assum_Finance!$C$23</f>
        <v>-1362.7796774244441</v>
      </c>
      <c r="S19" s="22">
        <f>-MAX(0,IS!S40)*Assum_Finance!$C$23</f>
        <v>-1275.005464373332</v>
      </c>
      <c r="T19" s="22">
        <f>-MAX(0,IS!T40)*Assum_Finance!$C$23</f>
        <v>-1275.4568532622209</v>
      </c>
      <c r="U19" s="22">
        <f>-MAX(0,IS!U40)*Assum_Finance!$C$23</f>
        <v>-1364.1338440911109</v>
      </c>
      <c r="V19" s="22">
        <f>-MAX(0,IS!V40)*Assum_Finance!$C$23</f>
        <v>-1541.0364368599967</v>
      </c>
      <c r="W19" s="22">
        <f>-MAX(0,IS!W40)*Assum_Finance!$C$23</f>
        <v>-1717.9390296288902</v>
      </c>
      <c r="X19" s="22">
        <f>-MAX(0,IS!X40)*Assum_Finance!$C$23</f>
        <v>-1894.8416223977795</v>
      </c>
      <c r="Y19" s="22">
        <f>-MAX(0,IS!Y40)*Assum_Finance!$C$23</f>
        <v>-2336.421020986666</v>
      </c>
      <c r="Z19" s="22">
        <f>-MAX(0,IS!Z40)*Assum_Finance!$C$23</f>
        <v>-2263.0575641654959</v>
      </c>
      <c r="AA19" s="22">
        <f>-MAX(0,IS!AA40)*Assum_Finance!$C$23</f>
        <v>-2159.3132135496039</v>
      </c>
      <c r="AB19" s="22">
        <f>-MAX(0,IS!AB40)*Assum_Finance!$C$23</f>
        <v>-1951.3731234289351</v>
      </c>
      <c r="AC19" s="22">
        <f>-MAX(0,IS!AC40)*Assum_Finance!$C$23</f>
        <v>-1743.433033308261</v>
      </c>
      <c r="AD19" s="22">
        <f>-MAX(0,IS!AD40)*Assum_Finance!$C$23</f>
        <v>-1639.6886826923726</v>
      </c>
      <c r="AE19" s="22">
        <f>-MAX(0,IS!AE40)*Assum_Finance!$C$23</f>
        <v>-1535.9443320764778</v>
      </c>
      <c r="AF19" s="22">
        <f>-MAX(0,IS!AF40)*Assum_Finance!$C$23</f>
        <v>-1536.395720965367</v>
      </c>
      <c r="AG19" s="22">
        <f>-MAX(0,IS!AG40)*Assum_Finance!$C$23</f>
        <v>-1641.0428493590389</v>
      </c>
      <c r="AH19" s="22">
        <f>-MAX(0,IS!AH40)*Assum_Finance!$C$23</f>
        <v>-1849.8857172574872</v>
      </c>
      <c r="AI19" s="22">
        <f>-MAX(0,IS!AI40)*Assum_Finance!$C$23</f>
        <v>-2058.728585155935</v>
      </c>
      <c r="AJ19" s="22">
        <f>-MAX(0,IS!AJ40)*Assum_Finance!$C$23</f>
        <v>-2267.5714530543846</v>
      </c>
      <c r="AK19" s="22">
        <f>-MAX(0,IS!AK40)*Assum_Finance!$C$23</f>
        <v>-2789.0015394671732</v>
      </c>
      <c r="AL19" s="22">
        <f>-MAX(0,IS!AL40)*Assum_Finance!$C$23</f>
        <v>-2634.9730096494568</v>
      </c>
      <c r="AM19" s="22">
        <f>-MAX(0,IS!AM40)*Assum_Finance!$C$23</f>
        <v>-2515.2939295197716</v>
      </c>
      <c r="AN19" s="22">
        <f>-MAX(0,IS!AN40)*Assum_Finance!$C$23</f>
        <v>-2275.4843803715116</v>
      </c>
      <c r="AO19" s="22">
        <f>-MAX(0,IS!AO40)*Assum_Finance!$C$23</f>
        <v>-2035.6748312232457</v>
      </c>
      <c r="AP19" s="22">
        <f>-MAX(0,IS!AP40)*Assum_Finance!$C$23</f>
        <v>-1915.9957510935612</v>
      </c>
      <c r="AQ19" s="22">
        <f>-MAX(0,IS!AQ40)*Assum_Finance!$C$23</f>
        <v>-1796.3166709638735</v>
      </c>
      <c r="AR19" s="22">
        <f>-MAX(0,IS!AR40)*Assum_Finance!$C$23</f>
        <v>-1796.7680598527627</v>
      </c>
      <c r="AS19" s="22">
        <f>-MAX(0,IS!AS40)*Assum_Finance!$C$23</f>
        <v>-1917.349917760228</v>
      </c>
      <c r="AT19" s="22">
        <f>-MAX(0,IS!AT40)*Assum_Finance!$C$23</f>
        <v>-2158.0622446862653</v>
      </c>
      <c r="AU19" s="22">
        <f>-MAX(0,IS!AU40)*Assum_Finance!$C$23</f>
        <v>-2398.7745716123072</v>
      </c>
      <c r="AV19" s="22">
        <f>-MAX(0,IS!AV40)*Assum_Finance!$C$23</f>
        <v>-2639.4868985383459</v>
      </c>
      <c r="AW19" s="22">
        <f>-MAX(0,IS!AW40)*Assum_Finance!$C$23</f>
        <v>-3240.5906325201126</v>
      </c>
      <c r="AX19" s="22">
        <f>-MAX(0,IS!AX40)*Assum_Finance!$C$23</f>
        <v>-3048.1426808054698</v>
      </c>
      <c r="AY19" s="22">
        <f>-MAX(0,IS!AY40)*Assum_Finance!$C$23</f>
        <v>-2910.735209176245</v>
      </c>
      <c r="AZ19" s="22">
        <f>-MAX(0,IS!AZ40)*Assum_Finance!$C$23</f>
        <v>-2635.4688770289085</v>
      </c>
      <c r="BA19" s="22">
        <f>-MAX(0,IS!BA40)*Assum_Finance!$C$23</f>
        <v>-2360.2025448815739</v>
      </c>
      <c r="BB19" s="22">
        <f>-MAX(0,IS!BB40)*Assum_Finance!$C$23</f>
        <v>-2222.7950732523518</v>
      </c>
      <c r="BC19" s="22">
        <f>-MAX(0,IS!BC40)*Assum_Finance!$C$23</f>
        <v>-2085.3876016231275</v>
      </c>
      <c r="BD19" s="22">
        <f>-MAX(0,IS!BD40)*Assum_Finance!$C$23</f>
        <v>-2085.8389905120166</v>
      </c>
      <c r="BE19" s="22">
        <f>-MAX(0,IS!BE40)*Assum_Finance!$C$23</f>
        <v>-2224.1492399190183</v>
      </c>
      <c r="BF19" s="22">
        <f>-MAX(0,IS!BF40)*Assum_Finance!$C$23</f>
        <v>-2500.3183498441299</v>
      </c>
      <c r="BG19" s="22">
        <f>-MAX(0,IS!BG40)*Assum_Finance!$C$23</f>
        <v>-2776.4874597692442</v>
      </c>
      <c r="BH19" s="22">
        <f>-MAX(0,IS!BH40)*Assum_Finance!$C$23</f>
        <v>-3052.656569694359</v>
      </c>
      <c r="BI19" s="22">
        <f>-MAX(0,IS!BI40)*Assum_Finance!$C$23</f>
        <v>-3742.402261173806</v>
      </c>
      <c r="BJ19" s="22">
        <f>-MAX(0,IS!BJ40)*Assum_Finance!$C$23</f>
        <v>-3438.3326715705866</v>
      </c>
      <c r="BK19" s="22">
        <f>-MAX(0,IS!BK40)*Assum_Finance!$C$23</f>
        <v>-3284.1959249805705</v>
      </c>
      <c r="BL19" s="22">
        <f>-MAX(0,IS!BL40)*Assum_Finance!$C$23</f>
        <v>-2975.4710429116262</v>
      </c>
      <c r="BM19" s="22">
        <f>-MAX(0,IS!BM40)*Assum_Finance!$C$23</f>
        <v>-2666.7461608426829</v>
      </c>
      <c r="BN19" s="22">
        <f>-MAX(0,IS!BN40)*Assum_Finance!$C$23</f>
        <v>-2512.6094142526599</v>
      </c>
      <c r="BO19" s="22">
        <f>-MAX(0,IS!BO40)*Assum_Finance!$C$23</f>
        <v>-2358.4726676626351</v>
      </c>
      <c r="BP19" s="22">
        <f>-MAX(0,IS!BP40)*Assum_Finance!$C$23</f>
        <v>-2358.9240565515242</v>
      </c>
      <c r="BQ19" s="22">
        <f>-MAX(0,IS!BQ40)*Assum_Finance!$C$23</f>
        <v>-2513.9635809193264</v>
      </c>
      <c r="BR19" s="22">
        <f>-MAX(0,IS!BR40)*Assum_Finance!$C$23</f>
        <v>-2823.5912407660417</v>
      </c>
      <c r="BS19" s="22">
        <f>-MAX(0,IS!BS40)*Assum_Finance!$C$23</f>
        <v>-3133.2189006127628</v>
      </c>
      <c r="BT19" s="22">
        <f>-MAX(0,IS!BT40)*Assum_Finance!$C$23</f>
        <v>-3442.8465604594758</v>
      </c>
      <c r="BU19" s="22">
        <f>-MAX(0,IS!BU40)*Assum_Finance!$C$23</f>
        <v>-4216.2386267429365</v>
      </c>
      <c r="BV19" s="22">
        <f>-MAX(0,IS!BV40)*Assum_Finance!$C$23</f>
        <v>-3860.9378446794894</v>
      </c>
      <c r="BW19" s="22">
        <f>-MAX(0,IS!BW40)*Assum_Finance!$C$23</f>
        <v>-3688.662467374586</v>
      </c>
      <c r="BX19" s="22">
        <f>-MAX(0,IS!BX40)*Assum_Finance!$C$23</f>
        <v>-3343.6603238758889</v>
      </c>
      <c r="BY19" s="22">
        <f>-MAX(0,IS!BY40)*Assum_Finance!$C$23</f>
        <v>-2998.6581803771851</v>
      </c>
      <c r="BZ19" s="22">
        <f>-MAX(0,IS!BZ40)*Assum_Finance!$C$23</f>
        <v>-2826.3828030722798</v>
      </c>
      <c r="CA19" s="22">
        <f>-MAX(0,IS!CA40)*Assum_Finance!$C$23</f>
        <v>-2654.1074257673754</v>
      </c>
      <c r="CB19" s="22">
        <f>-MAX(0,IS!CB40)*Assum_Finance!$C$23</f>
        <v>-2654.5588146562641</v>
      </c>
      <c r="CC19" s="22">
        <f>-MAX(0,IS!CC40)*Assum_Finance!$C$23</f>
        <v>-2827.7369697389472</v>
      </c>
      <c r="CD19" s="22">
        <f>-MAX(0,IS!CD40)*Assum_Finance!$C$23</f>
        <v>-3173.6418910154252</v>
      </c>
      <c r="CE19" s="22">
        <f>-MAX(0,IS!CE40)*Assum_Finance!$C$23</f>
        <v>-3519.5468122919028</v>
      </c>
      <c r="CF19" s="22">
        <f>-MAX(0,IS!CF40)*Assum_Finance!$C$23</f>
        <v>-3865.4517335683777</v>
      </c>
      <c r="CG19" s="22">
        <f>-MAX(0,IS!CG40)*Assum_Finance!$C$23</f>
        <v>-4729.5369534262427</v>
      </c>
      <c r="CH19" s="22">
        <f>-MAX(0,IS!CH40)*Assum_Finance!$C$23</f>
        <v>-4318.3784078849885</v>
      </c>
      <c r="CI19" s="22">
        <f>-MAX(0,IS!CI40)*Assum_Finance!$C$23</f>
        <v>-4125.9984287982024</v>
      </c>
      <c r="CJ19" s="22">
        <f>-MAX(0,IS!CJ40)*Assum_Finance!$C$23</f>
        <v>-3741.2384706246262</v>
      </c>
      <c r="CK19" s="22">
        <f>-MAX(0,IS!CK40)*Assum_Finance!$C$23</f>
        <v>-3356.4785124510549</v>
      </c>
      <c r="CL19" s="22">
        <f>-MAX(0,IS!CL40)*Assum_Finance!$C$23</f>
        <v>-3164.0985333642693</v>
      </c>
      <c r="CM19" s="22">
        <f>-MAX(0,IS!CM40)*Assum_Finance!$C$23</f>
        <v>-2971.7185542774787</v>
      </c>
      <c r="CN19" s="22">
        <f>-MAX(0,IS!CN40)*Assum_Finance!$C$23</f>
        <v>-2971.7185542774787</v>
      </c>
      <c r="CO19" s="22">
        <f>-MAX(0,IS!CO40)*Assum_Finance!$C$23</f>
        <v>-3164.0985333642693</v>
      </c>
      <c r="CP19" s="22">
        <f>-MAX(0,IS!CP40)*Assum_Finance!$C$23</f>
        <v>-3548.858491537841</v>
      </c>
      <c r="CQ19" s="22">
        <f>-MAX(0,IS!CQ40)*Assum_Finance!$C$23</f>
        <v>-3933.6184497114114</v>
      </c>
      <c r="CR19" s="22">
        <f>-MAX(0,IS!CR40)*Assum_Finance!$C$23</f>
        <v>-4318.3784078849885</v>
      </c>
      <c r="CS19" s="22">
        <f>-MAX(0,IS!CS40)*Assum_Finance!$C$23</f>
        <v>-5280.2783033189244</v>
      </c>
      <c r="CT19" s="22">
        <f>-MAX(0,IS!CT40)*Assum_Finance!$C$23</f>
        <v>-4807.8288682136481</v>
      </c>
      <c r="CU19" s="22">
        <f>-MAX(0,IS!CU40)*Assum_Finance!$C$23</f>
        <v>-4594.168434329963</v>
      </c>
      <c r="CV19" s="22">
        <f>-MAX(0,IS!CV40)*Assum_Finance!$C$23</f>
        <v>-4166.8475665625911</v>
      </c>
      <c r="CW19" s="22">
        <f>-MAX(0,IS!CW40)*Assum_Finance!$C$23</f>
        <v>-3739.5266987952232</v>
      </c>
      <c r="CX19" s="22">
        <f>-MAX(0,IS!CX40)*Assum_Finance!$C$23</f>
        <v>-3525.8662649115377</v>
      </c>
      <c r="CY19" s="22">
        <f>-MAX(0,IS!CY40)*Assum_Finance!$C$23</f>
        <v>-3312.2058310278489</v>
      </c>
      <c r="CZ19" s="22">
        <f>-MAX(0,IS!CZ40)*Assum_Finance!$C$23</f>
        <v>-3312.2058310278489</v>
      </c>
      <c r="DA19" s="22">
        <f>-MAX(0,IS!DA40)*Assum_Finance!$C$23</f>
        <v>-3525.8662649115377</v>
      </c>
      <c r="DB19" s="22">
        <f>-MAX(0,IS!DB40)*Assum_Finance!$C$23</f>
        <v>-3953.187132678906</v>
      </c>
      <c r="DC19" s="22">
        <f>-MAX(0,IS!DC40)*Assum_Finance!$C$23</f>
        <v>-4380.5080004462752</v>
      </c>
      <c r="DD19" s="22">
        <f>-MAX(0,IS!DD40)*Assum_Finance!$C$23</f>
        <v>-4807.8288682136481</v>
      </c>
      <c r="DE19" s="22">
        <f>-MAX(0,IS!DE40)*Assum_Finance!$C$23</f>
        <v>-5876.1310376320689</v>
      </c>
      <c r="DF19" s="22">
        <f>-MAX(0,IS!DF40)*Assum_Finance!$C$23</f>
        <v>-5337.4797650069886</v>
      </c>
      <c r="DG19" s="22">
        <f>-MAX(0,IS!DG40)*Assum_Finance!$C$23</f>
        <v>-5100.7910312627282</v>
      </c>
      <c r="DH19" s="22">
        <f>-MAX(0,IS!DH40)*Assum_Finance!$C$23</f>
        <v>-4627.4135637741974</v>
      </c>
      <c r="DI19" s="22">
        <f>-MAX(0,IS!DI40)*Assum_Finance!$C$23</f>
        <v>-4154.0360962856676</v>
      </c>
      <c r="DJ19" s="22">
        <f>-MAX(0,IS!DJ40)*Assum_Finance!$C$23</f>
        <v>-3917.3473625414017</v>
      </c>
      <c r="DK19" s="22">
        <f>-MAX(0,IS!DK40)*Assum_Finance!$C$23</f>
        <v>-3680.6586287971386</v>
      </c>
      <c r="DL19" s="22">
        <f>-MAX(0,IS!DL40)*Assum_Finance!$C$23</f>
        <v>-3680.6586287971386</v>
      </c>
      <c r="DM19" s="22">
        <f>-MAX(0,IS!DM40)*Assum_Finance!$C$23</f>
        <v>-3917.3473625414017</v>
      </c>
      <c r="DN19" s="22">
        <f>-MAX(0,IS!DN40)*Assum_Finance!$C$23</f>
        <v>-4390.7248300299352</v>
      </c>
      <c r="DO19" s="22">
        <f>-MAX(0,IS!DO40)*Assum_Finance!$C$23</f>
        <v>-4864.1022975184624</v>
      </c>
      <c r="DP19" s="22">
        <f>-MAX(0,IS!DP40)*Assum_Finance!$C$23</f>
        <v>-5337.4797650069886</v>
      </c>
      <c r="DQ19" s="22">
        <f>-MAX(0,IS!DQ40)*Assum_Finance!$C$23</f>
        <v>-6520.923433728326</v>
      </c>
    </row>
    <row r="20" spans="1:121" ht="15" customHeight="1">
      <c r="A20" s="14" t="s">
        <v>541</v>
      </c>
      <c r="B20" s="30">
        <f t="shared" ref="B20:AG20" si="8">SUM(B17:B19)</f>
        <v>-1860.770419841273</v>
      </c>
      <c r="C20" s="30">
        <f t="shared" si="8"/>
        <v>-1786.9857587301599</v>
      </c>
      <c r="D20" s="30">
        <f t="shared" si="8"/>
        <v>-1638.9650476190482</v>
      </c>
      <c r="E20" s="30">
        <f t="shared" si="8"/>
        <v>-1490.9443365079358</v>
      </c>
      <c r="F20" s="30">
        <f t="shared" si="8"/>
        <v>-1417.1596753968254</v>
      </c>
      <c r="G20" s="30">
        <f t="shared" si="8"/>
        <v>-1343.375014285715</v>
      </c>
      <c r="H20" s="30">
        <f t="shared" si="8"/>
        <v>-1343.8264031746037</v>
      </c>
      <c r="I20" s="30">
        <f t="shared" si="8"/>
        <v>-1418.5138420634919</v>
      </c>
      <c r="J20" s="30">
        <f t="shared" si="8"/>
        <v>-1567.4373309523826</v>
      </c>
      <c r="K20" s="30">
        <f t="shared" si="8"/>
        <v>-1716.3608198412708</v>
      </c>
      <c r="L20" s="30">
        <f t="shared" si="8"/>
        <v>-1865.2843087301617</v>
      </c>
      <c r="M20" s="30">
        <f t="shared" si="8"/>
        <v>-2236.915947619048</v>
      </c>
      <c r="N20" s="30">
        <f t="shared" si="8"/>
        <v>-2187.9467811279383</v>
      </c>
      <c r="O20" s="30">
        <f t="shared" si="8"/>
        <v>-2100.1725680768254</v>
      </c>
      <c r="P20" s="30">
        <f t="shared" si="8"/>
        <v>-1924.172753085714</v>
      </c>
      <c r="Q20" s="30">
        <f t="shared" si="8"/>
        <v>-1748.1729380946028</v>
      </c>
      <c r="R20" s="30">
        <f t="shared" si="8"/>
        <v>-1660.3987250434918</v>
      </c>
      <c r="S20" s="30">
        <f t="shared" si="8"/>
        <v>-1572.6245119923797</v>
      </c>
      <c r="T20" s="30">
        <f t="shared" si="8"/>
        <v>-1573.0759008812686</v>
      </c>
      <c r="U20" s="30">
        <f t="shared" si="8"/>
        <v>-1661.7528917101586</v>
      </c>
      <c r="V20" s="30">
        <f t="shared" si="8"/>
        <v>-1838.6554844790444</v>
      </c>
      <c r="W20" s="30">
        <f t="shared" si="8"/>
        <v>-2015.5580772479379</v>
      </c>
      <c r="X20" s="30">
        <f t="shared" si="8"/>
        <v>-2192.460670016827</v>
      </c>
      <c r="Y20" s="30">
        <f t="shared" si="8"/>
        <v>-2634.0400686057137</v>
      </c>
      <c r="Z20" s="30">
        <f t="shared" si="8"/>
        <v>-2560.6766117845436</v>
      </c>
      <c r="AA20" s="30">
        <f t="shared" si="8"/>
        <v>-2456.9322611686516</v>
      </c>
      <c r="AB20" s="30">
        <f t="shared" si="8"/>
        <v>-2248.9921710479825</v>
      </c>
      <c r="AC20" s="30">
        <f t="shared" si="8"/>
        <v>-2041.0520809273087</v>
      </c>
      <c r="AD20" s="30">
        <f t="shared" si="8"/>
        <v>-1937.3077303114203</v>
      </c>
      <c r="AE20" s="30">
        <f t="shared" si="8"/>
        <v>-1833.5633796955256</v>
      </c>
      <c r="AF20" s="30">
        <f t="shared" si="8"/>
        <v>-1834.0147685844147</v>
      </c>
      <c r="AG20" s="30">
        <f t="shared" si="8"/>
        <v>-1938.6618969780866</v>
      </c>
      <c r="AH20" s="30">
        <f t="shared" ref="AH20:BM20" si="9">SUM(AH17:AH19)</f>
        <v>-2147.5047648765349</v>
      </c>
      <c r="AI20" s="30">
        <f t="shared" si="9"/>
        <v>-2356.3476327749827</v>
      </c>
      <c r="AJ20" s="30">
        <f t="shared" si="9"/>
        <v>-2565.1905006734323</v>
      </c>
      <c r="AK20" s="30">
        <f t="shared" si="9"/>
        <v>-3086.6205870862209</v>
      </c>
      <c r="AL20" s="30">
        <f t="shared" si="9"/>
        <v>-2932.5920572685045</v>
      </c>
      <c r="AM20" s="30">
        <f t="shared" si="9"/>
        <v>-2812.9129771388193</v>
      </c>
      <c r="AN20" s="30">
        <f t="shared" si="9"/>
        <v>-2573.1034279905593</v>
      </c>
      <c r="AO20" s="30">
        <f t="shared" si="9"/>
        <v>-2333.2938788422935</v>
      </c>
      <c r="AP20" s="30">
        <f t="shared" si="9"/>
        <v>-2213.6147987126087</v>
      </c>
      <c r="AQ20" s="30">
        <f t="shared" si="9"/>
        <v>-2093.9357185829213</v>
      </c>
      <c r="AR20" s="30">
        <f t="shared" si="9"/>
        <v>-2094.3871074718104</v>
      </c>
      <c r="AS20" s="30">
        <f t="shared" si="9"/>
        <v>-2214.9689653792757</v>
      </c>
      <c r="AT20" s="30">
        <f t="shared" si="9"/>
        <v>-2455.681292305313</v>
      </c>
      <c r="AU20" s="30">
        <f t="shared" si="9"/>
        <v>-2696.3936192313549</v>
      </c>
      <c r="AV20" s="30">
        <f t="shared" si="9"/>
        <v>-2937.1059461573936</v>
      </c>
      <c r="AW20" s="30">
        <f t="shared" si="9"/>
        <v>-3538.2096801391604</v>
      </c>
      <c r="AX20" s="30">
        <f t="shared" si="9"/>
        <v>-3345.7617284245175</v>
      </c>
      <c r="AY20" s="30">
        <f t="shared" si="9"/>
        <v>-3208.3542567952927</v>
      </c>
      <c r="AZ20" s="30">
        <f t="shared" si="9"/>
        <v>-2933.0879246479562</v>
      </c>
      <c r="BA20" s="30">
        <f t="shared" si="9"/>
        <v>-2657.8215925006216</v>
      </c>
      <c r="BB20" s="30">
        <f t="shared" si="9"/>
        <v>-2520.4141208713995</v>
      </c>
      <c r="BC20" s="30">
        <f t="shared" si="9"/>
        <v>-2383.0066492421752</v>
      </c>
      <c r="BD20" s="30">
        <f t="shared" si="9"/>
        <v>-2383.4580381310643</v>
      </c>
      <c r="BE20" s="30">
        <f t="shared" si="9"/>
        <v>-2521.768287538066</v>
      </c>
      <c r="BF20" s="30">
        <f t="shared" si="9"/>
        <v>-2797.9373974631776</v>
      </c>
      <c r="BG20" s="30">
        <f t="shared" si="9"/>
        <v>-3074.1065073882919</v>
      </c>
      <c r="BH20" s="30">
        <f t="shared" si="9"/>
        <v>-3350.2756173134067</v>
      </c>
      <c r="BI20" s="30">
        <f t="shared" si="9"/>
        <v>-4040.0213087928537</v>
      </c>
      <c r="BJ20" s="30">
        <f t="shared" si="9"/>
        <v>-3735.9517191896343</v>
      </c>
      <c r="BK20" s="30">
        <f t="shared" si="9"/>
        <v>-3581.8149725996182</v>
      </c>
      <c r="BL20" s="30">
        <f t="shared" si="9"/>
        <v>-3273.0900905306739</v>
      </c>
      <c r="BM20" s="30">
        <f t="shared" si="9"/>
        <v>-2964.3652084617306</v>
      </c>
      <c r="BN20" s="30">
        <f t="shared" ref="BN20:CS20" si="10">SUM(BN17:BN19)</f>
        <v>-2810.2284618717076</v>
      </c>
      <c r="BO20" s="30">
        <f t="shared" si="10"/>
        <v>-2656.0917152816828</v>
      </c>
      <c r="BP20" s="30">
        <f t="shared" si="10"/>
        <v>-2656.543104170572</v>
      </c>
      <c r="BQ20" s="30">
        <f t="shared" si="10"/>
        <v>-2811.5826285383741</v>
      </c>
      <c r="BR20" s="30">
        <f t="shared" si="10"/>
        <v>-3121.2102883850894</v>
      </c>
      <c r="BS20" s="30">
        <f t="shared" si="10"/>
        <v>-3430.8379482318105</v>
      </c>
      <c r="BT20" s="30">
        <f t="shared" si="10"/>
        <v>-3740.4656080785235</v>
      </c>
      <c r="BU20" s="30">
        <f t="shared" si="10"/>
        <v>-4513.8576743619842</v>
      </c>
      <c r="BV20" s="30">
        <f t="shared" si="10"/>
        <v>-4158.5568922985367</v>
      </c>
      <c r="BW20" s="30">
        <f t="shared" si="10"/>
        <v>-3986.2815149936337</v>
      </c>
      <c r="BX20" s="30">
        <f t="shared" si="10"/>
        <v>-3641.2793714949366</v>
      </c>
      <c r="BY20" s="30">
        <f t="shared" si="10"/>
        <v>-3296.2772279962328</v>
      </c>
      <c r="BZ20" s="30">
        <f t="shared" si="10"/>
        <v>-3124.0018506913275</v>
      </c>
      <c r="CA20" s="30">
        <f t="shared" si="10"/>
        <v>-2951.7264733864231</v>
      </c>
      <c r="CB20" s="30">
        <f t="shared" si="10"/>
        <v>-2952.1778622753118</v>
      </c>
      <c r="CC20" s="30">
        <f t="shared" si="10"/>
        <v>-3125.3560173579949</v>
      </c>
      <c r="CD20" s="30">
        <f t="shared" si="10"/>
        <v>-3471.260938634473</v>
      </c>
      <c r="CE20" s="30">
        <f t="shared" si="10"/>
        <v>-3817.1658599109505</v>
      </c>
      <c r="CF20" s="30">
        <f t="shared" si="10"/>
        <v>-4163.0707811874254</v>
      </c>
      <c r="CG20" s="30">
        <f t="shared" si="10"/>
        <v>-5027.1560010452904</v>
      </c>
      <c r="CH20" s="30">
        <f t="shared" si="10"/>
        <v>-4318.3784078850322</v>
      </c>
      <c r="CI20" s="30">
        <f t="shared" si="10"/>
        <v>-4125.9984287982024</v>
      </c>
      <c r="CJ20" s="30">
        <f t="shared" si="10"/>
        <v>-3741.2384706246262</v>
      </c>
      <c r="CK20" s="30">
        <f t="shared" si="10"/>
        <v>-3356.4785124510549</v>
      </c>
      <c r="CL20" s="30">
        <f t="shared" si="10"/>
        <v>-3164.0985333642693</v>
      </c>
      <c r="CM20" s="30">
        <f t="shared" si="10"/>
        <v>-2971.7185542774787</v>
      </c>
      <c r="CN20" s="30">
        <f t="shared" si="10"/>
        <v>-2971.7185542774787</v>
      </c>
      <c r="CO20" s="30">
        <f t="shared" si="10"/>
        <v>-3164.0985333642693</v>
      </c>
      <c r="CP20" s="30">
        <f t="shared" si="10"/>
        <v>-3548.858491537841</v>
      </c>
      <c r="CQ20" s="30">
        <f t="shared" si="10"/>
        <v>-3933.6184497114114</v>
      </c>
      <c r="CR20" s="30">
        <f t="shared" si="10"/>
        <v>-4318.3784078849885</v>
      </c>
      <c r="CS20" s="30">
        <f t="shared" si="10"/>
        <v>-5280.2783033189244</v>
      </c>
      <c r="CT20" s="30">
        <f t="shared" ref="CT20:DY20" si="11">SUM(CT17:CT19)</f>
        <v>-4807.8288682136481</v>
      </c>
      <c r="CU20" s="30">
        <f t="shared" si="11"/>
        <v>-4594.168434329963</v>
      </c>
      <c r="CV20" s="30">
        <f t="shared" si="11"/>
        <v>-4166.8475665625911</v>
      </c>
      <c r="CW20" s="30">
        <f t="shared" si="11"/>
        <v>-3739.5266987952232</v>
      </c>
      <c r="CX20" s="30">
        <f t="shared" si="11"/>
        <v>-3525.8662649115377</v>
      </c>
      <c r="CY20" s="30">
        <f t="shared" si="11"/>
        <v>-3312.2058310278489</v>
      </c>
      <c r="CZ20" s="30">
        <f t="shared" si="11"/>
        <v>-3312.2058310278489</v>
      </c>
      <c r="DA20" s="30">
        <f t="shared" si="11"/>
        <v>-3525.8662649115377</v>
      </c>
      <c r="DB20" s="30">
        <f t="shared" si="11"/>
        <v>-3953.187132678906</v>
      </c>
      <c r="DC20" s="30">
        <f t="shared" si="11"/>
        <v>-4380.5080004462752</v>
      </c>
      <c r="DD20" s="30">
        <f t="shared" si="11"/>
        <v>-4807.8288682136481</v>
      </c>
      <c r="DE20" s="30">
        <f t="shared" si="11"/>
        <v>-5876.1310376320689</v>
      </c>
      <c r="DF20" s="30">
        <f t="shared" si="11"/>
        <v>-5337.4797650069886</v>
      </c>
      <c r="DG20" s="30">
        <f t="shared" si="11"/>
        <v>-5100.7910312627282</v>
      </c>
      <c r="DH20" s="30">
        <f t="shared" si="11"/>
        <v>-4627.4135637741974</v>
      </c>
      <c r="DI20" s="30">
        <f t="shared" si="11"/>
        <v>-4154.0360962856676</v>
      </c>
      <c r="DJ20" s="30">
        <f t="shared" si="11"/>
        <v>-3917.3473625414017</v>
      </c>
      <c r="DK20" s="30">
        <f t="shared" si="11"/>
        <v>-3680.6586287971386</v>
      </c>
      <c r="DL20" s="30">
        <f t="shared" si="11"/>
        <v>-3680.6586287971386</v>
      </c>
      <c r="DM20" s="30">
        <f t="shared" si="11"/>
        <v>-3917.3473625414017</v>
      </c>
      <c r="DN20" s="30">
        <f t="shared" si="11"/>
        <v>-4390.7248300299352</v>
      </c>
      <c r="DO20" s="30">
        <f t="shared" si="11"/>
        <v>-4864.1022975184624</v>
      </c>
      <c r="DP20" s="30">
        <f t="shared" si="11"/>
        <v>-5337.4797650069886</v>
      </c>
      <c r="DQ20" s="30">
        <f t="shared" si="11"/>
        <v>-6520.923433728326</v>
      </c>
    </row>
    <row r="22" spans="1:121" ht="15" customHeight="1">
      <c r="A22" s="5" t="s">
        <v>542</v>
      </c>
    </row>
    <row r="23" spans="1:121" ht="15" customHeight="1">
      <c r="A23" s="14" t="s">
        <v>543</v>
      </c>
      <c r="B23" s="29">
        <f t="shared" ref="B23:AG23" si="12">B10+B14+B20</f>
        <v>2280.8194894966218</v>
      </c>
      <c r="C23" s="29">
        <f t="shared" si="12"/>
        <v>3258.1264136899322</v>
      </c>
      <c r="D23" s="29">
        <f t="shared" si="12"/>
        <v>4085.4293435174386</v>
      </c>
      <c r="E23" s="29">
        <f t="shared" si="12"/>
        <v>3863.2254800760793</v>
      </c>
      <c r="F23" s="29">
        <f t="shared" si="12"/>
        <v>2702.8688978866567</v>
      </c>
      <c r="G23" s="29">
        <f t="shared" si="12"/>
        <v>2592.018532976067</v>
      </c>
      <c r="H23" s="29">
        <f t="shared" si="12"/>
        <v>1543.0154483566396</v>
      </c>
      <c r="I23" s="29">
        <f t="shared" si="12"/>
        <v>605.36614930021187</v>
      </c>
      <c r="J23" s="29">
        <f t="shared" si="12"/>
        <v>-220.92936467560639</v>
      </c>
      <c r="K23" s="29">
        <f t="shared" si="12"/>
        <v>2.2813366993989348</v>
      </c>
      <c r="L23" s="29">
        <f t="shared" si="12"/>
        <v>225.49174718780705</v>
      </c>
      <c r="M23" s="29">
        <f t="shared" si="12"/>
        <v>-2365.7554259554422</v>
      </c>
      <c r="N23" s="29">
        <f t="shared" si="12"/>
        <v>4755.2054089880794</v>
      </c>
      <c r="O23" s="29">
        <f t="shared" si="12"/>
        <v>3869.3163507085696</v>
      </c>
      <c r="P23" s="29">
        <f t="shared" si="12"/>
        <v>4798.1460586748144</v>
      </c>
      <c r="Q23" s="29">
        <f t="shared" si="12"/>
        <v>4533.9700516218882</v>
      </c>
      <c r="R23" s="29">
        <f t="shared" si="12"/>
        <v>3209.126731970955</v>
      </c>
      <c r="S23" s="29">
        <f t="shared" si="12"/>
        <v>3077.2885397231339</v>
      </c>
      <c r="T23" s="29">
        <f t="shared" si="12"/>
        <v>1884.7830338971155</v>
      </c>
      <c r="U23" s="29">
        <f t="shared" si="12"/>
        <v>824.61563570199996</v>
      </c>
      <c r="V23" s="29">
        <f t="shared" si="12"/>
        <v>-103.21365535432983</v>
      </c>
      <c r="W23" s="29">
        <f t="shared" si="12"/>
        <v>161.96217902552917</v>
      </c>
      <c r="X23" s="29">
        <f t="shared" si="12"/>
        <v>427.13771664748174</v>
      </c>
      <c r="Y23" s="29">
        <f t="shared" si="12"/>
        <v>-2489.6880993543778</v>
      </c>
      <c r="Z23" s="29">
        <f t="shared" si="12"/>
        <v>5619.1049224700982</v>
      </c>
      <c r="AA23" s="29">
        <f t="shared" si="12"/>
        <v>4563.6739659242339</v>
      </c>
      <c r="AB23" s="29">
        <f t="shared" si="12"/>
        <v>5605.9391464660239</v>
      </c>
      <c r="AC23" s="29">
        <f t="shared" si="12"/>
        <v>5293.849168528378</v>
      </c>
      <c r="AD23" s="29">
        <f t="shared" si="12"/>
        <v>3783.6976408697274</v>
      </c>
      <c r="AE23" s="29">
        <f t="shared" si="12"/>
        <v>3627.9006722138574</v>
      </c>
      <c r="AF23" s="29">
        <f t="shared" si="12"/>
        <v>2274.0421528369952</v>
      </c>
      <c r="AG23" s="29">
        <f t="shared" si="12"/>
        <v>1076.4769414781913</v>
      </c>
      <c r="AH23" s="29">
        <f t="shared" ref="AH23:BM23" si="13">AH10+AH14+AH20</f>
        <v>35.205037635413191</v>
      </c>
      <c r="AI23" s="29">
        <f t="shared" si="13"/>
        <v>348.28769078875121</v>
      </c>
      <c r="AJ23" s="29">
        <f t="shared" si="13"/>
        <v>661.37004119426911</v>
      </c>
      <c r="AK23" s="29">
        <f t="shared" si="13"/>
        <v>-2619.7316616017906</v>
      </c>
      <c r="AL23" s="29">
        <f t="shared" si="13"/>
        <v>7176.5488213152439</v>
      </c>
      <c r="AM23" s="29">
        <f t="shared" si="13"/>
        <v>5248.3420819368839</v>
      </c>
      <c r="AN23" s="29">
        <f t="shared" si="13"/>
        <v>6395.6708741542916</v>
      </c>
      <c r="AO23" s="29">
        <f t="shared" si="13"/>
        <v>6035.7730776651324</v>
      </c>
      <c r="AP23" s="29">
        <f t="shared" si="13"/>
        <v>4348.8443954883578</v>
      </c>
      <c r="AQ23" s="29">
        <f t="shared" si="13"/>
        <v>4169.1416904414773</v>
      </c>
      <c r="AR23" s="29">
        <f t="shared" si="13"/>
        <v>2662.4080986869271</v>
      </c>
      <c r="AS23" s="29">
        <f t="shared" si="13"/>
        <v>1335.8699031408073</v>
      </c>
      <c r="AT23" s="29">
        <f t="shared" si="13"/>
        <v>189.52710329087631</v>
      </c>
      <c r="AU23" s="29">
        <f t="shared" si="13"/>
        <v>550.41027852375328</v>
      </c>
      <c r="AV23" s="29">
        <f t="shared" si="13"/>
        <v>911.29314489808348</v>
      </c>
      <c r="AW23" s="29">
        <f t="shared" si="13"/>
        <v>-2708.9160377998332</v>
      </c>
      <c r="AX23" s="29">
        <f t="shared" si="13"/>
        <v>8205.0149450680146</v>
      </c>
      <c r="AY23" s="29">
        <f t="shared" si="13"/>
        <v>6007.5237169007059</v>
      </c>
      <c r="AZ23" s="29">
        <f t="shared" si="13"/>
        <v>7269.9016236129737</v>
      </c>
      <c r="BA23" s="29">
        <f t="shared" si="13"/>
        <v>6856.8149493455758</v>
      </c>
      <c r="BB23" s="29">
        <f t="shared" si="13"/>
        <v>4975.0519843566108</v>
      </c>
      <c r="BC23" s="29">
        <f t="shared" si="13"/>
        <v>4768.752976426309</v>
      </c>
      <c r="BD23" s="29">
        <f t="shared" si="13"/>
        <v>3093.7776767336727</v>
      </c>
      <c r="BE23" s="29">
        <f t="shared" si="13"/>
        <v>1625.5903542957258</v>
      </c>
      <c r="BF23" s="29">
        <f t="shared" si="13"/>
        <v>364.19100858995671</v>
      </c>
      <c r="BG23" s="29">
        <f t="shared" si="13"/>
        <v>778.25561785439959</v>
      </c>
      <c r="BH23" s="29">
        <f t="shared" si="13"/>
        <v>1192.3199120261661</v>
      </c>
      <c r="BI23" s="29">
        <f t="shared" si="13"/>
        <v>-2799.6440457044209</v>
      </c>
      <c r="BJ23" s="29">
        <f t="shared" si="13"/>
        <v>10049.66863237418</v>
      </c>
      <c r="BK23" s="29">
        <f t="shared" si="13"/>
        <v>6715.4098164996458</v>
      </c>
      <c r="BL23" s="29">
        <f t="shared" si="13"/>
        <v>8077.5541974759799</v>
      </c>
      <c r="BM23" s="29">
        <f t="shared" si="13"/>
        <v>7614.2759202982952</v>
      </c>
      <c r="BN23" s="29">
        <f t="shared" ref="BN23:CS23" si="14">BN10+BN14+BN20</f>
        <v>5557.4571876554</v>
      </c>
      <c r="BO23" s="29">
        <f t="shared" si="14"/>
        <v>5326.0604766520892</v>
      </c>
      <c r="BP23" s="29">
        <f t="shared" si="14"/>
        <v>3501.1233091218596</v>
      </c>
      <c r="BQ23" s="29">
        <f t="shared" si="14"/>
        <v>1908.068024959272</v>
      </c>
      <c r="BR23" s="29">
        <f t="shared" si="14"/>
        <v>546.89462363127359</v>
      </c>
      <c r="BS23" s="29">
        <f t="shared" si="14"/>
        <v>1011.1432418121458</v>
      </c>
      <c r="BT23" s="29">
        <f t="shared" si="14"/>
        <v>1475.3915385404534</v>
      </c>
      <c r="BU23" s="29">
        <f t="shared" si="14"/>
        <v>-2840.9808983447974</v>
      </c>
      <c r="BV23" s="29">
        <f t="shared" si="14"/>
        <v>11167.198278467837</v>
      </c>
      <c r="BW23" s="29">
        <f t="shared" si="14"/>
        <v>7481.2313077206672</v>
      </c>
      <c r="BX23" s="29">
        <f t="shared" si="14"/>
        <v>8950.3863494110792</v>
      </c>
      <c r="BY23" s="29">
        <f t="shared" si="14"/>
        <v>8432.6883258038288</v>
      </c>
      <c r="BZ23" s="29">
        <f t="shared" si="14"/>
        <v>6187.2273856492757</v>
      </c>
      <c r="CA23" s="29">
        <f t="shared" si="14"/>
        <v>5928.618861430301</v>
      </c>
      <c r="CB23" s="29">
        <f t="shared" si="14"/>
        <v>3942.2474195809527</v>
      </c>
      <c r="CC23" s="29">
        <f t="shared" si="14"/>
        <v>2214.9658007155881</v>
      </c>
      <c r="CD23" s="29">
        <f t="shared" si="14"/>
        <v>746.7740042903124</v>
      </c>
      <c r="CE23" s="29">
        <f t="shared" si="14"/>
        <v>1265.4346216271224</v>
      </c>
      <c r="CF23" s="29">
        <f t="shared" si="14"/>
        <v>1784.0949110229521</v>
      </c>
      <c r="CG23" s="29">
        <f t="shared" si="14"/>
        <v>-2880.5329036687294</v>
      </c>
      <c r="CH23" s="29">
        <f t="shared" si="14"/>
        <v>12673.051097895765</v>
      </c>
      <c r="CI23" s="29">
        <f t="shared" si="14"/>
        <v>8606.2218825155451</v>
      </c>
      <c r="CJ23" s="29">
        <f t="shared" si="14"/>
        <v>10189.459184884419</v>
      </c>
      <c r="CK23" s="29">
        <f t="shared" si="14"/>
        <v>9612.1205071835411</v>
      </c>
      <c r="CL23" s="29">
        <f t="shared" si="14"/>
        <v>7162.7758174921855</v>
      </c>
      <c r="CM23" s="29">
        <f t="shared" si="14"/>
        <v>6874.00644540137</v>
      </c>
      <c r="CN23" s="29">
        <f t="shared" si="14"/>
        <v>4713.2310602148973</v>
      </c>
      <c r="CO23" s="29">
        <f t="shared" si="14"/>
        <v>2841.0253107656108</v>
      </c>
      <c r="CP23" s="29">
        <f t="shared" si="14"/>
        <v>1257.3891964987247</v>
      </c>
      <c r="CQ23" s="29">
        <f t="shared" si="14"/>
        <v>1834.328397614941</v>
      </c>
      <c r="CR23" s="29">
        <f t="shared" si="14"/>
        <v>2411.2672641709578</v>
      </c>
      <c r="CS23" s="29">
        <f t="shared" si="14"/>
        <v>-2627.8112466605135</v>
      </c>
      <c r="CT23" s="29">
        <f t="shared" ref="CT23:DQ23" si="15">CT10+CT14+CT20</f>
        <v>13970.547711955129</v>
      </c>
      <c r="CU23" s="29">
        <f t="shared" si="15"/>
        <v>9492.9662722082976</v>
      </c>
      <c r="CV23" s="29">
        <f t="shared" si="15"/>
        <v>11199.250450678326</v>
      </c>
      <c r="CW23" s="29">
        <f t="shared" si="15"/>
        <v>10558.066397139084</v>
      </c>
      <c r="CX23" s="29">
        <f t="shared" si="15"/>
        <v>7889.9047618538443</v>
      </c>
      <c r="CY23" s="29">
        <f t="shared" si="15"/>
        <v>7569.2106827373036</v>
      </c>
      <c r="CZ23" s="29">
        <f t="shared" si="15"/>
        <v>5221.5390207474202</v>
      </c>
      <c r="DA23" s="29">
        <f t="shared" si="15"/>
        <v>3194.3576699708383</v>
      </c>
      <c r="DB23" s="29">
        <f t="shared" si="15"/>
        <v>1487.6666298415694</v>
      </c>
      <c r="DC23" s="29">
        <f t="shared" si="15"/>
        <v>2128.4431436187178</v>
      </c>
      <c r="DD23" s="29">
        <f t="shared" si="15"/>
        <v>2769.2193160828056</v>
      </c>
      <c r="DE23" s="29">
        <f t="shared" si="15"/>
        <v>-2670.936584813654</v>
      </c>
      <c r="DF23" s="29">
        <f t="shared" si="15"/>
        <v>15372.58485762481</v>
      </c>
      <c r="DG23" s="29">
        <f t="shared" si="15"/>
        <v>10451.447707027255</v>
      </c>
      <c r="DH23" s="29">
        <f t="shared" si="15"/>
        <v>12289.641803857379</v>
      </c>
      <c r="DI23" s="29">
        <f t="shared" si="15"/>
        <v>11579.368758320139</v>
      </c>
      <c r="DJ23" s="29">
        <f t="shared" si="15"/>
        <v>8675.6616704584085</v>
      </c>
      <c r="DK23" s="29">
        <f t="shared" si="15"/>
        <v>8320.421035482037</v>
      </c>
      <c r="DL23" s="29">
        <f t="shared" si="15"/>
        <v>5771.7463570310138</v>
      </c>
      <c r="DM23" s="29">
        <f t="shared" si="15"/>
        <v>3578.1044327293021</v>
      </c>
      <c r="DN23" s="29">
        <f t="shared" si="15"/>
        <v>1739.4952619994656</v>
      </c>
      <c r="DO23" s="29">
        <f t="shared" si="15"/>
        <v>2449.3525418471518</v>
      </c>
      <c r="DP23" s="29">
        <f t="shared" si="15"/>
        <v>3159.2094734924849</v>
      </c>
      <c r="DQ23" s="29">
        <f t="shared" si="15"/>
        <v>-2711.2350363969381</v>
      </c>
    </row>
    <row r="24" spans="1:121" ht="15" customHeight="1">
      <c r="A24" t="s">
        <v>544</v>
      </c>
      <c r="B24" s="22">
        <f>Assum_Finance!$C$28/1000</f>
        <v>8000</v>
      </c>
      <c r="C24" s="22">
        <f t="shared" ref="C24:AH24" si="16">B25</f>
        <v>10280.819489496622</v>
      </c>
      <c r="D24" s="22">
        <f t="shared" si="16"/>
        <v>13538.945903186554</v>
      </c>
      <c r="E24" s="22">
        <f t="shared" si="16"/>
        <v>17624.375246703992</v>
      </c>
      <c r="F24" s="22">
        <f t="shared" si="16"/>
        <v>21487.600726780071</v>
      </c>
      <c r="G24" s="22">
        <f t="shared" si="16"/>
        <v>24190.469624666726</v>
      </c>
      <c r="H24" s="22">
        <f t="shared" si="16"/>
        <v>26782.488157642794</v>
      </c>
      <c r="I24" s="22">
        <f t="shared" si="16"/>
        <v>28325.503605999435</v>
      </c>
      <c r="J24" s="22">
        <f t="shared" si="16"/>
        <v>28930.869755299645</v>
      </c>
      <c r="K24" s="22">
        <f t="shared" si="16"/>
        <v>28709.94039062404</v>
      </c>
      <c r="L24" s="22">
        <f t="shared" si="16"/>
        <v>28712.221727323438</v>
      </c>
      <c r="M24" s="22">
        <f t="shared" si="16"/>
        <v>28937.713474511245</v>
      </c>
      <c r="N24" s="22">
        <f t="shared" si="16"/>
        <v>26571.958048555804</v>
      </c>
      <c r="O24" s="22">
        <f t="shared" si="16"/>
        <v>31327.163457543884</v>
      </c>
      <c r="P24" s="22">
        <f t="shared" si="16"/>
        <v>35196.47980825245</v>
      </c>
      <c r="Q24" s="22">
        <f t="shared" si="16"/>
        <v>39994.625866927265</v>
      </c>
      <c r="R24" s="22">
        <f t="shared" si="16"/>
        <v>44528.595918549152</v>
      </c>
      <c r="S24" s="22">
        <f t="shared" si="16"/>
        <v>47737.722650520111</v>
      </c>
      <c r="T24" s="22">
        <f t="shared" si="16"/>
        <v>50815.011190243247</v>
      </c>
      <c r="U24" s="22">
        <f t="shared" si="16"/>
        <v>52699.794224140365</v>
      </c>
      <c r="V24" s="22">
        <f t="shared" si="16"/>
        <v>53524.409859842366</v>
      </c>
      <c r="W24" s="22">
        <f t="shared" si="16"/>
        <v>53421.196204488035</v>
      </c>
      <c r="X24" s="22">
        <f t="shared" si="16"/>
        <v>53583.158383513561</v>
      </c>
      <c r="Y24" s="22">
        <f t="shared" si="16"/>
        <v>54010.296100161046</v>
      </c>
      <c r="Z24" s="22">
        <f t="shared" si="16"/>
        <v>51520.608000806671</v>
      </c>
      <c r="AA24" s="22">
        <f t="shared" si="16"/>
        <v>57139.712923276769</v>
      </c>
      <c r="AB24" s="22">
        <f t="shared" si="16"/>
        <v>61703.386889201007</v>
      </c>
      <c r="AC24" s="22">
        <f t="shared" si="16"/>
        <v>67309.326035667036</v>
      </c>
      <c r="AD24" s="22">
        <f t="shared" si="16"/>
        <v>72603.175204195417</v>
      </c>
      <c r="AE24" s="22">
        <f t="shared" si="16"/>
        <v>76386.87284506514</v>
      </c>
      <c r="AF24" s="22">
        <f t="shared" si="16"/>
        <v>80014.773517278998</v>
      </c>
      <c r="AG24" s="22">
        <f t="shared" si="16"/>
        <v>82288.81567011599</v>
      </c>
      <c r="AH24" s="22">
        <f t="shared" si="16"/>
        <v>83365.292611594181</v>
      </c>
      <c r="AI24" s="22">
        <f t="shared" ref="AI24:BN24" si="17">AH25</f>
        <v>83400.497649229597</v>
      </c>
      <c r="AJ24" s="22">
        <f t="shared" si="17"/>
        <v>83748.785340018352</v>
      </c>
      <c r="AK24" s="22">
        <f t="shared" si="17"/>
        <v>84410.155381212622</v>
      </c>
      <c r="AL24" s="22">
        <f t="shared" si="17"/>
        <v>81790.42371961083</v>
      </c>
      <c r="AM24" s="22">
        <f t="shared" si="17"/>
        <v>88966.972540926072</v>
      </c>
      <c r="AN24" s="22">
        <f t="shared" si="17"/>
        <v>94215.314622862963</v>
      </c>
      <c r="AO24" s="22">
        <f t="shared" si="17"/>
        <v>100610.98549701726</v>
      </c>
      <c r="AP24" s="22">
        <f t="shared" si="17"/>
        <v>106646.75857468239</v>
      </c>
      <c r="AQ24" s="22">
        <f t="shared" si="17"/>
        <v>110995.60297017074</v>
      </c>
      <c r="AR24" s="22">
        <f t="shared" si="17"/>
        <v>115164.74466061222</v>
      </c>
      <c r="AS24" s="22">
        <f t="shared" si="17"/>
        <v>117827.15275929915</v>
      </c>
      <c r="AT24" s="22">
        <f t="shared" si="17"/>
        <v>119163.02266243995</v>
      </c>
      <c r="AU24" s="22">
        <f t="shared" si="17"/>
        <v>119352.54976573083</v>
      </c>
      <c r="AV24" s="22">
        <f t="shared" si="17"/>
        <v>119902.96004425458</v>
      </c>
      <c r="AW24" s="22">
        <f t="shared" si="17"/>
        <v>120814.25318915266</v>
      </c>
      <c r="AX24" s="22">
        <f t="shared" si="17"/>
        <v>118105.33715135283</v>
      </c>
      <c r="AY24" s="22">
        <f t="shared" si="17"/>
        <v>126310.35209642084</v>
      </c>
      <c r="AZ24" s="22">
        <f t="shared" si="17"/>
        <v>132317.87581332156</v>
      </c>
      <c r="BA24" s="22">
        <f t="shared" si="17"/>
        <v>139587.77743693453</v>
      </c>
      <c r="BB24" s="22">
        <f t="shared" si="17"/>
        <v>146444.5923862801</v>
      </c>
      <c r="BC24" s="22">
        <f t="shared" si="17"/>
        <v>151419.6443706367</v>
      </c>
      <c r="BD24" s="22">
        <f t="shared" si="17"/>
        <v>156188.397347063</v>
      </c>
      <c r="BE24" s="22">
        <f t="shared" si="17"/>
        <v>159282.17502379668</v>
      </c>
      <c r="BF24" s="22">
        <f t="shared" si="17"/>
        <v>160907.76537809242</v>
      </c>
      <c r="BG24" s="22">
        <f t="shared" si="17"/>
        <v>161271.95638668237</v>
      </c>
      <c r="BH24" s="22">
        <f t="shared" si="17"/>
        <v>162050.21200453676</v>
      </c>
      <c r="BI24" s="22">
        <f t="shared" si="17"/>
        <v>163242.53191656293</v>
      </c>
      <c r="BJ24" s="22">
        <f t="shared" si="17"/>
        <v>160442.88787085851</v>
      </c>
      <c r="BK24" s="22">
        <f t="shared" si="17"/>
        <v>170492.55650323268</v>
      </c>
      <c r="BL24" s="22">
        <f t="shared" si="17"/>
        <v>177207.96631973234</v>
      </c>
      <c r="BM24" s="22">
        <f t="shared" si="17"/>
        <v>185285.52051720832</v>
      </c>
      <c r="BN24" s="22">
        <f t="shared" si="17"/>
        <v>192899.79643750662</v>
      </c>
      <c r="BO24" s="22">
        <f t="shared" ref="BO24:CT24" si="18">BN25</f>
        <v>198457.25362516203</v>
      </c>
      <c r="BP24" s="22">
        <f t="shared" si="18"/>
        <v>203783.31410181412</v>
      </c>
      <c r="BQ24" s="22">
        <f t="shared" si="18"/>
        <v>207284.43741093596</v>
      </c>
      <c r="BR24" s="22">
        <f t="shared" si="18"/>
        <v>209192.50543589523</v>
      </c>
      <c r="BS24" s="22">
        <f t="shared" si="18"/>
        <v>209739.4000595265</v>
      </c>
      <c r="BT24" s="22">
        <f t="shared" si="18"/>
        <v>210750.54330133865</v>
      </c>
      <c r="BU24" s="22">
        <f t="shared" si="18"/>
        <v>212225.9348398791</v>
      </c>
      <c r="BV24" s="22">
        <f t="shared" si="18"/>
        <v>209384.9539415343</v>
      </c>
      <c r="BW24" s="22">
        <f t="shared" si="18"/>
        <v>220552.15222000214</v>
      </c>
      <c r="BX24" s="22">
        <f t="shared" si="18"/>
        <v>228033.38352772282</v>
      </c>
      <c r="BY24" s="22">
        <f t="shared" si="18"/>
        <v>236983.76987713389</v>
      </c>
      <c r="BZ24" s="22">
        <f t="shared" si="18"/>
        <v>245416.45820293773</v>
      </c>
      <c r="CA24" s="22">
        <f t="shared" si="18"/>
        <v>251603.68558858702</v>
      </c>
      <c r="CB24" s="22">
        <f t="shared" si="18"/>
        <v>257532.30445001731</v>
      </c>
      <c r="CC24" s="22">
        <f t="shared" si="18"/>
        <v>261474.55186959828</v>
      </c>
      <c r="CD24" s="22">
        <f t="shared" si="18"/>
        <v>263689.51767031389</v>
      </c>
      <c r="CE24" s="22">
        <f t="shared" si="18"/>
        <v>264436.29167460417</v>
      </c>
      <c r="CF24" s="22">
        <f t="shared" si="18"/>
        <v>265701.72629623127</v>
      </c>
      <c r="CG24" s="22">
        <f t="shared" si="18"/>
        <v>267485.82120725419</v>
      </c>
      <c r="CH24" s="22">
        <f t="shared" si="18"/>
        <v>264605.28830358549</v>
      </c>
      <c r="CI24" s="22">
        <f t="shared" si="18"/>
        <v>277278.33940148127</v>
      </c>
      <c r="CJ24" s="22">
        <f t="shared" si="18"/>
        <v>285884.56128399679</v>
      </c>
      <c r="CK24" s="22">
        <f t="shared" si="18"/>
        <v>296074.02046888124</v>
      </c>
      <c r="CL24" s="22">
        <f t="shared" si="18"/>
        <v>305686.14097606478</v>
      </c>
      <c r="CM24" s="22">
        <f t="shared" si="18"/>
        <v>312848.91679355694</v>
      </c>
      <c r="CN24" s="22">
        <f t="shared" si="18"/>
        <v>319722.92323895829</v>
      </c>
      <c r="CO24" s="22">
        <f t="shared" si="18"/>
        <v>324436.15429917321</v>
      </c>
      <c r="CP24" s="22">
        <f t="shared" si="18"/>
        <v>327277.17960993882</v>
      </c>
      <c r="CQ24" s="22">
        <f t="shared" si="18"/>
        <v>328534.56880643754</v>
      </c>
      <c r="CR24" s="22">
        <f t="shared" si="18"/>
        <v>330368.89720405248</v>
      </c>
      <c r="CS24" s="22">
        <f t="shared" si="18"/>
        <v>332780.16446822346</v>
      </c>
      <c r="CT24" s="22">
        <f t="shared" si="18"/>
        <v>330152.35322156292</v>
      </c>
      <c r="CU24" s="22">
        <f t="shared" ref="CU24:DQ24" si="19">CT25</f>
        <v>344122.90093351807</v>
      </c>
      <c r="CV24" s="22">
        <f t="shared" si="19"/>
        <v>353615.86720572639</v>
      </c>
      <c r="CW24" s="22">
        <f t="shared" si="19"/>
        <v>364815.11765640473</v>
      </c>
      <c r="CX24" s="22">
        <f t="shared" si="19"/>
        <v>375373.18405354384</v>
      </c>
      <c r="CY24" s="22">
        <f t="shared" si="19"/>
        <v>383263.0888153977</v>
      </c>
      <c r="CZ24" s="22">
        <f t="shared" si="19"/>
        <v>390832.29949813499</v>
      </c>
      <c r="DA24" s="22">
        <f t="shared" si="19"/>
        <v>396053.8385188824</v>
      </c>
      <c r="DB24" s="22">
        <f t="shared" si="19"/>
        <v>399248.19618885324</v>
      </c>
      <c r="DC24" s="22">
        <f t="shared" si="19"/>
        <v>400735.86281869479</v>
      </c>
      <c r="DD24" s="22">
        <f t="shared" si="19"/>
        <v>402864.30596231349</v>
      </c>
      <c r="DE24" s="22">
        <f t="shared" si="19"/>
        <v>405633.52527839632</v>
      </c>
      <c r="DF24" s="22">
        <f t="shared" si="19"/>
        <v>402962.58869358269</v>
      </c>
      <c r="DG24" s="22">
        <f t="shared" si="19"/>
        <v>418335.17355120752</v>
      </c>
      <c r="DH24" s="22">
        <f t="shared" si="19"/>
        <v>428786.62125823478</v>
      </c>
      <c r="DI24" s="22">
        <f t="shared" si="19"/>
        <v>441076.26306209218</v>
      </c>
      <c r="DJ24" s="22">
        <f t="shared" si="19"/>
        <v>452655.63182041235</v>
      </c>
      <c r="DK24" s="22">
        <f t="shared" si="19"/>
        <v>461331.29349087074</v>
      </c>
      <c r="DL24" s="22">
        <f t="shared" si="19"/>
        <v>469651.71452635276</v>
      </c>
      <c r="DM24" s="22">
        <f t="shared" si="19"/>
        <v>475423.46088338376</v>
      </c>
      <c r="DN24" s="22">
        <f t="shared" si="19"/>
        <v>479001.56531611306</v>
      </c>
      <c r="DO24" s="22">
        <f t="shared" si="19"/>
        <v>480741.06057811255</v>
      </c>
      <c r="DP24" s="22">
        <f t="shared" si="19"/>
        <v>483190.4131199597</v>
      </c>
      <c r="DQ24" s="22">
        <f t="shared" si="19"/>
        <v>486349.62259345216</v>
      </c>
    </row>
    <row r="25" spans="1:121" ht="15" customHeight="1">
      <c r="A25" s="14" t="s">
        <v>545</v>
      </c>
      <c r="B25" s="31">
        <f t="shared" ref="B25:AG25" si="20">B24+B23</f>
        <v>10280.819489496622</v>
      </c>
      <c r="C25" s="31">
        <f t="shared" si="20"/>
        <v>13538.945903186554</v>
      </c>
      <c r="D25" s="31">
        <f t="shared" si="20"/>
        <v>17624.375246703992</v>
      </c>
      <c r="E25" s="31">
        <f t="shared" si="20"/>
        <v>21487.600726780071</v>
      </c>
      <c r="F25" s="31">
        <f t="shared" si="20"/>
        <v>24190.469624666726</v>
      </c>
      <c r="G25" s="31">
        <f t="shared" si="20"/>
        <v>26782.488157642794</v>
      </c>
      <c r="H25" s="31">
        <f t="shared" si="20"/>
        <v>28325.503605999435</v>
      </c>
      <c r="I25" s="31">
        <f t="shared" si="20"/>
        <v>28930.869755299645</v>
      </c>
      <c r="J25" s="31">
        <f t="shared" si="20"/>
        <v>28709.94039062404</v>
      </c>
      <c r="K25" s="31">
        <f t="shared" si="20"/>
        <v>28712.221727323438</v>
      </c>
      <c r="L25" s="31">
        <f t="shared" si="20"/>
        <v>28937.713474511245</v>
      </c>
      <c r="M25" s="31">
        <f t="shared" si="20"/>
        <v>26571.958048555804</v>
      </c>
      <c r="N25" s="31">
        <f t="shared" si="20"/>
        <v>31327.163457543884</v>
      </c>
      <c r="O25" s="31">
        <f t="shared" si="20"/>
        <v>35196.47980825245</v>
      </c>
      <c r="P25" s="31">
        <f t="shared" si="20"/>
        <v>39994.625866927265</v>
      </c>
      <c r="Q25" s="31">
        <f t="shared" si="20"/>
        <v>44528.595918549152</v>
      </c>
      <c r="R25" s="31">
        <f t="shared" si="20"/>
        <v>47737.722650520111</v>
      </c>
      <c r="S25" s="31">
        <f t="shared" si="20"/>
        <v>50815.011190243247</v>
      </c>
      <c r="T25" s="31">
        <f t="shared" si="20"/>
        <v>52699.794224140365</v>
      </c>
      <c r="U25" s="31">
        <f t="shared" si="20"/>
        <v>53524.409859842366</v>
      </c>
      <c r="V25" s="31">
        <f t="shared" si="20"/>
        <v>53421.196204488035</v>
      </c>
      <c r="W25" s="31">
        <f t="shared" si="20"/>
        <v>53583.158383513561</v>
      </c>
      <c r="X25" s="31">
        <f t="shared" si="20"/>
        <v>54010.296100161046</v>
      </c>
      <c r="Y25" s="31">
        <f t="shared" si="20"/>
        <v>51520.608000806671</v>
      </c>
      <c r="Z25" s="31">
        <f t="shared" si="20"/>
        <v>57139.712923276769</v>
      </c>
      <c r="AA25" s="31">
        <f t="shared" si="20"/>
        <v>61703.386889201007</v>
      </c>
      <c r="AB25" s="31">
        <f t="shared" si="20"/>
        <v>67309.326035667036</v>
      </c>
      <c r="AC25" s="31">
        <f t="shared" si="20"/>
        <v>72603.175204195417</v>
      </c>
      <c r="AD25" s="31">
        <f t="shared" si="20"/>
        <v>76386.87284506514</v>
      </c>
      <c r="AE25" s="31">
        <f t="shared" si="20"/>
        <v>80014.773517278998</v>
      </c>
      <c r="AF25" s="31">
        <f t="shared" si="20"/>
        <v>82288.81567011599</v>
      </c>
      <c r="AG25" s="31">
        <f t="shared" si="20"/>
        <v>83365.292611594181</v>
      </c>
      <c r="AH25" s="31">
        <f t="shared" ref="AH25:BM25" si="21">AH24+AH23</f>
        <v>83400.497649229597</v>
      </c>
      <c r="AI25" s="31">
        <f t="shared" si="21"/>
        <v>83748.785340018352</v>
      </c>
      <c r="AJ25" s="31">
        <f t="shared" si="21"/>
        <v>84410.155381212622</v>
      </c>
      <c r="AK25" s="31">
        <f t="shared" si="21"/>
        <v>81790.42371961083</v>
      </c>
      <c r="AL25" s="31">
        <f t="shared" si="21"/>
        <v>88966.972540926072</v>
      </c>
      <c r="AM25" s="31">
        <f t="shared" si="21"/>
        <v>94215.314622862963</v>
      </c>
      <c r="AN25" s="31">
        <f t="shared" si="21"/>
        <v>100610.98549701726</v>
      </c>
      <c r="AO25" s="31">
        <f t="shared" si="21"/>
        <v>106646.75857468239</v>
      </c>
      <c r="AP25" s="31">
        <f t="shared" si="21"/>
        <v>110995.60297017074</v>
      </c>
      <c r="AQ25" s="31">
        <f t="shared" si="21"/>
        <v>115164.74466061222</v>
      </c>
      <c r="AR25" s="31">
        <f t="shared" si="21"/>
        <v>117827.15275929915</v>
      </c>
      <c r="AS25" s="31">
        <f t="shared" si="21"/>
        <v>119163.02266243995</v>
      </c>
      <c r="AT25" s="31">
        <f t="shared" si="21"/>
        <v>119352.54976573083</v>
      </c>
      <c r="AU25" s="31">
        <f t="shared" si="21"/>
        <v>119902.96004425458</v>
      </c>
      <c r="AV25" s="31">
        <f t="shared" si="21"/>
        <v>120814.25318915266</v>
      </c>
      <c r="AW25" s="31">
        <f t="shared" si="21"/>
        <v>118105.33715135283</v>
      </c>
      <c r="AX25" s="31">
        <f t="shared" si="21"/>
        <v>126310.35209642084</v>
      </c>
      <c r="AY25" s="31">
        <f t="shared" si="21"/>
        <v>132317.87581332156</v>
      </c>
      <c r="AZ25" s="31">
        <f t="shared" si="21"/>
        <v>139587.77743693453</v>
      </c>
      <c r="BA25" s="31">
        <f t="shared" si="21"/>
        <v>146444.5923862801</v>
      </c>
      <c r="BB25" s="31">
        <f t="shared" si="21"/>
        <v>151419.6443706367</v>
      </c>
      <c r="BC25" s="31">
        <f t="shared" si="21"/>
        <v>156188.397347063</v>
      </c>
      <c r="BD25" s="31">
        <f t="shared" si="21"/>
        <v>159282.17502379668</v>
      </c>
      <c r="BE25" s="31">
        <f t="shared" si="21"/>
        <v>160907.76537809242</v>
      </c>
      <c r="BF25" s="31">
        <f t="shared" si="21"/>
        <v>161271.95638668237</v>
      </c>
      <c r="BG25" s="31">
        <f t="shared" si="21"/>
        <v>162050.21200453676</v>
      </c>
      <c r="BH25" s="31">
        <f t="shared" si="21"/>
        <v>163242.53191656293</v>
      </c>
      <c r="BI25" s="31">
        <f t="shared" si="21"/>
        <v>160442.88787085851</v>
      </c>
      <c r="BJ25" s="31">
        <f t="shared" si="21"/>
        <v>170492.55650323268</v>
      </c>
      <c r="BK25" s="31">
        <f t="shared" si="21"/>
        <v>177207.96631973234</v>
      </c>
      <c r="BL25" s="31">
        <f t="shared" si="21"/>
        <v>185285.52051720832</v>
      </c>
      <c r="BM25" s="31">
        <f t="shared" si="21"/>
        <v>192899.79643750662</v>
      </c>
      <c r="BN25" s="31">
        <f t="shared" ref="BN25:CS25" si="22">BN24+BN23</f>
        <v>198457.25362516203</v>
      </c>
      <c r="BO25" s="31">
        <f t="shared" si="22"/>
        <v>203783.31410181412</v>
      </c>
      <c r="BP25" s="31">
        <f t="shared" si="22"/>
        <v>207284.43741093596</v>
      </c>
      <c r="BQ25" s="31">
        <f t="shared" si="22"/>
        <v>209192.50543589523</v>
      </c>
      <c r="BR25" s="31">
        <f t="shared" si="22"/>
        <v>209739.4000595265</v>
      </c>
      <c r="BS25" s="31">
        <f t="shared" si="22"/>
        <v>210750.54330133865</v>
      </c>
      <c r="BT25" s="31">
        <f t="shared" si="22"/>
        <v>212225.9348398791</v>
      </c>
      <c r="BU25" s="31">
        <f t="shared" si="22"/>
        <v>209384.9539415343</v>
      </c>
      <c r="BV25" s="31">
        <f t="shared" si="22"/>
        <v>220552.15222000214</v>
      </c>
      <c r="BW25" s="31">
        <f t="shared" si="22"/>
        <v>228033.38352772282</v>
      </c>
      <c r="BX25" s="31">
        <f t="shared" si="22"/>
        <v>236983.76987713389</v>
      </c>
      <c r="BY25" s="31">
        <f t="shared" si="22"/>
        <v>245416.45820293773</v>
      </c>
      <c r="BZ25" s="31">
        <f t="shared" si="22"/>
        <v>251603.68558858702</v>
      </c>
      <c r="CA25" s="31">
        <f t="shared" si="22"/>
        <v>257532.30445001731</v>
      </c>
      <c r="CB25" s="31">
        <f t="shared" si="22"/>
        <v>261474.55186959828</v>
      </c>
      <c r="CC25" s="31">
        <f t="shared" si="22"/>
        <v>263689.51767031389</v>
      </c>
      <c r="CD25" s="31">
        <f t="shared" si="22"/>
        <v>264436.29167460417</v>
      </c>
      <c r="CE25" s="31">
        <f t="shared" si="22"/>
        <v>265701.72629623127</v>
      </c>
      <c r="CF25" s="31">
        <f t="shared" si="22"/>
        <v>267485.82120725419</v>
      </c>
      <c r="CG25" s="31">
        <f t="shared" si="22"/>
        <v>264605.28830358549</v>
      </c>
      <c r="CH25" s="31">
        <f t="shared" si="22"/>
        <v>277278.33940148127</v>
      </c>
      <c r="CI25" s="31">
        <f t="shared" si="22"/>
        <v>285884.56128399679</v>
      </c>
      <c r="CJ25" s="31">
        <f t="shared" si="22"/>
        <v>296074.02046888124</v>
      </c>
      <c r="CK25" s="31">
        <f t="shared" si="22"/>
        <v>305686.14097606478</v>
      </c>
      <c r="CL25" s="31">
        <f t="shared" si="22"/>
        <v>312848.91679355694</v>
      </c>
      <c r="CM25" s="31">
        <f t="shared" si="22"/>
        <v>319722.92323895829</v>
      </c>
      <c r="CN25" s="31">
        <f t="shared" si="22"/>
        <v>324436.15429917321</v>
      </c>
      <c r="CO25" s="31">
        <f t="shared" si="22"/>
        <v>327277.17960993882</v>
      </c>
      <c r="CP25" s="31">
        <f t="shared" si="22"/>
        <v>328534.56880643754</v>
      </c>
      <c r="CQ25" s="31">
        <f t="shared" si="22"/>
        <v>330368.89720405248</v>
      </c>
      <c r="CR25" s="31">
        <f t="shared" si="22"/>
        <v>332780.16446822346</v>
      </c>
      <c r="CS25" s="31">
        <f t="shared" si="22"/>
        <v>330152.35322156292</v>
      </c>
      <c r="CT25" s="31">
        <f t="shared" ref="CT25:DY25" si="23">CT24+CT23</f>
        <v>344122.90093351807</v>
      </c>
      <c r="CU25" s="31">
        <f t="shared" si="23"/>
        <v>353615.86720572639</v>
      </c>
      <c r="CV25" s="31">
        <f t="shared" si="23"/>
        <v>364815.11765640473</v>
      </c>
      <c r="CW25" s="31">
        <f t="shared" si="23"/>
        <v>375373.18405354384</v>
      </c>
      <c r="CX25" s="31">
        <f t="shared" si="23"/>
        <v>383263.0888153977</v>
      </c>
      <c r="CY25" s="31">
        <f t="shared" si="23"/>
        <v>390832.29949813499</v>
      </c>
      <c r="CZ25" s="31">
        <f t="shared" si="23"/>
        <v>396053.8385188824</v>
      </c>
      <c r="DA25" s="31">
        <f t="shared" si="23"/>
        <v>399248.19618885324</v>
      </c>
      <c r="DB25" s="31">
        <f t="shared" si="23"/>
        <v>400735.86281869479</v>
      </c>
      <c r="DC25" s="31">
        <f t="shared" si="23"/>
        <v>402864.30596231349</v>
      </c>
      <c r="DD25" s="31">
        <f t="shared" si="23"/>
        <v>405633.52527839632</v>
      </c>
      <c r="DE25" s="31">
        <f t="shared" si="23"/>
        <v>402962.58869358269</v>
      </c>
      <c r="DF25" s="31">
        <f t="shared" si="23"/>
        <v>418335.17355120752</v>
      </c>
      <c r="DG25" s="31">
        <f t="shared" si="23"/>
        <v>428786.62125823478</v>
      </c>
      <c r="DH25" s="31">
        <f t="shared" si="23"/>
        <v>441076.26306209218</v>
      </c>
      <c r="DI25" s="31">
        <f t="shared" si="23"/>
        <v>452655.63182041235</v>
      </c>
      <c r="DJ25" s="31">
        <f t="shared" si="23"/>
        <v>461331.29349087074</v>
      </c>
      <c r="DK25" s="31">
        <f t="shared" si="23"/>
        <v>469651.71452635276</v>
      </c>
      <c r="DL25" s="31">
        <f t="shared" si="23"/>
        <v>475423.46088338376</v>
      </c>
      <c r="DM25" s="31">
        <f t="shared" si="23"/>
        <v>479001.56531611306</v>
      </c>
      <c r="DN25" s="31">
        <f t="shared" si="23"/>
        <v>480741.06057811255</v>
      </c>
      <c r="DO25" s="31">
        <f t="shared" si="23"/>
        <v>483190.4131199597</v>
      </c>
      <c r="DP25" s="31">
        <f t="shared" si="23"/>
        <v>486349.62259345216</v>
      </c>
      <c r="DQ25" s="31">
        <f t="shared" si="23"/>
        <v>483638.38755705522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Q41"/>
  <sheetViews>
    <sheetView zoomScaleNormal="100" workbookViewId="0"/>
  </sheetViews>
  <sheetFormatPr defaultColWidth="8.7109375" defaultRowHeight="15"/>
  <cols>
    <col min="1" max="1" width="28" customWidth="1"/>
    <col min="2" max="121" width="10" customWidth="1"/>
  </cols>
  <sheetData>
    <row r="1" spans="1:121" ht="17.25" customHeight="1">
      <c r="A1" s="4" t="s">
        <v>546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547</v>
      </c>
    </row>
    <row r="7" spans="1:121" ht="15" customHeight="1">
      <c r="A7" s="14" t="s">
        <v>548</v>
      </c>
    </row>
    <row r="8" spans="1:121" ht="15" customHeight="1">
      <c r="A8" t="s">
        <v>549</v>
      </c>
      <c r="B8" s="22">
        <f>CF!B25</f>
        <v>10280.819489496622</v>
      </c>
      <c r="C8" s="22">
        <f>CF!C25</f>
        <v>13538.945903186554</v>
      </c>
      <c r="D8" s="22">
        <f>CF!D25</f>
        <v>17624.375246703992</v>
      </c>
      <c r="E8" s="22">
        <f>CF!E25</f>
        <v>21487.600726780071</v>
      </c>
      <c r="F8" s="22">
        <f>CF!F25</f>
        <v>24190.469624666726</v>
      </c>
      <c r="G8" s="22">
        <f>CF!G25</f>
        <v>26782.488157642794</v>
      </c>
      <c r="H8" s="22">
        <f>CF!H25</f>
        <v>28325.503605999435</v>
      </c>
      <c r="I8" s="22">
        <f>CF!I25</f>
        <v>28930.869755299645</v>
      </c>
      <c r="J8" s="22">
        <f>CF!J25</f>
        <v>28709.94039062404</v>
      </c>
      <c r="K8" s="22">
        <f>CF!K25</f>
        <v>28712.221727323438</v>
      </c>
      <c r="L8" s="22">
        <f>CF!L25</f>
        <v>28937.713474511245</v>
      </c>
      <c r="M8" s="22">
        <f>CF!M25</f>
        <v>26571.958048555804</v>
      </c>
      <c r="N8" s="22">
        <f>CF!N25</f>
        <v>31327.163457543884</v>
      </c>
      <c r="O8" s="22">
        <f>CF!O25</f>
        <v>35196.47980825245</v>
      </c>
      <c r="P8" s="22">
        <f>CF!P25</f>
        <v>39994.625866927265</v>
      </c>
      <c r="Q8" s="22">
        <f>CF!Q25</f>
        <v>44528.595918549152</v>
      </c>
      <c r="R8" s="22">
        <f>CF!R25</f>
        <v>47737.722650520111</v>
      </c>
      <c r="S8" s="22">
        <f>CF!S25</f>
        <v>50815.011190243247</v>
      </c>
      <c r="T8" s="22">
        <f>CF!T25</f>
        <v>52699.794224140365</v>
      </c>
      <c r="U8" s="22">
        <f>CF!U25</f>
        <v>53524.409859842366</v>
      </c>
      <c r="V8" s="22">
        <f>CF!V25</f>
        <v>53421.196204488035</v>
      </c>
      <c r="W8" s="22">
        <f>CF!W25</f>
        <v>53583.158383513561</v>
      </c>
      <c r="X8" s="22">
        <f>CF!X25</f>
        <v>54010.296100161046</v>
      </c>
      <c r="Y8" s="22">
        <f>CF!Y25</f>
        <v>51520.608000806671</v>
      </c>
      <c r="Z8" s="22">
        <f>CF!Z25</f>
        <v>57139.712923276769</v>
      </c>
      <c r="AA8" s="22">
        <f>CF!AA25</f>
        <v>61703.386889201007</v>
      </c>
      <c r="AB8" s="22">
        <f>CF!AB25</f>
        <v>67309.326035667036</v>
      </c>
      <c r="AC8" s="22">
        <f>CF!AC25</f>
        <v>72603.175204195417</v>
      </c>
      <c r="AD8" s="22">
        <f>CF!AD25</f>
        <v>76386.87284506514</v>
      </c>
      <c r="AE8" s="22">
        <f>CF!AE25</f>
        <v>80014.773517278998</v>
      </c>
      <c r="AF8" s="22">
        <f>CF!AF25</f>
        <v>82288.81567011599</v>
      </c>
      <c r="AG8" s="22">
        <f>CF!AG25</f>
        <v>83365.292611594181</v>
      </c>
      <c r="AH8" s="22">
        <f>CF!AH25</f>
        <v>83400.497649229597</v>
      </c>
      <c r="AI8" s="22">
        <f>CF!AI25</f>
        <v>83748.785340018352</v>
      </c>
      <c r="AJ8" s="22">
        <f>CF!AJ25</f>
        <v>84410.155381212622</v>
      </c>
      <c r="AK8" s="22">
        <f>CF!AK25</f>
        <v>81790.42371961083</v>
      </c>
      <c r="AL8" s="22">
        <f>CF!AL25</f>
        <v>88966.972540926072</v>
      </c>
      <c r="AM8" s="22">
        <f>CF!AM25</f>
        <v>94215.314622862963</v>
      </c>
      <c r="AN8" s="22">
        <f>CF!AN25</f>
        <v>100610.98549701726</v>
      </c>
      <c r="AO8" s="22">
        <f>CF!AO25</f>
        <v>106646.75857468239</v>
      </c>
      <c r="AP8" s="22">
        <f>CF!AP25</f>
        <v>110995.60297017074</v>
      </c>
      <c r="AQ8" s="22">
        <f>CF!AQ25</f>
        <v>115164.74466061222</v>
      </c>
      <c r="AR8" s="22">
        <f>CF!AR25</f>
        <v>117827.15275929915</v>
      </c>
      <c r="AS8" s="22">
        <f>CF!AS25</f>
        <v>119163.02266243995</v>
      </c>
      <c r="AT8" s="22">
        <f>CF!AT25</f>
        <v>119352.54976573083</v>
      </c>
      <c r="AU8" s="22">
        <f>CF!AU25</f>
        <v>119902.96004425458</v>
      </c>
      <c r="AV8" s="22">
        <f>CF!AV25</f>
        <v>120814.25318915266</v>
      </c>
      <c r="AW8" s="22">
        <f>CF!AW25</f>
        <v>118105.33715135283</v>
      </c>
      <c r="AX8" s="22">
        <f>CF!AX25</f>
        <v>126310.35209642084</v>
      </c>
      <c r="AY8" s="22">
        <f>CF!AY25</f>
        <v>132317.87581332156</v>
      </c>
      <c r="AZ8" s="22">
        <f>CF!AZ25</f>
        <v>139587.77743693453</v>
      </c>
      <c r="BA8" s="22">
        <f>CF!BA25</f>
        <v>146444.5923862801</v>
      </c>
      <c r="BB8" s="22">
        <f>CF!BB25</f>
        <v>151419.6443706367</v>
      </c>
      <c r="BC8" s="22">
        <f>CF!BC25</f>
        <v>156188.397347063</v>
      </c>
      <c r="BD8" s="22">
        <f>CF!BD25</f>
        <v>159282.17502379668</v>
      </c>
      <c r="BE8" s="22">
        <f>CF!BE25</f>
        <v>160907.76537809242</v>
      </c>
      <c r="BF8" s="22">
        <f>CF!BF25</f>
        <v>161271.95638668237</v>
      </c>
      <c r="BG8" s="22">
        <f>CF!BG25</f>
        <v>162050.21200453676</v>
      </c>
      <c r="BH8" s="22">
        <f>CF!BH25</f>
        <v>163242.53191656293</v>
      </c>
      <c r="BI8" s="22">
        <f>CF!BI25</f>
        <v>160442.88787085851</v>
      </c>
      <c r="BJ8" s="22">
        <f>CF!BJ25</f>
        <v>170492.55650323268</v>
      </c>
      <c r="BK8" s="22">
        <f>CF!BK25</f>
        <v>177207.96631973234</v>
      </c>
      <c r="BL8" s="22">
        <f>CF!BL25</f>
        <v>185285.52051720832</v>
      </c>
      <c r="BM8" s="22">
        <f>CF!BM25</f>
        <v>192899.79643750662</v>
      </c>
      <c r="BN8" s="22">
        <f>CF!BN25</f>
        <v>198457.25362516203</v>
      </c>
      <c r="BO8" s="22">
        <f>CF!BO25</f>
        <v>203783.31410181412</v>
      </c>
      <c r="BP8" s="22">
        <f>CF!BP25</f>
        <v>207284.43741093596</v>
      </c>
      <c r="BQ8" s="22">
        <f>CF!BQ25</f>
        <v>209192.50543589523</v>
      </c>
      <c r="BR8" s="22">
        <f>CF!BR25</f>
        <v>209739.4000595265</v>
      </c>
      <c r="BS8" s="22">
        <f>CF!BS25</f>
        <v>210750.54330133865</v>
      </c>
      <c r="BT8" s="22">
        <f>CF!BT25</f>
        <v>212225.9348398791</v>
      </c>
      <c r="BU8" s="22">
        <f>CF!BU25</f>
        <v>209384.9539415343</v>
      </c>
      <c r="BV8" s="22">
        <f>CF!BV25</f>
        <v>220552.15222000214</v>
      </c>
      <c r="BW8" s="22">
        <f>CF!BW25</f>
        <v>228033.38352772282</v>
      </c>
      <c r="BX8" s="22">
        <f>CF!BX25</f>
        <v>236983.76987713389</v>
      </c>
      <c r="BY8" s="22">
        <f>CF!BY25</f>
        <v>245416.45820293773</v>
      </c>
      <c r="BZ8" s="22">
        <f>CF!BZ25</f>
        <v>251603.68558858702</v>
      </c>
      <c r="CA8" s="22">
        <f>CF!CA25</f>
        <v>257532.30445001731</v>
      </c>
      <c r="CB8" s="22">
        <f>CF!CB25</f>
        <v>261474.55186959828</v>
      </c>
      <c r="CC8" s="22">
        <f>CF!CC25</f>
        <v>263689.51767031389</v>
      </c>
      <c r="CD8" s="22">
        <f>CF!CD25</f>
        <v>264436.29167460417</v>
      </c>
      <c r="CE8" s="22">
        <f>CF!CE25</f>
        <v>265701.72629623127</v>
      </c>
      <c r="CF8" s="22">
        <f>CF!CF25</f>
        <v>267485.82120725419</v>
      </c>
      <c r="CG8" s="22">
        <f>CF!CG25</f>
        <v>264605.28830358549</v>
      </c>
      <c r="CH8" s="22">
        <f>CF!CH25</f>
        <v>277278.33940148127</v>
      </c>
      <c r="CI8" s="22">
        <f>CF!CI25</f>
        <v>285884.56128399679</v>
      </c>
      <c r="CJ8" s="22">
        <f>CF!CJ25</f>
        <v>296074.02046888124</v>
      </c>
      <c r="CK8" s="22">
        <f>CF!CK25</f>
        <v>305686.14097606478</v>
      </c>
      <c r="CL8" s="22">
        <f>CF!CL25</f>
        <v>312848.91679355694</v>
      </c>
      <c r="CM8" s="22">
        <f>CF!CM25</f>
        <v>319722.92323895829</v>
      </c>
      <c r="CN8" s="22">
        <f>CF!CN25</f>
        <v>324436.15429917321</v>
      </c>
      <c r="CO8" s="22">
        <f>CF!CO25</f>
        <v>327277.17960993882</v>
      </c>
      <c r="CP8" s="22">
        <f>CF!CP25</f>
        <v>328534.56880643754</v>
      </c>
      <c r="CQ8" s="22">
        <f>CF!CQ25</f>
        <v>330368.89720405248</v>
      </c>
      <c r="CR8" s="22">
        <f>CF!CR25</f>
        <v>332780.16446822346</v>
      </c>
      <c r="CS8" s="22">
        <f>CF!CS25</f>
        <v>330152.35322156292</v>
      </c>
      <c r="CT8" s="22">
        <f>CF!CT25</f>
        <v>344122.90093351807</v>
      </c>
      <c r="CU8" s="22">
        <f>CF!CU25</f>
        <v>353615.86720572639</v>
      </c>
      <c r="CV8" s="22">
        <f>CF!CV25</f>
        <v>364815.11765640473</v>
      </c>
      <c r="CW8" s="22">
        <f>CF!CW25</f>
        <v>375373.18405354384</v>
      </c>
      <c r="CX8" s="22">
        <f>CF!CX25</f>
        <v>383263.0888153977</v>
      </c>
      <c r="CY8" s="22">
        <f>CF!CY25</f>
        <v>390832.29949813499</v>
      </c>
      <c r="CZ8" s="22">
        <f>CF!CZ25</f>
        <v>396053.8385188824</v>
      </c>
      <c r="DA8" s="22">
        <f>CF!DA25</f>
        <v>399248.19618885324</v>
      </c>
      <c r="DB8" s="22">
        <f>CF!DB25</f>
        <v>400735.86281869479</v>
      </c>
      <c r="DC8" s="22">
        <f>CF!DC25</f>
        <v>402864.30596231349</v>
      </c>
      <c r="DD8" s="22">
        <f>CF!DD25</f>
        <v>405633.52527839632</v>
      </c>
      <c r="DE8" s="22">
        <f>CF!DE25</f>
        <v>402962.58869358269</v>
      </c>
      <c r="DF8" s="22">
        <f>CF!DF25</f>
        <v>418335.17355120752</v>
      </c>
      <c r="DG8" s="22">
        <f>CF!DG25</f>
        <v>428786.62125823478</v>
      </c>
      <c r="DH8" s="22">
        <f>CF!DH25</f>
        <v>441076.26306209218</v>
      </c>
      <c r="DI8" s="22">
        <f>CF!DI25</f>
        <v>452655.63182041235</v>
      </c>
      <c r="DJ8" s="22">
        <f>CF!DJ25</f>
        <v>461331.29349087074</v>
      </c>
      <c r="DK8" s="22">
        <f>CF!DK25</f>
        <v>469651.71452635276</v>
      </c>
      <c r="DL8" s="22">
        <f>CF!DL25</f>
        <v>475423.46088338376</v>
      </c>
      <c r="DM8" s="22">
        <f>CF!DM25</f>
        <v>479001.56531611306</v>
      </c>
      <c r="DN8" s="22">
        <f>CF!DN25</f>
        <v>480741.06057811255</v>
      </c>
      <c r="DO8" s="22">
        <f>CF!DO25</f>
        <v>483190.4131199597</v>
      </c>
      <c r="DP8" s="22">
        <f>CF!DP25</f>
        <v>486349.62259345216</v>
      </c>
      <c r="DQ8" s="22">
        <f>CF!DQ25</f>
        <v>483638.38755705522</v>
      </c>
    </row>
    <row r="9" spans="1:121" ht="15" customHeight="1">
      <c r="A9" t="s">
        <v>485</v>
      </c>
      <c r="B9" s="22">
        <f>Calc_WC!B13</f>
        <v>33251.005139178102</v>
      </c>
      <c r="C9" s="22">
        <f>Calc_WC!C13</f>
        <v>31805.309263561656</v>
      </c>
      <c r="D9" s="22">
        <f>Calc_WC!D13</f>
        <v>28913.917512328771</v>
      </c>
      <c r="E9" s="22">
        <f>Calc_WC!E13</f>
        <v>26022.525761095887</v>
      </c>
      <c r="F9" s="22">
        <f>Calc_WC!F13</f>
        <v>24576.829885479459</v>
      </c>
      <c r="G9" s="22">
        <f>Calc_WC!G13</f>
        <v>23131.134009863024</v>
      </c>
      <c r="H9" s="22">
        <f>Calc_WC!H13</f>
        <v>23131.134009863024</v>
      </c>
      <c r="I9" s="22">
        <f>Calc_WC!I13</f>
        <v>24576.829885479459</v>
      </c>
      <c r="J9" s="22">
        <f>Calc_WC!J13</f>
        <v>27468.221636712336</v>
      </c>
      <c r="K9" s="22">
        <f>Calc_WC!K13</f>
        <v>30359.613387945214</v>
      </c>
      <c r="L9" s="22">
        <f>Calc_WC!L13</f>
        <v>33251.005139178102</v>
      </c>
      <c r="M9" s="22">
        <f>Calc_WC!M13</f>
        <v>40479.484517260273</v>
      </c>
      <c r="N9" s="22">
        <f>Calc_WC!N13</f>
        <v>37526.502245191645</v>
      </c>
      <c r="O9" s="22">
        <f>Calc_WC!O13</f>
        <v>35894.915191052882</v>
      </c>
      <c r="P9" s="22">
        <f>Calc_WC!P13</f>
        <v>32631.741082775337</v>
      </c>
      <c r="Q9" s="22">
        <f>Calc_WC!Q13</f>
        <v>29368.566974497811</v>
      </c>
      <c r="R9" s="22">
        <f>Calc_WC!R13</f>
        <v>27736.979920359037</v>
      </c>
      <c r="S9" s="22">
        <f>Calc_WC!S13</f>
        <v>26105.392866220274</v>
      </c>
      <c r="T9" s="22">
        <f>Calc_WC!T13</f>
        <v>26105.392866220274</v>
      </c>
      <c r="U9" s="22">
        <f>Calc_WC!U13</f>
        <v>27736.979920359037</v>
      </c>
      <c r="V9" s="22">
        <f>Calc_WC!V13</f>
        <v>31000.154028636563</v>
      </c>
      <c r="W9" s="22">
        <f>Calc_WC!W13</f>
        <v>34263.328136914119</v>
      </c>
      <c r="X9" s="22">
        <f>Calc_WC!X13</f>
        <v>37526.502245191645</v>
      </c>
      <c r="Y9" s="22">
        <f>Calc_WC!Y13</f>
        <v>45684.437515885475</v>
      </c>
      <c r="Z9" s="22">
        <f>Calc_WC!Z13</f>
        <v>42316.888706038386</v>
      </c>
      <c r="AA9" s="22">
        <f>Calc_WC!AA13</f>
        <v>40477.023979688893</v>
      </c>
      <c r="AB9" s="22">
        <f>Calc_WC!AB13</f>
        <v>36797.294526989899</v>
      </c>
      <c r="AC9" s="22">
        <f>Calc_WC!AC13</f>
        <v>33117.565074290898</v>
      </c>
      <c r="AD9" s="22">
        <f>Calc_WC!AD13</f>
        <v>31277.700347941423</v>
      </c>
      <c r="AE9" s="22">
        <f>Calc_WC!AE13</f>
        <v>29437.835621591912</v>
      </c>
      <c r="AF9" s="22">
        <f>Calc_WC!AF13</f>
        <v>29437.835621591912</v>
      </c>
      <c r="AG9" s="22">
        <f>Calc_WC!AG13</f>
        <v>31277.700347941423</v>
      </c>
      <c r="AH9" s="22">
        <f>Calc_WC!AH13</f>
        <v>34957.429800640399</v>
      </c>
      <c r="AI9" s="22">
        <f>Calc_WC!AI13</f>
        <v>38637.159253339385</v>
      </c>
      <c r="AJ9" s="22">
        <f>Calc_WC!AJ13</f>
        <v>42316.888706038386</v>
      </c>
      <c r="AK9" s="22">
        <f>Calc_WC!AK13</f>
        <v>51516.212337785844</v>
      </c>
      <c r="AL9" s="22">
        <f>Calc_WC!AL13</f>
        <v>46798.853342958588</v>
      </c>
      <c r="AM9" s="22">
        <f>Calc_WC!AM13</f>
        <v>44764.120588916936</v>
      </c>
      <c r="AN9" s="22">
        <f>Calc_WC!AN13</f>
        <v>40694.655080833574</v>
      </c>
      <c r="AO9" s="22">
        <f>Calc_WC!AO13</f>
        <v>36625.189572750198</v>
      </c>
      <c r="AP9" s="22">
        <f>Calc_WC!AP13</f>
        <v>34590.456818708532</v>
      </c>
      <c r="AQ9" s="22">
        <f>Calc_WC!AQ13</f>
        <v>32555.724064666851</v>
      </c>
      <c r="AR9" s="22">
        <f>Calc_WC!AR13</f>
        <v>32555.724064666851</v>
      </c>
      <c r="AS9" s="22">
        <f>Calc_WC!AS13</f>
        <v>34590.456818708532</v>
      </c>
      <c r="AT9" s="22">
        <f>Calc_WC!AT13</f>
        <v>38659.922326791879</v>
      </c>
      <c r="AU9" s="22">
        <f>Calc_WC!AU13</f>
        <v>42729.387834875255</v>
      </c>
      <c r="AV9" s="22">
        <f>Calc_WC!AV13</f>
        <v>46798.853342958588</v>
      </c>
      <c r="AW9" s="22">
        <f>Calc_WC!AW13</f>
        <v>56972.517113166985</v>
      </c>
      <c r="AX9" s="22">
        <f>Calc_WC!AX13</f>
        <v>51717.801146803293</v>
      </c>
      <c r="AY9" s="22">
        <f>Calc_WC!AY13</f>
        <v>49469.201096942284</v>
      </c>
      <c r="AZ9" s="22">
        <f>Calc_WC!AZ13</f>
        <v>44972.000997220246</v>
      </c>
      <c r="BA9" s="22">
        <f>Calc_WC!BA13</f>
        <v>40474.800897498222</v>
      </c>
      <c r="BB9" s="22">
        <f>Calc_WC!BB13</f>
        <v>38226.200847637214</v>
      </c>
      <c r="BC9" s="22">
        <f>Calc_WC!BC13</f>
        <v>35977.600797776206</v>
      </c>
      <c r="BD9" s="22">
        <f>Calc_WC!BD13</f>
        <v>35977.600797776206</v>
      </c>
      <c r="BE9" s="22">
        <f>Calc_WC!BE13</f>
        <v>38226.200847637214</v>
      </c>
      <c r="BF9" s="22">
        <f>Calc_WC!BF13</f>
        <v>42723.400947359238</v>
      </c>
      <c r="BG9" s="22">
        <f>Calc_WC!BG13</f>
        <v>47220.601047081269</v>
      </c>
      <c r="BH9" s="22">
        <f>Calc_WC!BH13</f>
        <v>51717.801146803293</v>
      </c>
      <c r="BI9" s="22">
        <f>Calc_WC!BI13</f>
        <v>62960.801396108349</v>
      </c>
      <c r="BJ9" s="22">
        <f>Calc_WC!BJ13</f>
        <v>56036.856891758202</v>
      </c>
      <c r="BK9" s="22">
        <f>Calc_WC!BK13</f>
        <v>53600.471809507893</v>
      </c>
      <c r="BL9" s="22">
        <f>Calc_WC!BL13</f>
        <v>48727.701645007161</v>
      </c>
      <c r="BM9" s="22">
        <f>Calc_WC!BM13</f>
        <v>43854.93148050642</v>
      </c>
      <c r="BN9" s="22">
        <f>Calc_WC!BN13</f>
        <v>41418.546398256083</v>
      </c>
      <c r="BO9" s="22">
        <f>Calc_WC!BO13</f>
        <v>38982.161316005739</v>
      </c>
      <c r="BP9" s="22">
        <f>Calc_WC!BP13</f>
        <v>38982.161316005739</v>
      </c>
      <c r="BQ9" s="22">
        <f>Calc_WC!BQ13</f>
        <v>41418.546398256083</v>
      </c>
      <c r="BR9" s="22">
        <f>Calc_WC!BR13</f>
        <v>46291.316562756772</v>
      </c>
      <c r="BS9" s="22">
        <f>Calc_WC!BS13</f>
        <v>51164.086727257505</v>
      </c>
      <c r="BT9" s="22">
        <f>Calc_WC!BT13</f>
        <v>56036.856891758202</v>
      </c>
      <c r="BU9" s="22">
        <f>Calc_WC!BU13</f>
        <v>68218.782303009983</v>
      </c>
      <c r="BV9" s="22">
        <f>Calc_WC!BV13</f>
        <v>60677.197550650817</v>
      </c>
      <c r="BW9" s="22">
        <f>Calc_WC!BW13</f>
        <v>58039.058526709479</v>
      </c>
      <c r="BX9" s="22">
        <f>Calc_WC!BX13</f>
        <v>52762.780478826811</v>
      </c>
      <c r="BY9" s="22">
        <f>Calc_WC!BY13</f>
        <v>47486.502430944114</v>
      </c>
      <c r="BZ9" s="22">
        <f>Calc_WC!BZ13</f>
        <v>44848.363407002777</v>
      </c>
      <c r="CA9" s="22">
        <f>Calc_WC!CA13</f>
        <v>42210.224383061446</v>
      </c>
      <c r="CB9" s="22">
        <f>Calc_WC!CB13</f>
        <v>42210.224383061446</v>
      </c>
      <c r="CC9" s="22">
        <f>Calc_WC!CC13</f>
        <v>44848.363407002777</v>
      </c>
      <c r="CD9" s="22">
        <f>Calc_WC!CD13</f>
        <v>50124.641454885459</v>
      </c>
      <c r="CE9" s="22">
        <f>Calc_WC!CE13</f>
        <v>55400.919502768134</v>
      </c>
      <c r="CF9" s="22">
        <f>Calc_WC!CF13</f>
        <v>60677.197550650817</v>
      </c>
      <c r="CG9" s="22">
        <f>Calc_WC!CG13</f>
        <v>73867.892670357513</v>
      </c>
      <c r="CH9" s="22">
        <f>Calc_WC!CH13</f>
        <v>65661.477017191777</v>
      </c>
      <c r="CI9" s="22">
        <f>Calc_WC!CI13</f>
        <v>62806.630190357362</v>
      </c>
      <c r="CJ9" s="22">
        <f>Calc_WC!CJ13</f>
        <v>57096.936536688489</v>
      </c>
      <c r="CK9" s="22">
        <f>Calc_WC!CK13</f>
        <v>51387.242883019673</v>
      </c>
      <c r="CL9" s="22">
        <f>Calc_WC!CL13</f>
        <v>48532.396056185244</v>
      </c>
      <c r="CM9" s="22">
        <f>Calc_WC!CM13</f>
        <v>45677.5492293508</v>
      </c>
      <c r="CN9" s="22">
        <f>Calc_WC!CN13</f>
        <v>45677.5492293508</v>
      </c>
      <c r="CO9" s="22">
        <f>Calc_WC!CO13</f>
        <v>48532.396056185244</v>
      </c>
      <c r="CP9" s="22">
        <f>Calc_WC!CP13</f>
        <v>54242.089709854074</v>
      </c>
      <c r="CQ9" s="22">
        <f>Calc_WC!CQ13</f>
        <v>59951.783363522918</v>
      </c>
      <c r="CR9" s="22">
        <f>Calc_WC!CR13</f>
        <v>65661.477017191777</v>
      </c>
      <c r="CS9" s="22">
        <f>Calc_WC!CS13</f>
        <v>79935.71115136391</v>
      </c>
      <c r="CT9" s="22">
        <f>Calc_WC!CT13</f>
        <v>71013.902305652373</v>
      </c>
      <c r="CU9" s="22">
        <f>Calc_WC!CU13</f>
        <v>67926.341335841411</v>
      </c>
      <c r="CV9" s="22">
        <f>Calc_WC!CV13</f>
        <v>61751.219396219451</v>
      </c>
      <c r="CW9" s="22">
        <f>Calc_WC!CW13</f>
        <v>55576.097456597519</v>
      </c>
      <c r="CX9" s="22">
        <f>Calc_WC!CX13</f>
        <v>52488.536486786543</v>
      </c>
      <c r="CY9" s="22">
        <f>Calc_WC!CY13</f>
        <v>49400.975516975559</v>
      </c>
      <c r="CZ9" s="22">
        <f>Calc_WC!CZ13</f>
        <v>49400.975516975559</v>
      </c>
      <c r="DA9" s="22">
        <f>Calc_WC!DA13</f>
        <v>52488.536486786543</v>
      </c>
      <c r="DB9" s="22">
        <f>Calc_WC!DB13</f>
        <v>58663.658426408467</v>
      </c>
      <c r="DC9" s="22">
        <f>Calc_WC!DC13</f>
        <v>64838.78036603042</v>
      </c>
      <c r="DD9" s="22">
        <f>Calc_WC!DD13</f>
        <v>71013.902305652373</v>
      </c>
      <c r="DE9" s="22">
        <f>Calc_WC!DE13</f>
        <v>86451.707154707226</v>
      </c>
      <c r="DF9" s="22">
        <f>Calc_WC!DF13</f>
        <v>76760.338375364372</v>
      </c>
      <c r="DG9" s="22">
        <f>Calc_WC!DG13</f>
        <v>73422.932359044207</v>
      </c>
      <c r="DH9" s="22">
        <f>Calc_WC!DH13</f>
        <v>66748.120326403819</v>
      </c>
      <c r="DI9" s="22">
        <f>Calc_WC!DI13</f>
        <v>60073.308293763454</v>
      </c>
      <c r="DJ9" s="22">
        <f>Calc_WC!DJ13</f>
        <v>56735.90227744326</v>
      </c>
      <c r="DK9" s="22">
        <f>Calc_WC!DK13</f>
        <v>53398.49626112308</v>
      </c>
      <c r="DL9" s="22">
        <f>Calc_WC!DL13</f>
        <v>53398.49626112308</v>
      </c>
      <c r="DM9" s="22">
        <f>Calc_WC!DM13</f>
        <v>56735.90227744326</v>
      </c>
      <c r="DN9" s="22">
        <f>Calc_WC!DN13</f>
        <v>63410.714310083662</v>
      </c>
      <c r="DO9" s="22">
        <f>Calc_WC!DO13</f>
        <v>70085.526342724013</v>
      </c>
      <c r="DP9" s="22">
        <f>Calc_WC!DP13</f>
        <v>76760.338375364372</v>
      </c>
      <c r="DQ9" s="22">
        <f>Calc_WC!DQ13</f>
        <v>93447.3684569654</v>
      </c>
    </row>
    <row r="10" spans="1:121" ht="15" customHeight="1">
      <c r="A10" t="s">
        <v>550</v>
      </c>
      <c r="B10" s="22">
        <f>Calc_WC!B10</f>
        <v>12193.056164383557</v>
      </c>
      <c r="C10" s="22">
        <f>Calc_WC!C10</f>
        <v>11662.923287671236</v>
      </c>
      <c r="D10" s="22">
        <f>Calc_WC!D10</f>
        <v>10602.657534246579</v>
      </c>
      <c r="E10" s="22">
        <f>Calc_WC!E10</f>
        <v>9542.3917808219194</v>
      </c>
      <c r="F10" s="22">
        <f>Calc_WC!F10</f>
        <v>9012.2589041095907</v>
      </c>
      <c r="G10" s="22">
        <f>Calc_WC!G10</f>
        <v>8482.1260273972621</v>
      </c>
      <c r="H10" s="22">
        <f>Calc_WC!H10</f>
        <v>8482.1260273972621</v>
      </c>
      <c r="I10" s="22">
        <f>Calc_WC!I10</f>
        <v>9012.2589041095907</v>
      </c>
      <c r="J10" s="22">
        <f>Calc_WC!J10</f>
        <v>10072.524657534243</v>
      </c>
      <c r="K10" s="22">
        <f>Calc_WC!K10</f>
        <v>11132.790410958904</v>
      </c>
      <c r="L10" s="22">
        <f>Calc_WC!L10</f>
        <v>12193.056164383557</v>
      </c>
      <c r="M10" s="22">
        <f>Calc_WC!M10</f>
        <v>14843.720547945202</v>
      </c>
      <c r="N10" s="22">
        <f>Calc_WC!N10</f>
        <v>13497.713173972603</v>
      </c>
      <c r="O10" s="22">
        <f>Calc_WC!O10</f>
        <v>12910.856079452058</v>
      </c>
      <c r="P10" s="22">
        <f>Calc_WC!P10</f>
        <v>11737.141890410958</v>
      </c>
      <c r="Q10" s="22">
        <f>Calc_WC!Q10</f>
        <v>10563.427701369861</v>
      </c>
      <c r="R10" s="22">
        <f>Calc_WC!R10</f>
        <v>9976.5706068493128</v>
      </c>
      <c r="S10" s="22">
        <f>Calc_WC!S10</f>
        <v>9389.7135123287699</v>
      </c>
      <c r="T10" s="22">
        <f>Calc_WC!T10</f>
        <v>9389.7135123287699</v>
      </c>
      <c r="U10" s="22">
        <f>Calc_WC!U10</f>
        <v>9976.5706068493128</v>
      </c>
      <c r="V10" s="22">
        <f>Calc_WC!V10</f>
        <v>11150.284795890409</v>
      </c>
      <c r="W10" s="22">
        <f>Calc_WC!W10</f>
        <v>12323.998984931504</v>
      </c>
      <c r="X10" s="22">
        <f>Calc_WC!X10</f>
        <v>13497.713173972603</v>
      </c>
      <c r="Y10" s="22">
        <f>Calc_WC!Y10</f>
        <v>16431.998646575339</v>
      </c>
      <c r="Z10" s="22">
        <f>Calc_WC!Z10</f>
        <v>14941.968483587669</v>
      </c>
      <c r="AA10" s="22">
        <f>Calc_WC!AA10</f>
        <v>14292.31767995343</v>
      </c>
      <c r="AB10" s="22">
        <f>Calc_WC!AB10</f>
        <v>12993.016072684932</v>
      </c>
      <c r="AC10" s="22">
        <f>Calc_WC!AC10</f>
        <v>11693.714465416439</v>
      </c>
      <c r="AD10" s="22">
        <f>Calc_WC!AD10</f>
        <v>11044.063661782193</v>
      </c>
      <c r="AE10" s="22">
        <f>Calc_WC!AE10</f>
        <v>10394.412858147947</v>
      </c>
      <c r="AF10" s="22">
        <f>Calc_WC!AF10</f>
        <v>10394.412858147947</v>
      </c>
      <c r="AG10" s="22">
        <f>Calc_WC!AG10</f>
        <v>11044.063661782193</v>
      </c>
      <c r="AH10" s="22">
        <f>Calc_WC!AH10</f>
        <v>12343.365269050682</v>
      </c>
      <c r="AI10" s="22">
        <f>Calc_WC!AI10</f>
        <v>13642.666876319181</v>
      </c>
      <c r="AJ10" s="22">
        <f>Calc_WC!AJ10</f>
        <v>14941.968483587669</v>
      </c>
      <c r="AK10" s="22">
        <f>Calc_WC!AK10</f>
        <v>18190.222501758904</v>
      </c>
      <c r="AL10" s="22">
        <f>Calc_WC!AL10</f>
        <v>16234.448757418008</v>
      </c>
      <c r="AM10" s="22">
        <f>Calc_WC!AM10</f>
        <v>15528.603159269398</v>
      </c>
      <c r="AN10" s="22">
        <f>Calc_WC!AN10</f>
        <v>14116.911962972179</v>
      </c>
      <c r="AO10" s="22">
        <f>Calc_WC!AO10</f>
        <v>12705.22076667496</v>
      </c>
      <c r="AP10" s="22">
        <f>Calc_WC!AP10</f>
        <v>11999.375168526351</v>
      </c>
      <c r="AQ10" s="22">
        <f>Calc_WC!AQ10</f>
        <v>11293.529570377743</v>
      </c>
      <c r="AR10" s="22">
        <f>Calc_WC!AR10</f>
        <v>11293.529570377743</v>
      </c>
      <c r="AS10" s="22">
        <f>Calc_WC!AS10</f>
        <v>11999.375168526351</v>
      </c>
      <c r="AT10" s="22">
        <f>Calc_WC!AT10</f>
        <v>13411.066364823571</v>
      </c>
      <c r="AU10" s="22">
        <f>Calc_WC!AU10</f>
        <v>14822.757561120792</v>
      </c>
      <c r="AV10" s="22">
        <f>Calc_WC!AV10</f>
        <v>16234.448757418008</v>
      </c>
      <c r="AW10" s="22">
        <f>Calc_WC!AW10</f>
        <v>19763.676748161051</v>
      </c>
      <c r="AX10" s="22">
        <f>Calc_WC!AX10</f>
        <v>17638.728574934659</v>
      </c>
      <c r="AY10" s="22">
        <f>Calc_WC!AY10</f>
        <v>16871.827332546203</v>
      </c>
      <c r="AZ10" s="22">
        <f>Calc_WC!AZ10</f>
        <v>15338.024847769273</v>
      </c>
      <c r="BA10" s="22">
        <f>Calc_WC!BA10</f>
        <v>13804.222362992345</v>
      </c>
      <c r="BB10" s="22">
        <f>Calc_WC!BB10</f>
        <v>13037.32112060388</v>
      </c>
      <c r="BC10" s="22">
        <f>Calc_WC!BC10</f>
        <v>12270.419878215416</v>
      </c>
      <c r="BD10" s="22">
        <f>Calc_WC!BD10</f>
        <v>12270.419878215416</v>
      </c>
      <c r="BE10" s="22">
        <f>Calc_WC!BE10</f>
        <v>13037.32112060388</v>
      </c>
      <c r="BF10" s="22">
        <f>Calc_WC!BF10</f>
        <v>14571.123605380806</v>
      </c>
      <c r="BG10" s="22">
        <f>Calc_WC!BG10</f>
        <v>16104.926090157736</v>
      </c>
      <c r="BH10" s="22">
        <f>Calc_WC!BH10</f>
        <v>17638.728574934659</v>
      </c>
      <c r="BI10" s="22">
        <f>Calc_WC!BI10</f>
        <v>21473.234786876979</v>
      </c>
      <c r="BJ10" s="22">
        <f>Calc_WC!BJ10</f>
        <v>18802.884660880351</v>
      </c>
      <c r="BK10" s="22">
        <f>Calc_WC!BK10</f>
        <v>17985.367936494251</v>
      </c>
      <c r="BL10" s="22">
        <f>Calc_WC!BL10</f>
        <v>16350.334487722044</v>
      </c>
      <c r="BM10" s="22">
        <f>Calc_WC!BM10</f>
        <v>14715.301038949838</v>
      </c>
      <c r="BN10" s="22">
        <f>Calc_WC!BN10</f>
        <v>13897.784314563736</v>
      </c>
      <c r="BO10" s="22">
        <f>Calc_WC!BO10</f>
        <v>13080.267590177635</v>
      </c>
      <c r="BP10" s="22">
        <f>Calc_WC!BP10</f>
        <v>13080.267590177635</v>
      </c>
      <c r="BQ10" s="22">
        <f>Calc_WC!BQ10</f>
        <v>13897.784314563736</v>
      </c>
      <c r="BR10" s="22">
        <f>Calc_WC!BR10</f>
        <v>15532.817763335937</v>
      </c>
      <c r="BS10" s="22">
        <f>Calc_WC!BS10</f>
        <v>17167.85121210814</v>
      </c>
      <c r="BT10" s="22">
        <f>Calc_WC!BT10</f>
        <v>18802.884660880351</v>
      </c>
      <c r="BU10" s="22">
        <f>Calc_WC!BU10</f>
        <v>22890.468282810856</v>
      </c>
      <c r="BV10" s="22">
        <f>Calc_WC!BV10</f>
        <v>20043.875048498448</v>
      </c>
      <c r="BW10" s="22">
        <f>Calc_WC!BW10</f>
        <v>19172.402220302873</v>
      </c>
      <c r="BX10" s="22">
        <f>Calc_WC!BX10</f>
        <v>17429.456563911692</v>
      </c>
      <c r="BY10" s="22">
        <f>Calc_WC!BY10</f>
        <v>15686.510907520526</v>
      </c>
      <c r="BZ10" s="22">
        <f>Calc_WC!BZ10</f>
        <v>14815.038079324941</v>
      </c>
      <c r="CA10" s="22">
        <f>Calc_WC!CA10</f>
        <v>13943.565251129359</v>
      </c>
      <c r="CB10" s="22">
        <f>Calc_WC!CB10</f>
        <v>13943.565251129359</v>
      </c>
      <c r="CC10" s="22">
        <f>Calc_WC!CC10</f>
        <v>14815.038079324941</v>
      </c>
      <c r="CD10" s="22">
        <f>Calc_WC!CD10</f>
        <v>16557.983735716109</v>
      </c>
      <c r="CE10" s="22">
        <f>Calc_WC!CE10</f>
        <v>18300.929392107279</v>
      </c>
      <c r="CF10" s="22">
        <f>Calc_WC!CF10</f>
        <v>20043.875048498448</v>
      </c>
      <c r="CG10" s="22">
        <f>Calc_WC!CG10</f>
        <v>24401.239189476368</v>
      </c>
      <c r="CH10" s="22">
        <f>Calc_WC!CH10</f>
        <v>21366.770801699335</v>
      </c>
      <c r="CI10" s="22">
        <f>Calc_WC!CI10</f>
        <v>20437.780766842854</v>
      </c>
      <c r="CJ10" s="22">
        <f>Calc_WC!CJ10</f>
        <v>18579.800697129864</v>
      </c>
      <c r="CK10" s="22">
        <f>Calc_WC!CK10</f>
        <v>16721.820627416881</v>
      </c>
      <c r="CL10" s="22">
        <f>Calc_WC!CL10</f>
        <v>15792.830592560385</v>
      </c>
      <c r="CM10" s="22">
        <f>Calc_WC!CM10</f>
        <v>14863.840557703894</v>
      </c>
      <c r="CN10" s="22">
        <f>Calc_WC!CN10</f>
        <v>14863.840557703894</v>
      </c>
      <c r="CO10" s="22">
        <f>Calc_WC!CO10</f>
        <v>15792.830592560385</v>
      </c>
      <c r="CP10" s="22">
        <f>Calc_WC!CP10</f>
        <v>17650.810662273369</v>
      </c>
      <c r="CQ10" s="22">
        <f>Calc_WC!CQ10</f>
        <v>19508.790731986352</v>
      </c>
      <c r="CR10" s="22">
        <f>Calc_WC!CR10</f>
        <v>21366.770801699335</v>
      </c>
      <c r="CS10" s="22">
        <f>Calc_WC!CS10</f>
        <v>26011.7209759818</v>
      </c>
      <c r="CT10" s="22">
        <f>Calc_WC!CT10</f>
        <v>22776.977674611495</v>
      </c>
      <c r="CU10" s="22">
        <f>Calc_WC!CU10</f>
        <v>21786.67429745448</v>
      </c>
      <c r="CV10" s="22">
        <f>Calc_WC!CV10</f>
        <v>19806.067543140434</v>
      </c>
      <c r="CW10" s="22">
        <f>Calc_WC!CW10</f>
        <v>17825.460788826389</v>
      </c>
      <c r="CX10" s="22">
        <f>Calc_WC!CX10</f>
        <v>16835.157411669366</v>
      </c>
      <c r="CY10" s="22">
        <f>Calc_WC!CY10</f>
        <v>15844.854034512347</v>
      </c>
      <c r="CZ10" s="22">
        <f>Calc_WC!CZ10</f>
        <v>15844.854034512347</v>
      </c>
      <c r="DA10" s="22">
        <f>Calc_WC!DA10</f>
        <v>16835.157411669366</v>
      </c>
      <c r="DB10" s="22">
        <f>Calc_WC!DB10</f>
        <v>18815.764165983412</v>
      </c>
      <c r="DC10" s="22">
        <f>Calc_WC!DC10</f>
        <v>20796.370920297457</v>
      </c>
      <c r="DD10" s="22">
        <f>Calc_WC!DD10</f>
        <v>22776.977674611495</v>
      </c>
      <c r="DE10" s="22">
        <f>Calc_WC!DE10</f>
        <v>27728.494560396604</v>
      </c>
      <c r="DF10" s="22">
        <f>Calc_WC!DF10</f>
        <v>24280.258201135857</v>
      </c>
      <c r="DG10" s="22">
        <f>Calc_WC!DG10</f>
        <v>23224.59480108647</v>
      </c>
      <c r="DH10" s="22">
        <f>Calc_WC!DH10</f>
        <v>21113.268000987697</v>
      </c>
      <c r="DI10" s="22">
        <f>Calc_WC!DI10</f>
        <v>19001.94120088893</v>
      </c>
      <c r="DJ10" s="22">
        <f>Calc_WC!DJ10</f>
        <v>17946.277800839543</v>
      </c>
      <c r="DK10" s="22">
        <f>Calc_WC!DK10</f>
        <v>16890.61440079016</v>
      </c>
      <c r="DL10" s="22">
        <f>Calc_WC!DL10</f>
        <v>16890.61440079016</v>
      </c>
      <c r="DM10" s="22">
        <f>Calc_WC!DM10</f>
        <v>17946.277800839543</v>
      </c>
      <c r="DN10" s="22">
        <f>Calc_WC!DN10</f>
        <v>20057.604600938321</v>
      </c>
      <c r="DO10" s="22">
        <f>Calc_WC!DO10</f>
        <v>22168.931401037087</v>
      </c>
      <c r="DP10" s="22">
        <f>Calc_WC!DP10</f>
        <v>24280.258201135857</v>
      </c>
      <c r="DQ10" s="22">
        <f>Calc_WC!DQ10</f>
        <v>29558.575201382781</v>
      </c>
    </row>
    <row r="11" spans="1:121" ht="15" customHeight="1">
      <c r="A11" t="s">
        <v>489</v>
      </c>
      <c r="B11" s="22">
        <f>Calc_WC!B19</f>
        <v>5527.4699589041102</v>
      </c>
      <c r="C11" s="22">
        <f>Calc_WC!C19</f>
        <v>5287.1451780821926</v>
      </c>
      <c r="D11" s="22">
        <f>Calc_WC!D19</f>
        <v>4806.4956164383566</v>
      </c>
      <c r="E11" s="22">
        <f>Calc_WC!E19</f>
        <v>4325.8460547945206</v>
      </c>
      <c r="F11" s="22">
        <f>Calc_WC!F19</f>
        <v>4085.521273972603</v>
      </c>
      <c r="G11" s="22">
        <f>Calc_WC!G19</f>
        <v>3845.1964931506855</v>
      </c>
      <c r="H11" s="22">
        <f>Calc_WC!H19</f>
        <v>3845.1964931506855</v>
      </c>
      <c r="I11" s="22">
        <f>Calc_WC!I19</f>
        <v>4085.521273972603</v>
      </c>
      <c r="J11" s="22">
        <f>Calc_WC!J19</f>
        <v>4566.1708356164372</v>
      </c>
      <c r="K11" s="22">
        <f>Calc_WC!K19</f>
        <v>5046.8203972602751</v>
      </c>
      <c r="L11" s="22">
        <f>Calc_WC!L19</f>
        <v>5527.4699589041102</v>
      </c>
      <c r="M11" s="22">
        <f>Calc_WC!M19</f>
        <v>6729.093863013698</v>
      </c>
      <c r="N11" s="22">
        <f>Calc_WC!N19</f>
        <v>6118.9092445068491</v>
      </c>
      <c r="O11" s="22">
        <f>Calc_WC!O19</f>
        <v>5852.8697121369878</v>
      </c>
      <c r="P11" s="22">
        <f>Calc_WC!P19</f>
        <v>5320.7906473972589</v>
      </c>
      <c r="Q11" s="22">
        <f>Calc_WC!Q19</f>
        <v>4788.7115826575337</v>
      </c>
      <c r="R11" s="22">
        <f>Calc_WC!R19</f>
        <v>4522.6720502876706</v>
      </c>
      <c r="S11" s="22">
        <f>Calc_WC!S19</f>
        <v>4256.6325179178093</v>
      </c>
      <c r="T11" s="22">
        <f>Calc_WC!T19</f>
        <v>4256.6325179178093</v>
      </c>
      <c r="U11" s="22">
        <f>Calc_WC!U19</f>
        <v>4522.6720502876706</v>
      </c>
      <c r="V11" s="22">
        <f>Calc_WC!V19</f>
        <v>5054.7511150273976</v>
      </c>
      <c r="W11" s="22">
        <f>Calc_WC!W19</f>
        <v>5586.8301797671238</v>
      </c>
      <c r="X11" s="22">
        <f>Calc_WC!X19</f>
        <v>6118.9092445068491</v>
      </c>
      <c r="Y11" s="22">
        <f>Calc_WC!Y19</f>
        <v>7449.1069063561636</v>
      </c>
      <c r="Z11" s="22">
        <f>Calc_WC!Z19</f>
        <v>6773.6325336690825</v>
      </c>
      <c r="AA11" s="22">
        <f>Calc_WC!AA19</f>
        <v>6479.1267713356456</v>
      </c>
      <c r="AB11" s="22">
        <f>Calc_WC!AB19</f>
        <v>5890.1152466687663</v>
      </c>
      <c r="AC11" s="22">
        <f>Calc_WC!AC19</f>
        <v>5301.1037220018898</v>
      </c>
      <c r="AD11" s="22">
        <f>Calc_WC!AD19</f>
        <v>5006.5979596684538</v>
      </c>
      <c r="AE11" s="22">
        <f>Calc_WC!AE19</f>
        <v>4712.092197335015</v>
      </c>
      <c r="AF11" s="22">
        <f>Calc_WC!AF19</f>
        <v>4712.092197335015</v>
      </c>
      <c r="AG11" s="22">
        <f>Calc_WC!AG19</f>
        <v>5006.5979596684538</v>
      </c>
      <c r="AH11" s="22">
        <f>Calc_WC!AH19</f>
        <v>5595.6094843353285</v>
      </c>
      <c r="AI11" s="22">
        <f>Calc_WC!AI19</f>
        <v>6184.621009002205</v>
      </c>
      <c r="AJ11" s="22">
        <f>Calc_WC!AJ19</f>
        <v>6773.6325336690825</v>
      </c>
      <c r="AK11" s="22">
        <f>Calc_WC!AK19</f>
        <v>8246.1613453362716</v>
      </c>
      <c r="AL11" s="22">
        <f>Calc_WC!AL19</f>
        <v>7359.5517478314569</v>
      </c>
      <c r="AM11" s="22">
        <f>Calc_WC!AM19</f>
        <v>7039.5712370561796</v>
      </c>
      <c r="AN11" s="22">
        <f>Calc_WC!AN19</f>
        <v>6399.610215505616</v>
      </c>
      <c r="AO11" s="22">
        <f>Calc_WC!AO19</f>
        <v>5759.6491939550542</v>
      </c>
      <c r="AP11" s="22">
        <f>Calc_WC!AP19</f>
        <v>5439.6686831797733</v>
      </c>
      <c r="AQ11" s="22">
        <f>Calc_WC!AQ19</f>
        <v>5119.6881724044924</v>
      </c>
      <c r="AR11" s="22">
        <f>Calc_WC!AR19</f>
        <v>5119.6881724044924</v>
      </c>
      <c r="AS11" s="22">
        <f>Calc_WC!AS19</f>
        <v>5439.6686831797733</v>
      </c>
      <c r="AT11" s="22">
        <f>Calc_WC!AT19</f>
        <v>6079.6297047303342</v>
      </c>
      <c r="AU11" s="22">
        <f>Calc_WC!AU19</f>
        <v>6719.590726280896</v>
      </c>
      <c r="AV11" s="22">
        <f>Calc_WC!AV19</f>
        <v>7359.5517478314569</v>
      </c>
      <c r="AW11" s="22">
        <f>Calc_WC!AW19</f>
        <v>8959.4543017078595</v>
      </c>
      <c r="AX11" s="22">
        <f>Calc_WC!AX19</f>
        <v>7996.152974018878</v>
      </c>
      <c r="AY11" s="22">
        <f>Calc_WC!AY19</f>
        <v>7648.4941490615374</v>
      </c>
      <c r="AZ11" s="22">
        <f>Calc_WC!AZ19</f>
        <v>6953.1764991468508</v>
      </c>
      <c r="BA11" s="22">
        <f>Calc_WC!BA19</f>
        <v>6257.8588492321642</v>
      </c>
      <c r="BB11" s="22">
        <f>Calc_WC!BB19</f>
        <v>5910.2000242748236</v>
      </c>
      <c r="BC11" s="22">
        <f>Calc_WC!BC19</f>
        <v>5562.5411993174812</v>
      </c>
      <c r="BD11" s="22">
        <f>Calc_WC!BD19</f>
        <v>5562.5411993174812</v>
      </c>
      <c r="BE11" s="22">
        <f>Calc_WC!BE19</f>
        <v>5910.2000242748236</v>
      </c>
      <c r="BF11" s="22">
        <f>Calc_WC!BF19</f>
        <v>6605.5176741895084</v>
      </c>
      <c r="BG11" s="22">
        <f>Calc_WC!BG19</f>
        <v>7300.8353241041941</v>
      </c>
      <c r="BH11" s="22">
        <f>Calc_WC!BH19</f>
        <v>7996.152974018878</v>
      </c>
      <c r="BI11" s="22">
        <f>Calc_WC!BI19</f>
        <v>9734.4470988055909</v>
      </c>
      <c r="BJ11" s="22">
        <f>Calc_WC!BJ19</f>
        <v>8523.8990703041236</v>
      </c>
      <c r="BK11" s="22">
        <f>Calc_WC!BK19</f>
        <v>8153.2947628995989</v>
      </c>
      <c r="BL11" s="22">
        <f>Calc_WC!BL19</f>
        <v>7412.0861480905423</v>
      </c>
      <c r="BM11" s="22">
        <f>Calc_WC!BM19</f>
        <v>6670.8775332814885</v>
      </c>
      <c r="BN11" s="22">
        <f>Calc_WC!BN19</f>
        <v>6300.2732258769611</v>
      </c>
      <c r="BO11" s="22">
        <f>Calc_WC!BO19</f>
        <v>5929.6689184724364</v>
      </c>
      <c r="BP11" s="22">
        <f>Calc_WC!BP19</f>
        <v>5929.6689184724364</v>
      </c>
      <c r="BQ11" s="22">
        <f>Calc_WC!BQ19</f>
        <v>6300.2732258769611</v>
      </c>
      <c r="BR11" s="22">
        <f>Calc_WC!BR19</f>
        <v>7041.481840686014</v>
      </c>
      <c r="BS11" s="22">
        <f>Calc_WC!BS19</f>
        <v>7782.6904554950688</v>
      </c>
      <c r="BT11" s="22">
        <f>Calc_WC!BT19</f>
        <v>8523.8990703041236</v>
      </c>
      <c r="BU11" s="22">
        <f>Calc_WC!BU19</f>
        <v>10376.920607326758</v>
      </c>
      <c r="BV11" s="22">
        <f>Calc_WC!BV19</f>
        <v>9086.4764089441978</v>
      </c>
      <c r="BW11" s="22">
        <f>Calc_WC!BW19</f>
        <v>8691.4122172509724</v>
      </c>
      <c r="BX11" s="22">
        <f>Calc_WC!BX19</f>
        <v>7901.2838338645179</v>
      </c>
      <c r="BY11" s="22">
        <f>Calc_WC!BY19</f>
        <v>7111.1554504780661</v>
      </c>
      <c r="BZ11" s="22">
        <f>Calc_WC!BZ19</f>
        <v>6716.0912587848406</v>
      </c>
      <c r="CA11" s="22">
        <f>Calc_WC!CA19</f>
        <v>6321.0270670916143</v>
      </c>
      <c r="CB11" s="22">
        <f>Calc_WC!CB19</f>
        <v>6321.0270670916143</v>
      </c>
      <c r="CC11" s="22">
        <f>Calc_WC!CC19</f>
        <v>6716.0912587848406</v>
      </c>
      <c r="CD11" s="22">
        <f>Calc_WC!CD19</f>
        <v>7506.2196421712915</v>
      </c>
      <c r="CE11" s="22">
        <f>Calc_WC!CE19</f>
        <v>8296.3480255577433</v>
      </c>
      <c r="CF11" s="22">
        <f>Calc_WC!CF19</f>
        <v>9086.4764089441978</v>
      </c>
      <c r="CG11" s="22">
        <f>Calc_WC!CG19</f>
        <v>11061.797367410321</v>
      </c>
      <c r="CH11" s="22">
        <f>Calc_WC!CH19</f>
        <v>9686.1838519345092</v>
      </c>
      <c r="CI11" s="22">
        <f>Calc_WC!CI19</f>
        <v>9265.0454235895322</v>
      </c>
      <c r="CJ11" s="22">
        <f>Calc_WC!CJ19</f>
        <v>8422.7685668995728</v>
      </c>
      <c r="CK11" s="22">
        <f>Calc_WC!CK19</f>
        <v>7580.4917102096169</v>
      </c>
      <c r="CL11" s="22">
        <f>Calc_WC!CL19</f>
        <v>7159.353281864639</v>
      </c>
      <c r="CM11" s="22">
        <f>Calc_WC!CM19</f>
        <v>6738.2148535196602</v>
      </c>
      <c r="CN11" s="22">
        <f>Calc_WC!CN19</f>
        <v>6738.2148535196602</v>
      </c>
      <c r="CO11" s="22">
        <f>Calc_WC!CO19</f>
        <v>7159.353281864639</v>
      </c>
      <c r="CP11" s="22">
        <f>Calc_WC!CP19</f>
        <v>8001.6301385545949</v>
      </c>
      <c r="CQ11" s="22">
        <f>Calc_WC!CQ19</f>
        <v>8843.9069952445534</v>
      </c>
      <c r="CR11" s="22">
        <f>Calc_WC!CR19</f>
        <v>9686.1838519345092</v>
      </c>
      <c r="CS11" s="22">
        <f>Calc_WC!CS19</f>
        <v>11791.875993659402</v>
      </c>
      <c r="CT11" s="22">
        <f>Calc_WC!CT19</f>
        <v>10325.471986162185</v>
      </c>
      <c r="CU11" s="22">
        <f>Calc_WC!CU19</f>
        <v>9876.5384215464401</v>
      </c>
      <c r="CV11" s="22">
        <f>Calc_WC!CV19</f>
        <v>8978.6712923149444</v>
      </c>
      <c r="CW11" s="22">
        <f>Calc_WC!CW19</f>
        <v>8080.8041630834523</v>
      </c>
      <c r="CX11" s="22">
        <f>Calc_WC!CX19</f>
        <v>7631.8705984677035</v>
      </c>
      <c r="CY11" s="22">
        <f>Calc_WC!CY19</f>
        <v>7182.9370338519575</v>
      </c>
      <c r="CZ11" s="22">
        <f>Calc_WC!CZ19</f>
        <v>7182.9370338519575</v>
      </c>
      <c r="DA11" s="22">
        <f>Calc_WC!DA19</f>
        <v>7631.8705984677035</v>
      </c>
      <c r="DB11" s="22">
        <f>Calc_WC!DB19</f>
        <v>8529.7377276991974</v>
      </c>
      <c r="DC11" s="22">
        <f>Calc_WC!DC19</f>
        <v>9427.6048569306913</v>
      </c>
      <c r="DD11" s="22">
        <f>Calc_WC!DD19</f>
        <v>10325.471986162185</v>
      </c>
      <c r="DE11" s="22">
        <f>Calc_WC!DE19</f>
        <v>12570.139809240922</v>
      </c>
      <c r="DF11" s="22">
        <f>Calc_WC!DF19</f>
        <v>11006.953137248889</v>
      </c>
      <c r="DG11" s="22">
        <f>Calc_WC!DG19</f>
        <v>10528.389957368507</v>
      </c>
      <c r="DH11" s="22">
        <f>Calc_WC!DH19</f>
        <v>9571.2635976077308</v>
      </c>
      <c r="DI11" s="22">
        <f>Calc_WC!DI19</f>
        <v>8614.1372378469587</v>
      </c>
      <c r="DJ11" s="22">
        <f>Calc_WC!DJ19</f>
        <v>8135.5740579665717</v>
      </c>
      <c r="DK11" s="22">
        <f>Calc_WC!DK19</f>
        <v>7657.0108780861847</v>
      </c>
      <c r="DL11" s="22">
        <f>Calc_WC!DL19</f>
        <v>7657.0108780861847</v>
      </c>
      <c r="DM11" s="22">
        <f>Calc_WC!DM19</f>
        <v>8135.5740579665717</v>
      </c>
      <c r="DN11" s="22">
        <f>Calc_WC!DN19</f>
        <v>9092.7004177273448</v>
      </c>
      <c r="DO11" s="22">
        <f>Calc_WC!DO19</f>
        <v>10049.826777488115</v>
      </c>
      <c r="DP11" s="22">
        <f>Calc_WC!DP19</f>
        <v>11006.953137248889</v>
      </c>
      <c r="DQ11" s="22">
        <f>Calc_WC!DQ19</f>
        <v>13399.769036650823</v>
      </c>
    </row>
    <row r="12" spans="1:121" ht="15" customHeight="1">
      <c r="A12" s="14" t="s">
        <v>551</v>
      </c>
      <c r="B12" s="30">
        <f t="shared" ref="B12:AG12" si="0">SUM(B8:B11)</f>
        <v>61252.350751962396</v>
      </c>
      <c r="C12" s="30">
        <f t="shared" si="0"/>
        <v>62294.323632501641</v>
      </c>
      <c r="D12" s="30">
        <f t="shared" si="0"/>
        <v>61947.445909717695</v>
      </c>
      <c r="E12" s="30">
        <f t="shared" si="0"/>
        <v>61378.364323492395</v>
      </c>
      <c r="F12" s="30">
        <f t="shared" si="0"/>
        <v>61865.079688228383</v>
      </c>
      <c r="G12" s="30">
        <f t="shared" si="0"/>
        <v>62240.944688053765</v>
      </c>
      <c r="H12" s="30">
        <f t="shared" si="0"/>
        <v>63783.960136410409</v>
      </c>
      <c r="I12" s="30">
        <f t="shared" si="0"/>
        <v>66605.479818861291</v>
      </c>
      <c r="J12" s="30">
        <f t="shared" si="0"/>
        <v>70816.857520487058</v>
      </c>
      <c r="K12" s="30">
        <f t="shared" si="0"/>
        <v>75251.44592348783</v>
      </c>
      <c r="L12" s="30">
        <f t="shared" si="0"/>
        <v>79909.244736977009</v>
      </c>
      <c r="M12" s="30">
        <f t="shared" si="0"/>
        <v>88624.256976774981</v>
      </c>
      <c r="N12" s="30">
        <f t="shared" si="0"/>
        <v>88470.28812121498</v>
      </c>
      <c r="O12" s="30">
        <f t="shared" si="0"/>
        <v>89855.120790894391</v>
      </c>
      <c r="P12" s="30">
        <f t="shared" si="0"/>
        <v>89684.299487510812</v>
      </c>
      <c r="Q12" s="30">
        <f t="shared" si="0"/>
        <v>89249.302177074351</v>
      </c>
      <c r="R12" s="30">
        <f t="shared" si="0"/>
        <v>89973.945228016135</v>
      </c>
      <c r="S12" s="30">
        <f t="shared" si="0"/>
        <v>90566.750086710104</v>
      </c>
      <c r="T12" s="30">
        <f t="shared" si="0"/>
        <v>92451.53312060723</v>
      </c>
      <c r="U12" s="30">
        <f t="shared" si="0"/>
        <v>95760.632437338383</v>
      </c>
      <c r="V12" s="30">
        <f t="shared" si="0"/>
        <v>100626.38614404241</v>
      </c>
      <c r="W12" s="30">
        <f t="shared" si="0"/>
        <v>105757.31568512632</v>
      </c>
      <c r="X12" s="30">
        <f t="shared" si="0"/>
        <v>111153.42076383215</v>
      </c>
      <c r="Y12" s="30">
        <f t="shared" si="0"/>
        <v>121086.15106962364</v>
      </c>
      <c r="Z12" s="30">
        <f t="shared" si="0"/>
        <v>121172.2026465719</v>
      </c>
      <c r="AA12" s="30">
        <f t="shared" si="0"/>
        <v>122951.85532017898</v>
      </c>
      <c r="AB12" s="30">
        <f t="shared" si="0"/>
        <v>122989.75188201062</v>
      </c>
      <c r="AC12" s="30">
        <f t="shared" si="0"/>
        <v>122715.55846590464</v>
      </c>
      <c r="AD12" s="30">
        <f t="shared" si="0"/>
        <v>123715.2348144572</v>
      </c>
      <c r="AE12" s="30">
        <f t="shared" si="0"/>
        <v>124559.11419435387</v>
      </c>
      <c r="AF12" s="30">
        <f t="shared" si="0"/>
        <v>126833.15634719087</v>
      </c>
      <c r="AG12" s="30">
        <f t="shared" si="0"/>
        <v>130693.65458098624</v>
      </c>
      <c r="AH12" s="30">
        <f t="shared" ref="AH12:BM12" si="1">SUM(AH8:AH11)</f>
        <v>136296.902203256</v>
      </c>
      <c r="AI12" s="30">
        <f t="shared" si="1"/>
        <v>142213.23247867913</v>
      </c>
      <c r="AJ12" s="30">
        <f t="shared" si="1"/>
        <v>148442.64510450777</v>
      </c>
      <c r="AK12" s="30">
        <f t="shared" si="1"/>
        <v>159743.01990449184</v>
      </c>
      <c r="AL12" s="30">
        <f t="shared" si="1"/>
        <v>159359.8263891341</v>
      </c>
      <c r="AM12" s="30">
        <f t="shared" si="1"/>
        <v>161547.60960810547</v>
      </c>
      <c r="AN12" s="30">
        <f t="shared" si="1"/>
        <v>161822.16275632862</v>
      </c>
      <c r="AO12" s="30">
        <f t="shared" si="1"/>
        <v>161736.81810806261</v>
      </c>
      <c r="AP12" s="30">
        <f t="shared" si="1"/>
        <v>163025.10364058538</v>
      </c>
      <c r="AQ12" s="30">
        <f t="shared" si="1"/>
        <v>164133.68646806132</v>
      </c>
      <c r="AR12" s="30">
        <f t="shared" si="1"/>
        <v>166796.09456674822</v>
      </c>
      <c r="AS12" s="30">
        <f t="shared" si="1"/>
        <v>171192.52333285459</v>
      </c>
      <c r="AT12" s="30">
        <f t="shared" si="1"/>
        <v>177503.16816207662</v>
      </c>
      <c r="AU12" s="30">
        <f t="shared" si="1"/>
        <v>184174.69616653153</v>
      </c>
      <c r="AV12" s="30">
        <f t="shared" si="1"/>
        <v>191207.10703736069</v>
      </c>
      <c r="AW12" s="30">
        <f t="shared" si="1"/>
        <v>203800.98531438873</v>
      </c>
      <c r="AX12" s="30">
        <f t="shared" si="1"/>
        <v>203663.03479217767</v>
      </c>
      <c r="AY12" s="30">
        <f t="shared" si="1"/>
        <v>206307.3983918716</v>
      </c>
      <c r="AZ12" s="30">
        <f t="shared" si="1"/>
        <v>206850.9797810709</v>
      </c>
      <c r="BA12" s="30">
        <f t="shared" si="1"/>
        <v>206981.47449600286</v>
      </c>
      <c r="BB12" s="30">
        <f t="shared" si="1"/>
        <v>208593.36636315263</v>
      </c>
      <c r="BC12" s="30">
        <f t="shared" si="1"/>
        <v>209998.9592223721</v>
      </c>
      <c r="BD12" s="30">
        <f t="shared" si="1"/>
        <v>213092.73689910577</v>
      </c>
      <c r="BE12" s="30">
        <f t="shared" si="1"/>
        <v>218081.48737060832</v>
      </c>
      <c r="BF12" s="30">
        <f t="shared" si="1"/>
        <v>225171.99861361191</v>
      </c>
      <c r="BG12" s="30">
        <f t="shared" si="1"/>
        <v>232676.57446587997</v>
      </c>
      <c r="BH12" s="30">
        <f t="shared" si="1"/>
        <v>240595.21461231977</v>
      </c>
      <c r="BI12" s="30">
        <f t="shared" si="1"/>
        <v>254611.37115264943</v>
      </c>
      <c r="BJ12" s="30">
        <f t="shared" si="1"/>
        <v>253856.19712617536</v>
      </c>
      <c r="BK12" s="30">
        <f t="shared" si="1"/>
        <v>256947.10082863408</v>
      </c>
      <c r="BL12" s="30">
        <f t="shared" si="1"/>
        <v>257775.64279802807</v>
      </c>
      <c r="BM12" s="30">
        <f t="shared" si="1"/>
        <v>258140.90649024438</v>
      </c>
      <c r="BN12" s="30">
        <f t="shared" ref="BN12:CS12" si="2">SUM(BN8:BN11)</f>
        <v>260073.85756385882</v>
      </c>
      <c r="BO12" s="30">
        <f t="shared" si="2"/>
        <v>261775.41192646991</v>
      </c>
      <c r="BP12" s="30">
        <f t="shared" si="2"/>
        <v>265276.53523559176</v>
      </c>
      <c r="BQ12" s="30">
        <f t="shared" si="2"/>
        <v>270809.10937459202</v>
      </c>
      <c r="BR12" s="30">
        <f t="shared" si="2"/>
        <v>278605.01622630522</v>
      </c>
      <c r="BS12" s="30">
        <f t="shared" si="2"/>
        <v>286865.1716961994</v>
      </c>
      <c r="BT12" s="30">
        <f t="shared" si="2"/>
        <v>295589.57546282181</v>
      </c>
      <c r="BU12" s="30">
        <f t="shared" si="2"/>
        <v>310871.12513468193</v>
      </c>
      <c r="BV12" s="30">
        <f t="shared" si="2"/>
        <v>310359.70122809557</v>
      </c>
      <c r="BW12" s="30">
        <f t="shared" si="2"/>
        <v>313936.25649198616</v>
      </c>
      <c r="BX12" s="30">
        <f t="shared" si="2"/>
        <v>315077.29075373692</v>
      </c>
      <c r="BY12" s="30">
        <f t="shared" si="2"/>
        <v>315700.62699188048</v>
      </c>
      <c r="BZ12" s="30">
        <f t="shared" si="2"/>
        <v>317983.17833369953</v>
      </c>
      <c r="CA12" s="30">
        <f t="shared" si="2"/>
        <v>320007.12115129974</v>
      </c>
      <c r="CB12" s="30">
        <f t="shared" si="2"/>
        <v>323949.36857088067</v>
      </c>
      <c r="CC12" s="30">
        <f t="shared" si="2"/>
        <v>330069.0104154264</v>
      </c>
      <c r="CD12" s="30">
        <f t="shared" si="2"/>
        <v>338625.13650737703</v>
      </c>
      <c r="CE12" s="30">
        <f t="shared" si="2"/>
        <v>347699.92321666447</v>
      </c>
      <c r="CF12" s="30">
        <f t="shared" si="2"/>
        <v>357293.37021534762</v>
      </c>
      <c r="CG12" s="30">
        <f t="shared" si="2"/>
        <v>373936.21753082966</v>
      </c>
      <c r="CH12" s="30">
        <f t="shared" si="2"/>
        <v>373992.77107230684</v>
      </c>
      <c r="CI12" s="30">
        <f t="shared" si="2"/>
        <v>378394.01766478649</v>
      </c>
      <c r="CJ12" s="30">
        <f t="shared" si="2"/>
        <v>380173.52626959916</v>
      </c>
      <c r="CK12" s="30">
        <f t="shared" si="2"/>
        <v>381375.69619671098</v>
      </c>
      <c r="CL12" s="30">
        <f t="shared" si="2"/>
        <v>384333.49672416726</v>
      </c>
      <c r="CM12" s="30">
        <f t="shared" si="2"/>
        <v>387002.5278795326</v>
      </c>
      <c r="CN12" s="30">
        <f t="shared" si="2"/>
        <v>391715.75893974752</v>
      </c>
      <c r="CO12" s="30">
        <f t="shared" si="2"/>
        <v>398761.75954054913</v>
      </c>
      <c r="CP12" s="30">
        <f t="shared" si="2"/>
        <v>408429.09931711963</v>
      </c>
      <c r="CQ12" s="30">
        <f t="shared" si="2"/>
        <v>418673.37829480629</v>
      </c>
      <c r="CR12" s="30">
        <f t="shared" si="2"/>
        <v>429494.59613904904</v>
      </c>
      <c r="CS12" s="30">
        <f t="shared" si="2"/>
        <v>447891.66134256806</v>
      </c>
      <c r="CT12" s="30">
        <f t="shared" ref="CT12:DY12" si="3">SUM(CT8:CT11)</f>
        <v>448239.25289994414</v>
      </c>
      <c r="CU12" s="30">
        <f t="shared" si="3"/>
        <v>453205.42126056872</v>
      </c>
      <c r="CV12" s="30">
        <f t="shared" si="3"/>
        <v>455351.07588807959</v>
      </c>
      <c r="CW12" s="30">
        <f t="shared" si="3"/>
        <v>456855.54646205116</v>
      </c>
      <c r="CX12" s="30">
        <f t="shared" si="3"/>
        <v>460218.65331232134</v>
      </c>
      <c r="CY12" s="30">
        <f t="shared" si="3"/>
        <v>463261.0660834749</v>
      </c>
      <c r="CZ12" s="30">
        <f t="shared" si="3"/>
        <v>468482.60510422231</v>
      </c>
      <c r="DA12" s="30">
        <f t="shared" si="3"/>
        <v>476203.76068577688</v>
      </c>
      <c r="DB12" s="30">
        <f t="shared" si="3"/>
        <v>486745.02313878591</v>
      </c>
      <c r="DC12" s="30">
        <f t="shared" si="3"/>
        <v>497927.06210557203</v>
      </c>
      <c r="DD12" s="30">
        <f t="shared" si="3"/>
        <v>509749.87724482239</v>
      </c>
      <c r="DE12" s="30">
        <f t="shared" si="3"/>
        <v>529712.93021792744</v>
      </c>
      <c r="DF12" s="30">
        <f t="shared" si="3"/>
        <v>530382.72326495661</v>
      </c>
      <c r="DG12" s="30">
        <f t="shared" si="3"/>
        <v>535962.538375734</v>
      </c>
      <c r="DH12" s="30">
        <f t="shared" si="3"/>
        <v>538508.91498709144</v>
      </c>
      <c r="DI12" s="30">
        <f t="shared" si="3"/>
        <v>540345.0185529117</v>
      </c>
      <c r="DJ12" s="30">
        <f t="shared" si="3"/>
        <v>544149.04762712016</v>
      </c>
      <c r="DK12" s="30">
        <f t="shared" si="3"/>
        <v>547597.8360663522</v>
      </c>
      <c r="DL12" s="30">
        <f t="shared" si="3"/>
        <v>553369.58242338325</v>
      </c>
      <c r="DM12" s="30">
        <f t="shared" si="3"/>
        <v>561819.31945236237</v>
      </c>
      <c r="DN12" s="30">
        <f t="shared" si="3"/>
        <v>573302.07990686188</v>
      </c>
      <c r="DO12" s="30">
        <f t="shared" si="3"/>
        <v>585494.69764120888</v>
      </c>
      <c r="DP12" s="30">
        <f t="shared" si="3"/>
        <v>598397.17230720131</v>
      </c>
      <c r="DQ12" s="30">
        <f t="shared" si="3"/>
        <v>620044.10025205417</v>
      </c>
    </row>
    <row r="14" spans="1:121" ht="15" customHeight="1">
      <c r="A14" s="14" t="s">
        <v>552</v>
      </c>
    </row>
    <row r="15" spans="1:121" ht="15" customHeight="1">
      <c r="A15" t="s">
        <v>553</v>
      </c>
      <c r="B15" s="22">
        <f>Calc_Capex!B20</f>
        <v>40727.638888888891</v>
      </c>
      <c r="C15" s="22">
        <f>Calc_Capex!C20</f>
        <v>40455.450000000004</v>
      </c>
      <c r="D15" s="22">
        <f>Calc_Capex!D20</f>
        <v>40183.433620370372</v>
      </c>
      <c r="E15" s="22">
        <f>Calc_Capex!E20</f>
        <v>39911.590037515431</v>
      </c>
      <c r="F15" s="22">
        <f>Calc_Capex!F20</f>
        <v>39639.919539429808</v>
      </c>
      <c r="G15" s="22">
        <f>Calc_Capex!G20</f>
        <v>39368.422414588116</v>
      </c>
      <c r="H15" s="22">
        <f>Calc_Capex!H20</f>
        <v>39097.098951945765</v>
      </c>
      <c r="I15" s="22">
        <f>Calc_Capex!I20</f>
        <v>38825.949440939745</v>
      </c>
      <c r="J15" s="22">
        <f>Calc_Capex!J20</f>
        <v>38554.974171489455</v>
      </c>
      <c r="K15" s="22">
        <f>Calc_Capex!K20</f>
        <v>38284.173433997494</v>
      </c>
      <c r="L15" s="22">
        <f>Calc_Capex!L20</f>
        <v>38013.547519350454</v>
      </c>
      <c r="M15" s="22">
        <f>Calc_Capex!M20</f>
        <v>37743.09671891974</v>
      </c>
      <c r="N15" s="22">
        <f>Calc_Capex!N20</f>
        <v>37472.821324562385</v>
      </c>
      <c r="O15" s="22">
        <f>Calc_Capex!O20</f>
        <v>37202.721628621839</v>
      </c>
      <c r="P15" s="22">
        <f>Calc_Capex!P20</f>
        <v>36932.797923928803</v>
      </c>
      <c r="Q15" s="22">
        <f>Calc_Capex!Q20</f>
        <v>36663.05050380202</v>
      </c>
      <c r="R15" s="22">
        <f>Calc_Capex!R20</f>
        <v>36393.479662049096</v>
      </c>
      <c r="S15" s="22">
        <f>Calc_Capex!S20</f>
        <v>36124.085692967325</v>
      </c>
      <c r="T15" s="22">
        <f>Calc_Capex!T20</f>
        <v>35854.868891344493</v>
      </c>
      <c r="U15" s="22">
        <f>Calc_Capex!U20</f>
        <v>35585.829552459698</v>
      </c>
      <c r="V15" s="22">
        <f>Calc_Capex!V20</f>
        <v>35316.967972084167</v>
      </c>
      <c r="W15" s="22">
        <f>Calc_Capex!W20</f>
        <v>35048.284446482081</v>
      </c>
      <c r="X15" s="22">
        <f>Calc_Capex!X20</f>
        <v>34779.779272411404</v>
      </c>
      <c r="Y15" s="22">
        <f>Calc_Capex!Y20</f>
        <v>34511.452747124684</v>
      </c>
      <c r="Z15" s="22">
        <f>Calc_Capex!Z20</f>
        <v>34243.305168369894</v>
      </c>
      <c r="AA15" s="22">
        <f>Calc_Capex!AA20</f>
        <v>33975.336834391252</v>
      </c>
      <c r="AB15" s="22">
        <f>Calc_Capex!AB20</f>
        <v>33707.548043930052</v>
      </c>
      <c r="AC15" s="22">
        <f>Calc_Capex!AC20</f>
        <v>33439.939096225491</v>
      </c>
      <c r="AD15" s="22">
        <f>Calc_Capex!AD20</f>
        <v>33172.510291015496</v>
      </c>
      <c r="AE15" s="22">
        <f>Calc_Capex!AE20</f>
        <v>32905.261928537562</v>
      </c>
      <c r="AF15" s="22">
        <f>Calc_Capex!AF20</f>
        <v>32638.194309529572</v>
      </c>
      <c r="AG15" s="22">
        <f>Calc_Capex!AG20</f>
        <v>32371.307735230635</v>
      </c>
      <c r="AH15" s="22">
        <f>Calc_Capex!AH20</f>
        <v>32104.602507381947</v>
      </c>
      <c r="AI15" s="22">
        <f>Calc_Capex!AI20</f>
        <v>31838.07892822758</v>
      </c>
      <c r="AJ15" s="22">
        <f>Calc_Capex!AJ20</f>
        <v>31571.737300515371</v>
      </c>
      <c r="AK15" s="22">
        <f>Calc_Capex!AK20</f>
        <v>31305.57792749771</v>
      </c>
      <c r="AL15" s="22">
        <f>Calc_Capex!AL20</f>
        <v>31039.601112932425</v>
      </c>
      <c r="AM15" s="22">
        <f>Calc_Capex!AM20</f>
        <v>30773.807161083605</v>
      </c>
      <c r="AN15" s="22">
        <f>Calc_Capex!AN20</f>
        <v>30508.196376722444</v>
      </c>
      <c r="AO15" s="22">
        <f>Calc_Capex!AO20</f>
        <v>30242.769065128086</v>
      </c>
      <c r="AP15" s="22">
        <f>Calc_Capex!AP20</f>
        <v>29977.525532088483</v>
      </c>
      <c r="AQ15" s="22">
        <f>Calc_Capex!AQ20</f>
        <v>29712.466083901221</v>
      </c>
      <c r="AR15" s="22">
        <f>Calc_Capex!AR20</f>
        <v>29447.591027374387</v>
      </c>
      <c r="AS15" s="22">
        <f>Calc_Capex!AS20</f>
        <v>29182.900669827417</v>
      </c>
      <c r="AT15" s="22">
        <f>Calc_Capex!AT20</f>
        <v>28918.395319091949</v>
      </c>
      <c r="AU15" s="22">
        <f>Calc_Capex!AU20</f>
        <v>28654.075283512662</v>
      </c>
      <c r="AV15" s="22">
        <f>Calc_Capex!AV20</f>
        <v>28389.940871948151</v>
      </c>
      <c r="AW15" s="22">
        <f>Calc_Capex!AW20</f>
        <v>28125.992393771769</v>
      </c>
      <c r="AX15" s="22">
        <f>Calc_Capex!AX20</f>
        <v>27862.230158872502</v>
      </c>
      <c r="AY15" s="22">
        <f>Calc_Capex!AY20</f>
        <v>27598.6544776558</v>
      </c>
      <c r="AZ15" s="22">
        <f>Calc_Capex!AZ20</f>
        <v>27335.26566104449</v>
      </c>
      <c r="BA15" s="22">
        <f>Calc_Capex!BA20</f>
        <v>27072.064020479564</v>
      </c>
      <c r="BB15" s="22">
        <f>Calc_Capex!BB20</f>
        <v>26809.049867921109</v>
      </c>
      <c r="BC15" s="22">
        <f>Calc_Capex!BC20</f>
        <v>26546.223515849124</v>
      </c>
      <c r="BD15" s="22">
        <f>Calc_Capex!BD20</f>
        <v>26283.585277264421</v>
      </c>
      <c r="BE15" s="22">
        <f>Calc_Capex!BE20</f>
        <v>26021.135465689484</v>
      </c>
      <c r="BF15" s="22">
        <f>Calc_Capex!BF20</f>
        <v>25758.87439516934</v>
      </c>
      <c r="BG15" s="22">
        <f>Calc_Capex!BG20</f>
        <v>25496.802380272406</v>
      </c>
      <c r="BH15" s="22">
        <f>Calc_Capex!BH20</f>
        <v>25234.919736091375</v>
      </c>
      <c r="BI15" s="22">
        <f>Calc_Capex!BI20</f>
        <v>24973.226778244119</v>
      </c>
      <c r="BJ15" s="22">
        <f>Calc_Capex!BJ20</f>
        <v>24711.723822874519</v>
      </c>
      <c r="BK15" s="22">
        <f>Calc_Capex!BK20</f>
        <v>24450.411186653379</v>
      </c>
      <c r="BL15" s="22">
        <f>Calc_Capex!BL20</f>
        <v>24189.289186779286</v>
      </c>
      <c r="BM15" s="22">
        <f>Calc_Capex!BM20</f>
        <v>23928.358140979472</v>
      </c>
      <c r="BN15" s="22">
        <f>Calc_Capex!BN20</f>
        <v>23667.618367510739</v>
      </c>
      <c r="BO15" s="22">
        <f>Calc_Capex!BO20</f>
        <v>23407.070185160293</v>
      </c>
      <c r="BP15" s="22">
        <f>Calc_Capex!BP20</f>
        <v>23146.713913246676</v>
      </c>
      <c r="BQ15" s="22">
        <f>Calc_Capex!BQ20</f>
        <v>22886.549871620606</v>
      </c>
      <c r="BR15" s="22">
        <f>Calc_Capex!BR20</f>
        <v>22626.578380665895</v>
      </c>
      <c r="BS15" s="22">
        <f>Calc_Capex!BS20</f>
        <v>22366.799761300339</v>
      </c>
      <c r="BT15" s="22">
        <f>Calc_Capex!BT20</f>
        <v>22107.214334976576</v>
      </c>
      <c r="BU15" s="22">
        <f>Calc_Capex!BU20</f>
        <v>21847.822423683014</v>
      </c>
      <c r="BV15" s="22">
        <f>Calc_Capex!BV20</f>
        <v>21588.624349944708</v>
      </c>
      <c r="BW15" s="22">
        <f>Calc_Capex!BW20</f>
        <v>21329.620436824247</v>
      </c>
      <c r="BX15" s="22">
        <f>Calc_Capex!BX20</f>
        <v>21070.811007922654</v>
      </c>
      <c r="BY15" s="22">
        <f>Calc_Capex!BY20</f>
        <v>20812.196387380303</v>
      </c>
      <c r="BZ15" s="22">
        <f>Calc_Capex!BZ20</f>
        <v>20553.776899877783</v>
      </c>
      <c r="CA15" s="22">
        <f>Calc_Capex!CA20</f>
        <v>20295.552870636835</v>
      </c>
      <c r="CB15" s="22">
        <f>Calc_Capex!CB20</f>
        <v>20037.524625421232</v>
      </c>
      <c r="CC15" s="22">
        <f>Calc_Capex!CC20</f>
        <v>19779.69249053768</v>
      </c>
      <c r="CD15" s="22">
        <f>Calc_Capex!CD20</f>
        <v>19522.056792836716</v>
      </c>
      <c r="CE15" s="22">
        <f>Calc_Capex!CE20</f>
        <v>19264.61785971366</v>
      </c>
      <c r="CF15" s="22">
        <f>Calc_Capex!CF20</f>
        <v>19007.376019109484</v>
      </c>
      <c r="CG15" s="22">
        <f>Calc_Capex!CG20</f>
        <v>18750.331599511701</v>
      </c>
      <c r="CH15" s="22">
        <f>Calc_Capex!CH20</f>
        <v>18493.484929955324</v>
      </c>
      <c r="CI15" s="22">
        <f>Calc_Capex!CI20</f>
        <v>18236.836340023772</v>
      </c>
      <c r="CJ15" s="22">
        <f>Calc_Capex!CJ20</f>
        <v>17980.386159849739</v>
      </c>
      <c r="CK15" s="22">
        <f>Calc_Capex!CK20</f>
        <v>17724.134720116155</v>
      </c>
      <c r="CL15" s="22">
        <f>Calc_Capex!CL20</f>
        <v>17468.082352057092</v>
      </c>
      <c r="CM15" s="22">
        <f>Calc_Capex!CM20</f>
        <v>17212.229387458661</v>
      </c>
      <c r="CN15" s="22">
        <f>Calc_Capex!CN20</f>
        <v>16956.576158659976</v>
      </c>
      <c r="CO15" s="22">
        <f>Calc_Capex!CO20</f>
        <v>16701.122998554041</v>
      </c>
      <c r="CP15" s="22">
        <f>Calc_Capex!CP20</f>
        <v>16445.870240588665</v>
      </c>
      <c r="CQ15" s="22">
        <f>Calc_Capex!CQ20</f>
        <v>16190.818218767425</v>
      </c>
      <c r="CR15" s="22">
        <f>Calc_Capex!CR20</f>
        <v>15935.967267650551</v>
      </c>
      <c r="CS15" s="22">
        <f>Calc_Capex!CS20</f>
        <v>15681.317722355889</v>
      </c>
      <c r="CT15" s="22">
        <f>Calc_Capex!CT20</f>
        <v>15426.869918559816</v>
      </c>
      <c r="CU15" s="22">
        <f>Calc_Capex!CU20</f>
        <v>15172.624192498159</v>
      </c>
      <c r="CV15" s="22">
        <f>Calc_Capex!CV20</f>
        <v>14918.580880967136</v>
      </c>
      <c r="CW15" s="22">
        <f>Calc_Capex!CW20</f>
        <v>14664.740321324309</v>
      </c>
      <c r="CX15" s="22">
        <f>Calc_Capex!CX20</f>
        <v>14411.102851489479</v>
      </c>
      <c r="CY15" s="22">
        <f>Calc_Capex!CY20</f>
        <v>14157.668809945666</v>
      </c>
      <c r="CZ15" s="22">
        <f>Calc_Capex!CZ20</f>
        <v>13904.438535740024</v>
      </c>
      <c r="DA15" s="22">
        <f>Calc_Capex!DA20</f>
        <v>13651.412368484773</v>
      </c>
      <c r="DB15" s="22">
        <f>Calc_Capex!DB20</f>
        <v>13398.590648358171</v>
      </c>
      <c r="DC15" s="22">
        <f>Calc_Capex!DC20</f>
        <v>13145.973716105436</v>
      </c>
      <c r="DD15" s="22">
        <f>Calc_Capex!DD20</f>
        <v>12893.561913039688</v>
      </c>
      <c r="DE15" s="22">
        <f>Calc_Capex!DE20</f>
        <v>12641.355581042895</v>
      </c>
      <c r="DF15" s="22">
        <f>Calc_Capex!DF20</f>
        <v>12389.35506256685</v>
      </c>
      <c r="DG15" s="22">
        <f>Calc_Capex!DG20</f>
        <v>12137.560700634087</v>
      </c>
      <c r="DH15" s="22">
        <f>Calc_Capex!DH20</f>
        <v>11885.972838838854</v>
      </c>
      <c r="DI15" s="22">
        <f>Calc_Capex!DI20</f>
        <v>11634.591821348033</v>
      </c>
      <c r="DJ15" s="22">
        <f>Calc_Capex!DJ20</f>
        <v>11383.417992902127</v>
      </c>
      <c r="DK15" s="22">
        <f>Calc_Capex!DK20</f>
        <v>11132.451698816221</v>
      </c>
      <c r="DL15" s="22">
        <f>Calc_Capex!DL20</f>
        <v>10881.693284980916</v>
      </c>
      <c r="DM15" s="22">
        <f>Calc_Capex!DM20</f>
        <v>10631.143097863285</v>
      </c>
      <c r="DN15" s="22">
        <f>Calc_Capex!DN20</f>
        <v>10380.801484507865</v>
      </c>
      <c r="DO15" s="22">
        <f>Calc_Capex!DO20</f>
        <v>10130.668792537603</v>
      </c>
      <c r="DP15" s="22">
        <f>Calc_Capex!DP20</f>
        <v>9880.7453701548075</v>
      </c>
      <c r="DQ15" s="22">
        <f>Calc_Capex!DQ20</f>
        <v>9631.0315661421046</v>
      </c>
    </row>
    <row r="16" spans="1:121" ht="15" customHeight="1">
      <c r="A16" s="14" t="s">
        <v>554</v>
      </c>
      <c r="B16" s="30">
        <f t="shared" ref="B16:AG16" si="4">B15</f>
        <v>40727.638888888891</v>
      </c>
      <c r="C16" s="30">
        <f t="shared" si="4"/>
        <v>40455.450000000004</v>
      </c>
      <c r="D16" s="30">
        <f t="shared" si="4"/>
        <v>40183.433620370372</v>
      </c>
      <c r="E16" s="30">
        <f t="shared" si="4"/>
        <v>39911.590037515431</v>
      </c>
      <c r="F16" s="30">
        <f t="shared" si="4"/>
        <v>39639.919539429808</v>
      </c>
      <c r="G16" s="30">
        <f t="shared" si="4"/>
        <v>39368.422414588116</v>
      </c>
      <c r="H16" s="30">
        <f t="shared" si="4"/>
        <v>39097.098951945765</v>
      </c>
      <c r="I16" s="30">
        <f t="shared" si="4"/>
        <v>38825.949440939745</v>
      </c>
      <c r="J16" s="30">
        <f t="shared" si="4"/>
        <v>38554.974171489455</v>
      </c>
      <c r="K16" s="30">
        <f t="shared" si="4"/>
        <v>38284.173433997494</v>
      </c>
      <c r="L16" s="30">
        <f t="shared" si="4"/>
        <v>38013.547519350454</v>
      </c>
      <c r="M16" s="30">
        <f t="shared" si="4"/>
        <v>37743.09671891974</v>
      </c>
      <c r="N16" s="30">
        <f t="shared" si="4"/>
        <v>37472.821324562385</v>
      </c>
      <c r="O16" s="30">
        <f t="shared" si="4"/>
        <v>37202.721628621839</v>
      </c>
      <c r="P16" s="30">
        <f t="shared" si="4"/>
        <v>36932.797923928803</v>
      </c>
      <c r="Q16" s="30">
        <f t="shared" si="4"/>
        <v>36663.05050380202</v>
      </c>
      <c r="R16" s="30">
        <f t="shared" si="4"/>
        <v>36393.479662049096</v>
      </c>
      <c r="S16" s="30">
        <f t="shared" si="4"/>
        <v>36124.085692967325</v>
      </c>
      <c r="T16" s="30">
        <f t="shared" si="4"/>
        <v>35854.868891344493</v>
      </c>
      <c r="U16" s="30">
        <f t="shared" si="4"/>
        <v>35585.829552459698</v>
      </c>
      <c r="V16" s="30">
        <f t="shared" si="4"/>
        <v>35316.967972084167</v>
      </c>
      <c r="W16" s="30">
        <f t="shared" si="4"/>
        <v>35048.284446482081</v>
      </c>
      <c r="X16" s="30">
        <f t="shared" si="4"/>
        <v>34779.779272411404</v>
      </c>
      <c r="Y16" s="30">
        <f t="shared" si="4"/>
        <v>34511.452747124684</v>
      </c>
      <c r="Z16" s="30">
        <f t="shared" si="4"/>
        <v>34243.305168369894</v>
      </c>
      <c r="AA16" s="30">
        <f t="shared" si="4"/>
        <v>33975.336834391252</v>
      </c>
      <c r="AB16" s="30">
        <f t="shared" si="4"/>
        <v>33707.548043930052</v>
      </c>
      <c r="AC16" s="30">
        <f t="shared" si="4"/>
        <v>33439.939096225491</v>
      </c>
      <c r="AD16" s="30">
        <f t="shared" si="4"/>
        <v>33172.510291015496</v>
      </c>
      <c r="AE16" s="30">
        <f t="shared" si="4"/>
        <v>32905.261928537562</v>
      </c>
      <c r="AF16" s="30">
        <f t="shared" si="4"/>
        <v>32638.194309529572</v>
      </c>
      <c r="AG16" s="30">
        <f t="shared" si="4"/>
        <v>32371.307735230635</v>
      </c>
      <c r="AH16" s="30">
        <f t="shared" ref="AH16:BM16" si="5">AH15</f>
        <v>32104.602507381947</v>
      </c>
      <c r="AI16" s="30">
        <f t="shared" si="5"/>
        <v>31838.07892822758</v>
      </c>
      <c r="AJ16" s="30">
        <f t="shared" si="5"/>
        <v>31571.737300515371</v>
      </c>
      <c r="AK16" s="30">
        <f t="shared" si="5"/>
        <v>31305.57792749771</v>
      </c>
      <c r="AL16" s="30">
        <f t="shared" si="5"/>
        <v>31039.601112932425</v>
      </c>
      <c r="AM16" s="30">
        <f t="shared" si="5"/>
        <v>30773.807161083605</v>
      </c>
      <c r="AN16" s="30">
        <f t="shared" si="5"/>
        <v>30508.196376722444</v>
      </c>
      <c r="AO16" s="30">
        <f t="shared" si="5"/>
        <v>30242.769065128086</v>
      </c>
      <c r="AP16" s="30">
        <f t="shared" si="5"/>
        <v>29977.525532088483</v>
      </c>
      <c r="AQ16" s="30">
        <f t="shared" si="5"/>
        <v>29712.466083901221</v>
      </c>
      <c r="AR16" s="30">
        <f t="shared" si="5"/>
        <v>29447.591027374387</v>
      </c>
      <c r="AS16" s="30">
        <f t="shared" si="5"/>
        <v>29182.900669827417</v>
      </c>
      <c r="AT16" s="30">
        <f t="shared" si="5"/>
        <v>28918.395319091949</v>
      </c>
      <c r="AU16" s="30">
        <f t="shared" si="5"/>
        <v>28654.075283512662</v>
      </c>
      <c r="AV16" s="30">
        <f t="shared" si="5"/>
        <v>28389.940871948151</v>
      </c>
      <c r="AW16" s="30">
        <f t="shared" si="5"/>
        <v>28125.992393771769</v>
      </c>
      <c r="AX16" s="30">
        <f t="shared" si="5"/>
        <v>27862.230158872502</v>
      </c>
      <c r="AY16" s="30">
        <f t="shared" si="5"/>
        <v>27598.6544776558</v>
      </c>
      <c r="AZ16" s="30">
        <f t="shared" si="5"/>
        <v>27335.26566104449</v>
      </c>
      <c r="BA16" s="30">
        <f t="shared" si="5"/>
        <v>27072.064020479564</v>
      </c>
      <c r="BB16" s="30">
        <f t="shared" si="5"/>
        <v>26809.049867921109</v>
      </c>
      <c r="BC16" s="30">
        <f t="shared" si="5"/>
        <v>26546.223515849124</v>
      </c>
      <c r="BD16" s="30">
        <f t="shared" si="5"/>
        <v>26283.585277264421</v>
      </c>
      <c r="BE16" s="30">
        <f t="shared" si="5"/>
        <v>26021.135465689484</v>
      </c>
      <c r="BF16" s="30">
        <f t="shared" si="5"/>
        <v>25758.87439516934</v>
      </c>
      <c r="BG16" s="30">
        <f t="shared" si="5"/>
        <v>25496.802380272406</v>
      </c>
      <c r="BH16" s="30">
        <f t="shared" si="5"/>
        <v>25234.919736091375</v>
      </c>
      <c r="BI16" s="30">
        <f t="shared" si="5"/>
        <v>24973.226778244119</v>
      </c>
      <c r="BJ16" s="30">
        <f t="shared" si="5"/>
        <v>24711.723822874519</v>
      </c>
      <c r="BK16" s="30">
        <f t="shared" si="5"/>
        <v>24450.411186653379</v>
      </c>
      <c r="BL16" s="30">
        <f t="shared" si="5"/>
        <v>24189.289186779286</v>
      </c>
      <c r="BM16" s="30">
        <f t="shared" si="5"/>
        <v>23928.358140979472</v>
      </c>
      <c r="BN16" s="30">
        <f t="shared" ref="BN16:CS16" si="6">BN15</f>
        <v>23667.618367510739</v>
      </c>
      <c r="BO16" s="30">
        <f t="shared" si="6"/>
        <v>23407.070185160293</v>
      </c>
      <c r="BP16" s="30">
        <f t="shared" si="6"/>
        <v>23146.713913246676</v>
      </c>
      <c r="BQ16" s="30">
        <f t="shared" si="6"/>
        <v>22886.549871620606</v>
      </c>
      <c r="BR16" s="30">
        <f t="shared" si="6"/>
        <v>22626.578380665895</v>
      </c>
      <c r="BS16" s="30">
        <f t="shared" si="6"/>
        <v>22366.799761300339</v>
      </c>
      <c r="BT16" s="30">
        <f t="shared" si="6"/>
        <v>22107.214334976576</v>
      </c>
      <c r="BU16" s="30">
        <f t="shared" si="6"/>
        <v>21847.822423683014</v>
      </c>
      <c r="BV16" s="30">
        <f t="shared" si="6"/>
        <v>21588.624349944708</v>
      </c>
      <c r="BW16" s="30">
        <f t="shared" si="6"/>
        <v>21329.620436824247</v>
      </c>
      <c r="BX16" s="30">
        <f t="shared" si="6"/>
        <v>21070.811007922654</v>
      </c>
      <c r="BY16" s="30">
        <f t="shared" si="6"/>
        <v>20812.196387380303</v>
      </c>
      <c r="BZ16" s="30">
        <f t="shared" si="6"/>
        <v>20553.776899877783</v>
      </c>
      <c r="CA16" s="30">
        <f t="shared" si="6"/>
        <v>20295.552870636835</v>
      </c>
      <c r="CB16" s="30">
        <f t="shared" si="6"/>
        <v>20037.524625421232</v>
      </c>
      <c r="CC16" s="30">
        <f t="shared" si="6"/>
        <v>19779.69249053768</v>
      </c>
      <c r="CD16" s="30">
        <f t="shared" si="6"/>
        <v>19522.056792836716</v>
      </c>
      <c r="CE16" s="30">
        <f t="shared" si="6"/>
        <v>19264.61785971366</v>
      </c>
      <c r="CF16" s="30">
        <f t="shared" si="6"/>
        <v>19007.376019109484</v>
      </c>
      <c r="CG16" s="30">
        <f t="shared" si="6"/>
        <v>18750.331599511701</v>
      </c>
      <c r="CH16" s="30">
        <f t="shared" si="6"/>
        <v>18493.484929955324</v>
      </c>
      <c r="CI16" s="30">
        <f t="shared" si="6"/>
        <v>18236.836340023772</v>
      </c>
      <c r="CJ16" s="30">
        <f t="shared" si="6"/>
        <v>17980.386159849739</v>
      </c>
      <c r="CK16" s="30">
        <f t="shared" si="6"/>
        <v>17724.134720116155</v>
      </c>
      <c r="CL16" s="30">
        <f t="shared" si="6"/>
        <v>17468.082352057092</v>
      </c>
      <c r="CM16" s="30">
        <f t="shared" si="6"/>
        <v>17212.229387458661</v>
      </c>
      <c r="CN16" s="30">
        <f t="shared" si="6"/>
        <v>16956.576158659976</v>
      </c>
      <c r="CO16" s="30">
        <f t="shared" si="6"/>
        <v>16701.122998554041</v>
      </c>
      <c r="CP16" s="30">
        <f t="shared" si="6"/>
        <v>16445.870240588665</v>
      </c>
      <c r="CQ16" s="30">
        <f t="shared" si="6"/>
        <v>16190.818218767425</v>
      </c>
      <c r="CR16" s="30">
        <f t="shared" si="6"/>
        <v>15935.967267650551</v>
      </c>
      <c r="CS16" s="30">
        <f t="shared" si="6"/>
        <v>15681.317722355889</v>
      </c>
      <c r="CT16" s="30">
        <f t="shared" ref="CT16:DY16" si="7">CT15</f>
        <v>15426.869918559816</v>
      </c>
      <c r="CU16" s="30">
        <f t="shared" si="7"/>
        <v>15172.624192498159</v>
      </c>
      <c r="CV16" s="30">
        <f t="shared" si="7"/>
        <v>14918.580880967136</v>
      </c>
      <c r="CW16" s="30">
        <f t="shared" si="7"/>
        <v>14664.740321324309</v>
      </c>
      <c r="CX16" s="30">
        <f t="shared" si="7"/>
        <v>14411.102851489479</v>
      </c>
      <c r="CY16" s="30">
        <f t="shared" si="7"/>
        <v>14157.668809945666</v>
      </c>
      <c r="CZ16" s="30">
        <f t="shared" si="7"/>
        <v>13904.438535740024</v>
      </c>
      <c r="DA16" s="30">
        <f t="shared" si="7"/>
        <v>13651.412368484773</v>
      </c>
      <c r="DB16" s="30">
        <f t="shared" si="7"/>
        <v>13398.590648358171</v>
      </c>
      <c r="DC16" s="30">
        <f t="shared" si="7"/>
        <v>13145.973716105436</v>
      </c>
      <c r="DD16" s="30">
        <f t="shared" si="7"/>
        <v>12893.561913039688</v>
      </c>
      <c r="DE16" s="30">
        <f t="shared" si="7"/>
        <v>12641.355581042895</v>
      </c>
      <c r="DF16" s="30">
        <f t="shared" si="7"/>
        <v>12389.35506256685</v>
      </c>
      <c r="DG16" s="30">
        <f t="shared" si="7"/>
        <v>12137.560700634087</v>
      </c>
      <c r="DH16" s="30">
        <f t="shared" si="7"/>
        <v>11885.972838838854</v>
      </c>
      <c r="DI16" s="30">
        <f t="shared" si="7"/>
        <v>11634.591821348033</v>
      </c>
      <c r="DJ16" s="30">
        <f t="shared" si="7"/>
        <v>11383.417992902127</v>
      </c>
      <c r="DK16" s="30">
        <f t="shared" si="7"/>
        <v>11132.451698816221</v>
      </c>
      <c r="DL16" s="30">
        <f t="shared" si="7"/>
        <v>10881.693284980916</v>
      </c>
      <c r="DM16" s="30">
        <f t="shared" si="7"/>
        <v>10631.143097863285</v>
      </c>
      <c r="DN16" s="30">
        <f t="shared" si="7"/>
        <v>10380.801484507865</v>
      </c>
      <c r="DO16" s="30">
        <f t="shared" si="7"/>
        <v>10130.668792537603</v>
      </c>
      <c r="DP16" s="30">
        <f t="shared" si="7"/>
        <v>9880.7453701548075</v>
      </c>
      <c r="DQ16" s="30">
        <f t="shared" si="7"/>
        <v>9631.0315661421046</v>
      </c>
    </row>
    <row r="18" spans="1:121" ht="15" customHeight="1">
      <c r="A18" s="14" t="s">
        <v>555</v>
      </c>
      <c r="B18" s="31">
        <f t="shared" ref="B18:AG18" si="8">B12+B16</f>
        <v>101979.98964085129</v>
      </c>
      <c r="C18" s="31">
        <f t="shared" si="8"/>
        <v>102749.77363250164</v>
      </c>
      <c r="D18" s="31">
        <f t="shared" si="8"/>
        <v>102130.87953008807</v>
      </c>
      <c r="E18" s="31">
        <f t="shared" si="8"/>
        <v>101289.95436100783</v>
      </c>
      <c r="F18" s="31">
        <f t="shared" si="8"/>
        <v>101504.99922765819</v>
      </c>
      <c r="G18" s="31">
        <f t="shared" si="8"/>
        <v>101609.36710264187</v>
      </c>
      <c r="H18" s="31">
        <f t="shared" si="8"/>
        <v>102881.05908835618</v>
      </c>
      <c r="I18" s="31">
        <f t="shared" si="8"/>
        <v>105431.42925980104</v>
      </c>
      <c r="J18" s="31">
        <f t="shared" si="8"/>
        <v>109371.83169197652</v>
      </c>
      <c r="K18" s="31">
        <f t="shared" si="8"/>
        <v>113535.61935748532</v>
      </c>
      <c r="L18" s="31">
        <f t="shared" si="8"/>
        <v>117922.79225632746</v>
      </c>
      <c r="M18" s="31">
        <f t="shared" si="8"/>
        <v>126367.35369569472</v>
      </c>
      <c r="N18" s="31">
        <f t="shared" si="8"/>
        <v>125943.10944577737</v>
      </c>
      <c r="O18" s="31">
        <f t="shared" si="8"/>
        <v>127057.84241951624</v>
      </c>
      <c r="P18" s="31">
        <f t="shared" si="8"/>
        <v>126617.09741143961</v>
      </c>
      <c r="Q18" s="31">
        <f t="shared" si="8"/>
        <v>125912.35268087637</v>
      </c>
      <c r="R18" s="31">
        <f t="shared" si="8"/>
        <v>126367.42489006523</v>
      </c>
      <c r="S18" s="31">
        <f t="shared" si="8"/>
        <v>126690.83577967744</v>
      </c>
      <c r="T18" s="31">
        <f t="shared" si="8"/>
        <v>128306.40201195172</v>
      </c>
      <c r="U18" s="31">
        <f t="shared" si="8"/>
        <v>131346.46198979809</v>
      </c>
      <c r="V18" s="31">
        <f t="shared" si="8"/>
        <v>135943.35411612657</v>
      </c>
      <c r="W18" s="31">
        <f t="shared" si="8"/>
        <v>140805.6001316084</v>
      </c>
      <c r="X18" s="31">
        <f t="shared" si="8"/>
        <v>145933.20003624356</v>
      </c>
      <c r="Y18" s="31">
        <f t="shared" si="8"/>
        <v>155597.60381674831</v>
      </c>
      <c r="Z18" s="31">
        <f t="shared" si="8"/>
        <v>155415.50781494178</v>
      </c>
      <c r="AA18" s="31">
        <f t="shared" si="8"/>
        <v>156927.19215457022</v>
      </c>
      <c r="AB18" s="31">
        <f t="shared" si="8"/>
        <v>156697.29992594066</v>
      </c>
      <c r="AC18" s="31">
        <f t="shared" si="8"/>
        <v>156155.49756213013</v>
      </c>
      <c r="AD18" s="31">
        <f t="shared" si="8"/>
        <v>156887.74510547268</v>
      </c>
      <c r="AE18" s="31">
        <f t="shared" si="8"/>
        <v>157464.37612289144</v>
      </c>
      <c r="AF18" s="31">
        <f t="shared" si="8"/>
        <v>159471.35065672046</v>
      </c>
      <c r="AG18" s="31">
        <f t="shared" si="8"/>
        <v>163064.96231621687</v>
      </c>
      <c r="AH18" s="31">
        <f t="shared" ref="AH18:BM18" si="9">AH12+AH16</f>
        <v>168401.50471063796</v>
      </c>
      <c r="AI18" s="31">
        <f t="shared" si="9"/>
        <v>174051.31140690669</v>
      </c>
      <c r="AJ18" s="31">
        <f t="shared" si="9"/>
        <v>180014.38240502315</v>
      </c>
      <c r="AK18" s="31">
        <f t="shared" si="9"/>
        <v>191048.59783198955</v>
      </c>
      <c r="AL18" s="31">
        <f t="shared" si="9"/>
        <v>190399.42750206654</v>
      </c>
      <c r="AM18" s="31">
        <f t="shared" si="9"/>
        <v>192321.41676918906</v>
      </c>
      <c r="AN18" s="31">
        <f t="shared" si="9"/>
        <v>192330.35913305107</v>
      </c>
      <c r="AO18" s="31">
        <f t="shared" si="9"/>
        <v>191979.5871731907</v>
      </c>
      <c r="AP18" s="31">
        <f t="shared" si="9"/>
        <v>193002.62917267386</v>
      </c>
      <c r="AQ18" s="31">
        <f t="shared" si="9"/>
        <v>193846.15255196253</v>
      </c>
      <c r="AR18" s="31">
        <f t="shared" si="9"/>
        <v>196243.68559412259</v>
      </c>
      <c r="AS18" s="31">
        <f t="shared" si="9"/>
        <v>200375.424002682</v>
      </c>
      <c r="AT18" s="31">
        <f t="shared" si="9"/>
        <v>206421.56348116856</v>
      </c>
      <c r="AU18" s="31">
        <f t="shared" si="9"/>
        <v>212828.77145004418</v>
      </c>
      <c r="AV18" s="31">
        <f t="shared" si="9"/>
        <v>219597.04790930884</v>
      </c>
      <c r="AW18" s="31">
        <f t="shared" si="9"/>
        <v>231926.9777081605</v>
      </c>
      <c r="AX18" s="31">
        <f t="shared" si="9"/>
        <v>231525.26495105017</v>
      </c>
      <c r="AY18" s="31">
        <f t="shared" si="9"/>
        <v>233906.0528695274</v>
      </c>
      <c r="AZ18" s="31">
        <f t="shared" si="9"/>
        <v>234186.24544211538</v>
      </c>
      <c r="BA18" s="31">
        <f t="shared" si="9"/>
        <v>234053.53851648243</v>
      </c>
      <c r="BB18" s="31">
        <f t="shared" si="9"/>
        <v>235402.41623107373</v>
      </c>
      <c r="BC18" s="31">
        <f t="shared" si="9"/>
        <v>236545.18273822122</v>
      </c>
      <c r="BD18" s="31">
        <f t="shared" si="9"/>
        <v>239376.32217637019</v>
      </c>
      <c r="BE18" s="31">
        <f t="shared" si="9"/>
        <v>244102.62283629779</v>
      </c>
      <c r="BF18" s="31">
        <f t="shared" si="9"/>
        <v>250930.87300878126</v>
      </c>
      <c r="BG18" s="31">
        <f t="shared" si="9"/>
        <v>258173.37684615236</v>
      </c>
      <c r="BH18" s="31">
        <f t="shared" si="9"/>
        <v>265830.13434841117</v>
      </c>
      <c r="BI18" s="31">
        <f t="shared" si="9"/>
        <v>279584.59793089353</v>
      </c>
      <c r="BJ18" s="31">
        <f t="shared" si="9"/>
        <v>278567.92094904988</v>
      </c>
      <c r="BK18" s="31">
        <f t="shared" si="9"/>
        <v>281397.51201528747</v>
      </c>
      <c r="BL18" s="31">
        <f t="shared" si="9"/>
        <v>281964.93198480736</v>
      </c>
      <c r="BM18" s="31">
        <f t="shared" si="9"/>
        <v>282069.26463122386</v>
      </c>
      <c r="BN18" s="31">
        <f t="shared" ref="BN18:CS18" si="10">BN12+BN16</f>
        <v>283741.47593136958</v>
      </c>
      <c r="BO18" s="31">
        <f t="shared" si="10"/>
        <v>285182.4821116302</v>
      </c>
      <c r="BP18" s="31">
        <f t="shared" si="10"/>
        <v>288423.24914883845</v>
      </c>
      <c r="BQ18" s="31">
        <f t="shared" si="10"/>
        <v>293695.65924621263</v>
      </c>
      <c r="BR18" s="31">
        <f t="shared" si="10"/>
        <v>301231.59460697114</v>
      </c>
      <c r="BS18" s="31">
        <f t="shared" si="10"/>
        <v>309231.97145749972</v>
      </c>
      <c r="BT18" s="31">
        <f t="shared" si="10"/>
        <v>317696.78979779838</v>
      </c>
      <c r="BU18" s="31">
        <f t="shared" si="10"/>
        <v>332718.94755836495</v>
      </c>
      <c r="BV18" s="31">
        <f t="shared" si="10"/>
        <v>331948.32557804027</v>
      </c>
      <c r="BW18" s="31">
        <f t="shared" si="10"/>
        <v>335265.87692881038</v>
      </c>
      <c r="BX18" s="31">
        <f t="shared" si="10"/>
        <v>336148.10176165955</v>
      </c>
      <c r="BY18" s="31">
        <f t="shared" si="10"/>
        <v>336512.82337926078</v>
      </c>
      <c r="BZ18" s="31">
        <f t="shared" si="10"/>
        <v>338536.95523357729</v>
      </c>
      <c r="CA18" s="31">
        <f t="shared" si="10"/>
        <v>340302.6740219366</v>
      </c>
      <c r="CB18" s="31">
        <f t="shared" si="10"/>
        <v>343986.89319630188</v>
      </c>
      <c r="CC18" s="31">
        <f t="shared" si="10"/>
        <v>349848.70290596411</v>
      </c>
      <c r="CD18" s="31">
        <f t="shared" si="10"/>
        <v>358147.19330021372</v>
      </c>
      <c r="CE18" s="31">
        <f t="shared" si="10"/>
        <v>366964.54107637814</v>
      </c>
      <c r="CF18" s="31">
        <f t="shared" si="10"/>
        <v>376300.74623445712</v>
      </c>
      <c r="CG18" s="31">
        <f t="shared" si="10"/>
        <v>392686.54913034139</v>
      </c>
      <c r="CH18" s="31">
        <f t="shared" si="10"/>
        <v>392486.25600226218</v>
      </c>
      <c r="CI18" s="31">
        <f t="shared" si="10"/>
        <v>396630.85400481027</v>
      </c>
      <c r="CJ18" s="31">
        <f t="shared" si="10"/>
        <v>398153.91242944892</v>
      </c>
      <c r="CK18" s="31">
        <f t="shared" si="10"/>
        <v>399099.83091682714</v>
      </c>
      <c r="CL18" s="31">
        <f t="shared" si="10"/>
        <v>401801.57907622436</v>
      </c>
      <c r="CM18" s="31">
        <f t="shared" si="10"/>
        <v>404214.75726699125</v>
      </c>
      <c r="CN18" s="31">
        <f t="shared" si="10"/>
        <v>408672.33509840752</v>
      </c>
      <c r="CO18" s="31">
        <f t="shared" si="10"/>
        <v>415462.88253910316</v>
      </c>
      <c r="CP18" s="31">
        <f t="shared" si="10"/>
        <v>424874.9695577083</v>
      </c>
      <c r="CQ18" s="31">
        <f t="shared" si="10"/>
        <v>434864.1965135737</v>
      </c>
      <c r="CR18" s="31">
        <f t="shared" si="10"/>
        <v>445430.56340669957</v>
      </c>
      <c r="CS18" s="31">
        <f t="shared" si="10"/>
        <v>463572.97906492394</v>
      </c>
      <c r="CT18" s="31">
        <f t="shared" ref="CT18:DQ18" si="11">CT12+CT16</f>
        <v>463666.12281850394</v>
      </c>
      <c r="CU18" s="31">
        <f t="shared" si="11"/>
        <v>468378.04545306688</v>
      </c>
      <c r="CV18" s="31">
        <f t="shared" si="11"/>
        <v>470269.65676904673</v>
      </c>
      <c r="CW18" s="31">
        <f t="shared" si="11"/>
        <v>471520.28678337549</v>
      </c>
      <c r="CX18" s="31">
        <f t="shared" si="11"/>
        <v>474629.75616381085</v>
      </c>
      <c r="CY18" s="31">
        <f t="shared" si="11"/>
        <v>477418.73489342059</v>
      </c>
      <c r="CZ18" s="31">
        <f t="shared" si="11"/>
        <v>482387.04363996233</v>
      </c>
      <c r="DA18" s="31">
        <f t="shared" si="11"/>
        <v>489855.17305426166</v>
      </c>
      <c r="DB18" s="31">
        <f t="shared" si="11"/>
        <v>500143.61378714407</v>
      </c>
      <c r="DC18" s="31">
        <f t="shared" si="11"/>
        <v>511073.03582167748</v>
      </c>
      <c r="DD18" s="31">
        <f t="shared" si="11"/>
        <v>522643.4391578621</v>
      </c>
      <c r="DE18" s="31">
        <f t="shared" si="11"/>
        <v>542354.28579897038</v>
      </c>
      <c r="DF18" s="31">
        <f t="shared" si="11"/>
        <v>542772.07832752343</v>
      </c>
      <c r="DG18" s="31">
        <f t="shared" si="11"/>
        <v>548100.09907636815</v>
      </c>
      <c r="DH18" s="31">
        <f t="shared" si="11"/>
        <v>550394.88782593026</v>
      </c>
      <c r="DI18" s="31">
        <f t="shared" si="11"/>
        <v>551979.61037425976</v>
      </c>
      <c r="DJ18" s="31">
        <f t="shared" si="11"/>
        <v>555532.46562002227</v>
      </c>
      <c r="DK18" s="31">
        <f t="shared" si="11"/>
        <v>558730.28776516847</v>
      </c>
      <c r="DL18" s="31">
        <f t="shared" si="11"/>
        <v>564251.27570836421</v>
      </c>
      <c r="DM18" s="31">
        <f t="shared" si="11"/>
        <v>572450.46255022567</v>
      </c>
      <c r="DN18" s="31">
        <f t="shared" si="11"/>
        <v>583682.88139136974</v>
      </c>
      <c r="DO18" s="31">
        <f t="shared" si="11"/>
        <v>595625.36643374653</v>
      </c>
      <c r="DP18" s="31">
        <f t="shared" si="11"/>
        <v>608277.91767735616</v>
      </c>
      <c r="DQ18" s="31">
        <f t="shared" si="11"/>
        <v>629675.13181819627</v>
      </c>
    </row>
    <row r="20" spans="1:121" ht="15" customHeight="1">
      <c r="A20" s="5" t="s">
        <v>556</v>
      </c>
    </row>
    <row r="21" spans="1:121" ht="15" customHeight="1">
      <c r="A21" s="14" t="s">
        <v>557</v>
      </c>
    </row>
    <row r="22" spans="1:121" ht="15" customHeight="1">
      <c r="A22" t="s">
        <v>487</v>
      </c>
      <c r="B22" s="22">
        <f>Calc_WC!B16</f>
        <v>19462.921684931509</v>
      </c>
      <c r="C22" s="22">
        <f>Calc_WC!C16</f>
        <v>18616.70769863014</v>
      </c>
      <c r="D22" s="22">
        <f>Calc_WC!D16</f>
        <v>16924.279726027398</v>
      </c>
      <c r="E22" s="22">
        <f>Calc_WC!E16</f>
        <v>15231.851753424657</v>
      </c>
      <c r="F22" s="22">
        <f>Calc_WC!F16</f>
        <v>14385.637767123288</v>
      </c>
      <c r="G22" s="22">
        <f>Calc_WC!G16</f>
        <v>13539.42378082192</v>
      </c>
      <c r="H22" s="22">
        <f>Calc_WC!H16</f>
        <v>13539.42378082192</v>
      </c>
      <c r="I22" s="22">
        <f>Calc_WC!I16</f>
        <v>14385.637767123288</v>
      </c>
      <c r="J22" s="22">
        <f>Calc_WC!J16</f>
        <v>16078.065739726026</v>
      </c>
      <c r="K22" s="22">
        <f>Calc_WC!K16</f>
        <v>17770.493712328767</v>
      </c>
      <c r="L22" s="22">
        <f>Calc_WC!L16</f>
        <v>19462.921684931509</v>
      </c>
      <c r="M22" s="22">
        <f>Calc_WC!M16</f>
        <v>23693.991616438354</v>
      </c>
      <c r="N22" s="22">
        <f>Calc_WC!N16</f>
        <v>21545.45430521918</v>
      </c>
      <c r="O22" s="22">
        <f>Calc_WC!O16</f>
        <v>20608.695422383564</v>
      </c>
      <c r="P22" s="22">
        <f>Calc_WC!P16</f>
        <v>18735.177656712323</v>
      </c>
      <c r="Q22" s="22">
        <f>Calc_WC!Q16</f>
        <v>16861.659891041094</v>
      </c>
      <c r="R22" s="22">
        <f>Calc_WC!R16</f>
        <v>15924.901008205477</v>
      </c>
      <c r="S22" s="22">
        <f>Calc_WC!S16</f>
        <v>14988.142125369863</v>
      </c>
      <c r="T22" s="22">
        <f>Calc_WC!T16</f>
        <v>14988.142125369863</v>
      </c>
      <c r="U22" s="22">
        <f>Calc_WC!U16</f>
        <v>15924.901008205477</v>
      </c>
      <c r="V22" s="22">
        <f>Calc_WC!V16</f>
        <v>17798.418773876714</v>
      </c>
      <c r="W22" s="22">
        <f>Calc_WC!W16</f>
        <v>19671.936539547944</v>
      </c>
      <c r="X22" s="22">
        <f>Calc_WC!X16</f>
        <v>21545.45430521918</v>
      </c>
      <c r="Y22" s="22">
        <f>Calc_WC!Y16</f>
        <v>26229.248719397252</v>
      </c>
      <c r="Z22" s="22">
        <f>Calc_WC!Z16</f>
        <v>23850.817915877633</v>
      </c>
      <c r="AA22" s="22">
        <f>Calc_WC!AA16</f>
        <v>22813.825832578612</v>
      </c>
      <c r="AB22" s="22">
        <f>Calc_WC!AB16</f>
        <v>20739.841665980548</v>
      </c>
      <c r="AC22" s="22">
        <f>Calc_WC!AC16</f>
        <v>18665.857499382491</v>
      </c>
      <c r="AD22" s="22">
        <f>Calc_WC!AD16</f>
        <v>17628.86541608347</v>
      </c>
      <c r="AE22" s="22">
        <f>Calc_WC!AE16</f>
        <v>16591.873332784442</v>
      </c>
      <c r="AF22" s="22">
        <f>Calc_WC!AF16</f>
        <v>16591.873332784442</v>
      </c>
      <c r="AG22" s="22">
        <f>Calc_WC!AG16</f>
        <v>17628.86541608347</v>
      </c>
      <c r="AH22" s="22">
        <f>Calc_WC!AH16</f>
        <v>19702.84958268152</v>
      </c>
      <c r="AI22" s="22">
        <f>Calc_WC!AI16</f>
        <v>21776.83374927958</v>
      </c>
      <c r="AJ22" s="22">
        <f>Calc_WC!AJ16</f>
        <v>23850.817915877633</v>
      </c>
      <c r="AK22" s="22">
        <f>Calc_WC!AK16</f>
        <v>29035.778332372764</v>
      </c>
      <c r="AL22" s="22">
        <f>Calc_WC!AL16</f>
        <v>25913.913665601045</v>
      </c>
      <c r="AM22" s="22">
        <f>Calc_WC!AM16</f>
        <v>24787.22176709666</v>
      </c>
      <c r="AN22" s="22">
        <f>Calc_WC!AN16</f>
        <v>22533.837970087865</v>
      </c>
      <c r="AO22" s="22">
        <f>Calc_WC!AO16</f>
        <v>20280.454173079081</v>
      </c>
      <c r="AP22" s="22">
        <f>Calc_WC!AP16</f>
        <v>19153.762274574688</v>
      </c>
      <c r="AQ22" s="22">
        <f>Calc_WC!AQ16</f>
        <v>18027.070376070293</v>
      </c>
      <c r="AR22" s="22">
        <f>Calc_WC!AR16</f>
        <v>18027.070376070293</v>
      </c>
      <c r="AS22" s="22">
        <f>Calc_WC!AS16</f>
        <v>19153.762274574688</v>
      </c>
      <c r="AT22" s="22">
        <f>Calc_WC!AT16</f>
        <v>21407.146071583473</v>
      </c>
      <c r="AU22" s="22">
        <f>Calc_WC!AU16</f>
        <v>23660.529868592261</v>
      </c>
      <c r="AV22" s="22">
        <f>Calc_WC!AV16</f>
        <v>25913.913665601045</v>
      </c>
      <c r="AW22" s="22">
        <f>Calc_WC!AW16</f>
        <v>31547.373158123006</v>
      </c>
      <c r="AX22" s="22">
        <f>Calc_WC!AX16</f>
        <v>28155.467197675527</v>
      </c>
      <c r="AY22" s="22">
        <f>Calc_WC!AY16</f>
        <v>26931.316449950518</v>
      </c>
      <c r="AZ22" s="22">
        <f>Calc_WC!AZ16</f>
        <v>24483.014954500468</v>
      </c>
      <c r="BA22" s="22">
        <f>Calc_WC!BA16</f>
        <v>22034.713459050414</v>
      </c>
      <c r="BB22" s="22">
        <f>Calc_WC!BB16</f>
        <v>20810.562711325398</v>
      </c>
      <c r="BC22" s="22">
        <f>Calc_WC!BC16</f>
        <v>19586.411963600374</v>
      </c>
      <c r="BD22" s="22">
        <f>Calc_WC!BD16</f>
        <v>19586.411963600374</v>
      </c>
      <c r="BE22" s="22">
        <f>Calc_WC!BE16</f>
        <v>20810.562711325398</v>
      </c>
      <c r="BF22" s="22">
        <f>Calc_WC!BF16</f>
        <v>23258.864206775441</v>
      </c>
      <c r="BG22" s="22">
        <f>Calc_WC!BG16</f>
        <v>25707.165702225488</v>
      </c>
      <c r="BH22" s="22">
        <f>Calc_WC!BH16</f>
        <v>28155.467197675527</v>
      </c>
      <c r="BI22" s="22">
        <f>Calc_WC!BI16</f>
        <v>34276.220936300648</v>
      </c>
      <c r="BJ22" s="22">
        <f>Calc_WC!BJ16</f>
        <v>30013.72803272212</v>
      </c>
      <c r="BK22" s="22">
        <f>Calc_WC!BK16</f>
        <v>28708.783335647251</v>
      </c>
      <c r="BL22" s="22">
        <f>Calc_WC!BL16</f>
        <v>26098.893941497496</v>
      </c>
      <c r="BM22" s="22">
        <f>Calc_WC!BM16</f>
        <v>23489.004547347748</v>
      </c>
      <c r="BN22" s="22">
        <f>Calc_WC!BN16</f>
        <v>22184.059850272868</v>
      </c>
      <c r="BO22" s="22">
        <f>Calc_WC!BO16</f>
        <v>20879.115153197999</v>
      </c>
      <c r="BP22" s="22">
        <f>Calc_WC!BP16</f>
        <v>20879.115153197999</v>
      </c>
      <c r="BQ22" s="22">
        <f>Calc_WC!BQ16</f>
        <v>22184.059850272868</v>
      </c>
      <c r="BR22" s="22">
        <f>Calc_WC!BR16</f>
        <v>24793.94924442262</v>
      </c>
      <c r="BS22" s="22">
        <f>Calc_WC!BS16</f>
        <v>27403.838638572364</v>
      </c>
      <c r="BT22" s="22">
        <f>Calc_WC!BT16</f>
        <v>30013.72803272212</v>
      </c>
      <c r="BU22" s="22">
        <f>Calc_WC!BU16</f>
        <v>36538.451518096488</v>
      </c>
      <c r="BV22" s="22">
        <f>Calc_WC!BV16</f>
        <v>31994.634082881774</v>
      </c>
      <c r="BW22" s="22">
        <f>Calc_WC!BW16</f>
        <v>30603.563035799962</v>
      </c>
      <c r="BX22" s="22">
        <f>Calc_WC!BX16</f>
        <v>27821.420941636323</v>
      </c>
      <c r="BY22" s="22">
        <f>Calc_WC!BY16</f>
        <v>25039.278847472691</v>
      </c>
      <c r="BZ22" s="22">
        <f>Calc_WC!BZ16</f>
        <v>23648.207800390879</v>
      </c>
      <c r="CA22" s="22">
        <f>Calc_WC!CA16</f>
        <v>22257.136753309063</v>
      </c>
      <c r="CB22" s="22">
        <f>Calc_WC!CB16</f>
        <v>22257.136753309063</v>
      </c>
      <c r="CC22" s="22">
        <f>Calc_WC!CC16</f>
        <v>23648.207800390879</v>
      </c>
      <c r="CD22" s="22">
        <f>Calc_WC!CD16</f>
        <v>26430.349894554511</v>
      </c>
      <c r="CE22" s="22">
        <f>Calc_WC!CE16</f>
        <v>29212.491988718142</v>
      </c>
      <c r="CF22" s="22">
        <f>Calc_WC!CF16</f>
        <v>31994.634082881774</v>
      </c>
      <c r="CG22" s="22">
        <f>Calc_WC!CG16</f>
        <v>38949.989318290856</v>
      </c>
      <c r="CH22" s="22">
        <f>Calc_WC!CH16</f>
        <v>34106.279932351965</v>
      </c>
      <c r="CI22" s="22">
        <f>Calc_WC!CI16</f>
        <v>32623.398196162754</v>
      </c>
      <c r="CJ22" s="22">
        <f>Calc_WC!CJ16</f>
        <v>29657.634723784315</v>
      </c>
      <c r="CK22" s="22">
        <f>Calc_WC!CK16</f>
        <v>26691.871251405886</v>
      </c>
      <c r="CL22" s="22">
        <f>Calc_WC!CL16</f>
        <v>25208.989515216668</v>
      </c>
      <c r="CM22" s="22">
        <f>Calc_WC!CM16</f>
        <v>23726.107779027461</v>
      </c>
      <c r="CN22" s="22">
        <f>Calc_WC!CN16</f>
        <v>23726.107779027461</v>
      </c>
      <c r="CO22" s="22">
        <f>Calc_WC!CO16</f>
        <v>25208.989515216668</v>
      </c>
      <c r="CP22" s="22">
        <f>Calc_WC!CP16</f>
        <v>28174.752987595097</v>
      </c>
      <c r="CQ22" s="22">
        <f>Calc_WC!CQ16</f>
        <v>31140.516459973529</v>
      </c>
      <c r="CR22" s="22">
        <f>Calc_WC!CR16</f>
        <v>34106.279932351965</v>
      </c>
      <c r="CS22" s="22">
        <f>Calc_WC!CS16</f>
        <v>41520.688613298043</v>
      </c>
      <c r="CT22" s="22">
        <f>Calc_WC!CT16</f>
        <v>36357.294407887188</v>
      </c>
      <c r="CU22" s="22">
        <f>Calc_WC!CU16</f>
        <v>34776.542477109499</v>
      </c>
      <c r="CV22" s="22">
        <f>Calc_WC!CV16</f>
        <v>31615.03861555408</v>
      </c>
      <c r="CW22" s="22">
        <f>Calc_WC!CW16</f>
        <v>28453.534753998676</v>
      </c>
      <c r="CX22" s="22">
        <f>Calc_WC!CX16</f>
        <v>26872.782823220969</v>
      </c>
      <c r="CY22" s="22">
        <f>Calc_WC!CY16</f>
        <v>25292.030892443268</v>
      </c>
      <c r="CZ22" s="22">
        <f>Calc_WC!CZ16</f>
        <v>25292.030892443268</v>
      </c>
      <c r="DA22" s="22">
        <f>Calc_WC!DA16</f>
        <v>26872.782823220969</v>
      </c>
      <c r="DB22" s="22">
        <f>Calc_WC!DB16</f>
        <v>30034.286684776373</v>
      </c>
      <c r="DC22" s="22">
        <f>Calc_WC!DC16</f>
        <v>33195.790546331787</v>
      </c>
      <c r="DD22" s="22">
        <f>Calc_WC!DD16</f>
        <v>36357.294407887188</v>
      </c>
      <c r="DE22" s="22">
        <f>Calc_WC!DE16</f>
        <v>44261.054061775707</v>
      </c>
      <c r="DF22" s="22">
        <f>Calc_WC!DF16</f>
        <v>38756.87583880774</v>
      </c>
      <c r="DG22" s="22">
        <f>Calc_WC!DG16</f>
        <v>37071.794280598719</v>
      </c>
      <c r="DH22" s="22">
        <f>Calc_WC!DH16</f>
        <v>33701.631164180646</v>
      </c>
      <c r="DI22" s="22">
        <f>Calc_WC!DI16</f>
        <v>30331.468047762584</v>
      </c>
      <c r="DJ22" s="22">
        <f>Calc_WC!DJ16</f>
        <v>28646.386489553552</v>
      </c>
      <c r="DK22" s="22">
        <f>Calc_WC!DK16</f>
        <v>26961.304931344519</v>
      </c>
      <c r="DL22" s="22">
        <f>Calc_WC!DL16</f>
        <v>26961.304931344519</v>
      </c>
      <c r="DM22" s="22">
        <f>Calc_WC!DM16</f>
        <v>28646.386489553552</v>
      </c>
      <c r="DN22" s="22">
        <f>Calc_WC!DN16</f>
        <v>32016.549605971617</v>
      </c>
      <c r="DO22" s="22">
        <f>Calc_WC!DO16</f>
        <v>35386.712722389675</v>
      </c>
      <c r="DP22" s="22">
        <f>Calc_WC!DP16</f>
        <v>38756.87583880774</v>
      </c>
      <c r="DQ22" s="22">
        <f>Calc_WC!DQ16</f>
        <v>47182.283629852915</v>
      </c>
    </row>
    <row r="23" spans="1:121" ht="15" customHeight="1">
      <c r="A23" t="s">
        <v>490</v>
      </c>
      <c r="B23" s="22">
        <f>Calc_WC!B20</f>
        <v>7369.9599452054808</v>
      </c>
      <c r="C23" s="22">
        <f>Calc_WC!C20</f>
        <v>7049.5269041095899</v>
      </c>
      <c r="D23" s="22">
        <f>Calc_WC!D20</f>
        <v>6408.6608219178088</v>
      </c>
      <c r="E23" s="22">
        <f>Calc_WC!E20</f>
        <v>5767.7947397260277</v>
      </c>
      <c r="F23" s="22">
        <f>Calc_WC!F20</f>
        <v>5447.3616986301377</v>
      </c>
      <c r="G23" s="22">
        <f>Calc_WC!G20</f>
        <v>5126.9286575342467</v>
      </c>
      <c r="H23" s="22">
        <f>Calc_WC!H20</f>
        <v>5126.9286575342467</v>
      </c>
      <c r="I23" s="22">
        <f>Calc_WC!I20</f>
        <v>5447.3616986301377</v>
      </c>
      <c r="J23" s="22">
        <f>Calc_WC!J20</f>
        <v>6088.2277808219169</v>
      </c>
      <c r="K23" s="22">
        <f>Calc_WC!K20</f>
        <v>6729.0938630136989</v>
      </c>
      <c r="L23" s="22">
        <f>Calc_WC!L20</f>
        <v>7369.9599452054808</v>
      </c>
      <c r="M23" s="22">
        <f>Calc_WC!M20</f>
        <v>8972.1251506849312</v>
      </c>
      <c r="N23" s="22">
        <f>Calc_WC!N20</f>
        <v>8158.545659342466</v>
      </c>
      <c r="O23" s="22">
        <f>Calc_WC!O20</f>
        <v>7803.8262828493171</v>
      </c>
      <c r="P23" s="22">
        <f>Calc_WC!P20</f>
        <v>7094.3875298630128</v>
      </c>
      <c r="Q23" s="22">
        <f>Calc_WC!Q20</f>
        <v>6384.9487768767121</v>
      </c>
      <c r="R23" s="22">
        <f>Calc_WC!R20</f>
        <v>6030.2294003835614</v>
      </c>
      <c r="S23" s="22">
        <f>Calc_WC!S20</f>
        <v>5675.5100238904124</v>
      </c>
      <c r="T23" s="22">
        <f>Calc_WC!T20</f>
        <v>5675.5100238904124</v>
      </c>
      <c r="U23" s="22">
        <f>Calc_WC!U20</f>
        <v>6030.2294003835614</v>
      </c>
      <c r="V23" s="22">
        <f>Calc_WC!V20</f>
        <v>6739.6681533698629</v>
      </c>
      <c r="W23" s="22">
        <f>Calc_WC!W20</f>
        <v>7449.1069063561654</v>
      </c>
      <c r="X23" s="22">
        <f>Calc_WC!X20</f>
        <v>8158.545659342466</v>
      </c>
      <c r="Y23" s="22">
        <f>Calc_WC!Y20</f>
        <v>9932.1425418082181</v>
      </c>
      <c r="Z23" s="22">
        <f>Calc_WC!Z20</f>
        <v>9031.5100448921094</v>
      </c>
      <c r="AA23" s="22">
        <f>Calc_WC!AA20</f>
        <v>8638.8356951141941</v>
      </c>
      <c r="AB23" s="22">
        <f>Calc_WC!AB20</f>
        <v>7853.4869955583554</v>
      </c>
      <c r="AC23" s="22">
        <f>Calc_WC!AC20</f>
        <v>7068.1382960025194</v>
      </c>
      <c r="AD23" s="22">
        <f>Calc_WC!AD20</f>
        <v>6675.463946224605</v>
      </c>
      <c r="AE23" s="22">
        <f>Calc_WC!AE20</f>
        <v>6282.7895964466861</v>
      </c>
      <c r="AF23" s="22">
        <f>Calc_WC!AF20</f>
        <v>6282.7895964466861</v>
      </c>
      <c r="AG23" s="22">
        <f>Calc_WC!AG20</f>
        <v>6675.463946224605</v>
      </c>
      <c r="AH23" s="22">
        <f>Calc_WC!AH20</f>
        <v>7460.8126457804383</v>
      </c>
      <c r="AI23" s="22">
        <f>Calc_WC!AI20</f>
        <v>8246.1613453362752</v>
      </c>
      <c r="AJ23" s="22">
        <f>Calc_WC!AJ20</f>
        <v>9031.5100448921094</v>
      </c>
      <c r="AK23" s="22">
        <f>Calc_WC!AK20</f>
        <v>10994.881793781697</v>
      </c>
      <c r="AL23" s="22">
        <f>Calc_WC!AL20</f>
        <v>9812.7356637752764</v>
      </c>
      <c r="AM23" s="22">
        <f>Calc_WC!AM20</f>
        <v>9386.0949827415734</v>
      </c>
      <c r="AN23" s="22">
        <f>Calc_WC!AN20</f>
        <v>8532.8136206741547</v>
      </c>
      <c r="AO23" s="22">
        <f>Calc_WC!AO20</f>
        <v>7679.5322586067405</v>
      </c>
      <c r="AP23" s="22">
        <f>Calc_WC!AP20</f>
        <v>7252.8915775730311</v>
      </c>
      <c r="AQ23" s="22">
        <f>Calc_WC!AQ20</f>
        <v>6826.2508965393235</v>
      </c>
      <c r="AR23" s="22">
        <f>Calc_WC!AR20</f>
        <v>6826.2508965393235</v>
      </c>
      <c r="AS23" s="22">
        <f>Calc_WC!AS20</f>
        <v>7252.8915775730311</v>
      </c>
      <c r="AT23" s="22">
        <f>Calc_WC!AT20</f>
        <v>8106.1729396404453</v>
      </c>
      <c r="AU23" s="22">
        <f>Calc_WC!AU20</f>
        <v>8959.4543017078631</v>
      </c>
      <c r="AV23" s="22">
        <f>Calc_WC!AV20</f>
        <v>9812.7356637752764</v>
      </c>
      <c r="AW23" s="22">
        <f>Calc_WC!AW20</f>
        <v>11945.939068943813</v>
      </c>
      <c r="AX23" s="22">
        <f>Calc_WC!AX20</f>
        <v>10661.537298691837</v>
      </c>
      <c r="AY23" s="22">
        <f>Calc_WC!AY20</f>
        <v>10197.992198748716</v>
      </c>
      <c r="AZ23" s="22">
        <f>Calc_WC!AZ20</f>
        <v>9270.9019988624677</v>
      </c>
      <c r="BA23" s="22">
        <f>Calc_WC!BA20</f>
        <v>8343.8117989762195</v>
      </c>
      <c r="BB23" s="22">
        <f>Calc_WC!BB20</f>
        <v>7880.2666990330981</v>
      </c>
      <c r="BC23" s="22">
        <f>Calc_WC!BC20</f>
        <v>7416.7215990899758</v>
      </c>
      <c r="BD23" s="22">
        <f>Calc_WC!BD20</f>
        <v>7416.7215990899758</v>
      </c>
      <c r="BE23" s="22">
        <f>Calc_WC!BE20</f>
        <v>7880.2666990330981</v>
      </c>
      <c r="BF23" s="22">
        <f>Calc_WC!BF20</f>
        <v>8807.3568989193445</v>
      </c>
      <c r="BG23" s="22">
        <f>Calc_WC!BG20</f>
        <v>9734.4470988055928</v>
      </c>
      <c r="BH23" s="22">
        <f>Calc_WC!BH20</f>
        <v>10661.537298691837</v>
      </c>
      <c r="BI23" s="22">
        <f>Calc_WC!BI20</f>
        <v>12979.262798407455</v>
      </c>
      <c r="BJ23" s="22">
        <f>Calc_WC!BJ20</f>
        <v>11365.198760405498</v>
      </c>
      <c r="BK23" s="22">
        <f>Calc_WC!BK20</f>
        <v>10871.059683866133</v>
      </c>
      <c r="BL23" s="22">
        <f>Calc_WC!BL20</f>
        <v>9882.781530787388</v>
      </c>
      <c r="BM23" s="22">
        <f>Calc_WC!BM20</f>
        <v>8894.5033777086519</v>
      </c>
      <c r="BN23" s="22">
        <f>Calc_WC!BN20</f>
        <v>8400.3643011692802</v>
      </c>
      <c r="BO23" s="22">
        <f>Calc_WC!BO20</f>
        <v>7906.2252246299149</v>
      </c>
      <c r="BP23" s="22">
        <f>Calc_WC!BP20</f>
        <v>7906.2252246299149</v>
      </c>
      <c r="BQ23" s="22">
        <f>Calc_WC!BQ20</f>
        <v>8400.3643011692802</v>
      </c>
      <c r="BR23" s="22">
        <f>Calc_WC!BR20</f>
        <v>9388.6424542480199</v>
      </c>
      <c r="BS23" s="22">
        <f>Calc_WC!BS20</f>
        <v>10376.92060732676</v>
      </c>
      <c r="BT23" s="22">
        <f>Calc_WC!BT20</f>
        <v>11365.198760405498</v>
      </c>
      <c r="BU23" s="22">
        <f>Calc_WC!BU20</f>
        <v>13835.894143102343</v>
      </c>
      <c r="BV23" s="22">
        <f>Calc_WC!BV20</f>
        <v>12115.301878592265</v>
      </c>
      <c r="BW23" s="22">
        <f>Calc_WC!BW20</f>
        <v>11588.549623001296</v>
      </c>
      <c r="BX23" s="22">
        <f>Calc_WC!BX20</f>
        <v>10535.045111819356</v>
      </c>
      <c r="BY23" s="22">
        <f>Calc_WC!BY20</f>
        <v>9481.5406006374214</v>
      </c>
      <c r="BZ23" s="22">
        <f>Calc_WC!BZ20</f>
        <v>8954.7883450464542</v>
      </c>
      <c r="CA23" s="22">
        <f>Calc_WC!CA20</f>
        <v>8428.0360894554869</v>
      </c>
      <c r="CB23" s="22">
        <f>Calc_WC!CB20</f>
        <v>8428.0360894554869</v>
      </c>
      <c r="CC23" s="22">
        <f>Calc_WC!CC20</f>
        <v>8954.7883450464542</v>
      </c>
      <c r="CD23" s="22">
        <f>Calc_WC!CD20</f>
        <v>10008.292856228389</v>
      </c>
      <c r="CE23" s="22">
        <f>Calc_WC!CE20</f>
        <v>11061.797367410323</v>
      </c>
      <c r="CF23" s="22">
        <f>Calc_WC!CF20</f>
        <v>12115.301878592265</v>
      </c>
      <c r="CG23" s="22">
        <f>Calc_WC!CG20</f>
        <v>14749.063156547096</v>
      </c>
      <c r="CH23" s="22">
        <f>Calc_WC!CH20</f>
        <v>12914.911802579345</v>
      </c>
      <c r="CI23" s="22">
        <f>Calc_WC!CI20</f>
        <v>12353.393898119375</v>
      </c>
      <c r="CJ23" s="22">
        <f>Calc_WC!CJ20</f>
        <v>11230.358089199432</v>
      </c>
      <c r="CK23" s="22">
        <f>Calc_WC!CK20</f>
        <v>10107.322280279492</v>
      </c>
      <c r="CL23" s="22">
        <f>Calc_WC!CL20</f>
        <v>9545.8043758195181</v>
      </c>
      <c r="CM23" s="22">
        <f>Calc_WC!CM20</f>
        <v>8984.2864713595463</v>
      </c>
      <c r="CN23" s="22">
        <f>Calc_WC!CN20</f>
        <v>8984.2864713595463</v>
      </c>
      <c r="CO23" s="22">
        <f>Calc_WC!CO20</f>
        <v>9545.8043758195181</v>
      </c>
      <c r="CP23" s="22">
        <f>Calc_WC!CP20</f>
        <v>10668.84018473946</v>
      </c>
      <c r="CQ23" s="22">
        <f>Calc_WC!CQ20</f>
        <v>11791.875993659403</v>
      </c>
      <c r="CR23" s="22">
        <f>Calc_WC!CR20</f>
        <v>12914.911802579345</v>
      </c>
      <c r="CS23" s="22">
        <f>Calc_WC!CS20</f>
        <v>15722.5013248792</v>
      </c>
      <c r="CT23" s="22">
        <f>Calc_WC!CT20</f>
        <v>13767.295981549581</v>
      </c>
      <c r="CU23" s="22">
        <f>Calc_WC!CU20</f>
        <v>13168.717895395253</v>
      </c>
      <c r="CV23" s="22">
        <f>Calc_WC!CV20</f>
        <v>11971.56172308659</v>
      </c>
      <c r="CW23" s="22">
        <f>Calc_WC!CW20</f>
        <v>10774.405550777936</v>
      </c>
      <c r="CX23" s="22">
        <f>Calc_WC!CX20</f>
        <v>10175.827464623606</v>
      </c>
      <c r="CY23" s="22">
        <f>Calc_WC!CY20</f>
        <v>9577.2493784692779</v>
      </c>
      <c r="CZ23" s="22">
        <f>Calc_WC!CZ20</f>
        <v>9577.2493784692779</v>
      </c>
      <c r="DA23" s="22">
        <f>Calc_WC!DA20</f>
        <v>10175.827464623606</v>
      </c>
      <c r="DB23" s="22">
        <f>Calc_WC!DB20</f>
        <v>11372.983636932264</v>
      </c>
      <c r="DC23" s="22">
        <f>Calc_WC!DC20</f>
        <v>12570.139809240922</v>
      </c>
      <c r="DD23" s="22">
        <f>Calc_WC!DD20</f>
        <v>13767.295981549581</v>
      </c>
      <c r="DE23" s="22">
        <f>Calc_WC!DE20</f>
        <v>16760.186412321229</v>
      </c>
      <c r="DF23" s="22">
        <f>Calc_WC!DF20</f>
        <v>14675.937516331851</v>
      </c>
      <c r="DG23" s="22">
        <f>Calc_WC!DG20</f>
        <v>14037.853276491342</v>
      </c>
      <c r="DH23" s="22">
        <f>Calc_WC!DH20</f>
        <v>12761.684796810308</v>
      </c>
      <c r="DI23" s="22">
        <f>Calc_WC!DI20</f>
        <v>11485.516317129279</v>
      </c>
      <c r="DJ23" s="22">
        <f>Calc_WC!DJ20</f>
        <v>10847.432077288762</v>
      </c>
      <c r="DK23" s="22">
        <f>Calc_WC!DK20</f>
        <v>10209.347837448246</v>
      </c>
      <c r="DL23" s="22">
        <f>Calc_WC!DL20</f>
        <v>10209.347837448246</v>
      </c>
      <c r="DM23" s="22">
        <f>Calc_WC!DM20</f>
        <v>10847.432077288762</v>
      </c>
      <c r="DN23" s="22">
        <f>Calc_WC!DN20</f>
        <v>12123.600556969794</v>
      </c>
      <c r="DO23" s="22">
        <f>Calc_WC!DO20</f>
        <v>13399.769036650821</v>
      </c>
      <c r="DP23" s="22">
        <f>Calc_WC!DP20</f>
        <v>14675.937516331851</v>
      </c>
      <c r="DQ23" s="22">
        <f>Calc_WC!DQ20</f>
        <v>17866.358715534432</v>
      </c>
    </row>
    <row r="24" spans="1:121" ht="15" customHeight="1">
      <c r="A24" t="s">
        <v>558</v>
      </c>
      <c r="B24" s="22">
        <f>MIN(Calc_Debt!B9,Assum_Finance!$C$7/1000)</f>
        <v>3571.4285714285716</v>
      </c>
      <c r="C24" s="22">
        <f>MIN(Calc_Debt!C9,Assum_Finance!$C$7/1000)</f>
        <v>3571.4285714285716</v>
      </c>
      <c r="D24" s="22">
        <f>MIN(Calc_Debt!D9,Assum_Finance!$C$7/1000)</f>
        <v>3571.4285714285716</v>
      </c>
      <c r="E24" s="22">
        <f>MIN(Calc_Debt!E9,Assum_Finance!$C$7/1000)</f>
        <v>3571.4285714285716</v>
      </c>
      <c r="F24" s="22">
        <f>MIN(Calc_Debt!F9,Assum_Finance!$C$7/1000)</f>
        <v>3571.4285714285716</v>
      </c>
      <c r="G24" s="22">
        <f>MIN(Calc_Debt!G9,Assum_Finance!$C$7/1000)</f>
        <v>3571.4285714285716</v>
      </c>
      <c r="H24" s="22">
        <f>MIN(Calc_Debt!H9,Assum_Finance!$C$7/1000)</f>
        <v>3571.4285714285716</v>
      </c>
      <c r="I24" s="22">
        <f>MIN(Calc_Debt!I9,Assum_Finance!$C$7/1000)</f>
        <v>3571.4285714285716</v>
      </c>
      <c r="J24" s="22">
        <f>MIN(Calc_Debt!J9,Assum_Finance!$C$7/1000)</f>
        <v>3571.4285714285716</v>
      </c>
      <c r="K24" s="22">
        <f>MIN(Calc_Debt!K9,Assum_Finance!$C$7/1000)</f>
        <v>3571.4285714285716</v>
      </c>
      <c r="L24" s="22">
        <f>MIN(Calc_Debt!L9,Assum_Finance!$C$7/1000)</f>
        <v>3571.4285714285716</v>
      </c>
      <c r="M24" s="22">
        <f>MIN(Calc_Debt!M9,Assum_Finance!$C$7/1000)</f>
        <v>3571.4285714285716</v>
      </c>
      <c r="N24" s="22">
        <f>MIN(Calc_Debt!N9,Assum_Finance!$C$7/1000)</f>
        <v>3571.4285714285716</v>
      </c>
      <c r="O24" s="22">
        <f>MIN(Calc_Debt!O9,Assum_Finance!$C$7/1000)</f>
        <v>3571.4285714285716</v>
      </c>
      <c r="P24" s="22">
        <f>MIN(Calc_Debt!P9,Assum_Finance!$C$7/1000)</f>
        <v>3571.4285714285716</v>
      </c>
      <c r="Q24" s="22">
        <f>MIN(Calc_Debt!Q9,Assum_Finance!$C$7/1000)</f>
        <v>3571.4285714285716</v>
      </c>
      <c r="R24" s="22">
        <f>MIN(Calc_Debt!R9,Assum_Finance!$C$7/1000)</f>
        <v>3571.4285714285716</v>
      </c>
      <c r="S24" s="22">
        <f>MIN(Calc_Debt!S9,Assum_Finance!$C$7/1000)</f>
        <v>3571.4285714285716</v>
      </c>
      <c r="T24" s="22">
        <f>MIN(Calc_Debt!T9,Assum_Finance!$C$7/1000)</f>
        <v>3571.4285714285716</v>
      </c>
      <c r="U24" s="22">
        <f>MIN(Calc_Debt!U9,Assum_Finance!$C$7/1000)</f>
        <v>3571.4285714285716</v>
      </c>
      <c r="V24" s="22">
        <f>MIN(Calc_Debt!V9,Assum_Finance!$C$7/1000)</f>
        <v>3571.4285714285716</v>
      </c>
      <c r="W24" s="22">
        <f>MIN(Calc_Debt!W9,Assum_Finance!$C$7/1000)</f>
        <v>3571.4285714285716</v>
      </c>
      <c r="X24" s="22">
        <f>MIN(Calc_Debt!X9,Assum_Finance!$C$7/1000)</f>
        <v>3571.4285714285716</v>
      </c>
      <c r="Y24" s="22">
        <f>MIN(Calc_Debt!Y9,Assum_Finance!$C$7/1000)</f>
        <v>3571.4285714285716</v>
      </c>
      <c r="Z24" s="22">
        <f>MIN(Calc_Debt!Z9,Assum_Finance!$C$7/1000)</f>
        <v>3571.4285714285716</v>
      </c>
      <c r="AA24" s="22">
        <f>MIN(Calc_Debt!AA9,Assum_Finance!$C$7/1000)</f>
        <v>3571.4285714285716</v>
      </c>
      <c r="AB24" s="22">
        <f>MIN(Calc_Debt!AB9,Assum_Finance!$C$7/1000)</f>
        <v>3571.4285714285716</v>
      </c>
      <c r="AC24" s="22">
        <f>MIN(Calc_Debt!AC9,Assum_Finance!$C$7/1000)</f>
        <v>3571.4285714285716</v>
      </c>
      <c r="AD24" s="22">
        <f>MIN(Calc_Debt!AD9,Assum_Finance!$C$7/1000)</f>
        <v>3571.4285714285716</v>
      </c>
      <c r="AE24" s="22">
        <f>MIN(Calc_Debt!AE9,Assum_Finance!$C$7/1000)</f>
        <v>3571.4285714285716</v>
      </c>
      <c r="AF24" s="22">
        <f>MIN(Calc_Debt!AF9,Assum_Finance!$C$7/1000)</f>
        <v>3571.4285714285716</v>
      </c>
      <c r="AG24" s="22">
        <f>MIN(Calc_Debt!AG9,Assum_Finance!$C$7/1000)</f>
        <v>3571.4285714285716</v>
      </c>
      <c r="AH24" s="22">
        <f>MIN(Calc_Debt!AH9,Assum_Finance!$C$7/1000)</f>
        <v>3571.4285714285716</v>
      </c>
      <c r="AI24" s="22">
        <f>MIN(Calc_Debt!AI9,Assum_Finance!$C$7/1000)</f>
        <v>3571.4285714285716</v>
      </c>
      <c r="AJ24" s="22">
        <f>MIN(Calc_Debt!AJ9,Assum_Finance!$C$7/1000)</f>
        <v>3571.4285714285716</v>
      </c>
      <c r="AK24" s="22">
        <f>MIN(Calc_Debt!AK9,Assum_Finance!$C$7/1000)</f>
        <v>3571.4285714285716</v>
      </c>
      <c r="AL24" s="22">
        <f>MIN(Calc_Debt!AL9,Assum_Finance!$C$7/1000)</f>
        <v>3571.4285714285716</v>
      </c>
      <c r="AM24" s="22">
        <f>MIN(Calc_Debt!AM9,Assum_Finance!$C$7/1000)</f>
        <v>3571.4285714285716</v>
      </c>
      <c r="AN24" s="22">
        <f>MIN(Calc_Debt!AN9,Assum_Finance!$C$7/1000)</f>
        <v>3571.4285714285716</v>
      </c>
      <c r="AO24" s="22">
        <f>MIN(Calc_Debt!AO9,Assum_Finance!$C$7/1000)</f>
        <v>3571.4285714285716</v>
      </c>
      <c r="AP24" s="22">
        <f>MIN(Calc_Debt!AP9,Assum_Finance!$C$7/1000)</f>
        <v>3571.4285714285716</v>
      </c>
      <c r="AQ24" s="22">
        <f>MIN(Calc_Debt!AQ9,Assum_Finance!$C$7/1000)</f>
        <v>3571.4285714285716</v>
      </c>
      <c r="AR24" s="22">
        <f>MIN(Calc_Debt!AR9,Assum_Finance!$C$7/1000)</f>
        <v>3571.4285714285716</v>
      </c>
      <c r="AS24" s="22">
        <f>MIN(Calc_Debt!AS9,Assum_Finance!$C$7/1000)</f>
        <v>3571.4285714285716</v>
      </c>
      <c r="AT24" s="22">
        <f>MIN(Calc_Debt!AT9,Assum_Finance!$C$7/1000)</f>
        <v>3571.4285714285716</v>
      </c>
      <c r="AU24" s="22">
        <f>MIN(Calc_Debt!AU9,Assum_Finance!$C$7/1000)</f>
        <v>3571.4285714285716</v>
      </c>
      <c r="AV24" s="22">
        <f>MIN(Calc_Debt!AV9,Assum_Finance!$C$7/1000)</f>
        <v>3571.4285714285716</v>
      </c>
      <c r="AW24" s="22">
        <f>MIN(Calc_Debt!AW9,Assum_Finance!$C$7/1000)</f>
        <v>3571.4285714285716</v>
      </c>
      <c r="AX24" s="22">
        <f>MIN(Calc_Debt!AX9,Assum_Finance!$C$7/1000)</f>
        <v>3571.4285714285716</v>
      </c>
      <c r="AY24" s="22">
        <f>MIN(Calc_Debt!AY9,Assum_Finance!$C$7/1000)</f>
        <v>3571.4285714285716</v>
      </c>
      <c r="AZ24" s="22">
        <f>MIN(Calc_Debt!AZ9,Assum_Finance!$C$7/1000)</f>
        <v>3571.4285714285716</v>
      </c>
      <c r="BA24" s="22">
        <f>MIN(Calc_Debt!BA9,Assum_Finance!$C$7/1000)</f>
        <v>3571.4285714285716</v>
      </c>
      <c r="BB24" s="22">
        <f>MIN(Calc_Debt!BB9,Assum_Finance!$C$7/1000)</f>
        <v>3571.4285714285716</v>
      </c>
      <c r="BC24" s="22">
        <f>MIN(Calc_Debt!BC9,Assum_Finance!$C$7/1000)</f>
        <v>3571.4285714285716</v>
      </c>
      <c r="BD24" s="22">
        <f>MIN(Calc_Debt!BD9,Assum_Finance!$C$7/1000)</f>
        <v>3571.4285714285716</v>
      </c>
      <c r="BE24" s="22">
        <f>MIN(Calc_Debt!BE9,Assum_Finance!$C$7/1000)</f>
        <v>3571.4285714285716</v>
      </c>
      <c r="BF24" s="22">
        <f>MIN(Calc_Debt!BF9,Assum_Finance!$C$7/1000)</f>
        <v>3571.4285714285716</v>
      </c>
      <c r="BG24" s="22">
        <f>MIN(Calc_Debt!BG9,Assum_Finance!$C$7/1000)</f>
        <v>3571.4285714285716</v>
      </c>
      <c r="BH24" s="22">
        <f>MIN(Calc_Debt!BH9,Assum_Finance!$C$7/1000)</f>
        <v>3571.4285714285716</v>
      </c>
      <c r="BI24" s="22">
        <f>MIN(Calc_Debt!BI9,Assum_Finance!$C$7/1000)</f>
        <v>3571.4285714285716</v>
      </c>
      <c r="BJ24" s="22">
        <f>MIN(Calc_Debt!BJ9,Assum_Finance!$C$7/1000)</f>
        <v>3571.4285714285716</v>
      </c>
      <c r="BK24" s="22">
        <f>MIN(Calc_Debt!BK9,Assum_Finance!$C$7/1000)</f>
        <v>3571.4285714285716</v>
      </c>
      <c r="BL24" s="22">
        <f>MIN(Calc_Debt!BL9,Assum_Finance!$C$7/1000)</f>
        <v>3571.4285714285716</v>
      </c>
      <c r="BM24" s="22">
        <f>MIN(Calc_Debt!BM9,Assum_Finance!$C$7/1000)</f>
        <v>3571.4285714285716</v>
      </c>
      <c r="BN24" s="22">
        <f>MIN(Calc_Debt!BN9,Assum_Finance!$C$7/1000)</f>
        <v>3571.4285714285716</v>
      </c>
      <c r="BO24" s="22">
        <f>MIN(Calc_Debt!BO9,Assum_Finance!$C$7/1000)</f>
        <v>3571.4285714285716</v>
      </c>
      <c r="BP24" s="22">
        <f>MIN(Calc_Debt!BP9,Assum_Finance!$C$7/1000)</f>
        <v>3571.4285714285716</v>
      </c>
      <c r="BQ24" s="22">
        <f>MIN(Calc_Debt!BQ9,Assum_Finance!$C$7/1000)</f>
        <v>3571.4285714285716</v>
      </c>
      <c r="BR24" s="22">
        <f>MIN(Calc_Debt!BR9,Assum_Finance!$C$7/1000)</f>
        <v>3571.4285714285716</v>
      </c>
      <c r="BS24" s="22">
        <f>MIN(Calc_Debt!BS9,Assum_Finance!$C$7/1000)</f>
        <v>3571.4285714285716</v>
      </c>
      <c r="BT24" s="22">
        <f>MIN(Calc_Debt!BT9,Assum_Finance!$C$7/1000)</f>
        <v>3571.4285714285716</v>
      </c>
      <c r="BU24" s="22">
        <f>MIN(Calc_Debt!BU9,Assum_Finance!$C$7/1000)</f>
        <v>3571.4285714285716</v>
      </c>
      <c r="BV24" s="22">
        <f>MIN(Calc_Debt!BV9,Assum_Finance!$C$7/1000)</f>
        <v>3273.8095238095684</v>
      </c>
      <c r="BW24" s="22">
        <f>MIN(Calc_Debt!BW9,Assum_Finance!$C$7/1000)</f>
        <v>2976.1904761905207</v>
      </c>
      <c r="BX24" s="22">
        <f>MIN(Calc_Debt!BX9,Assum_Finance!$C$7/1000)</f>
        <v>2678.571428571473</v>
      </c>
      <c r="BY24" s="22">
        <f>MIN(Calc_Debt!BY9,Assum_Finance!$C$7/1000)</f>
        <v>2380.9523809524253</v>
      </c>
      <c r="BZ24" s="22">
        <f>MIN(Calc_Debt!BZ9,Assum_Finance!$C$7/1000)</f>
        <v>2083.3333333333776</v>
      </c>
      <c r="CA24" s="22">
        <f>MIN(Calc_Debt!CA9,Assum_Finance!$C$7/1000)</f>
        <v>1785.7142857143299</v>
      </c>
      <c r="CB24" s="22">
        <f>MIN(Calc_Debt!CB9,Assum_Finance!$C$7/1000)</f>
        <v>1488.0952380952822</v>
      </c>
      <c r="CC24" s="22">
        <f>MIN(Calc_Debt!CC9,Assum_Finance!$C$7/1000)</f>
        <v>1190.4761904762345</v>
      </c>
      <c r="CD24" s="22">
        <f>MIN(Calc_Debt!CD9,Assum_Finance!$C$7/1000)</f>
        <v>892.85714285718677</v>
      </c>
      <c r="CE24" s="22">
        <f>MIN(Calc_Debt!CE9,Assum_Finance!$C$7/1000)</f>
        <v>595.23809523813907</v>
      </c>
      <c r="CF24" s="22">
        <f>MIN(Calc_Debt!CF9,Assum_Finance!$C$7/1000)</f>
        <v>297.61904761909142</v>
      </c>
      <c r="CG24" s="22">
        <f>MIN(Calc_Debt!CG9,Assum_Finance!$C$7/1000)</f>
        <v>4.3769432522822171E-11</v>
      </c>
      <c r="CH24" s="22">
        <f>MIN(Calc_Debt!CH9,Assum_Finance!$C$7/1000)</f>
        <v>0</v>
      </c>
      <c r="CI24" s="22">
        <f>MIN(Calc_Debt!CI9,Assum_Finance!$C$7/1000)</f>
        <v>0</v>
      </c>
      <c r="CJ24" s="22">
        <f>MIN(Calc_Debt!CJ9,Assum_Finance!$C$7/1000)</f>
        <v>0</v>
      </c>
      <c r="CK24" s="22">
        <f>MIN(Calc_Debt!CK9,Assum_Finance!$C$7/1000)</f>
        <v>0</v>
      </c>
      <c r="CL24" s="22">
        <f>MIN(Calc_Debt!CL9,Assum_Finance!$C$7/1000)</f>
        <v>0</v>
      </c>
      <c r="CM24" s="22">
        <f>MIN(Calc_Debt!CM9,Assum_Finance!$C$7/1000)</f>
        <v>0</v>
      </c>
      <c r="CN24" s="22">
        <f>MIN(Calc_Debt!CN9,Assum_Finance!$C$7/1000)</f>
        <v>0</v>
      </c>
      <c r="CO24" s="22">
        <f>MIN(Calc_Debt!CO9,Assum_Finance!$C$7/1000)</f>
        <v>0</v>
      </c>
      <c r="CP24" s="22">
        <f>MIN(Calc_Debt!CP9,Assum_Finance!$C$7/1000)</f>
        <v>0</v>
      </c>
      <c r="CQ24" s="22">
        <f>MIN(Calc_Debt!CQ9,Assum_Finance!$C$7/1000)</f>
        <v>0</v>
      </c>
      <c r="CR24" s="22">
        <f>MIN(Calc_Debt!CR9,Assum_Finance!$C$7/1000)</f>
        <v>0</v>
      </c>
      <c r="CS24" s="22">
        <f>MIN(Calc_Debt!CS9,Assum_Finance!$C$7/1000)</f>
        <v>0</v>
      </c>
      <c r="CT24" s="22">
        <f>MIN(Calc_Debt!CT9,Assum_Finance!$C$7/1000)</f>
        <v>0</v>
      </c>
      <c r="CU24" s="22">
        <f>MIN(Calc_Debt!CU9,Assum_Finance!$C$7/1000)</f>
        <v>0</v>
      </c>
      <c r="CV24" s="22">
        <f>MIN(Calc_Debt!CV9,Assum_Finance!$C$7/1000)</f>
        <v>0</v>
      </c>
      <c r="CW24" s="22">
        <f>MIN(Calc_Debt!CW9,Assum_Finance!$C$7/1000)</f>
        <v>0</v>
      </c>
      <c r="CX24" s="22">
        <f>MIN(Calc_Debt!CX9,Assum_Finance!$C$7/1000)</f>
        <v>0</v>
      </c>
      <c r="CY24" s="22">
        <f>MIN(Calc_Debt!CY9,Assum_Finance!$C$7/1000)</f>
        <v>0</v>
      </c>
      <c r="CZ24" s="22">
        <f>MIN(Calc_Debt!CZ9,Assum_Finance!$C$7/1000)</f>
        <v>0</v>
      </c>
      <c r="DA24" s="22">
        <f>MIN(Calc_Debt!DA9,Assum_Finance!$C$7/1000)</f>
        <v>0</v>
      </c>
      <c r="DB24" s="22">
        <f>MIN(Calc_Debt!DB9,Assum_Finance!$C$7/1000)</f>
        <v>0</v>
      </c>
      <c r="DC24" s="22">
        <f>MIN(Calc_Debt!DC9,Assum_Finance!$C$7/1000)</f>
        <v>0</v>
      </c>
      <c r="DD24" s="22">
        <f>MIN(Calc_Debt!DD9,Assum_Finance!$C$7/1000)</f>
        <v>0</v>
      </c>
      <c r="DE24" s="22">
        <f>MIN(Calc_Debt!DE9,Assum_Finance!$C$7/1000)</f>
        <v>0</v>
      </c>
      <c r="DF24" s="22">
        <f>MIN(Calc_Debt!DF9,Assum_Finance!$C$7/1000)</f>
        <v>0</v>
      </c>
      <c r="DG24" s="22">
        <f>MIN(Calc_Debt!DG9,Assum_Finance!$C$7/1000)</f>
        <v>0</v>
      </c>
      <c r="DH24" s="22">
        <f>MIN(Calc_Debt!DH9,Assum_Finance!$C$7/1000)</f>
        <v>0</v>
      </c>
      <c r="DI24" s="22">
        <f>MIN(Calc_Debt!DI9,Assum_Finance!$C$7/1000)</f>
        <v>0</v>
      </c>
      <c r="DJ24" s="22">
        <f>MIN(Calc_Debt!DJ9,Assum_Finance!$C$7/1000)</f>
        <v>0</v>
      </c>
      <c r="DK24" s="22">
        <f>MIN(Calc_Debt!DK9,Assum_Finance!$C$7/1000)</f>
        <v>0</v>
      </c>
      <c r="DL24" s="22">
        <f>MIN(Calc_Debt!DL9,Assum_Finance!$C$7/1000)</f>
        <v>0</v>
      </c>
      <c r="DM24" s="22">
        <f>MIN(Calc_Debt!DM9,Assum_Finance!$C$7/1000)</f>
        <v>0</v>
      </c>
      <c r="DN24" s="22">
        <f>MIN(Calc_Debt!DN9,Assum_Finance!$C$7/1000)</f>
        <v>0</v>
      </c>
      <c r="DO24" s="22">
        <f>MIN(Calc_Debt!DO9,Assum_Finance!$C$7/1000)</f>
        <v>0</v>
      </c>
      <c r="DP24" s="22">
        <f>MIN(Calc_Debt!DP9,Assum_Finance!$C$7/1000)</f>
        <v>0</v>
      </c>
      <c r="DQ24" s="22">
        <f>MIN(Calc_Debt!DQ9,Assum_Finance!$C$7/1000)</f>
        <v>0</v>
      </c>
    </row>
    <row r="25" spans="1:121" ht="15" customHeight="1">
      <c r="A25" s="14" t="s">
        <v>559</v>
      </c>
      <c r="B25" s="30">
        <f t="shared" ref="B25:AG25" si="12">SUM(B22:B24)</f>
        <v>30404.31020156556</v>
      </c>
      <c r="C25" s="30">
        <f t="shared" si="12"/>
        <v>29237.663174168301</v>
      </c>
      <c r="D25" s="30">
        <f t="shared" si="12"/>
        <v>26904.36911937378</v>
      </c>
      <c r="E25" s="30">
        <f t="shared" si="12"/>
        <v>24571.075064579258</v>
      </c>
      <c r="F25" s="30">
        <f t="shared" si="12"/>
        <v>23404.428037181999</v>
      </c>
      <c r="G25" s="30">
        <f t="shared" si="12"/>
        <v>22237.78100978474</v>
      </c>
      <c r="H25" s="30">
        <f t="shared" si="12"/>
        <v>22237.78100978474</v>
      </c>
      <c r="I25" s="30">
        <f t="shared" si="12"/>
        <v>23404.428037181999</v>
      </c>
      <c r="J25" s="30">
        <f t="shared" si="12"/>
        <v>25737.722091976517</v>
      </c>
      <c r="K25" s="30">
        <f t="shared" si="12"/>
        <v>28071.016146771039</v>
      </c>
      <c r="L25" s="30">
        <f t="shared" si="12"/>
        <v>30404.31020156556</v>
      </c>
      <c r="M25" s="30">
        <f t="shared" si="12"/>
        <v>36237.545338551856</v>
      </c>
      <c r="N25" s="30">
        <f t="shared" si="12"/>
        <v>33275.428535990221</v>
      </c>
      <c r="O25" s="30">
        <f t="shared" si="12"/>
        <v>31983.950276661453</v>
      </c>
      <c r="P25" s="30">
        <f t="shared" si="12"/>
        <v>29400.993758003908</v>
      </c>
      <c r="Q25" s="30">
        <f t="shared" si="12"/>
        <v>26818.037239346377</v>
      </c>
      <c r="R25" s="30">
        <f t="shared" si="12"/>
        <v>25526.558980017609</v>
      </c>
      <c r="S25" s="30">
        <f t="shared" si="12"/>
        <v>24235.080720688849</v>
      </c>
      <c r="T25" s="30">
        <f t="shared" si="12"/>
        <v>24235.080720688849</v>
      </c>
      <c r="U25" s="30">
        <f t="shared" si="12"/>
        <v>25526.558980017609</v>
      </c>
      <c r="V25" s="30">
        <f t="shared" si="12"/>
        <v>28109.515498675151</v>
      </c>
      <c r="W25" s="30">
        <f t="shared" si="12"/>
        <v>30692.472017332682</v>
      </c>
      <c r="X25" s="30">
        <f t="shared" si="12"/>
        <v>33275.428535990221</v>
      </c>
      <c r="Y25" s="30">
        <f t="shared" si="12"/>
        <v>39732.819832634043</v>
      </c>
      <c r="Z25" s="30">
        <f t="shared" si="12"/>
        <v>36453.756532198313</v>
      </c>
      <c r="AA25" s="30">
        <f t="shared" si="12"/>
        <v>35024.090099121378</v>
      </c>
      <c r="AB25" s="30">
        <f t="shared" si="12"/>
        <v>32164.757232967477</v>
      </c>
      <c r="AC25" s="30">
        <f t="shared" si="12"/>
        <v>29305.424366813582</v>
      </c>
      <c r="AD25" s="30">
        <f t="shared" si="12"/>
        <v>27875.757933736648</v>
      </c>
      <c r="AE25" s="30">
        <f t="shared" si="12"/>
        <v>26446.091500659699</v>
      </c>
      <c r="AF25" s="30">
        <f t="shared" si="12"/>
        <v>26446.091500659699</v>
      </c>
      <c r="AG25" s="30">
        <f t="shared" si="12"/>
        <v>27875.757933736648</v>
      </c>
      <c r="AH25" s="30">
        <f t="shared" ref="AH25:BM25" si="13">SUM(AH22:AH24)</f>
        <v>30735.090799890531</v>
      </c>
      <c r="AI25" s="30">
        <f t="shared" si="13"/>
        <v>33594.423666044429</v>
      </c>
      <c r="AJ25" s="30">
        <f t="shared" si="13"/>
        <v>36453.756532198313</v>
      </c>
      <c r="AK25" s="30">
        <f t="shared" si="13"/>
        <v>43602.088697583029</v>
      </c>
      <c r="AL25" s="30">
        <f t="shared" si="13"/>
        <v>39298.077900804892</v>
      </c>
      <c r="AM25" s="30">
        <f t="shared" si="13"/>
        <v>37744.745321266804</v>
      </c>
      <c r="AN25" s="30">
        <f t="shared" si="13"/>
        <v>34638.080162190592</v>
      </c>
      <c r="AO25" s="30">
        <f t="shared" si="13"/>
        <v>31531.415003114394</v>
      </c>
      <c r="AP25" s="30">
        <f t="shared" si="13"/>
        <v>29978.082423576292</v>
      </c>
      <c r="AQ25" s="30">
        <f t="shared" si="13"/>
        <v>28424.74984403819</v>
      </c>
      <c r="AR25" s="30">
        <f t="shared" si="13"/>
        <v>28424.74984403819</v>
      </c>
      <c r="AS25" s="30">
        <f t="shared" si="13"/>
        <v>29978.082423576292</v>
      </c>
      <c r="AT25" s="30">
        <f t="shared" si="13"/>
        <v>33084.74758265249</v>
      </c>
      <c r="AU25" s="30">
        <f t="shared" si="13"/>
        <v>36191.412741728695</v>
      </c>
      <c r="AV25" s="30">
        <f t="shared" si="13"/>
        <v>39298.077900804892</v>
      </c>
      <c r="AW25" s="30">
        <f t="shared" si="13"/>
        <v>47064.74079849539</v>
      </c>
      <c r="AX25" s="30">
        <f t="shared" si="13"/>
        <v>42388.433067795937</v>
      </c>
      <c r="AY25" s="30">
        <f t="shared" si="13"/>
        <v>40700.737220127805</v>
      </c>
      <c r="AZ25" s="30">
        <f t="shared" si="13"/>
        <v>37325.345524791504</v>
      </c>
      <c r="BA25" s="30">
        <f t="shared" si="13"/>
        <v>33949.953829455204</v>
      </c>
      <c r="BB25" s="30">
        <f t="shared" si="13"/>
        <v>32262.257981787068</v>
      </c>
      <c r="BC25" s="30">
        <f t="shared" si="13"/>
        <v>30574.562134118922</v>
      </c>
      <c r="BD25" s="30">
        <f t="shared" si="13"/>
        <v>30574.562134118922</v>
      </c>
      <c r="BE25" s="30">
        <f t="shared" si="13"/>
        <v>32262.257981787068</v>
      </c>
      <c r="BF25" s="30">
        <f t="shared" si="13"/>
        <v>35637.649677123358</v>
      </c>
      <c r="BG25" s="30">
        <f t="shared" si="13"/>
        <v>39013.041372459651</v>
      </c>
      <c r="BH25" s="30">
        <f t="shared" si="13"/>
        <v>42388.433067795937</v>
      </c>
      <c r="BI25" s="30">
        <f t="shared" si="13"/>
        <v>50826.912306136677</v>
      </c>
      <c r="BJ25" s="30">
        <f t="shared" si="13"/>
        <v>44950.355364556191</v>
      </c>
      <c r="BK25" s="30">
        <f t="shared" si="13"/>
        <v>43151.271590941957</v>
      </c>
      <c r="BL25" s="30">
        <f t="shared" si="13"/>
        <v>39553.104043713458</v>
      </c>
      <c r="BM25" s="30">
        <f t="shared" si="13"/>
        <v>35954.936496484974</v>
      </c>
      <c r="BN25" s="30">
        <f t="shared" ref="BN25:CS25" si="14">SUM(BN22:BN24)</f>
        <v>34155.852722870717</v>
      </c>
      <c r="BO25" s="30">
        <f t="shared" si="14"/>
        <v>32356.768949256486</v>
      </c>
      <c r="BP25" s="30">
        <f t="shared" si="14"/>
        <v>32356.768949256486</v>
      </c>
      <c r="BQ25" s="30">
        <f t="shared" si="14"/>
        <v>34155.852722870717</v>
      </c>
      <c r="BR25" s="30">
        <f t="shared" si="14"/>
        <v>37754.020270099216</v>
      </c>
      <c r="BS25" s="30">
        <f t="shared" si="14"/>
        <v>41352.1878173277</v>
      </c>
      <c r="BT25" s="30">
        <f t="shared" si="14"/>
        <v>44950.355364556191</v>
      </c>
      <c r="BU25" s="30">
        <f t="shared" si="14"/>
        <v>53945.774232627402</v>
      </c>
      <c r="BV25" s="30">
        <f t="shared" si="14"/>
        <v>47383.745485283609</v>
      </c>
      <c r="BW25" s="30">
        <f t="shared" si="14"/>
        <v>45168.303134991773</v>
      </c>
      <c r="BX25" s="30">
        <f t="shared" si="14"/>
        <v>41035.037482027146</v>
      </c>
      <c r="BY25" s="30">
        <f t="shared" si="14"/>
        <v>36901.771829062534</v>
      </c>
      <c r="BZ25" s="30">
        <f t="shared" si="14"/>
        <v>34686.329478770713</v>
      </c>
      <c r="CA25" s="30">
        <f t="shared" si="14"/>
        <v>32470.88712847888</v>
      </c>
      <c r="CB25" s="30">
        <f t="shared" si="14"/>
        <v>32173.268080859831</v>
      </c>
      <c r="CC25" s="30">
        <f t="shared" si="14"/>
        <v>33793.472335913568</v>
      </c>
      <c r="CD25" s="30">
        <f t="shared" si="14"/>
        <v>37331.499893640088</v>
      </c>
      <c r="CE25" s="30">
        <f t="shared" si="14"/>
        <v>40869.527451366608</v>
      </c>
      <c r="CF25" s="30">
        <f t="shared" si="14"/>
        <v>44407.555009093128</v>
      </c>
      <c r="CG25" s="30">
        <f t="shared" si="14"/>
        <v>53699.052474837998</v>
      </c>
      <c r="CH25" s="30">
        <f t="shared" si="14"/>
        <v>47021.191734931308</v>
      </c>
      <c r="CI25" s="30">
        <f t="shared" si="14"/>
        <v>44976.792094282129</v>
      </c>
      <c r="CJ25" s="30">
        <f t="shared" si="14"/>
        <v>40887.99281298375</v>
      </c>
      <c r="CK25" s="30">
        <f t="shared" si="14"/>
        <v>36799.193531685378</v>
      </c>
      <c r="CL25" s="30">
        <f t="shared" si="14"/>
        <v>34754.793891036185</v>
      </c>
      <c r="CM25" s="30">
        <f t="shared" si="14"/>
        <v>32710.394250387006</v>
      </c>
      <c r="CN25" s="30">
        <f t="shared" si="14"/>
        <v>32710.394250387006</v>
      </c>
      <c r="CO25" s="30">
        <f t="shared" si="14"/>
        <v>34754.793891036185</v>
      </c>
      <c r="CP25" s="30">
        <f t="shared" si="14"/>
        <v>38843.593172334557</v>
      </c>
      <c r="CQ25" s="30">
        <f t="shared" si="14"/>
        <v>42932.392453632929</v>
      </c>
      <c r="CR25" s="30">
        <f t="shared" si="14"/>
        <v>47021.191734931308</v>
      </c>
      <c r="CS25" s="30">
        <f t="shared" si="14"/>
        <v>57243.189938177245</v>
      </c>
      <c r="CT25" s="30">
        <f t="shared" ref="CT25:DY25" si="15">SUM(CT22:CT24)</f>
        <v>50124.590389436766</v>
      </c>
      <c r="CU25" s="30">
        <f t="shared" si="15"/>
        <v>47945.260372504752</v>
      </c>
      <c r="CV25" s="30">
        <f t="shared" si="15"/>
        <v>43586.600338640666</v>
      </c>
      <c r="CW25" s="30">
        <f t="shared" si="15"/>
        <v>39227.94030477661</v>
      </c>
      <c r="CX25" s="30">
        <f t="shared" si="15"/>
        <v>37048.610287844574</v>
      </c>
      <c r="CY25" s="30">
        <f t="shared" si="15"/>
        <v>34869.280270912546</v>
      </c>
      <c r="CZ25" s="30">
        <f t="shared" si="15"/>
        <v>34869.280270912546</v>
      </c>
      <c r="DA25" s="30">
        <f t="shared" si="15"/>
        <v>37048.610287844574</v>
      </c>
      <c r="DB25" s="30">
        <f t="shared" si="15"/>
        <v>41407.270321708638</v>
      </c>
      <c r="DC25" s="30">
        <f t="shared" si="15"/>
        <v>45765.930355572709</v>
      </c>
      <c r="DD25" s="30">
        <f t="shared" si="15"/>
        <v>50124.590389436766</v>
      </c>
      <c r="DE25" s="30">
        <f t="shared" si="15"/>
        <v>61021.240474096936</v>
      </c>
      <c r="DF25" s="30">
        <f t="shared" si="15"/>
        <v>53432.813355139588</v>
      </c>
      <c r="DG25" s="30">
        <f t="shared" si="15"/>
        <v>51109.647557090058</v>
      </c>
      <c r="DH25" s="30">
        <f t="shared" si="15"/>
        <v>46463.315960990956</v>
      </c>
      <c r="DI25" s="30">
        <f t="shared" si="15"/>
        <v>41816.984364891861</v>
      </c>
      <c r="DJ25" s="30">
        <f t="shared" si="15"/>
        <v>39493.81856684231</v>
      </c>
      <c r="DK25" s="30">
        <f t="shared" si="15"/>
        <v>37170.652768792766</v>
      </c>
      <c r="DL25" s="30">
        <f t="shared" si="15"/>
        <v>37170.652768792766</v>
      </c>
      <c r="DM25" s="30">
        <f t="shared" si="15"/>
        <v>39493.81856684231</v>
      </c>
      <c r="DN25" s="30">
        <f t="shared" si="15"/>
        <v>44140.150162941412</v>
      </c>
      <c r="DO25" s="30">
        <f t="shared" si="15"/>
        <v>48786.4817590405</v>
      </c>
      <c r="DP25" s="30">
        <f t="shared" si="15"/>
        <v>53432.813355139588</v>
      </c>
      <c r="DQ25" s="30">
        <f t="shared" si="15"/>
        <v>65048.642345387343</v>
      </c>
    </row>
    <row r="27" spans="1:121" ht="15" customHeight="1">
      <c r="A27" s="14" t="s">
        <v>560</v>
      </c>
    </row>
    <row r="28" spans="1:121" ht="15" customHeight="1">
      <c r="A28" t="s">
        <v>561</v>
      </c>
      <c r="B28" s="22">
        <f>MAX(0,Calc_Debt!B20-B24)</f>
        <v>21130.952380952382</v>
      </c>
      <c r="C28" s="22">
        <f>MAX(0,Calc_Debt!C20-C24)</f>
        <v>20833.333333333336</v>
      </c>
      <c r="D28" s="22">
        <f>MAX(0,Calc_Debt!D20-D24)</f>
        <v>20535.71428571429</v>
      </c>
      <c r="E28" s="22">
        <f>MAX(0,Calc_Debt!E20-E24)</f>
        <v>20238.095238095244</v>
      </c>
      <c r="F28" s="22">
        <f>MAX(0,Calc_Debt!F20-F24)</f>
        <v>19940.476190476198</v>
      </c>
      <c r="G28" s="22">
        <f>MAX(0,Calc_Debt!G20-G24)</f>
        <v>19642.857142857152</v>
      </c>
      <c r="H28" s="22">
        <f>MAX(0,Calc_Debt!H20-H24)</f>
        <v>19345.238095238106</v>
      </c>
      <c r="I28" s="22">
        <f>MAX(0,Calc_Debt!I20-I24)</f>
        <v>19047.61904761906</v>
      </c>
      <c r="J28" s="22">
        <f>MAX(0,Calc_Debt!J20-J24)</f>
        <v>18750.000000000015</v>
      </c>
      <c r="K28" s="22">
        <f>MAX(0,Calc_Debt!K20-K24)</f>
        <v>18452.380952380969</v>
      </c>
      <c r="L28" s="22">
        <f>MAX(0,Calc_Debt!L20-L24)</f>
        <v>18154.761904761923</v>
      </c>
      <c r="M28" s="22">
        <f>MAX(0,Calc_Debt!M20-M24)</f>
        <v>17857.142857142877</v>
      </c>
      <c r="N28" s="22">
        <f>MAX(0,Calc_Debt!N20-N24)</f>
        <v>17559.523809523831</v>
      </c>
      <c r="O28" s="22">
        <f>MAX(0,Calc_Debt!O20-O24)</f>
        <v>17261.904761904785</v>
      </c>
      <c r="P28" s="22">
        <f>MAX(0,Calc_Debt!P20-P24)</f>
        <v>16964.285714285739</v>
      </c>
      <c r="Q28" s="22">
        <f>MAX(0,Calc_Debt!Q20-Q24)</f>
        <v>16666.666666666693</v>
      </c>
      <c r="R28" s="22">
        <f>MAX(0,Calc_Debt!R20-R24)</f>
        <v>16369.047619047647</v>
      </c>
      <c r="S28" s="22">
        <f>MAX(0,Calc_Debt!S20-S24)</f>
        <v>16071.428571428602</v>
      </c>
      <c r="T28" s="22">
        <f>MAX(0,Calc_Debt!T20-T24)</f>
        <v>15773.809523809556</v>
      </c>
      <c r="U28" s="22">
        <f>MAX(0,Calc_Debt!U20-U24)</f>
        <v>15476.19047619051</v>
      </c>
      <c r="V28" s="22">
        <f>MAX(0,Calc_Debt!V20-V24)</f>
        <v>15178.571428571464</v>
      </c>
      <c r="W28" s="22">
        <f>MAX(0,Calc_Debt!W20-W24)</f>
        <v>14880.952380952418</v>
      </c>
      <c r="X28" s="22">
        <f>MAX(0,Calc_Debt!X20-X24)</f>
        <v>14583.333333333372</v>
      </c>
      <c r="Y28" s="22">
        <f>MAX(0,Calc_Debt!Y20-Y24)</f>
        <v>14285.714285714326</v>
      </c>
      <c r="Z28" s="22">
        <f>MAX(0,Calc_Debt!Z20-Z24)</f>
        <v>13988.09523809528</v>
      </c>
      <c r="AA28" s="22">
        <f>MAX(0,Calc_Debt!AA20-AA24)</f>
        <v>13690.476190476234</v>
      </c>
      <c r="AB28" s="22">
        <f>MAX(0,Calc_Debt!AB20-AB24)</f>
        <v>13392.857142857189</v>
      </c>
      <c r="AC28" s="22">
        <f>MAX(0,Calc_Debt!AC20-AC24)</f>
        <v>13095.238095238143</v>
      </c>
      <c r="AD28" s="22">
        <f>MAX(0,Calc_Debt!AD20-AD24)</f>
        <v>12797.619047619097</v>
      </c>
      <c r="AE28" s="22">
        <f>MAX(0,Calc_Debt!AE20-AE24)</f>
        <v>12500.000000000047</v>
      </c>
      <c r="AF28" s="22">
        <f>MAX(0,Calc_Debt!AF20-AF24)</f>
        <v>12202.380952381001</v>
      </c>
      <c r="AG28" s="22">
        <f>MAX(0,Calc_Debt!AG20-AG24)</f>
        <v>11904.761904761952</v>
      </c>
      <c r="AH28" s="22">
        <f>MAX(0,Calc_Debt!AH20-AH24)</f>
        <v>11607.142857142906</v>
      </c>
      <c r="AI28" s="22">
        <f>MAX(0,Calc_Debt!AI20-AI24)</f>
        <v>11309.523809523856</v>
      </c>
      <c r="AJ28" s="22">
        <f>MAX(0,Calc_Debt!AJ20-AJ24)</f>
        <v>11011.904761904811</v>
      </c>
      <c r="AK28" s="22">
        <f>MAX(0,Calc_Debt!AK20-AK24)</f>
        <v>10714.285714285761</v>
      </c>
      <c r="AL28" s="22">
        <f>MAX(0,Calc_Debt!AL20-AL24)</f>
        <v>10416.666666666715</v>
      </c>
      <c r="AM28" s="22">
        <f>MAX(0,Calc_Debt!AM20-AM24)</f>
        <v>10119.047619047666</v>
      </c>
      <c r="AN28" s="22">
        <f>MAX(0,Calc_Debt!AN20-AN24)</f>
        <v>9821.4285714286198</v>
      </c>
      <c r="AO28" s="22">
        <f>MAX(0,Calc_Debt!AO20-AO24)</f>
        <v>9523.8095238095702</v>
      </c>
      <c r="AP28" s="22">
        <f>MAX(0,Calc_Debt!AP20-AP24)</f>
        <v>9226.1904761905244</v>
      </c>
      <c r="AQ28" s="22">
        <f>MAX(0,Calc_Debt!AQ20-AQ24)</f>
        <v>8928.5714285714748</v>
      </c>
      <c r="AR28" s="22">
        <f>MAX(0,Calc_Debt!AR20-AR24)</f>
        <v>8630.9523809524289</v>
      </c>
      <c r="AS28" s="22">
        <f>MAX(0,Calc_Debt!AS20-AS24)</f>
        <v>8333.3333333333794</v>
      </c>
      <c r="AT28" s="22">
        <f>MAX(0,Calc_Debt!AT20-AT24)</f>
        <v>8035.7142857143326</v>
      </c>
      <c r="AU28" s="22">
        <f>MAX(0,Calc_Debt!AU20-AU24)</f>
        <v>7738.0952380952849</v>
      </c>
      <c r="AV28" s="22">
        <f>MAX(0,Calc_Debt!AV20-AV24)</f>
        <v>7440.4761904762372</v>
      </c>
      <c r="AW28" s="22">
        <f>MAX(0,Calc_Debt!AW20-AW24)</f>
        <v>7142.8571428571895</v>
      </c>
      <c r="AX28" s="22">
        <f>MAX(0,Calc_Debt!AX20-AX24)</f>
        <v>6845.2380952381418</v>
      </c>
      <c r="AY28" s="22">
        <f>MAX(0,Calc_Debt!AY20-AY24)</f>
        <v>6547.6190476190941</v>
      </c>
      <c r="AZ28" s="22">
        <f>MAX(0,Calc_Debt!AZ20-AZ24)</f>
        <v>6250.0000000000464</v>
      </c>
      <c r="BA28" s="22">
        <f>MAX(0,Calc_Debt!BA20-BA24)</f>
        <v>5952.3809523809987</v>
      </c>
      <c r="BB28" s="22">
        <f>MAX(0,Calc_Debt!BB20-BB24)</f>
        <v>5654.761904761951</v>
      </c>
      <c r="BC28" s="22">
        <f>MAX(0,Calc_Debt!BC20-BC24)</f>
        <v>5357.1428571429033</v>
      </c>
      <c r="BD28" s="22">
        <f>MAX(0,Calc_Debt!BD20-BD24)</f>
        <v>5059.5238095238556</v>
      </c>
      <c r="BE28" s="22">
        <f>MAX(0,Calc_Debt!BE20-BE24)</f>
        <v>4761.9047619048079</v>
      </c>
      <c r="BF28" s="22">
        <f>MAX(0,Calc_Debt!BF20-BF24)</f>
        <v>4464.2857142857602</v>
      </c>
      <c r="BG28" s="22">
        <f>MAX(0,Calc_Debt!BG20-BG24)</f>
        <v>4166.6666666667124</v>
      </c>
      <c r="BH28" s="22">
        <f>MAX(0,Calc_Debt!BH20-BH24)</f>
        <v>3869.0476190476647</v>
      </c>
      <c r="BI28" s="22">
        <f>MAX(0,Calc_Debt!BI20-BI24)</f>
        <v>3571.428571428617</v>
      </c>
      <c r="BJ28" s="22">
        <f>MAX(0,Calc_Debt!BJ20-BJ24)</f>
        <v>3273.8095238095693</v>
      </c>
      <c r="BK28" s="22">
        <f>MAX(0,Calc_Debt!BK20-BK24)</f>
        <v>2976.1904761905216</v>
      </c>
      <c r="BL28" s="22">
        <f>MAX(0,Calc_Debt!BL20-BL24)</f>
        <v>2678.5714285714739</v>
      </c>
      <c r="BM28" s="22">
        <f>MAX(0,Calc_Debt!BM20-BM24)</f>
        <v>2380.9523809524262</v>
      </c>
      <c r="BN28" s="22">
        <f>MAX(0,Calc_Debt!BN20-BN24)</f>
        <v>2083.3333333333785</v>
      </c>
      <c r="BO28" s="22">
        <f>MAX(0,Calc_Debt!BO20-BO24)</f>
        <v>1785.7142857143308</v>
      </c>
      <c r="BP28" s="22">
        <f>MAX(0,Calc_Debt!BP20-BP24)</f>
        <v>1488.0952380952831</v>
      </c>
      <c r="BQ28" s="22">
        <f>MAX(0,Calc_Debt!BQ20-BQ24)</f>
        <v>1190.4761904762354</v>
      </c>
      <c r="BR28" s="22">
        <f>MAX(0,Calc_Debt!BR20-BR24)</f>
        <v>892.85714285718768</v>
      </c>
      <c r="BS28" s="22">
        <f>MAX(0,Calc_Debt!BS20-BS24)</f>
        <v>595.23809523813998</v>
      </c>
      <c r="BT28" s="22">
        <f>MAX(0,Calc_Debt!BT20-BT24)</f>
        <v>297.61904761909227</v>
      </c>
      <c r="BU28" s="22">
        <f>MAX(0,Calc_Debt!BU20-BU24)</f>
        <v>4.4565240386873484E-11</v>
      </c>
      <c r="BV28" s="22">
        <f>MAX(0,Calc_Debt!BV20-BV24)</f>
        <v>0</v>
      </c>
      <c r="BW28" s="22">
        <f>MAX(0,Calc_Debt!BW20-BW24)</f>
        <v>0</v>
      </c>
      <c r="BX28" s="22">
        <f>MAX(0,Calc_Debt!BX20-BX24)</f>
        <v>0</v>
      </c>
      <c r="BY28" s="22">
        <f>MAX(0,Calc_Debt!BY20-BY24)</f>
        <v>0</v>
      </c>
      <c r="BZ28" s="22">
        <f>MAX(0,Calc_Debt!BZ20-BZ24)</f>
        <v>0</v>
      </c>
      <c r="CA28" s="22">
        <f>MAX(0,Calc_Debt!CA20-CA24)</f>
        <v>0</v>
      </c>
      <c r="CB28" s="22">
        <f>MAX(0,Calc_Debt!CB20-CB24)</f>
        <v>0</v>
      </c>
      <c r="CC28" s="22">
        <f>MAX(0,Calc_Debt!CC20-CC24)</f>
        <v>0</v>
      </c>
      <c r="CD28" s="22">
        <f>MAX(0,Calc_Debt!CD20-CD24)</f>
        <v>0</v>
      </c>
      <c r="CE28" s="22">
        <f>MAX(0,Calc_Debt!CE20-CE24)</f>
        <v>0</v>
      </c>
      <c r="CF28" s="22">
        <f>MAX(0,Calc_Debt!CF20-CF24)</f>
        <v>0</v>
      </c>
      <c r="CG28" s="22">
        <f>MAX(0,Calc_Debt!CG20-CG24)</f>
        <v>0</v>
      </c>
      <c r="CH28" s="22">
        <f>MAX(0,Calc_Debt!CH20-CH24)</f>
        <v>0</v>
      </c>
      <c r="CI28" s="22">
        <f>MAX(0,Calc_Debt!CI20-CI24)</f>
        <v>0</v>
      </c>
      <c r="CJ28" s="22">
        <f>MAX(0,Calc_Debt!CJ20-CJ24)</f>
        <v>0</v>
      </c>
      <c r="CK28" s="22">
        <f>MAX(0,Calc_Debt!CK20-CK24)</f>
        <v>0</v>
      </c>
      <c r="CL28" s="22">
        <f>MAX(0,Calc_Debt!CL20-CL24)</f>
        <v>0</v>
      </c>
      <c r="CM28" s="22">
        <f>MAX(0,Calc_Debt!CM20-CM24)</f>
        <v>0</v>
      </c>
      <c r="CN28" s="22">
        <f>MAX(0,Calc_Debt!CN20-CN24)</f>
        <v>0</v>
      </c>
      <c r="CO28" s="22">
        <f>MAX(0,Calc_Debt!CO20-CO24)</f>
        <v>0</v>
      </c>
      <c r="CP28" s="22">
        <f>MAX(0,Calc_Debt!CP20-CP24)</f>
        <v>0</v>
      </c>
      <c r="CQ28" s="22">
        <f>MAX(0,Calc_Debt!CQ20-CQ24)</f>
        <v>0</v>
      </c>
      <c r="CR28" s="22">
        <f>MAX(0,Calc_Debt!CR20-CR24)</f>
        <v>0</v>
      </c>
      <c r="CS28" s="22">
        <f>MAX(0,Calc_Debt!CS20-CS24)</f>
        <v>0</v>
      </c>
      <c r="CT28" s="22">
        <f>MAX(0,Calc_Debt!CT20-CT24)</f>
        <v>0</v>
      </c>
      <c r="CU28" s="22">
        <f>MAX(0,Calc_Debt!CU20-CU24)</f>
        <v>0</v>
      </c>
      <c r="CV28" s="22">
        <f>MAX(0,Calc_Debt!CV20-CV24)</f>
        <v>0</v>
      </c>
      <c r="CW28" s="22">
        <f>MAX(0,Calc_Debt!CW20-CW24)</f>
        <v>0</v>
      </c>
      <c r="CX28" s="22">
        <f>MAX(0,Calc_Debt!CX20-CX24)</f>
        <v>0</v>
      </c>
      <c r="CY28" s="22">
        <f>MAX(0,Calc_Debt!CY20-CY24)</f>
        <v>0</v>
      </c>
      <c r="CZ28" s="22">
        <f>MAX(0,Calc_Debt!CZ20-CZ24)</f>
        <v>0</v>
      </c>
      <c r="DA28" s="22">
        <f>MAX(0,Calc_Debt!DA20-DA24)</f>
        <v>0</v>
      </c>
      <c r="DB28" s="22">
        <f>MAX(0,Calc_Debt!DB20-DB24)</f>
        <v>0</v>
      </c>
      <c r="DC28" s="22">
        <f>MAX(0,Calc_Debt!DC20-DC24)</f>
        <v>0</v>
      </c>
      <c r="DD28" s="22">
        <f>MAX(0,Calc_Debt!DD20-DD24)</f>
        <v>0</v>
      </c>
      <c r="DE28" s="22">
        <f>MAX(0,Calc_Debt!DE20-DE24)</f>
        <v>0</v>
      </c>
      <c r="DF28" s="22">
        <f>MAX(0,Calc_Debt!DF20-DF24)</f>
        <v>0</v>
      </c>
      <c r="DG28" s="22">
        <f>MAX(0,Calc_Debt!DG20-DG24)</f>
        <v>0</v>
      </c>
      <c r="DH28" s="22">
        <f>MAX(0,Calc_Debt!DH20-DH24)</f>
        <v>0</v>
      </c>
      <c r="DI28" s="22">
        <f>MAX(0,Calc_Debt!DI20-DI24)</f>
        <v>0</v>
      </c>
      <c r="DJ28" s="22">
        <f>MAX(0,Calc_Debt!DJ20-DJ24)</f>
        <v>0</v>
      </c>
      <c r="DK28" s="22">
        <f>MAX(0,Calc_Debt!DK20-DK24)</f>
        <v>0</v>
      </c>
      <c r="DL28" s="22">
        <f>MAX(0,Calc_Debt!DL20-DL24)</f>
        <v>0</v>
      </c>
      <c r="DM28" s="22">
        <f>MAX(0,Calc_Debt!DM20-DM24)</f>
        <v>0</v>
      </c>
      <c r="DN28" s="22">
        <f>MAX(0,Calc_Debt!DN20-DN24)</f>
        <v>0</v>
      </c>
      <c r="DO28" s="22">
        <f>MAX(0,Calc_Debt!DO20-DO24)</f>
        <v>0</v>
      </c>
      <c r="DP28" s="22">
        <f>MAX(0,Calc_Debt!DP20-DP24)</f>
        <v>0</v>
      </c>
      <c r="DQ28" s="22">
        <f>MAX(0,Calc_Debt!DQ20-DQ24)</f>
        <v>0</v>
      </c>
    </row>
    <row r="29" spans="1:121" ht="15" customHeight="1">
      <c r="A29" s="14" t="s">
        <v>562</v>
      </c>
      <c r="B29" s="30">
        <f t="shared" ref="B29:AG29" si="16">B28</f>
        <v>21130.952380952382</v>
      </c>
      <c r="C29" s="30">
        <f t="shared" si="16"/>
        <v>20833.333333333336</v>
      </c>
      <c r="D29" s="30">
        <f t="shared" si="16"/>
        <v>20535.71428571429</v>
      </c>
      <c r="E29" s="30">
        <f t="shared" si="16"/>
        <v>20238.095238095244</v>
      </c>
      <c r="F29" s="30">
        <f t="shared" si="16"/>
        <v>19940.476190476198</v>
      </c>
      <c r="G29" s="30">
        <f t="shared" si="16"/>
        <v>19642.857142857152</v>
      </c>
      <c r="H29" s="30">
        <f t="shared" si="16"/>
        <v>19345.238095238106</v>
      </c>
      <c r="I29" s="30">
        <f t="shared" si="16"/>
        <v>19047.61904761906</v>
      </c>
      <c r="J29" s="30">
        <f t="shared" si="16"/>
        <v>18750.000000000015</v>
      </c>
      <c r="K29" s="30">
        <f t="shared" si="16"/>
        <v>18452.380952380969</v>
      </c>
      <c r="L29" s="30">
        <f t="shared" si="16"/>
        <v>18154.761904761923</v>
      </c>
      <c r="M29" s="30">
        <f t="shared" si="16"/>
        <v>17857.142857142877</v>
      </c>
      <c r="N29" s="30">
        <f t="shared" si="16"/>
        <v>17559.523809523831</v>
      </c>
      <c r="O29" s="30">
        <f t="shared" si="16"/>
        <v>17261.904761904785</v>
      </c>
      <c r="P29" s="30">
        <f t="shared" si="16"/>
        <v>16964.285714285739</v>
      </c>
      <c r="Q29" s="30">
        <f t="shared" si="16"/>
        <v>16666.666666666693</v>
      </c>
      <c r="R29" s="30">
        <f t="shared" si="16"/>
        <v>16369.047619047647</v>
      </c>
      <c r="S29" s="30">
        <f t="shared" si="16"/>
        <v>16071.428571428602</v>
      </c>
      <c r="T29" s="30">
        <f t="shared" si="16"/>
        <v>15773.809523809556</v>
      </c>
      <c r="U29" s="30">
        <f t="shared" si="16"/>
        <v>15476.19047619051</v>
      </c>
      <c r="V29" s="30">
        <f t="shared" si="16"/>
        <v>15178.571428571464</v>
      </c>
      <c r="W29" s="30">
        <f t="shared" si="16"/>
        <v>14880.952380952418</v>
      </c>
      <c r="X29" s="30">
        <f t="shared" si="16"/>
        <v>14583.333333333372</v>
      </c>
      <c r="Y29" s="30">
        <f t="shared" si="16"/>
        <v>14285.714285714326</v>
      </c>
      <c r="Z29" s="30">
        <f t="shared" si="16"/>
        <v>13988.09523809528</v>
      </c>
      <c r="AA29" s="30">
        <f t="shared" si="16"/>
        <v>13690.476190476234</v>
      </c>
      <c r="AB29" s="30">
        <f t="shared" si="16"/>
        <v>13392.857142857189</v>
      </c>
      <c r="AC29" s="30">
        <f t="shared" si="16"/>
        <v>13095.238095238143</v>
      </c>
      <c r="AD29" s="30">
        <f t="shared" si="16"/>
        <v>12797.619047619097</v>
      </c>
      <c r="AE29" s="30">
        <f t="shared" si="16"/>
        <v>12500.000000000047</v>
      </c>
      <c r="AF29" s="30">
        <f t="shared" si="16"/>
        <v>12202.380952381001</v>
      </c>
      <c r="AG29" s="30">
        <f t="shared" si="16"/>
        <v>11904.761904761952</v>
      </c>
      <c r="AH29" s="30">
        <f t="shared" ref="AH29:BM29" si="17">AH28</f>
        <v>11607.142857142906</v>
      </c>
      <c r="AI29" s="30">
        <f t="shared" si="17"/>
        <v>11309.523809523856</v>
      </c>
      <c r="AJ29" s="30">
        <f t="shared" si="17"/>
        <v>11011.904761904811</v>
      </c>
      <c r="AK29" s="30">
        <f t="shared" si="17"/>
        <v>10714.285714285761</v>
      </c>
      <c r="AL29" s="30">
        <f t="shared" si="17"/>
        <v>10416.666666666715</v>
      </c>
      <c r="AM29" s="30">
        <f t="shared" si="17"/>
        <v>10119.047619047666</v>
      </c>
      <c r="AN29" s="30">
        <f t="shared" si="17"/>
        <v>9821.4285714286198</v>
      </c>
      <c r="AO29" s="30">
        <f t="shared" si="17"/>
        <v>9523.8095238095702</v>
      </c>
      <c r="AP29" s="30">
        <f t="shared" si="17"/>
        <v>9226.1904761905244</v>
      </c>
      <c r="AQ29" s="30">
        <f t="shared" si="17"/>
        <v>8928.5714285714748</v>
      </c>
      <c r="AR29" s="30">
        <f t="shared" si="17"/>
        <v>8630.9523809524289</v>
      </c>
      <c r="AS29" s="30">
        <f t="shared" si="17"/>
        <v>8333.3333333333794</v>
      </c>
      <c r="AT29" s="30">
        <f t="shared" si="17"/>
        <v>8035.7142857143326</v>
      </c>
      <c r="AU29" s="30">
        <f t="shared" si="17"/>
        <v>7738.0952380952849</v>
      </c>
      <c r="AV29" s="30">
        <f t="shared" si="17"/>
        <v>7440.4761904762372</v>
      </c>
      <c r="AW29" s="30">
        <f t="shared" si="17"/>
        <v>7142.8571428571895</v>
      </c>
      <c r="AX29" s="30">
        <f t="shared" si="17"/>
        <v>6845.2380952381418</v>
      </c>
      <c r="AY29" s="30">
        <f t="shared" si="17"/>
        <v>6547.6190476190941</v>
      </c>
      <c r="AZ29" s="30">
        <f t="shared" si="17"/>
        <v>6250.0000000000464</v>
      </c>
      <c r="BA29" s="30">
        <f t="shared" si="17"/>
        <v>5952.3809523809987</v>
      </c>
      <c r="BB29" s="30">
        <f t="shared" si="17"/>
        <v>5654.761904761951</v>
      </c>
      <c r="BC29" s="30">
        <f t="shared" si="17"/>
        <v>5357.1428571429033</v>
      </c>
      <c r="BD29" s="30">
        <f t="shared" si="17"/>
        <v>5059.5238095238556</v>
      </c>
      <c r="BE29" s="30">
        <f t="shared" si="17"/>
        <v>4761.9047619048079</v>
      </c>
      <c r="BF29" s="30">
        <f t="shared" si="17"/>
        <v>4464.2857142857602</v>
      </c>
      <c r="BG29" s="30">
        <f t="shared" si="17"/>
        <v>4166.6666666667124</v>
      </c>
      <c r="BH29" s="30">
        <f t="shared" si="17"/>
        <v>3869.0476190476647</v>
      </c>
      <c r="BI29" s="30">
        <f t="shared" si="17"/>
        <v>3571.428571428617</v>
      </c>
      <c r="BJ29" s="30">
        <f t="shared" si="17"/>
        <v>3273.8095238095693</v>
      </c>
      <c r="BK29" s="30">
        <f t="shared" si="17"/>
        <v>2976.1904761905216</v>
      </c>
      <c r="BL29" s="30">
        <f t="shared" si="17"/>
        <v>2678.5714285714739</v>
      </c>
      <c r="BM29" s="30">
        <f t="shared" si="17"/>
        <v>2380.9523809524262</v>
      </c>
      <c r="BN29" s="30">
        <f t="shared" ref="BN29:CS29" si="18">BN28</f>
        <v>2083.3333333333785</v>
      </c>
      <c r="BO29" s="30">
        <f t="shared" si="18"/>
        <v>1785.7142857143308</v>
      </c>
      <c r="BP29" s="30">
        <f t="shared" si="18"/>
        <v>1488.0952380952831</v>
      </c>
      <c r="BQ29" s="30">
        <f t="shared" si="18"/>
        <v>1190.4761904762354</v>
      </c>
      <c r="BR29" s="30">
        <f t="shared" si="18"/>
        <v>892.85714285718768</v>
      </c>
      <c r="BS29" s="30">
        <f t="shared" si="18"/>
        <v>595.23809523813998</v>
      </c>
      <c r="BT29" s="30">
        <f t="shared" si="18"/>
        <v>297.61904761909227</v>
      </c>
      <c r="BU29" s="30">
        <f t="shared" si="18"/>
        <v>4.4565240386873484E-11</v>
      </c>
      <c r="BV29" s="30">
        <f t="shared" si="18"/>
        <v>0</v>
      </c>
      <c r="BW29" s="30">
        <f t="shared" si="18"/>
        <v>0</v>
      </c>
      <c r="BX29" s="30">
        <f t="shared" si="18"/>
        <v>0</v>
      </c>
      <c r="BY29" s="30">
        <f t="shared" si="18"/>
        <v>0</v>
      </c>
      <c r="BZ29" s="30">
        <f t="shared" si="18"/>
        <v>0</v>
      </c>
      <c r="CA29" s="30">
        <f t="shared" si="18"/>
        <v>0</v>
      </c>
      <c r="CB29" s="30">
        <f t="shared" si="18"/>
        <v>0</v>
      </c>
      <c r="CC29" s="30">
        <f t="shared" si="18"/>
        <v>0</v>
      </c>
      <c r="CD29" s="30">
        <f t="shared" si="18"/>
        <v>0</v>
      </c>
      <c r="CE29" s="30">
        <f t="shared" si="18"/>
        <v>0</v>
      </c>
      <c r="CF29" s="30">
        <f t="shared" si="18"/>
        <v>0</v>
      </c>
      <c r="CG29" s="30">
        <f t="shared" si="18"/>
        <v>0</v>
      </c>
      <c r="CH29" s="30">
        <f t="shared" si="18"/>
        <v>0</v>
      </c>
      <c r="CI29" s="30">
        <f t="shared" si="18"/>
        <v>0</v>
      </c>
      <c r="CJ29" s="30">
        <f t="shared" si="18"/>
        <v>0</v>
      </c>
      <c r="CK29" s="30">
        <f t="shared" si="18"/>
        <v>0</v>
      </c>
      <c r="CL29" s="30">
        <f t="shared" si="18"/>
        <v>0</v>
      </c>
      <c r="CM29" s="30">
        <f t="shared" si="18"/>
        <v>0</v>
      </c>
      <c r="CN29" s="30">
        <f t="shared" si="18"/>
        <v>0</v>
      </c>
      <c r="CO29" s="30">
        <f t="shared" si="18"/>
        <v>0</v>
      </c>
      <c r="CP29" s="30">
        <f t="shared" si="18"/>
        <v>0</v>
      </c>
      <c r="CQ29" s="30">
        <f t="shared" si="18"/>
        <v>0</v>
      </c>
      <c r="CR29" s="30">
        <f t="shared" si="18"/>
        <v>0</v>
      </c>
      <c r="CS29" s="30">
        <f t="shared" si="18"/>
        <v>0</v>
      </c>
      <c r="CT29" s="30">
        <f t="shared" ref="CT29:DY29" si="19">CT28</f>
        <v>0</v>
      </c>
      <c r="CU29" s="30">
        <f t="shared" si="19"/>
        <v>0</v>
      </c>
      <c r="CV29" s="30">
        <f t="shared" si="19"/>
        <v>0</v>
      </c>
      <c r="CW29" s="30">
        <f t="shared" si="19"/>
        <v>0</v>
      </c>
      <c r="CX29" s="30">
        <f t="shared" si="19"/>
        <v>0</v>
      </c>
      <c r="CY29" s="30">
        <f t="shared" si="19"/>
        <v>0</v>
      </c>
      <c r="CZ29" s="30">
        <f t="shared" si="19"/>
        <v>0</v>
      </c>
      <c r="DA29" s="30">
        <f t="shared" si="19"/>
        <v>0</v>
      </c>
      <c r="DB29" s="30">
        <f t="shared" si="19"/>
        <v>0</v>
      </c>
      <c r="DC29" s="30">
        <f t="shared" si="19"/>
        <v>0</v>
      </c>
      <c r="DD29" s="30">
        <f t="shared" si="19"/>
        <v>0</v>
      </c>
      <c r="DE29" s="30">
        <f t="shared" si="19"/>
        <v>0</v>
      </c>
      <c r="DF29" s="30">
        <f t="shared" si="19"/>
        <v>0</v>
      </c>
      <c r="DG29" s="30">
        <f t="shared" si="19"/>
        <v>0</v>
      </c>
      <c r="DH29" s="30">
        <f t="shared" si="19"/>
        <v>0</v>
      </c>
      <c r="DI29" s="30">
        <f t="shared" si="19"/>
        <v>0</v>
      </c>
      <c r="DJ29" s="30">
        <f t="shared" si="19"/>
        <v>0</v>
      </c>
      <c r="DK29" s="30">
        <f t="shared" si="19"/>
        <v>0</v>
      </c>
      <c r="DL29" s="30">
        <f t="shared" si="19"/>
        <v>0</v>
      </c>
      <c r="DM29" s="30">
        <f t="shared" si="19"/>
        <v>0</v>
      </c>
      <c r="DN29" s="30">
        <f t="shared" si="19"/>
        <v>0</v>
      </c>
      <c r="DO29" s="30">
        <f t="shared" si="19"/>
        <v>0</v>
      </c>
      <c r="DP29" s="30">
        <f t="shared" si="19"/>
        <v>0</v>
      </c>
      <c r="DQ29" s="30">
        <f t="shared" si="19"/>
        <v>0</v>
      </c>
    </row>
    <row r="31" spans="1:121" ht="15" customHeight="1">
      <c r="A31" s="14" t="s">
        <v>563</v>
      </c>
      <c r="B31" s="29">
        <f t="shared" ref="B31:AG31" si="20">B25+B29</f>
        <v>51535.262582517942</v>
      </c>
      <c r="C31" s="29">
        <f t="shared" si="20"/>
        <v>50070.996507501637</v>
      </c>
      <c r="D31" s="29">
        <f t="shared" si="20"/>
        <v>47440.083405088066</v>
      </c>
      <c r="E31" s="29">
        <f t="shared" si="20"/>
        <v>44809.170302674502</v>
      </c>
      <c r="F31" s="29">
        <f t="shared" si="20"/>
        <v>43344.904227658197</v>
      </c>
      <c r="G31" s="29">
        <f t="shared" si="20"/>
        <v>41880.638152641892</v>
      </c>
      <c r="H31" s="29">
        <f t="shared" si="20"/>
        <v>41583.019105022846</v>
      </c>
      <c r="I31" s="29">
        <f t="shared" si="20"/>
        <v>42452.047084801059</v>
      </c>
      <c r="J31" s="29">
        <f t="shared" si="20"/>
        <v>44487.722091976531</v>
      </c>
      <c r="K31" s="29">
        <f t="shared" si="20"/>
        <v>46523.397099152004</v>
      </c>
      <c r="L31" s="29">
        <f t="shared" si="20"/>
        <v>48559.072106327483</v>
      </c>
      <c r="M31" s="29">
        <f t="shared" si="20"/>
        <v>54094.688195694733</v>
      </c>
      <c r="N31" s="29">
        <f t="shared" si="20"/>
        <v>50834.952345514052</v>
      </c>
      <c r="O31" s="29">
        <f t="shared" si="20"/>
        <v>49245.855038566238</v>
      </c>
      <c r="P31" s="29">
        <f t="shared" si="20"/>
        <v>46365.279472289651</v>
      </c>
      <c r="Q31" s="29">
        <f t="shared" si="20"/>
        <v>43484.70390601307</v>
      </c>
      <c r="R31" s="29">
        <f t="shared" si="20"/>
        <v>41895.606599065257</v>
      </c>
      <c r="S31" s="29">
        <f t="shared" si="20"/>
        <v>40306.509292117451</v>
      </c>
      <c r="T31" s="29">
        <f t="shared" si="20"/>
        <v>40008.890244498405</v>
      </c>
      <c r="U31" s="29">
        <f t="shared" si="20"/>
        <v>41002.749456208119</v>
      </c>
      <c r="V31" s="29">
        <f t="shared" si="20"/>
        <v>43288.086927246615</v>
      </c>
      <c r="W31" s="29">
        <f t="shared" si="20"/>
        <v>45573.424398285104</v>
      </c>
      <c r="X31" s="29">
        <f t="shared" si="20"/>
        <v>47858.761869323593</v>
      </c>
      <c r="Y31" s="29">
        <f t="shared" si="20"/>
        <v>54018.534118348369</v>
      </c>
      <c r="Z31" s="29">
        <f t="shared" si="20"/>
        <v>50441.851770293593</v>
      </c>
      <c r="AA31" s="29">
        <f t="shared" si="20"/>
        <v>48714.566289597613</v>
      </c>
      <c r="AB31" s="29">
        <f t="shared" si="20"/>
        <v>45557.614375824662</v>
      </c>
      <c r="AC31" s="29">
        <f t="shared" si="20"/>
        <v>42400.662462051725</v>
      </c>
      <c r="AD31" s="29">
        <f t="shared" si="20"/>
        <v>40673.376981355745</v>
      </c>
      <c r="AE31" s="29">
        <f t="shared" si="20"/>
        <v>38946.09150065975</v>
      </c>
      <c r="AF31" s="29">
        <f t="shared" si="20"/>
        <v>38648.472453040697</v>
      </c>
      <c r="AG31" s="29">
        <f t="shared" si="20"/>
        <v>39780.5198384986</v>
      </c>
      <c r="AH31" s="29">
        <f t="shared" ref="AH31:BM31" si="21">AH25+AH29</f>
        <v>42342.233657033437</v>
      </c>
      <c r="AI31" s="29">
        <f t="shared" si="21"/>
        <v>44903.94747556829</v>
      </c>
      <c r="AJ31" s="29">
        <f t="shared" si="21"/>
        <v>47465.66129410312</v>
      </c>
      <c r="AK31" s="29">
        <f t="shared" si="21"/>
        <v>54316.37441186879</v>
      </c>
      <c r="AL31" s="29">
        <f t="shared" si="21"/>
        <v>49714.744567471607</v>
      </c>
      <c r="AM31" s="29">
        <f t="shared" si="21"/>
        <v>47863.792940314466</v>
      </c>
      <c r="AN31" s="29">
        <f t="shared" si="21"/>
        <v>44459.508733619208</v>
      </c>
      <c r="AO31" s="29">
        <f t="shared" si="21"/>
        <v>41055.224526923965</v>
      </c>
      <c r="AP31" s="29">
        <f t="shared" si="21"/>
        <v>39204.272899766816</v>
      </c>
      <c r="AQ31" s="29">
        <f t="shared" si="21"/>
        <v>37353.321272609668</v>
      </c>
      <c r="AR31" s="29">
        <f t="shared" si="21"/>
        <v>37055.702224990615</v>
      </c>
      <c r="AS31" s="29">
        <f t="shared" si="21"/>
        <v>38311.415756909671</v>
      </c>
      <c r="AT31" s="29">
        <f t="shared" si="21"/>
        <v>41120.461868366823</v>
      </c>
      <c r="AU31" s="29">
        <f t="shared" si="21"/>
        <v>43929.507979823982</v>
      </c>
      <c r="AV31" s="29">
        <f t="shared" si="21"/>
        <v>46738.554091281127</v>
      </c>
      <c r="AW31" s="29">
        <f t="shared" si="21"/>
        <v>54207.597941352578</v>
      </c>
      <c r="AX31" s="29">
        <f t="shared" si="21"/>
        <v>49233.67116303408</v>
      </c>
      <c r="AY31" s="29">
        <f t="shared" si="21"/>
        <v>47248.356267746902</v>
      </c>
      <c r="AZ31" s="29">
        <f t="shared" si="21"/>
        <v>43575.345524791548</v>
      </c>
      <c r="BA31" s="29">
        <f t="shared" si="21"/>
        <v>39902.334781836202</v>
      </c>
      <c r="BB31" s="29">
        <f t="shared" si="21"/>
        <v>37917.019886549017</v>
      </c>
      <c r="BC31" s="29">
        <f t="shared" si="21"/>
        <v>35931.704991261824</v>
      </c>
      <c r="BD31" s="29">
        <f t="shared" si="21"/>
        <v>35634.085943642778</v>
      </c>
      <c r="BE31" s="29">
        <f t="shared" si="21"/>
        <v>37024.162743691879</v>
      </c>
      <c r="BF31" s="29">
        <f t="shared" si="21"/>
        <v>40101.935391409119</v>
      </c>
      <c r="BG31" s="29">
        <f t="shared" si="21"/>
        <v>43179.708039126366</v>
      </c>
      <c r="BH31" s="29">
        <f t="shared" si="21"/>
        <v>46257.480686843599</v>
      </c>
      <c r="BI31" s="29">
        <f t="shared" si="21"/>
        <v>54398.340877565293</v>
      </c>
      <c r="BJ31" s="29">
        <f t="shared" si="21"/>
        <v>48224.164888365762</v>
      </c>
      <c r="BK31" s="29">
        <f t="shared" si="21"/>
        <v>46127.462067132481</v>
      </c>
      <c r="BL31" s="29">
        <f t="shared" si="21"/>
        <v>42231.675472284929</v>
      </c>
      <c r="BM31" s="29">
        <f t="shared" si="21"/>
        <v>38335.888877437399</v>
      </c>
      <c r="BN31" s="29">
        <f t="shared" ref="BN31:CS31" si="22">BN25+BN29</f>
        <v>36239.186056204097</v>
      </c>
      <c r="BO31" s="29">
        <f t="shared" si="22"/>
        <v>34142.483234970816</v>
      </c>
      <c r="BP31" s="29">
        <f t="shared" si="22"/>
        <v>33844.86418735177</v>
      </c>
      <c r="BQ31" s="29">
        <f t="shared" si="22"/>
        <v>35346.328913346952</v>
      </c>
      <c r="BR31" s="29">
        <f t="shared" si="22"/>
        <v>38646.877412956404</v>
      </c>
      <c r="BS31" s="29">
        <f t="shared" si="22"/>
        <v>41947.425912565843</v>
      </c>
      <c r="BT31" s="29">
        <f t="shared" si="22"/>
        <v>45247.974412175281</v>
      </c>
      <c r="BU31" s="29">
        <f t="shared" si="22"/>
        <v>53945.774232627446</v>
      </c>
      <c r="BV31" s="29">
        <f t="shared" si="22"/>
        <v>47383.745485283609</v>
      </c>
      <c r="BW31" s="29">
        <f t="shared" si="22"/>
        <v>45168.303134991773</v>
      </c>
      <c r="BX31" s="29">
        <f t="shared" si="22"/>
        <v>41035.037482027146</v>
      </c>
      <c r="BY31" s="29">
        <f t="shared" si="22"/>
        <v>36901.771829062534</v>
      </c>
      <c r="BZ31" s="29">
        <f t="shared" si="22"/>
        <v>34686.329478770713</v>
      </c>
      <c r="CA31" s="29">
        <f t="shared" si="22"/>
        <v>32470.88712847888</v>
      </c>
      <c r="CB31" s="29">
        <f t="shared" si="22"/>
        <v>32173.268080859831</v>
      </c>
      <c r="CC31" s="29">
        <f t="shared" si="22"/>
        <v>33793.472335913568</v>
      </c>
      <c r="CD31" s="29">
        <f t="shared" si="22"/>
        <v>37331.499893640088</v>
      </c>
      <c r="CE31" s="29">
        <f t="shared" si="22"/>
        <v>40869.527451366608</v>
      </c>
      <c r="CF31" s="29">
        <f t="shared" si="22"/>
        <v>44407.555009093128</v>
      </c>
      <c r="CG31" s="29">
        <f t="shared" si="22"/>
        <v>53699.052474837998</v>
      </c>
      <c r="CH31" s="29">
        <f t="shared" si="22"/>
        <v>47021.191734931308</v>
      </c>
      <c r="CI31" s="29">
        <f t="shared" si="22"/>
        <v>44976.792094282129</v>
      </c>
      <c r="CJ31" s="29">
        <f t="shared" si="22"/>
        <v>40887.99281298375</v>
      </c>
      <c r="CK31" s="29">
        <f t="shared" si="22"/>
        <v>36799.193531685378</v>
      </c>
      <c r="CL31" s="29">
        <f t="shared" si="22"/>
        <v>34754.793891036185</v>
      </c>
      <c r="CM31" s="29">
        <f t="shared" si="22"/>
        <v>32710.394250387006</v>
      </c>
      <c r="CN31" s="29">
        <f t="shared" si="22"/>
        <v>32710.394250387006</v>
      </c>
      <c r="CO31" s="29">
        <f t="shared" si="22"/>
        <v>34754.793891036185</v>
      </c>
      <c r="CP31" s="29">
        <f t="shared" si="22"/>
        <v>38843.593172334557</v>
      </c>
      <c r="CQ31" s="29">
        <f t="shared" si="22"/>
        <v>42932.392453632929</v>
      </c>
      <c r="CR31" s="29">
        <f t="shared" si="22"/>
        <v>47021.191734931308</v>
      </c>
      <c r="CS31" s="29">
        <f t="shared" si="22"/>
        <v>57243.189938177245</v>
      </c>
      <c r="CT31" s="29">
        <f t="shared" ref="CT31:DQ31" si="23">CT25+CT29</f>
        <v>50124.590389436766</v>
      </c>
      <c r="CU31" s="29">
        <f t="shared" si="23"/>
        <v>47945.260372504752</v>
      </c>
      <c r="CV31" s="29">
        <f t="shared" si="23"/>
        <v>43586.600338640666</v>
      </c>
      <c r="CW31" s="29">
        <f t="shared" si="23"/>
        <v>39227.94030477661</v>
      </c>
      <c r="CX31" s="29">
        <f t="shared" si="23"/>
        <v>37048.610287844574</v>
      </c>
      <c r="CY31" s="29">
        <f t="shared" si="23"/>
        <v>34869.280270912546</v>
      </c>
      <c r="CZ31" s="29">
        <f t="shared" si="23"/>
        <v>34869.280270912546</v>
      </c>
      <c r="DA31" s="29">
        <f t="shared" si="23"/>
        <v>37048.610287844574</v>
      </c>
      <c r="DB31" s="29">
        <f t="shared" si="23"/>
        <v>41407.270321708638</v>
      </c>
      <c r="DC31" s="29">
        <f t="shared" si="23"/>
        <v>45765.930355572709</v>
      </c>
      <c r="DD31" s="29">
        <f t="shared" si="23"/>
        <v>50124.590389436766</v>
      </c>
      <c r="DE31" s="29">
        <f t="shared" si="23"/>
        <v>61021.240474096936</v>
      </c>
      <c r="DF31" s="29">
        <f t="shared" si="23"/>
        <v>53432.813355139588</v>
      </c>
      <c r="DG31" s="29">
        <f t="shared" si="23"/>
        <v>51109.647557090058</v>
      </c>
      <c r="DH31" s="29">
        <f t="shared" si="23"/>
        <v>46463.315960990956</v>
      </c>
      <c r="DI31" s="29">
        <f t="shared" si="23"/>
        <v>41816.984364891861</v>
      </c>
      <c r="DJ31" s="29">
        <f t="shared" si="23"/>
        <v>39493.81856684231</v>
      </c>
      <c r="DK31" s="29">
        <f t="shared" si="23"/>
        <v>37170.652768792766</v>
      </c>
      <c r="DL31" s="29">
        <f t="shared" si="23"/>
        <v>37170.652768792766</v>
      </c>
      <c r="DM31" s="29">
        <f t="shared" si="23"/>
        <v>39493.81856684231</v>
      </c>
      <c r="DN31" s="29">
        <f t="shared" si="23"/>
        <v>44140.150162941412</v>
      </c>
      <c r="DO31" s="29">
        <f t="shared" si="23"/>
        <v>48786.4817590405</v>
      </c>
      <c r="DP31" s="29">
        <f t="shared" si="23"/>
        <v>53432.813355139588</v>
      </c>
      <c r="DQ31" s="29">
        <f t="shared" si="23"/>
        <v>65048.642345387343</v>
      </c>
    </row>
    <row r="33" spans="1:121" ht="15" customHeight="1">
      <c r="A33" s="5" t="s">
        <v>564</v>
      </c>
    </row>
    <row r="34" spans="1:121" ht="15" customHeight="1">
      <c r="A34" t="s">
        <v>565</v>
      </c>
      <c r="B34" s="22">
        <f>Assum_Finance!$C$18/1000</f>
        <v>30000</v>
      </c>
      <c r="C34" s="22">
        <f>Assum_Finance!$C$18/1000</f>
        <v>30000</v>
      </c>
      <c r="D34" s="22">
        <f>Assum_Finance!$C$18/1000</f>
        <v>30000</v>
      </c>
      <c r="E34" s="22">
        <f>Assum_Finance!$C$18/1000</f>
        <v>30000</v>
      </c>
      <c r="F34" s="22">
        <f>Assum_Finance!$C$18/1000</f>
        <v>30000</v>
      </c>
      <c r="G34" s="22">
        <f>Assum_Finance!$C$18/1000</f>
        <v>30000</v>
      </c>
      <c r="H34" s="22">
        <f>Assum_Finance!$C$18/1000</f>
        <v>30000</v>
      </c>
      <c r="I34" s="22">
        <f>Assum_Finance!$C$18/1000</f>
        <v>30000</v>
      </c>
      <c r="J34" s="22">
        <f>Assum_Finance!$C$18/1000</f>
        <v>30000</v>
      </c>
      <c r="K34" s="22">
        <f>Assum_Finance!$C$18/1000</f>
        <v>30000</v>
      </c>
      <c r="L34" s="22">
        <f>Assum_Finance!$C$18/1000</f>
        <v>30000</v>
      </c>
      <c r="M34" s="22">
        <f>Assum_Finance!$C$18/1000</f>
        <v>30000</v>
      </c>
      <c r="N34" s="22">
        <f>Assum_Finance!$C$18/1000</f>
        <v>30000</v>
      </c>
      <c r="O34" s="22">
        <f>Assum_Finance!$C$18/1000</f>
        <v>30000</v>
      </c>
      <c r="P34" s="22">
        <f>Assum_Finance!$C$18/1000</f>
        <v>30000</v>
      </c>
      <c r="Q34" s="22">
        <f>Assum_Finance!$C$18/1000</f>
        <v>30000</v>
      </c>
      <c r="R34" s="22">
        <f>Assum_Finance!$C$18/1000</f>
        <v>30000</v>
      </c>
      <c r="S34" s="22">
        <f>Assum_Finance!$C$18/1000</f>
        <v>30000</v>
      </c>
      <c r="T34" s="22">
        <f>Assum_Finance!$C$18/1000</f>
        <v>30000</v>
      </c>
      <c r="U34" s="22">
        <f>Assum_Finance!$C$18/1000</f>
        <v>30000</v>
      </c>
      <c r="V34" s="22">
        <f>Assum_Finance!$C$18/1000</f>
        <v>30000</v>
      </c>
      <c r="W34" s="22">
        <f>Assum_Finance!$C$18/1000</f>
        <v>30000</v>
      </c>
      <c r="X34" s="22">
        <f>Assum_Finance!$C$18/1000</f>
        <v>30000</v>
      </c>
      <c r="Y34" s="22">
        <f>Assum_Finance!$C$18/1000</f>
        <v>30000</v>
      </c>
      <c r="Z34" s="22">
        <f>Assum_Finance!$C$18/1000</f>
        <v>30000</v>
      </c>
      <c r="AA34" s="22">
        <f>Assum_Finance!$C$18/1000</f>
        <v>30000</v>
      </c>
      <c r="AB34" s="22">
        <f>Assum_Finance!$C$18/1000</f>
        <v>30000</v>
      </c>
      <c r="AC34" s="22">
        <f>Assum_Finance!$C$18/1000</f>
        <v>30000</v>
      </c>
      <c r="AD34" s="22">
        <f>Assum_Finance!$C$18/1000</f>
        <v>30000</v>
      </c>
      <c r="AE34" s="22">
        <f>Assum_Finance!$C$18/1000</f>
        <v>30000</v>
      </c>
      <c r="AF34" s="22">
        <f>Assum_Finance!$C$18/1000</f>
        <v>30000</v>
      </c>
      <c r="AG34" s="22">
        <f>Assum_Finance!$C$18/1000</f>
        <v>30000</v>
      </c>
      <c r="AH34" s="22">
        <f>Assum_Finance!$C$18/1000</f>
        <v>30000</v>
      </c>
      <c r="AI34" s="22">
        <f>Assum_Finance!$C$18/1000</f>
        <v>30000</v>
      </c>
      <c r="AJ34" s="22">
        <f>Assum_Finance!$C$18/1000</f>
        <v>30000</v>
      </c>
      <c r="AK34" s="22">
        <f>Assum_Finance!$C$18/1000</f>
        <v>30000</v>
      </c>
      <c r="AL34" s="22">
        <f>Assum_Finance!$C$18/1000</f>
        <v>30000</v>
      </c>
      <c r="AM34" s="22">
        <f>Assum_Finance!$C$18/1000</f>
        <v>30000</v>
      </c>
      <c r="AN34" s="22">
        <f>Assum_Finance!$C$18/1000</f>
        <v>30000</v>
      </c>
      <c r="AO34" s="22">
        <f>Assum_Finance!$C$18/1000</f>
        <v>30000</v>
      </c>
      <c r="AP34" s="22">
        <f>Assum_Finance!$C$18/1000</f>
        <v>30000</v>
      </c>
      <c r="AQ34" s="22">
        <f>Assum_Finance!$C$18/1000</f>
        <v>30000</v>
      </c>
      <c r="AR34" s="22">
        <f>Assum_Finance!$C$18/1000</f>
        <v>30000</v>
      </c>
      <c r="AS34" s="22">
        <f>Assum_Finance!$C$18/1000</f>
        <v>30000</v>
      </c>
      <c r="AT34" s="22">
        <f>Assum_Finance!$C$18/1000</f>
        <v>30000</v>
      </c>
      <c r="AU34" s="22">
        <f>Assum_Finance!$C$18/1000</f>
        <v>30000</v>
      </c>
      <c r="AV34" s="22">
        <f>Assum_Finance!$C$18/1000</f>
        <v>30000</v>
      </c>
      <c r="AW34" s="22">
        <f>Assum_Finance!$C$18/1000</f>
        <v>30000</v>
      </c>
      <c r="AX34" s="22">
        <f>Assum_Finance!$C$18/1000</f>
        <v>30000</v>
      </c>
      <c r="AY34" s="22">
        <f>Assum_Finance!$C$18/1000</f>
        <v>30000</v>
      </c>
      <c r="AZ34" s="22">
        <f>Assum_Finance!$C$18/1000</f>
        <v>30000</v>
      </c>
      <c r="BA34" s="22">
        <f>Assum_Finance!$C$18/1000</f>
        <v>30000</v>
      </c>
      <c r="BB34" s="22">
        <f>Assum_Finance!$C$18/1000</f>
        <v>30000</v>
      </c>
      <c r="BC34" s="22">
        <f>Assum_Finance!$C$18/1000</f>
        <v>30000</v>
      </c>
      <c r="BD34" s="22">
        <f>Assum_Finance!$C$18/1000</f>
        <v>30000</v>
      </c>
      <c r="BE34" s="22">
        <f>Assum_Finance!$C$18/1000</f>
        <v>30000</v>
      </c>
      <c r="BF34" s="22">
        <f>Assum_Finance!$C$18/1000</f>
        <v>30000</v>
      </c>
      <c r="BG34" s="22">
        <f>Assum_Finance!$C$18/1000</f>
        <v>30000</v>
      </c>
      <c r="BH34" s="22">
        <f>Assum_Finance!$C$18/1000</f>
        <v>30000</v>
      </c>
      <c r="BI34" s="22">
        <f>Assum_Finance!$C$18/1000</f>
        <v>30000</v>
      </c>
      <c r="BJ34" s="22">
        <f>Assum_Finance!$C$18/1000</f>
        <v>30000</v>
      </c>
      <c r="BK34" s="22">
        <f>Assum_Finance!$C$18/1000</f>
        <v>30000</v>
      </c>
      <c r="BL34" s="22">
        <f>Assum_Finance!$C$18/1000</f>
        <v>30000</v>
      </c>
      <c r="BM34" s="22">
        <f>Assum_Finance!$C$18/1000</f>
        <v>30000</v>
      </c>
      <c r="BN34" s="22">
        <f>Assum_Finance!$C$18/1000</f>
        <v>30000</v>
      </c>
      <c r="BO34" s="22">
        <f>Assum_Finance!$C$18/1000</f>
        <v>30000</v>
      </c>
      <c r="BP34" s="22">
        <f>Assum_Finance!$C$18/1000</f>
        <v>30000</v>
      </c>
      <c r="BQ34" s="22">
        <f>Assum_Finance!$C$18/1000</f>
        <v>30000</v>
      </c>
      <c r="BR34" s="22">
        <f>Assum_Finance!$C$18/1000</f>
        <v>30000</v>
      </c>
      <c r="BS34" s="22">
        <f>Assum_Finance!$C$18/1000</f>
        <v>30000</v>
      </c>
      <c r="BT34" s="22">
        <f>Assum_Finance!$C$18/1000</f>
        <v>30000</v>
      </c>
      <c r="BU34" s="22">
        <f>Assum_Finance!$C$18/1000</f>
        <v>30000</v>
      </c>
      <c r="BV34" s="22">
        <f>Assum_Finance!$C$18/1000</f>
        <v>30000</v>
      </c>
      <c r="BW34" s="22">
        <f>Assum_Finance!$C$18/1000</f>
        <v>30000</v>
      </c>
      <c r="BX34" s="22">
        <f>Assum_Finance!$C$18/1000</f>
        <v>30000</v>
      </c>
      <c r="BY34" s="22">
        <f>Assum_Finance!$C$18/1000</f>
        <v>30000</v>
      </c>
      <c r="BZ34" s="22">
        <f>Assum_Finance!$C$18/1000</f>
        <v>30000</v>
      </c>
      <c r="CA34" s="22">
        <f>Assum_Finance!$C$18/1000</f>
        <v>30000</v>
      </c>
      <c r="CB34" s="22">
        <f>Assum_Finance!$C$18/1000</f>
        <v>30000</v>
      </c>
      <c r="CC34" s="22">
        <f>Assum_Finance!$C$18/1000</f>
        <v>30000</v>
      </c>
      <c r="CD34" s="22">
        <f>Assum_Finance!$C$18/1000</f>
        <v>30000</v>
      </c>
      <c r="CE34" s="22">
        <f>Assum_Finance!$C$18/1000</f>
        <v>30000</v>
      </c>
      <c r="CF34" s="22">
        <f>Assum_Finance!$C$18/1000</f>
        <v>30000</v>
      </c>
      <c r="CG34" s="22">
        <f>Assum_Finance!$C$18/1000</f>
        <v>30000</v>
      </c>
      <c r="CH34" s="22">
        <f>Assum_Finance!$C$18/1000</f>
        <v>30000</v>
      </c>
      <c r="CI34" s="22">
        <f>Assum_Finance!$C$18/1000</f>
        <v>30000</v>
      </c>
      <c r="CJ34" s="22">
        <f>Assum_Finance!$C$18/1000</f>
        <v>30000</v>
      </c>
      <c r="CK34" s="22">
        <f>Assum_Finance!$C$18/1000</f>
        <v>30000</v>
      </c>
      <c r="CL34" s="22">
        <f>Assum_Finance!$C$18/1000</f>
        <v>30000</v>
      </c>
      <c r="CM34" s="22">
        <f>Assum_Finance!$C$18/1000</f>
        <v>30000</v>
      </c>
      <c r="CN34" s="22">
        <f>Assum_Finance!$C$18/1000</f>
        <v>30000</v>
      </c>
      <c r="CO34" s="22">
        <f>Assum_Finance!$C$18/1000</f>
        <v>30000</v>
      </c>
      <c r="CP34" s="22">
        <f>Assum_Finance!$C$18/1000</f>
        <v>30000</v>
      </c>
      <c r="CQ34" s="22">
        <f>Assum_Finance!$C$18/1000</f>
        <v>30000</v>
      </c>
      <c r="CR34" s="22">
        <f>Assum_Finance!$C$18/1000</f>
        <v>30000</v>
      </c>
      <c r="CS34" s="22">
        <f>Assum_Finance!$C$18/1000</f>
        <v>30000</v>
      </c>
      <c r="CT34" s="22">
        <f>Assum_Finance!$C$18/1000</f>
        <v>30000</v>
      </c>
      <c r="CU34" s="22">
        <f>Assum_Finance!$C$18/1000</f>
        <v>30000</v>
      </c>
      <c r="CV34" s="22">
        <f>Assum_Finance!$C$18/1000</f>
        <v>30000</v>
      </c>
      <c r="CW34" s="22">
        <f>Assum_Finance!$C$18/1000</f>
        <v>30000</v>
      </c>
      <c r="CX34" s="22">
        <f>Assum_Finance!$C$18/1000</f>
        <v>30000</v>
      </c>
      <c r="CY34" s="22">
        <f>Assum_Finance!$C$18/1000</f>
        <v>30000</v>
      </c>
      <c r="CZ34" s="22">
        <f>Assum_Finance!$C$18/1000</f>
        <v>30000</v>
      </c>
      <c r="DA34" s="22">
        <f>Assum_Finance!$C$18/1000</f>
        <v>30000</v>
      </c>
      <c r="DB34" s="22">
        <f>Assum_Finance!$C$18/1000</f>
        <v>30000</v>
      </c>
      <c r="DC34" s="22">
        <f>Assum_Finance!$C$18/1000</f>
        <v>30000</v>
      </c>
      <c r="DD34" s="22">
        <f>Assum_Finance!$C$18/1000</f>
        <v>30000</v>
      </c>
      <c r="DE34" s="22">
        <f>Assum_Finance!$C$18/1000</f>
        <v>30000</v>
      </c>
      <c r="DF34" s="22">
        <f>Assum_Finance!$C$18/1000</f>
        <v>30000</v>
      </c>
      <c r="DG34" s="22">
        <f>Assum_Finance!$C$18/1000</f>
        <v>30000</v>
      </c>
      <c r="DH34" s="22">
        <f>Assum_Finance!$C$18/1000</f>
        <v>30000</v>
      </c>
      <c r="DI34" s="22">
        <f>Assum_Finance!$C$18/1000</f>
        <v>30000</v>
      </c>
      <c r="DJ34" s="22">
        <f>Assum_Finance!$C$18/1000</f>
        <v>30000</v>
      </c>
      <c r="DK34" s="22">
        <f>Assum_Finance!$C$18/1000</f>
        <v>30000</v>
      </c>
      <c r="DL34" s="22">
        <f>Assum_Finance!$C$18/1000</f>
        <v>30000</v>
      </c>
      <c r="DM34" s="22">
        <f>Assum_Finance!$C$18/1000</f>
        <v>30000</v>
      </c>
      <c r="DN34" s="22">
        <f>Assum_Finance!$C$18/1000</f>
        <v>30000</v>
      </c>
      <c r="DO34" s="22">
        <f>Assum_Finance!$C$18/1000</f>
        <v>30000</v>
      </c>
      <c r="DP34" s="22">
        <f>Assum_Finance!$C$18/1000</f>
        <v>30000</v>
      </c>
      <c r="DQ34" s="22">
        <f>Assum_Finance!$C$18/1000</f>
        <v>30000</v>
      </c>
    </row>
    <row r="35" spans="1:121" ht="15" customHeight="1">
      <c r="A35" t="s">
        <v>566</v>
      </c>
      <c r="B35" s="22">
        <f>Assum_Finance!$C$19/1000+IS!B40+CF!B19</f>
        <v>20444.727058333337</v>
      </c>
      <c r="C35" s="22">
        <f>B35+IS!C40+CF!C19</f>
        <v>22678.777125000004</v>
      </c>
      <c r="D35" s="22">
        <f>C35+IS!D40+CF!D19</f>
        <v>24690.796125000004</v>
      </c>
      <c r="E35" s="22">
        <f>D35+IS!E40+CF!E19</f>
        <v>26480.784058333335</v>
      </c>
      <c r="F35" s="22">
        <f>E35+IS!F40+CF!F19</f>
        <v>28160.095000000001</v>
      </c>
      <c r="G35" s="22">
        <f>F35+IS!G40+CF!G19</f>
        <v>29728.728950000001</v>
      </c>
      <c r="H35" s="22">
        <f>G35+IS!H40+CF!H19</f>
        <v>31298.039983333336</v>
      </c>
      <c r="I35" s="22">
        <f>H35+IS!I40+CF!I19</f>
        <v>32979.382174999999</v>
      </c>
      <c r="J35" s="22">
        <f>I35+IS!J40+CF!J19</f>
        <v>34884.109600000003</v>
      </c>
      <c r="K35" s="22">
        <f>J35+IS!K40+CF!K19</f>
        <v>37012.222258333335</v>
      </c>
      <c r="L35" s="22">
        <f>K35+IS!L40+CF!L19</f>
        <v>39363.720150000008</v>
      </c>
      <c r="M35" s="22">
        <f>L35+IS!M40+CF!M19</f>
        <v>42272.66550000001</v>
      </c>
      <c r="N35" s="22">
        <f>M35+IS!N40+CF!N19</f>
        <v>45108.157100263343</v>
      </c>
      <c r="O35" s="22">
        <f>N35+IS!O40+CF!O19</f>
        <v>47811.987380950013</v>
      </c>
      <c r="P35" s="22">
        <f>O35+IS!P40+CF!P19</f>
        <v>50251.817939150016</v>
      </c>
      <c r="Q35" s="22">
        <f>P35+IS!Q40+CF!Q19</f>
        <v>52427.648774863352</v>
      </c>
      <c r="R35" s="22">
        <f>Q35+IS!R40+CF!R19</f>
        <v>54471.818291000018</v>
      </c>
      <c r="S35" s="22">
        <f>R35+IS!S40+CF!S19</f>
        <v>56384.326487560014</v>
      </c>
      <c r="T35" s="22">
        <f>S35+IS!T40+CF!T19</f>
        <v>58297.511767453347</v>
      </c>
      <c r="U35" s="22">
        <f>T35+IS!U40+CF!U19</f>
        <v>60343.712533590013</v>
      </c>
      <c r="V35" s="22">
        <f>U35+IS!V40+CF!V19</f>
        <v>62655.267188880003</v>
      </c>
      <c r="W35" s="22">
        <f>V35+IS!W40+CF!W19</f>
        <v>65232.17573332334</v>
      </c>
      <c r="X35" s="22">
        <f>W35+IS!X40+CF!X19</f>
        <v>68074.438166920008</v>
      </c>
      <c r="Y35" s="22">
        <f>X35+IS!Y40+CF!Y19</f>
        <v>71579.069698399995</v>
      </c>
      <c r="Z35" s="22">
        <f>Y35+IS!Z40+CF!Z19</f>
        <v>74973.656044648233</v>
      </c>
      <c r="AA35" s="22">
        <f>Z35+IS!AA40+CF!AA19</f>
        <v>78212.625864972637</v>
      </c>
      <c r="AB35" s="22">
        <f>AA35+IS!AB40+CF!AB19</f>
        <v>81139.685550116046</v>
      </c>
      <c r="AC35" s="22">
        <f>AB35+IS!AC40+CF!AC19</f>
        <v>83754.835100078431</v>
      </c>
      <c r="AD35" s="22">
        <f>AC35+IS!AD40+CF!AD19</f>
        <v>86214.368124116983</v>
      </c>
      <c r="AE35" s="22">
        <f>AD35+IS!AE40+CF!AE19</f>
        <v>88518.284622231688</v>
      </c>
      <c r="AF35" s="22">
        <f>AE35+IS!AF40+CF!AF19</f>
        <v>90822.878203679749</v>
      </c>
      <c r="AG35" s="22">
        <f>AF35+IS!AG40+CF!AG19</f>
        <v>93284.442477718301</v>
      </c>
      <c r="AH35" s="22">
        <f>AG35+IS!AH40+CF!AH19</f>
        <v>96059.27105360452</v>
      </c>
      <c r="AI35" s="22">
        <f>AH35+IS!AI40+CF!AI19</f>
        <v>99147.363931338434</v>
      </c>
      <c r="AJ35" s="22">
        <f>AI35+IS!AJ40+CF!AJ19</f>
        <v>102548.72111092001</v>
      </c>
      <c r="AK35" s="22">
        <f>AJ35+IS!AK40+CF!AK19</f>
        <v>106732.22342012076</v>
      </c>
      <c r="AL35" s="22">
        <f>AK35+IS!AL40+CF!AL19</f>
        <v>110684.68293459494</v>
      </c>
      <c r="AM35" s="22">
        <f>AL35+IS!AM40+CF!AM19</f>
        <v>114457.6238288746</v>
      </c>
      <c r="AN35" s="22">
        <f>AM35+IS!AN40+CF!AN19</f>
        <v>117870.85039943187</v>
      </c>
      <c r="AO35" s="22">
        <f>AN35+IS!AO40+CF!AO19</f>
        <v>120924.36264626673</v>
      </c>
      <c r="AP35" s="22">
        <f>AO35+IS!AP40+CF!AP19</f>
        <v>123798.35627290707</v>
      </c>
      <c r="AQ35" s="22">
        <f>AP35+IS!AQ40+CF!AQ19</f>
        <v>126492.83127935287</v>
      </c>
      <c r="AR35" s="22">
        <f>AQ35+IS!AR40+CF!AR19</f>
        <v>129187.98336913201</v>
      </c>
      <c r="AS35" s="22">
        <f>AR35+IS!AS40+CF!AS19</f>
        <v>132064.00824577233</v>
      </c>
      <c r="AT35" s="22">
        <f>AS35+IS!AT40+CF!AT19</f>
        <v>135301.10161280172</v>
      </c>
      <c r="AU35" s="22">
        <f>AT35+IS!AU40+CF!AU19</f>
        <v>138899.26347022018</v>
      </c>
      <c r="AV35" s="22">
        <f>AU35+IS!AV40+CF!AV19</f>
        <v>142858.49381802769</v>
      </c>
      <c r="AW35" s="22">
        <f>AV35+IS!AW40+CF!AW19</f>
        <v>147719.37976680786</v>
      </c>
      <c r="AX35" s="22">
        <f>AW35+IS!AX40+CF!AX19</f>
        <v>152291.59378801606</v>
      </c>
      <c r="AY35" s="22">
        <f>AX35+IS!AY40+CF!AY19</f>
        <v>156657.69660178042</v>
      </c>
      <c r="AZ35" s="22">
        <f>AY35+IS!AZ40+CF!AZ19</f>
        <v>160610.89991732378</v>
      </c>
      <c r="BA35" s="22">
        <f>AZ35+IS!BA40+CF!BA19</f>
        <v>164151.20373464614</v>
      </c>
      <c r="BB35" s="22">
        <f>BA35+IS!BB40+CF!BB19</f>
        <v>167485.39634452469</v>
      </c>
      <c r="BC35" s="22">
        <f>BB35+IS!BC40+CF!BC19</f>
        <v>170613.47774695937</v>
      </c>
      <c r="BD35" s="22">
        <f>BC35+IS!BD40+CF!BD19</f>
        <v>173742.23623272739</v>
      </c>
      <c r="BE35" s="22">
        <f>BD35+IS!BE40+CF!BE19</f>
        <v>177078.46009260591</v>
      </c>
      <c r="BF35" s="22">
        <f>BE35+IS!BF40+CF!BF19</f>
        <v>180828.93761737208</v>
      </c>
      <c r="BG35" s="22">
        <f>BF35+IS!BG40+CF!BG19</f>
        <v>184993.66880702594</v>
      </c>
      <c r="BH35" s="22">
        <f>BG35+IS!BH40+CF!BH19</f>
        <v>189572.65366156746</v>
      </c>
      <c r="BI35" s="22">
        <f>BH35+IS!BI40+CF!BI19</f>
        <v>195186.25705332815</v>
      </c>
      <c r="BJ35" s="22">
        <f>BI35+IS!BJ40+CF!BJ19</f>
        <v>200343.75606068404</v>
      </c>
      <c r="BK35" s="22">
        <f>BJ35+IS!BK40+CF!BK19</f>
        <v>205270.04994815489</v>
      </c>
      <c r="BL35" s="22">
        <f>BK35+IS!BL40+CF!BL19</f>
        <v>209733.25651252232</v>
      </c>
      <c r="BM35" s="22">
        <f>BL35+IS!BM40+CF!BM19</f>
        <v>213733.37575378636</v>
      </c>
      <c r="BN35" s="22">
        <f>BM35+IS!BN40+CF!BN19</f>
        <v>217502.28987516536</v>
      </c>
      <c r="BO35" s="22">
        <f>BN35+IS!BO40+CF!BO19</f>
        <v>221039.99887665932</v>
      </c>
      <c r="BP35" s="22">
        <f>BO35+IS!BP40+CF!BP19</f>
        <v>224578.38496148659</v>
      </c>
      <c r="BQ35" s="22">
        <f>BP35+IS!BQ40+CF!BQ19</f>
        <v>228349.33033286559</v>
      </c>
      <c r="BR35" s="22">
        <f>BQ35+IS!BR40+CF!BR19</f>
        <v>232584.71719401464</v>
      </c>
      <c r="BS35" s="22">
        <f>BR35+IS!BS40+CF!BS19</f>
        <v>237284.54554493379</v>
      </c>
      <c r="BT35" s="22">
        <f>BS35+IS!BT40+CF!BT19</f>
        <v>242448.81538562302</v>
      </c>
      <c r="BU35" s="22">
        <f>BT35+IS!BU40+CF!BU19</f>
        <v>248773.17332573741</v>
      </c>
      <c r="BV35" s="22">
        <f>BU35+IS!BV40+CF!BV19</f>
        <v>254564.58009275666</v>
      </c>
      <c r="BW35" s="22">
        <f>BV35+IS!BW40+CF!BW19</f>
        <v>260097.57379381853</v>
      </c>
      <c r="BX35" s="22">
        <f>BW35+IS!BX40+CF!BX19</f>
        <v>265113.06427963235</v>
      </c>
      <c r="BY35" s="22">
        <f>BX35+IS!BY40+CF!BY19</f>
        <v>269611.05155019811</v>
      </c>
      <c r="BZ35" s="22">
        <f>BY35+IS!BZ40+CF!BZ19</f>
        <v>273850.6257548065</v>
      </c>
      <c r="CA35" s="22">
        <f>BZ35+IS!CA40+CF!CA19</f>
        <v>277831.78689345752</v>
      </c>
      <c r="CB35" s="22">
        <f>CA35+IS!CB40+CF!CB19</f>
        <v>281813.62511544192</v>
      </c>
      <c r="CC35" s="22">
        <f>CB35+IS!CC40+CF!CC19</f>
        <v>286055.23057005031</v>
      </c>
      <c r="CD35" s="22">
        <f>CC35+IS!CD40+CF!CD19</f>
        <v>290815.69340657344</v>
      </c>
      <c r="CE35" s="22">
        <f>CD35+IS!CE40+CF!CE19</f>
        <v>296095.01362501131</v>
      </c>
      <c r="CF35" s="22">
        <f>CE35+IS!CF40+CF!CF19</f>
        <v>301893.19122536387</v>
      </c>
      <c r="CG35" s="22">
        <f>CF35+IS!CG40+CF!CG19</f>
        <v>308987.49665550323</v>
      </c>
      <c r="CH35" s="22">
        <f>CG35+IS!CH40+CF!CH19</f>
        <v>315465.06426733074</v>
      </c>
      <c r="CI35" s="22">
        <f>CH35+IS!CI40+CF!CI19</f>
        <v>321654.06191052805</v>
      </c>
      <c r="CJ35" s="22">
        <f>CI35+IS!CJ40+CF!CJ19</f>
        <v>327265.91961646499</v>
      </c>
      <c r="CK35" s="22">
        <f>CJ35+IS!CK40+CF!CK19</f>
        <v>332300.63738514157</v>
      </c>
      <c r="CL35" s="22">
        <f>CK35+IS!CL40+CF!CL19</f>
        <v>337046.785185188</v>
      </c>
      <c r="CM35" s="22">
        <f>CL35+IS!CM40+CF!CM19</f>
        <v>341504.36301660421</v>
      </c>
      <c r="CN35" s="22">
        <f>CM35+IS!CN40+CF!CN19</f>
        <v>345961.94084802043</v>
      </c>
      <c r="CO35" s="22">
        <f>CN35+IS!CO40+CF!CO19</f>
        <v>350708.08864806686</v>
      </c>
      <c r="CP35" s="22">
        <f>CO35+IS!CP40+CF!CP19</f>
        <v>356031.37638537359</v>
      </c>
      <c r="CQ35" s="22">
        <f>CP35+IS!CQ40+CF!CQ19</f>
        <v>361931.80405994068</v>
      </c>
      <c r="CR35" s="22">
        <f>CQ35+IS!CR40+CF!CR19</f>
        <v>368409.3716717682</v>
      </c>
      <c r="CS35" s="22">
        <f>CR35+IS!CS40+CF!CS19</f>
        <v>376329.78912674653</v>
      </c>
      <c r="CT35" s="22">
        <f>CS35+IS!CT40+CF!CT19</f>
        <v>383541.53242906701</v>
      </c>
      <c r="CU35" s="22">
        <f>CT35+IS!CU40+CF!CU19</f>
        <v>390432.78508056194</v>
      </c>
      <c r="CV35" s="22">
        <f>CU35+IS!CV40+CF!CV19</f>
        <v>396683.05643040582</v>
      </c>
      <c r="CW35" s="22">
        <f>CV35+IS!CW40+CF!CW19</f>
        <v>402292.34647859866</v>
      </c>
      <c r="CX35" s="22">
        <f>CW35+IS!CX40+CF!CX19</f>
        <v>407581.14587596594</v>
      </c>
      <c r="CY35" s="22">
        <f>CX35+IS!CY40+CF!CY19</f>
        <v>412549.45462250774</v>
      </c>
      <c r="CZ35" s="22">
        <f>CY35+IS!CZ40+CF!CZ19</f>
        <v>417517.76336904953</v>
      </c>
      <c r="DA35" s="22">
        <f>CZ35+IS!DA40+CF!DA19</f>
        <v>422806.56276641681</v>
      </c>
      <c r="DB35" s="22">
        <f>DA35+IS!DB40+CF!DB19</f>
        <v>428736.34346543514</v>
      </c>
      <c r="DC35" s="22">
        <f>DB35+IS!DC40+CF!DC19</f>
        <v>435307.10546610458</v>
      </c>
      <c r="DD35" s="22">
        <f>DC35+IS!DD40+CF!DD19</f>
        <v>442518.84876842506</v>
      </c>
      <c r="DE35" s="22">
        <f>DD35+IS!DE40+CF!DE19</f>
        <v>451333.04532487318</v>
      </c>
      <c r="DF35" s="22">
        <f>DE35+IS!DF40+CF!DF19</f>
        <v>459339.26497238368</v>
      </c>
      <c r="DG35" s="22">
        <f>DF35+IS!DG40+CF!DG19</f>
        <v>466990.45151927776</v>
      </c>
      <c r="DH35" s="22">
        <f>DG35+IS!DH40+CF!DH19</f>
        <v>473931.57186493906</v>
      </c>
      <c r="DI35" s="22">
        <f>DH35+IS!DI40+CF!DI19</f>
        <v>480162.62600936752</v>
      </c>
      <c r="DJ35" s="22">
        <f>DI35+IS!DJ40+CF!DJ19</f>
        <v>486038.64705317962</v>
      </c>
      <c r="DK35" s="22">
        <f>DJ35+IS!DK40+CF!DK19</f>
        <v>491559.6349963753</v>
      </c>
      <c r="DL35" s="22">
        <f>DK35+IS!DL40+CF!DL19</f>
        <v>497080.62293957098</v>
      </c>
      <c r="DM35" s="22">
        <f>DL35+IS!DM40+CF!DM19</f>
        <v>502956.64398338308</v>
      </c>
      <c r="DN35" s="22">
        <f>DM35+IS!DN40+CF!DN19</f>
        <v>509542.73122842796</v>
      </c>
      <c r="DO35" s="22">
        <f>DN35+IS!DO40+CF!DO19</f>
        <v>516838.88467470568</v>
      </c>
      <c r="DP35" s="22">
        <f>DO35+IS!DP40+CF!DP19</f>
        <v>524845.10432221612</v>
      </c>
      <c r="DQ35" s="22">
        <f>DP35+IS!DQ40+CF!DQ19</f>
        <v>534626.48947280867</v>
      </c>
    </row>
    <row r="36" spans="1:121" ht="15" customHeight="1">
      <c r="A36" s="14" t="s">
        <v>567</v>
      </c>
      <c r="B36" s="30">
        <f t="shared" ref="B36:AG36" si="24">B34+B35</f>
        <v>50444.727058333337</v>
      </c>
      <c r="C36" s="30">
        <f t="shared" si="24"/>
        <v>52678.777125000008</v>
      </c>
      <c r="D36" s="30">
        <f t="shared" si="24"/>
        <v>54690.796125000008</v>
      </c>
      <c r="E36" s="30">
        <f t="shared" si="24"/>
        <v>56480.784058333331</v>
      </c>
      <c r="F36" s="30">
        <f t="shared" si="24"/>
        <v>58160.095000000001</v>
      </c>
      <c r="G36" s="30">
        <f t="shared" si="24"/>
        <v>59728.728950000004</v>
      </c>
      <c r="H36" s="30">
        <f t="shared" si="24"/>
        <v>61298.039983333336</v>
      </c>
      <c r="I36" s="30">
        <f t="shared" si="24"/>
        <v>62979.382174999999</v>
      </c>
      <c r="J36" s="30">
        <f t="shared" si="24"/>
        <v>64884.109600000003</v>
      </c>
      <c r="K36" s="30">
        <f t="shared" si="24"/>
        <v>67012.222258333335</v>
      </c>
      <c r="L36" s="30">
        <f t="shared" si="24"/>
        <v>69363.720150000008</v>
      </c>
      <c r="M36" s="30">
        <f t="shared" si="24"/>
        <v>72272.665500000003</v>
      </c>
      <c r="N36" s="30">
        <f t="shared" si="24"/>
        <v>75108.157100263343</v>
      </c>
      <c r="O36" s="30">
        <f t="shared" si="24"/>
        <v>77811.987380950013</v>
      </c>
      <c r="P36" s="30">
        <f t="shared" si="24"/>
        <v>80251.817939150016</v>
      </c>
      <c r="Q36" s="30">
        <f t="shared" si="24"/>
        <v>82427.648774863352</v>
      </c>
      <c r="R36" s="30">
        <f t="shared" si="24"/>
        <v>84471.818291000018</v>
      </c>
      <c r="S36" s="30">
        <f t="shared" si="24"/>
        <v>86384.326487560014</v>
      </c>
      <c r="T36" s="30">
        <f t="shared" si="24"/>
        <v>88297.511767453339</v>
      </c>
      <c r="U36" s="30">
        <f t="shared" si="24"/>
        <v>90343.712533590005</v>
      </c>
      <c r="V36" s="30">
        <f t="shared" si="24"/>
        <v>92655.267188880011</v>
      </c>
      <c r="W36" s="30">
        <f t="shared" si="24"/>
        <v>95232.17573332334</v>
      </c>
      <c r="X36" s="30">
        <f t="shared" si="24"/>
        <v>98074.438166920008</v>
      </c>
      <c r="Y36" s="30">
        <f t="shared" si="24"/>
        <v>101579.0696984</v>
      </c>
      <c r="Z36" s="30">
        <f t="shared" si="24"/>
        <v>104973.65604464823</v>
      </c>
      <c r="AA36" s="30">
        <f t="shared" si="24"/>
        <v>108212.62586497264</v>
      </c>
      <c r="AB36" s="30">
        <f t="shared" si="24"/>
        <v>111139.68555011605</v>
      </c>
      <c r="AC36" s="30">
        <f t="shared" si="24"/>
        <v>113754.83510007843</v>
      </c>
      <c r="AD36" s="30">
        <f t="shared" si="24"/>
        <v>116214.36812411698</v>
      </c>
      <c r="AE36" s="30">
        <f t="shared" si="24"/>
        <v>118518.28462223169</v>
      </c>
      <c r="AF36" s="30">
        <f t="shared" si="24"/>
        <v>120822.87820367975</v>
      </c>
      <c r="AG36" s="30">
        <f t="shared" si="24"/>
        <v>123284.4424777183</v>
      </c>
      <c r="AH36" s="30">
        <f t="shared" ref="AH36:BM36" si="25">AH34+AH35</f>
        <v>126059.27105360452</v>
      </c>
      <c r="AI36" s="30">
        <f t="shared" si="25"/>
        <v>129147.36393133843</v>
      </c>
      <c r="AJ36" s="30">
        <f t="shared" si="25"/>
        <v>132548.72111092001</v>
      </c>
      <c r="AK36" s="30">
        <f t="shared" si="25"/>
        <v>136732.22342012078</v>
      </c>
      <c r="AL36" s="30">
        <f t="shared" si="25"/>
        <v>140684.68293459492</v>
      </c>
      <c r="AM36" s="30">
        <f t="shared" si="25"/>
        <v>144457.62382887461</v>
      </c>
      <c r="AN36" s="30">
        <f t="shared" si="25"/>
        <v>147870.85039943189</v>
      </c>
      <c r="AO36" s="30">
        <f t="shared" si="25"/>
        <v>150924.36264626673</v>
      </c>
      <c r="AP36" s="30">
        <f t="shared" si="25"/>
        <v>153798.35627290705</v>
      </c>
      <c r="AQ36" s="30">
        <f t="shared" si="25"/>
        <v>156492.83127935289</v>
      </c>
      <c r="AR36" s="30">
        <f t="shared" si="25"/>
        <v>159187.98336913201</v>
      </c>
      <c r="AS36" s="30">
        <f t="shared" si="25"/>
        <v>162064.00824577233</v>
      </c>
      <c r="AT36" s="30">
        <f t="shared" si="25"/>
        <v>165301.10161280172</v>
      </c>
      <c r="AU36" s="30">
        <f t="shared" si="25"/>
        <v>168899.26347022018</v>
      </c>
      <c r="AV36" s="30">
        <f t="shared" si="25"/>
        <v>172858.49381802769</v>
      </c>
      <c r="AW36" s="30">
        <f t="shared" si="25"/>
        <v>177719.37976680786</v>
      </c>
      <c r="AX36" s="30">
        <f t="shared" si="25"/>
        <v>182291.59378801606</v>
      </c>
      <c r="AY36" s="30">
        <f t="shared" si="25"/>
        <v>186657.69660178042</v>
      </c>
      <c r="AZ36" s="30">
        <f t="shared" si="25"/>
        <v>190610.89991732378</v>
      </c>
      <c r="BA36" s="30">
        <f t="shared" si="25"/>
        <v>194151.20373464614</v>
      </c>
      <c r="BB36" s="30">
        <f t="shared" si="25"/>
        <v>197485.39634452469</v>
      </c>
      <c r="BC36" s="30">
        <f t="shared" si="25"/>
        <v>200613.47774695937</v>
      </c>
      <c r="BD36" s="30">
        <f t="shared" si="25"/>
        <v>203742.23623272739</v>
      </c>
      <c r="BE36" s="30">
        <f t="shared" si="25"/>
        <v>207078.46009260591</v>
      </c>
      <c r="BF36" s="30">
        <f t="shared" si="25"/>
        <v>210828.93761737208</v>
      </c>
      <c r="BG36" s="30">
        <f t="shared" si="25"/>
        <v>214993.66880702594</v>
      </c>
      <c r="BH36" s="30">
        <f t="shared" si="25"/>
        <v>219572.65366156746</v>
      </c>
      <c r="BI36" s="30">
        <f t="shared" si="25"/>
        <v>225186.25705332815</v>
      </c>
      <c r="BJ36" s="30">
        <f t="shared" si="25"/>
        <v>230343.75606068404</v>
      </c>
      <c r="BK36" s="30">
        <f t="shared" si="25"/>
        <v>235270.04994815489</v>
      </c>
      <c r="BL36" s="30">
        <f t="shared" si="25"/>
        <v>239733.25651252232</v>
      </c>
      <c r="BM36" s="30">
        <f t="shared" si="25"/>
        <v>243733.37575378636</v>
      </c>
      <c r="BN36" s="30">
        <f t="shared" ref="BN36:CS36" si="26">BN34+BN35</f>
        <v>247502.28987516536</v>
      </c>
      <c r="BO36" s="30">
        <f t="shared" si="26"/>
        <v>251039.99887665932</v>
      </c>
      <c r="BP36" s="30">
        <f t="shared" si="26"/>
        <v>254578.38496148659</v>
      </c>
      <c r="BQ36" s="30">
        <f t="shared" si="26"/>
        <v>258349.33033286559</v>
      </c>
      <c r="BR36" s="30">
        <f t="shared" si="26"/>
        <v>262584.71719401464</v>
      </c>
      <c r="BS36" s="30">
        <f t="shared" si="26"/>
        <v>267284.54554493376</v>
      </c>
      <c r="BT36" s="30">
        <f t="shared" si="26"/>
        <v>272448.81538562302</v>
      </c>
      <c r="BU36" s="30">
        <f t="shared" si="26"/>
        <v>278773.17332573741</v>
      </c>
      <c r="BV36" s="30">
        <f t="shared" si="26"/>
        <v>284564.58009275666</v>
      </c>
      <c r="BW36" s="30">
        <f t="shared" si="26"/>
        <v>290097.57379381853</v>
      </c>
      <c r="BX36" s="30">
        <f t="shared" si="26"/>
        <v>295113.06427963235</v>
      </c>
      <c r="BY36" s="30">
        <f t="shared" si="26"/>
        <v>299611.05155019811</v>
      </c>
      <c r="BZ36" s="30">
        <f t="shared" si="26"/>
        <v>303850.6257548065</v>
      </c>
      <c r="CA36" s="30">
        <f t="shared" si="26"/>
        <v>307831.78689345752</v>
      </c>
      <c r="CB36" s="30">
        <f t="shared" si="26"/>
        <v>311813.62511544192</v>
      </c>
      <c r="CC36" s="30">
        <f t="shared" si="26"/>
        <v>316055.23057005031</v>
      </c>
      <c r="CD36" s="30">
        <f t="shared" si="26"/>
        <v>320815.69340657344</v>
      </c>
      <c r="CE36" s="30">
        <f t="shared" si="26"/>
        <v>326095.01362501131</v>
      </c>
      <c r="CF36" s="30">
        <f t="shared" si="26"/>
        <v>331893.19122536387</v>
      </c>
      <c r="CG36" s="30">
        <f t="shared" si="26"/>
        <v>338987.49665550323</v>
      </c>
      <c r="CH36" s="30">
        <f t="shared" si="26"/>
        <v>345465.06426733074</v>
      </c>
      <c r="CI36" s="30">
        <f t="shared" si="26"/>
        <v>351654.06191052805</v>
      </c>
      <c r="CJ36" s="30">
        <f t="shared" si="26"/>
        <v>357265.91961646499</v>
      </c>
      <c r="CK36" s="30">
        <f t="shared" si="26"/>
        <v>362300.63738514157</v>
      </c>
      <c r="CL36" s="30">
        <f t="shared" si="26"/>
        <v>367046.785185188</v>
      </c>
      <c r="CM36" s="30">
        <f t="shared" si="26"/>
        <v>371504.36301660421</v>
      </c>
      <c r="CN36" s="30">
        <f t="shared" si="26"/>
        <v>375961.94084802043</v>
      </c>
      <c r="CO36" s="30">
        <f t="shared" si="26"/>
        <v>380708.08864806686</v>
      </c>
      <c r="CP36" s="30">
        <f t="shared" si="26"/>
        <v>386031.37638537359</v>
      </c>
      <c r="CQ36" s="30">
        <f t="shared" si="26"/>
        <v>391931.80405994068</v>
      </c>
      <c r="CR36" s="30">
        <f t="shared" si="26"/>
        <v>398409.3716717682</v>
      </c>
      <c r="CS36" s="30">
        <f t="shared" si="26"/>
        <v>406329.78912674653</v>
      </c>
      <c r="CT36" s="30">
        <f t="shared" ref="CT36:DY36" si="27">CT34+CT35</f>
        <v>413541.53242906701</v>
      </c>
      <c r="CU36" s="30">
        <f t="shared" si="27"/>
        <v>420432.78508056194</v>
      </c>
      <c r="CV36" s="30">
        <f t="shared" si="27"/>
        <v>426683.05643040582</v>
      </c>
      <c r="CW36" s="30">
        <f t="shared" si="27"/>
        <v>432292.34647859866</v>
      </c>
      <c r="CX36" s="30">
        <f t="shared" si="27"/>
        <v>437581.14587596594</v>
      </c>
      <c r="CY36" s="30">
        <f t="shared" si="27"/>
        <v>442549.45462250774</v>
      </c>
      <c r="CZ36" s="30">
        <f t="shared" si="27"/>
        <v>447517.76336904953</v>
      </c>
      <c r="DA36" s="30">
        <f t="shared" si="27"/>
        <v>452806.56276641681</v>
      </c>
      <c r="DB36" s="30">
        <f t="shared" si="27"/>
        <v>458736.34346543514</v>
      </c>
      <c r="DC36" s="30">
        <f t="shared" si="27"/>
        <v>465307.10546610458</v>
      </c>
      <c r="DD36" s="30">
        <f t="shared" si="27"/>
        <v>472518.84876842506</v>
      </c>
      <c r="DE36" s="30">
        <f t="shared" si="27"/>
        <v>481333.04532487318</v>
      </c>
      <c r="DF36" s="30">
        <f t="shared" si="27"/>
        <v>489339.26497238368</v>
      </c>
      <c r="DG36" s="30">
        <f t="shared" si="27"/>
        <v>496990.45151927776</v>
      </c>
      <c r="DH36" s="30">
        <f t="shared" si="27"/>
        <v>503931.57186493906</v>
      </c>
      <c r="DI36" s="30">
        <f t="shared" si="27"/>
        <v>510162.62600936752</v>
      </c>
      <c r="DJ36" s="30">
        <f t="shared" si="27"/>
        <v>516038.64705317962</v>
      </c>
      <c r="DK36" s="30">
        <f t="shared" si="27"/>
        <v>521559.6349963753</v>
      </c>
      <c r="DL36" s="30">
        <f t="shared" si="27"/>
        <v>527080.62293957104</v>
      </c>
      <c r="DM36" s="30">
        <f t="shared" si="27"/>
        <v>532956.64398338308</v>
      </c>
      <c r="DN36" s="30">
        <f t="shared" si="27"/>
        <v>539542.73122842796</v>
      </c>
      <c r="DO36" s="30">
        <f t="shared" si="27"/>
        <v>546838.88467470568</v>
      </c>
      <c r="DP36" s="30">
        <f t="shared" si="27"/>
        <v>554845.10432221612</v>
      </c>
      <c r="DQ36" s="30">
        <f t="shared" si="27"/>
        <v>564626.48947280867</v>
      </c>
    </row>
    <row r="38" spans="1:121" ht="15" customHeight="1">
      <c r="A38" s="14" t="s">
        <v>568</v>
      </c>
      <c r="B38" s="31">
        <f t="shared" ref="B38:AG38" si="28">B31+B36</f>
        <v>101979.98964085127</v>
      </c>
      <c r="C38" s="31">
        <f t="shared" si="28"/>
        <v>102749.77363250164</v>
      </c>
      <c r="D38" s="31">
        <f t="shared" si="28"/>
        <v>102130.87953008807</v>
      </c>
      <c r="E38" s="31">
        <f t="shared" si="28"/>
        <v>101289.95436100784</v>
      </c>
      <c r="F38" s="31">
        <f t="shared" si="28"/>
        <v>101504.99922765821</v>
      </c>
      <c r="G38" s="31">
        <f t="shared" si="28"/>
        <v>101609.3671026419</v>
      </c>
      <c r="H38" s="31">
        <f t="shared" si="28"/>
        <v>102881.05908835618</v>
      </c>
      <c r="I38" s="31">
        <f t="shared" si="28"/>
        <v>105431.42925980105</v>
      </c>
      <c r="J38" s="31">
        <f t="shared" si="28"/>
        <v>109371.83169197653</v>
      </c>
      <c r="K38" s="31">
        <f t="shared" si="28"/>
        <v>113535.61935748534</v>
      </c>
      <c r="L38" s="31">
        <f t="shared" si="28"/>
        <v>117922.79225632749</v>
      </c>
      <c r="M38" s="31">
        <f t="shared" si="28"/>
        <v>126367.35369569474</v>
      </c>
      <c r="N38" s="31">
        <f t="shared" si="28"/>
        <v>125943.1094457774</v>
      </c>
      <c r="O38" s="31">
        <f t="shared" si="28"/>
        <v>127057.84241951625</v>
      </c>
      <c r="P38" s="31">
        <f t="shared" si="28"/>
        <v>126617.09741143967</v>
      </c>
      <c r="Q38" s="31">
        <f t="shared" si="28"/>
        <v>125912.35268087641</v>
      </c>
      <c r="R38" s="31">
        <f t="shared" si="28"/>
        <v>126367.42489006527</v>
      </c>
      <c r="S38" s="31">
        <f t="shared" si="28"/>
        <v>126690.83577967747</v>
      </c>
      <c r="T38" s="31">
        <f t="shared" si="28"/>
        <v>128306.40201195175</v>
      </c>
      <c r="U38" s="31">
        <f t="shared" si="28"/>
        <v>131346.46198979812</v>
      </c>
      <c r="V38" s="31">
        <f t="shared" si="28"/>
        <v>135943.35411612663</v>
      </c>
      <c r="W38" s="31">
        <f t="shared" si="28"/>
        <v>140805.60013160843</v>
      </c>
      <c r="X38" s="31">
        <f t="shared" si="28"/>
        <v>145933.20003624359</v>
      </c>
      <c r="Y38" s="31">
        <f t="shared" si="28"/>
        <v>155597.60381674836</v>
      </c>
      <c r="Z38" s="31">
        <f t="shared" si="28"/>
        <v>155415.50781494181</v>
      </c>
      <c r="AA38" s="31">
        <f t="shared" si="28"/>
        <v>156927.19215457025</v>
      </c>
      <c r="AB38" s="31">
        <f t="shared" si="28"/>
        <v>156697.29992594069</v>
      </c>
      <c r="AC38" s="31">
        <f t="shared" si="28"/>
        <v>156155.49756213016</v>
      </c>
      <c r="AD38" s="31">
        <f t="shared" si="28"/>
        <v>156887.74510547274</v>
      </c>
      <c r="AE38" s="31">
        <f t="shared" si="28"/>
        <v>157464.37612289144</v>
      </c>
      <c r="AF38" s="31">
        <f t="shared" si="28"/>
        <v>159471.35065672046</v>
      </c>
      <c r="AG38" s="31">
        <f t="shared" si="28"/>
        <v>163064.9623162169</v>
      </c>
      <c r="AH38" s="31">
        <f t="shared" ref="AH38:BM38" si="29">AH31+AH36</f>
        <v>168401.50471063796</v>
      </c>
      <c r="AI38" s="31">
        <f t="shared" si="29"/>
        <v>174051.31140690672</v>
      </c>
      <c r="AJ38" s="31">
        <f t="shared" si="29"/>
        <v>180014.38240502315</v>
      </c>
      <c r="AK38" s="31">
        <f t="shared" si="29"/>
        <v>191048.59783198958</v>
      </c>
      <c r="AL38" s="31">
        <f t="shared" si="29"/>
        <v>190399.42750206654</v>
      </c>
      <c r="AM38" s="31">
        <f t="shared" si="29"/>
        <v>192321.41676918906</v>
      </c>
      <c r="AN38" s="31">
        <f t="shared" si="29"/>
        <v>192330.3591330511</v>
      </c>
      <c r="AO38" s="31">
        <f t="shared" si="29"/>
        <v>191979.5871731907</v>
      </c>
      <c r="AP38" s="31">
        <f t="shared" si="29"/>
        <v>193002.62917267386</v>
      </c>
      <c r="AQ38" s="31">
        <f t="shared" si="29"/>
        <v>193846.15255196256</v>
      </c>
      <c r="AR38" s="31">
        <f t="shared" si="29"/>
        <v>196243.68559412262</v>
      </c>
      <c r="AS38" s="31">
        <f t="shared" si="29"/>
        <v>200375.424002682</v>
      </c>
      <c r="AT38" s="31">
        <f t="shared" si="29"/>
        <v>206421.56348116853</v>
      </c>
      <c r="AU38" s="31">
        <f t="shared" si="29"/>
        <v>212828.77145004415</v>
      </c>
      <c r="AV38" s="31">
        <f t="shared" si="29"/>
        <v>219597.04790930881</v>
      </c>
      <c r="AW38" s="31">
        <f t="shared" si="29"/>
        <v>231926.97770816044</v>
      </c>
      <c r="AX38" s="31">
        <f t="shared" si="29"/>
        <v>231525.26495105014</v>
      </c>
      <c r="AY38" s="31">
        <f t="shared" si="29"/>
        <v>233906.05286952731</v>
      </c>
      <c r="AZ38" s="31">
        <f t="shared" si="29"/>
        <v>234186.24544211532</v>
      </c>
      <c r="BA38" s="31">
        <f t="shared" si="29"/>
        <v>234053.53851648234</v>
      </c>
      <c r="BB38" s="31">
        <f t="shared" si="29"/>
        <v>235402.4162310737</v>
      </c>
      <c r="BC38" s="31">
        <f t="shared" si="29"/>
        <v>236545.18273822119</v>
      </c>
      <c r="BD38" s="31">
        <f t="shared" si="29"/>
        <v>239376.32217637016</v>
      </c>
      <c r="BE38" s="31">
        <f t="shared" si="29"/>
        <v>244102.62283629779</v>
      </c>
      <c r="BF38" s="31">
        <f t="shared" si="29"/>
        <v>250930.8730087812</v>
      </c>
      <c r="BG38" s="31">
        <f t="shared" si="29"/>
        <v>258173.3768461523</v>
      </c>
      <c r="BH38" s="31">
        <f t="shared" si="29"/>
        <v>265830.13434841105</v>
      </c>
      <c r="BI38" s="31">
        <f t="shared" si="29"/>
        <v>279584.59793089342</v>
      </c>
      <c r="BJ38" s="31">
        <f t="shared" si="29"/>
        <v>278567.92094904982</v>
      </c>
      <c r="BK38" s="31">
        <f t="shared" si="29"/>
        <v>281397.51201528736</v>
      </c>
      <c r="BL38" s="31">
        <f t="shared" si="29"/>
        <v>281964.93198480725</v>
      </c>
      <c r="BM38" s="31">
        <f t="shared" si="29"/>
        <v>282069.26463122375</v>
      </c>
      <c r="BN38" s="31">
        <f t="shared" ref="BN38:CS38" si="30">BN31+BN36</f>
        <v>283741.47593136947</v>
      </c>
      <c r="BO38" s="31">
        <f t="shared" si="30"/>
        <v>285182.48211163015</v>
      </c>
      <c r="BP38" s="31">
        <f t="shared" si="30"/>
        <v>288423.24914883834</v>
      </c>
      <c r="BQ38" s="31">
        <f t="shared" si="30"/>
        <v>293695.65924621257</v>
      </c>
      <c r="BR38" s="31">
        <f t="shared" si="30"/>
        <v>301231.59460697102</v>
      </c>
      <c r="BS38" s="31">
        <f t="shared" si="30"/>
        <v>309231.9714574996</v>
      </c>
      <c r="BT38" s="31">
        <f t="shared" si="30"/>
        <v>317696.78979779832</v>
      </c>
      <c r="BU38" s="31">
        <f t="shared" si="30"/>
        <v>332718.94755836483</v>
      </c>
      <c r="BV38" s="31">
        <f t="shared" si="30"/>
        <v>331948.32557804027</v>
      </c>
      <c r="BW38" s="31">
        <f t="shared" si="30"/>
        <v>335265.87692881032</v>
      </c>
      <c r="BX38" s="31">
        <f t="shared" si="30"/>
        <v>336148.10176165949</v>
      </c>
      <c r="BY38" s="31">
        <f t="shared" si="30"/>
        <v>336512.82337926066</v>
      </c>
      <c r="BZ38" s="31">
        <f t="shared" si="30"/>
        <v>338536.95523357723</v>
      </c>
      <c r="CA38" s="31">
        <f t="shared" si="30"/>
        <v>340302.67402193643</v>
      </c>
      <c r="CB38" s="31">
        <f t="shared" si="30"/>
        <v>343986.89319630177</v>
      </c>
      <c r="CC38" s="31">
        <f t="shared" si="30"/>
        <v>349848.70290596387</v>
      </c>
      <c r="CD38" s="31">
        <f t="shared" si="30"/>
        <v>358147.19330021355</v>
      </c>
      <c r="CE38" s="31">
        <f t="shared" si="30"/>
        <v>366964.54107637791</v>
      </c>
      <c r="CF38" s="31">
        <f t="shared" si="30"/>
        <v>376300.74623445701</v>
      </c>
      <c r="CG38" s="31">
        <f t="shared" si="30"/>
        <v>392686.54913034121</v>
      </c>
      <c r="CH38" s="31">
        <f t="shared" si="30"/>
        <v>392486.25600226206</v>
      </c>
      <c r="CI38" s="31">
        <f t="shared" si="30"/>
        <v>396630.85400481016</v>
      </c>
      <c r="CJ38" s="31">
        <f t="shared" si="30"/>
        <v>398153.91242944874</v>
      </c>
      <c r="CK38" s="31">
        <f t="shared" si="30"/>
        <v>399099.83091682696</v>
      </c>
      <c r="CL38" s="31">
        <f t="shared" si="30"/>
        <v>401801.57907622418</v>
      </c>
      <c r="CM38" s="31">
        <f t="shared" si="30"/>
        <v>404214.75726699119</v>
      </c>
      <c r="CN38" s="31">
        <f t="shared" si="30"/>
        <v>408672.33509840746</v>
      </c>
      <c r="CO38" s="31">
        <f t="shared" si="30"/>
        <v>415462.88253910304</v>
      </c>
      <c r="CP38" s="31">
        <f t="shared" si="30"/>
        <v>424874.96955770813</v>
      </c>
      <c r="CQ38" s="31">
        <f t="shared" si="30"/>
        <v>434864.19651357364</v>
      </c>
      <c r="CR38" s="31">
        <f t="shared" si="30"/>
        <v>445430.56340669951</v>
      </c>
      <c r="CS38" s="31">
        <f t="shared" si="30"/>
        <v>463572.97906492377</v>
      </c>
      <c r="CT38" s="31">
        <f t="shared" ref="CT38:DQ38" si="31">CT31+CT36</f>
        <v>463666.12281850376</v>
      </c>
      <c r="CU38" s="31">
        <f t="shared" si="31"/>
        <v>468378.0454530667</v>
      </c>
      <c r="CV38" s="31">
        <f t="shared" si="31"/>
        <v>470269.6567690465</v>
      </c>
      <c r="CW38" s="31">
        <f t="shared" si="31"/>
        <v>471520.28678337525</v>
      </c>
      <c r="CX38" s="31">
        <f t="shared" si="31"/>
        <v>474629.7561638105</v>
      </c>
      <c r="CY38" s="31">
        <f t="shared" si="31"/>
        <v>477418.7348934203</v>
      </c>
      <c r="CZ38" s="31">
        <f t="shared" si="31"/>
        <v>482387.0436399621</v>
      </c>
      <c r="DA38" s="31">
        <f t="shared" si="31"/>
        <v>489855.17305426137</v>
      </c>
      <c r="DB38" s="31">
        <f t="shared" si="31"/>
        <v>500143.61378714378</v>
      </c>
      <c r="DC38" s="31">
        <f t="shared" si="31"/>
        <v>511073.0358216773</v>
      </c>
      <c r="DD38" s="31">
        <f t="shared" si="31"/>
        <v>522643.43915786181</v>
      </c>
      <c r="DE38" s="31">
        <f t="shared" si="31"/>
        <v>542354.28579897014</v>
      </c>
      <c r="DF38" s="31">
        <f t="shared" si="31"/>
        <v>542772.07832752331</v>
      </c>
      <c r="DG38" s="31">
        <f t="shared" si="31"/>
        <v>548100.0990763678</v>
      </c>
      <c r="DH38" s="31">
        <f t="shared" si="31"/>
        <v>550394.88782593003</v>
      </c>
      <c r="DI38" s="31">
        <f t="shared" si="31"/>
        <v>551979.61037425941</v>
      </c>
      <c r="DJ38" s="31">
        <f t="shared" si="31"/>
        <v>555532.46562002192</v>
      </c>
      <c r="DK38" s="31">
        <f t="shared" si="31"/>
        <v>558730.28776516812</v>
      </c>
      <c r="DL38" s="31">
        <f t="shared" si="31"/>
        <v>564251.27570836386</v>
      </c>
      <c r="DM38" s="31">
        <f t="shared" si="31"/>
        <v>572450.46255022543</v>
      </c>
      <c r="DN38" s="31">
        <f t="shared" si="31"/>
        <v>583682.88139136939</v>
      </c>
      <c r="DO38" s="31">
        <f t="shared" si="31"/>
        <v>595625.36643374618</v>
      </c>
      <c r="DP38" s="31">
        <f t="shared" si="31"/>
        <v>608277.9176773557</v>
      </c>
      <c r="DQ38" s="31">
        <f t="shared" si="31"/>
        <v>629675.13181819604</v>
      </c>
    </row>
    <row r="40" spans="1:121" ht="15" customHeight="1">
      <c r="A40" s="5" t="s">
        <v>569</v>
      </c>
    </row>
    <row r="41" spans="1:121" ht="15" customHeight="1">
      <c r="A41" t="s">
        <v>570</v>
      </c>
      <c r="B41" s="22">
        <f t="shared" ref="B41:AG41" si="32">ROUND(B18-B38,0)</f>
        <v>0</v>
      </c>
      <c r="C41" s="22">
        <f t="shared" si="32"/>
        <v>0</v>
      </c>
      <c r="D41" s="22">
        <f t="shared" si="32"/>
        <v>0</v>
      </c>
      <c r="E41" s="22">
        <f t="shared" si="32"/>
        <v>0</v>
      </c>
      <c r="F41" s="22">
        <f t="shared" si="32"/>
        <v>0</v>
      </c>
      <c r="G41" s="22">
        <f t="shared" si="32"/>
        <v>0</v>
      </c>
      <c r="H41" s="22">
        <f t="shared" si="32"/>
        <v>0</v>
      </c>
      <c r="I41" s="22">
        <f t="shared" si="32"/>
        <v>0</v>
      </c>
      <c r="J41" s="22">
        <f t="shared" si="32"/>
        <v>0</v>
      </c>
      <c r="K41" s="22">
        <f t="shared" si="32"/>
        <v>0</v>
      </c>
      <c r="L41" s="22">
        <f t="shared" si="32"/>
        <v>0</v>
      </c>
      <c r="M41" s="22">
        <f t="shared" si="32"/>
        <v>0</v>
      </c>
      <c r="N41" s="22">
        <f t="shared" si="32"/>
        <v>0</v>
      </c>
      <c r="O41" s="22">
        <f t="shared" si="32"/>
        <v>0</v>
      </c>
      <c r="P41" s="22">
        <f t="shared" si="32"/>
        <v>0</v>
      </c>
      <c r="Q41" s="22">
        <f t="shared" si="32"/>
        <v>0</v>
      </c>
      <c r="R41" s="22">
        <f t="shared" si="32"/>
        <v>0</v>
      </c>
      <c r="S41" s="22">
        <f t="shared" si="32"/>
        <v>0</v>
      </c>
      <c r="T41" s="22">
        <f t="shared" si="32"/>
        <v>0</v>
      </c>
      <c r="U41" s="22">
        <f t="shared" si="32"/>
        <v>0</v>
      </c>
      <c r="V41" s="22">
        <f t="shared" si="32"/>
        <v>0</v>
      </c>
      <c r="W41" s="22">
        <f t="shared" si="32"/>
        <v>0</v>
      </c>
      <c r="X41" s="22">
        <f t="shared" si="32"/>
        <v>0</v>
      </c>
      <c r="Y41" s="22">
        <f t="shared" si="32"/>
        <v>0</v>
      </c>
      <c r="Z41" s="22">
        <f t="shared" si="32"/>
        <v>0</v>
      </c>
      <c r="AA41" s="22">
        <f t="shared" si="32"/>
        <v>0</v>
      </c>
      <c r="AB41" s="22">
        <f t="shared" si="32"/>
        <v>0</v>
      </c>
      <c r="AC41" s="22">
        <f t="shared" si="32"/>
        <v>0</v>
      </c>
      <c r="AD41" s="22">
        <f t="shared" si="32"/>
        <v>0</v>
      </c>
      <c r="AE41" s="22">
        <f t="shared" si="32"/>
        <v>0</v>
      </c>
      <c r="AF41" s="22">
        <f t="shared" si="32"/>
        <v>0</v>
      </c>
      <c r="AG41" s="22">
        <f t="shared" si="32"/>
        <v>0</v>
      </c>
      <c r="AH41" s="22">
        <f t="shared" ref="AH41:BM41" si="33">ROUND(AH18-AH38,0)</f>
        <v>0</v>
      </c>
      <c r="AI41" s="22">
        <f t="shared" si="33"/>
        <v>0</v>
      </c>
      <c r="AJ41" s="22">
        <f t="shared" si="33"/>
        <v>0</v>
      </c>
      <c r="AK41" s="22">
        <f t="shared" si="33"/>
        <v>0</v>
      </c>
      <c r="AL41" s="22">
        <f t="shared" si="33"/>
        <v>0</v>
      </c>
      <c r="AM41" s="22">
        <f t="shared" si="33"/>
        <v>0</v>
      </c>
      <c r="AN41" s="22">
        <f t="shared" si="33"/>
        <v>0</v>
      </c>
      <c r="AO41" s="22">
        <f t="shared" si="33"/>
        <v>0</v>
      </c>
      <c r="AP41" s="22">
        <f t="shared" si="33"/>
        <v>0</v>
      </c>
      <c r="AQ41" s="22">
        <f t="shared" si="33"/>
        <v>0</v>
      </c>
      <c r="AR41" s="22">
        <f t="shared" si="33"/>
        <v>0</v>
      </c>
      <c r="AS41" s="22">
        <f t="shared" si="33"/>
        <v>0</v>
      </c>
      <c r="AT41" s="22">
        <f t="shared" si="33"/>
        <v>0</v>
      </c>
      <c r="AU41" s="22">
        <f t="shared" si="33"/>
        <v>0</v>
      </c>
      <c r="AV41" s="22">
        <f t="shared" si="33"/>
        <v>0</v>
      </c>
      <c r="AW41" s="22">
        <f t="shared" si="33"/>
        <v>0</v>
      </c>
      <c r="AX41" s="22">
        <f t="shared" si="33"/>
        <v>0</v>
      </c>
      <c r="AY41" s="22">
        <f t="shared" si="33"/>
        <v>0</v>
      </c>
      <c r="AZ41" s="22">
        <f t="shared" si="33"/>
        <v>0</v>
      </c>
      <c r="BA41" s="22">
        <f t="shared" si="33"/>
        <v>0</v>
      </c>
      <c r="BB41" s="22">
        <f t="shared" si="33"/>
        <v>0</v>
      </c>
      <c r="BC41" s="22">
        <f t="shared" si="33"/>
        <v>0</v>
      </c>
      <c r="BD41" s="22">
        <f t="shared" si="33"/>
        <v>0</v>
      </c>
      <c r="BE41" s="22">
        <f t="shared" si="33"/>
        <v>0</v>
      </c>
      <c r="BF41" s="22">
        <f t="shared" si="33"/>
        <v>0</v>
      </c>
      <c r="BG41" s="22">
        <f t="shared" si="33"/>
        <v>0</v>
      </c>
      <c r="BH41" s="22">
        <f t="shared" si="33"/>
        <v>0</v>
      </c>
      <c r="BI41" s="22">
        <f t="shared" si="33"/>
        <v>0</v>
      </c>
      <c r="BJ41" s="22">
        <f t="shared" si="33"/>
        <v>0</v>
      </c>
      <c r="BK41" s="22">
        <f t="shared" si="33"/>
        <v>0</v>
      </c>
      <c r="BL41" s="22">
        <f t="shared" si="33"/>
        <v>0</v>
      </c>
      <c r="BM41" s="22">
        <f t="shared" si="33"/>
        <v>0</v>
      </c>
      <c r="BN41" s="22">
        <f t="shared" ref="BN41:CS41" si="34">ROUND(BN18-BN38,0)</f>
        <v>0</v>
      </c>
      <c r="BO41" s="22">
        <f t="shared" si="34"/>
        <v>0</v>
      </c>
      <c r="BP41" s="22">
        <f t="shared" si="34"/>
        <v>0</v>
      </c>
      <c r="BQ41" s="22">
        <f t="shared" si="34"/>
        <v>0</v>
      </c>
      <c r="BR41" s="22">
        <f t="shared" si="34"/>
        <v>0</v>
      </c>
      <c r="BS41" s="22">
        <f t="shared" si="34"/>
        <v>0</v>
      </c>
      <c r="BT41" s="22">
        <f t="shared" si="34"/>
        <v>0</v>
      </c>
      <c r="BU41" s="22">
        <f t="shared" si="34"/>
        <v>0</v>
      </c>
      <c r="BV41" s="22">
        <f t="shared" si="34"/>
        <v>0</v>
      </c>
      <c r="BW41" s="22">
        <f t="shared" si="34"/>
        <v>0</v>
      </c>
      <c r="BX41" s="22">
        <f t="shared" si="34"/>
        <v>0</v>
      </c>
      <c r="BY41" s="22">
        <f t="shared" si="34"/>
        <v>0</v>
      </c>
      <c r="BZ41" s="22">
        <f t="shared" si="34"/>
        <v>0</v>
      </c>
      <c r="CA41" s="22">
        <f t="shared" si="34"/>
        <v>0</v>
      </c>
      <c r="CB41" s="22">
        <f t="shared" si="34"/>
        <v>0</v>
      </c>
      <c r="CC41" s="22">
        <f t="shared" si="34"/>
        <v>0</v>
      </c>
      <c r="CD41" s="22">
        <f t="shared" si="34"/>
        <v>0</v>
      </c>
      <c r="CE41" s="22">
        <f t="shared" si="34"/>
        <v>0</v>
      </c>
      <c r="CF41" s="22">
        <f t="shared" si="34"/>
        <v>0</v>
      </c>
      <c r="CG41" s="22">
        <f t="shared" si="34"/>
        <v>0</v>
      </c>
      <c r="CH41" s="22">
        <f t="shared" si="34"/>
        <v>0</v>
      </c>
      <c r="CI41" s="22">
        <f t="shared" si="34"/>
        <v>0</v>
      </c>
      <c r="CJ41" s="22">
        <f t="shared" si="34"/>
        <v>0</v>
      </c>
      <c r="CK41" s="22">
        <f t="shared" si="34"/>
        <v>0</v>
      </c>
      <c r="CL41" s="22">
        <f t="shared" si="34"/>
        <v>0</v>
      </c>
      <c r="CM41" s="22">
        <f t="shared" si="34"/>
        <v>0</v>
      </c>
      <c r="CN41" s="22">
        <f t="shared" si="34"/>
        <v>0</v>
      </c>
      <c r="CO41" s="22">
        <f t="shared" si="34"/>
        <v>0</v>
      </c>
      <c r="CP41" s="22">
        <f t="shared" si="34"/>
        <v>0</v>
      </c>
      <c r="CQ41" s="22">
        <f t="shared" si="34"/>
        <v>0</v>
      </c>
      <c r="CR41" s="22">
        <f t="shared" si="34"/>
        <v>0</v>
      </c>
      <c r="CS41" s="22">
        <f t="shared" si="34"/>
        <v>0</v>
      </c>
      <c r="CT41" s="22">
        <f t="shared" ref="CT41:DQ41" si="35">ROUND(CT18-CT38,0)</f>
        <v>0</v>
      </c>
      <c r="CU41" s="22">
        <f t="shared" si="35"/>
        <v>0</v>
      </c>
      <c r="CV41" s="22">
        <f t="shared" si="35"/>
        <v>0</v>
      </c>
      <c r="CW41" s="22">
        <f t="shared" si="35"/>
        <v>0</v>
      </c>
      <c r="CX41" s="22">
        <f t="shared" si="35"/>
        <v>0</v>
      </c>
      <c r="CY41" s="22">
        <f t="shared" si="35"/>
        <v>0</v>
      </c>
      <c r="CZ41" s="22">
        <f t="shared" si="35"/>
        <v>0</v>
      </c>
      <c r="DA41" s="22">
        <f t="shared" si="35"/>
        <v>0</v>
      </c>
      <c r="DB41" s="22">
        <f t="shared" si="35"/>
        <v>0</v>
      </c>
      <c r="DC41" s="22">
        <f t="shared" si="35"/>
        <v>0</v>
      </c>
      <c r="DD41" s="22">
        <f t="shared" si="35"/>
        <v>0</v>
      </c>
      <c r="DE41" s="22">
        <f t="shared" si="35"/>
        <v>0</v>
      </c>
      <c r="DF41" s="22">
        <f t="shared" si="35"/>
        <v>0</v>
      </c>
      <c r="DG41" s="22">
        <f t="shared" si="35"/>
        <v>0</v>
      </c>
      <c r="DH41" s="22">
        <f t="shared" si="35"/>
        <v>0</v>
      </c>
      <c r="DI41" s="22">
        <f t="shared" si="35"/>
        <v>0</v>
      </c>
      <c r="DJ41" s="22">
        <f t="shared" si="35"/>
        <v>0</v>
      </c>
      <c r="DK41" s="22">
        <f t="shared" si="35"/>
        <v>0</v>
      </c>
      <c r="DL41" s="22">
        <f t="shared" si="35"/>
        <v>0</v>
      </c>
      <c r="DM41" s="22">
        <f t="shared" si="35"/>
        <v>0</v>
      </c>
      <c r="DN41" s="22">
        <f t="shared" si="35"/>
        <v>0</v>
      </c>
      <c r="DO41" s="22">
        <f t="shared" si="35"/>
        <v>0</v>
      </c>
      <c r="DP41" s="22">
        <f t="shared" si="35"/>
        <v>0</v>
      </c>
      <c r="DQ41" s="22">
        <f t="shared" si="3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Q40"/>
  <sheetViews>
    <sheetView zoomScaleNormal="100" workbookViewId="0"/>
  </sheetViews>
  <sheetFormatPr defaultColWidth="8.7109375" defaultRowHeight="15"/>
  <cols>
    <col min="1" max="1" width="30" customWidth="1"/>
    <col min="2" max="121" width="10" customWidth="1"/>
  </cols>
  <sheetData>
    <row r="1" spans="1:121" ht="17.25" customHeight="1">
      <c r="A1" s="4" t="s">
        <v>571</v>
      </c>
    </row>
    <row r="3" spans="1:121" ht="15" customHeight="1">
      <c r="A3" t="s">
        <v>33</v>
      </c>
      <c r="B3" s="24">
        <f>Calc_Volume!B3</f>
        <v>1</v>
      </c>
      <c r="C3" s="24">
        <f>Calc_Volume!C3</f>
        <v>2</v>
      </c>
      <c r="D3" s="24">
        <f>Calc_Volume!D3</f>
        <v>3</v>
      </c>
      <c r="E3" s="24">
        <f>Calc_Volume!E3</f>
        <v>4</v>
      </c>
      <c r="F3" s="24">
        <f>Calc_Volume!F3</f>
        <v>5</v>
      </c>
      <c r="G3" s="24">
        <f>Calc_Volume!G3</f>
        <v>6</v>
      </c>
      <c r="H3" s="24">
        <f>Calc_Volume!H3</f>
        <v>7</v>
      </c>
      <c r="I3" s="24">
        <f>Calc_Volume!I3</f>
        <v>8</v>
      </c>
      <c r="J3" s="24">
        <f>Calc_Volume!J3</f>
        <v>9</v>
      </c>
      <c r="K3" s="24">
        <f>Calc_Volume!K3</f>
        <v>10</v>
      </c>
      <c r="L3" s="24">
        <f>Calc_Volume!L3</f>
        <v>11</v>
      </c>
      <c r="M3" s="24">
        <f>Calc_Volume!M3</f>
        <v>12</v>
      </c>
      <c r="N3" s="24">
        <f>Calc_Volume!N3</f>
        <v>13</v>
      </c>
      <c r="O3" s="24">
        <f>Calc_Volume!O3</f>
        <v>14</v>
      </c>
      <c r="P3" s="24">
        <f>Calc_Volume!P3</f>
        <v>15</v>
      </c>
      <c r="Q3" s="24">
        <f>Calc_Volume!Q3</f>
        <v>16</v>
      </c>
      <c r="R3" s="24">
        <f>Calc_Volume!R3</f>
        <v>17</v>
      </c>
      <c r="S3" s="24">
        <f>Calc_Volume!S3</f>
        <v>18</v>
      </c>
      <c r="T3" s="24">
        <f>Calc_Volume!T3</f>
        <v>19</v>
      </c>
      <c r="U3" s="24">
        <f>Calc_Volume!U3</f>
        <v>20</v>
      </c>
      <c r="V3" s="24">
        <f>Calc_Volume!V3</f>
        <v>21</v>
      </c>
      <c r="W3" s="24">
        <f>Calc_Volume!W3</f>
        <v>22</v>
      </c>
      <c r="X3" s="24">
        <f>Calc_Volume!X3</f>
        <v>23</v>
      </c>
      <c r="Y3" s="24">
        <f>Calc_Volume!Y3</f>
        <v>24</v>
      </c>
      <c r="Z3" s="24">
        <f>Calc_Volume!Z3</f>
        <v>25</v>
      </c>
      <c r="AA3" s="24">
        <f>Calc_Volume!AA3</f>
        <v>26</v>
      </c>
      <c r="AB3" s="24">
        <f>Calc_Volume!AB3</f>
        <v>27</v>
      </c>
      <c r="AC3" s="24">
        <f>Calc_Volume!AC3</f>
        <v>28</v>
      </c>
      <c r="AD3" s="24">
        <f>Calc_Volume!AD3</f>
        <v>29</v>
      </c>
      <c r="AE3" s="24">
        <f>Calc_Volume!AE3</f>
        <v>30</v>
      </c>
      <c r="AF3" s="24">
        <f>Calc_Volume!AF3</f>
        <v>31</v>
      </c>
      <c r="AG3" s="24">
        <f>Calc_Volume!AG3</f>
        <v>32</v>
      </c>
      <c r="AH3" s="24">
        <f>Calc_Volume!AH3</f>
        <v>33</v>
      </c>
      <c r="AI3" s="24">
        <f>Calc_Volume!AI3</f>
        <v>34</v>
      </c>
      <c r="AJ3" s="24">
        <f>Calc_Volume!AJ3</f>
        <v>35</v>
      </c>
      <c r="AK3" s="24">
        <f>Calc_Volume!AK3</f>
        <v>36</v>
      </c>
      <c r="AL3" s="24">
        <f>Calc_Volume!AL3</f>
        <v>37</v>
      </c>
      <c r="AM3" s="24">
        <f>Calc_Volume!AM3</f>
        <v>38</v>
      </c>
      <c r="AN3" s="24">
        <f>Calc_Volume!AN3</f>
        <v>39</v>
      </c>
      <c r="AO3" s="24">
        <f>Calc_Volume!AO3</f>
        <v>40</v>
      </c>
      <c r="AP3" s="24">
        <f>Calc_Volume!AP3</f>
        <v>41</v>
      </c>
      <c r="AQ3" s="24">
        <f>Calc_Volume!AQ3</f>
        <v>42</v>
      </c>
      <c r="AR3" s="24">
        <f>Calc_Volume!AR3</f>
        <v>43</v>
      </c>
      <c r="AS3" s="24">
        <f>Calc_Volume!AS3</f>
        <v>44</v>
      </c>
      <c r="AT3" s="24">
        <f>Calc_Volume!AT3</f>
        <v>45</v>
      </c>
      <c r="AU3" s="24">
        <f>Calc_Volume!AU3</f>
        <v>46</v>
      </c>
      <c r="AV3" s="24">
        <f>Calc_Volume!AV3</f>
        <v>47</v>
      </c>
      <c r="AW3" s="24">
        <f>Calc_Volume!AW3</f>
        <v>48</v>
      </c>
      <c r="AX3" s="24">
        <f>Calc_Volume!AX3</f>
        <v>49</v>
      </c>
      <c r="AY3" s="24">
        <f>Calc_Volume!AY3</f>
        <v>50</v>
      </c>
      <c r="AZ3" s="24">
        <f>Calc_Volume!AZ3</f>
        <v>51</v>
      </c>
      <c r="BA3" s="24">
        <f>Calc_Volume!BA3</f>
        <v>52</v>
      </c>
      <c r="BB3" s="24">
        <f>Calc_Volume!BB3</f>
        <v>53</v>
      </c>
      <c r="BC3" s="24">
        <f>Calc_Volume!BC3</f>
        <v>54</v>
      </c>
      <c r="BD3" s="24">
        <f>Calc_Volume!BD3</f>
        <v>55</v>
      </c>
      <c r="BE3" s="24">
        <f>Calc_Volume!BE3</f>
        <v>56</v>
      </c>
      <c r="BF3" s="24">
        <f>Calc_Volume!BF3</f>
        <v>57</v>
      </c>
      <c r="BG3" s="24">
        <f>Calc_Volume!BG3</f>
        <v>58</v>
      </c>
      <c r="BH3" s="24">
        <f>Calc_Volume!BH3</f>
        <v>59</v>
      </c>
      <c r="BI3" s="24">
        <f>Calc_Volume!BI3</f>
        <v>60</v>
      </c>
      <c r="BJ3" s="24">
        <f>Calc_Volume!BJ3</f>
        <v>61</v>
      </c>
      <c r="BK3" s="24">
        <f>Calc_Volume!BK3</f>
        <v>62</v>
      </c>
      <c r="BL3" s="24">
        <f>Calc_Volume!BL3</f>
        <v>63</v>
      </c>
      <c r="BM3" s="24">
        <f>Calc_Volume!BM3</f>
        <v>64</v>
      </c>
      <c r="BN3" s="24">
        <f>Calc_Volume!BN3</f>
        <v>65</v>
      </c>
      <c r="BO3" s="24">
        <f>Calc_Volume!BO3</f>
        <v>66</v>
      </c>
      <c r="BP3" s="24">
        <f>Calc_Volume!BP3</f>
        <v>67</v>
      </c>
      <c r="BQ3" s="24">
        <f>Calc_Volume!BQ3</f>
        <v>68</v>
      </c>
      <c r="BR3" s="24">
        <f>Calc_Volume!BR3</f>
        <v>69</v>
      </c>
      <c r="BS3" s="24">
        <f>Calc_Volume!BS3</f>
        <v>70</v>
      </c>
      <c r="BT3" s="24">
        <f>Calc_Volume!BT3</f>
        <v>71</v>
      </c>
      <c r="BU3" s="24">
        <f>Calc_Volume!BU3</f>
        <v>72</v>
      </c>
      <c r="BV3" s="24">
        <f>Calc_Volume!BV3</f>
        <v>73</v>
      </c>
      <c r="BW3" s="24">
        <f>Calc_Volume!BW3</f>
        <v>74</v>
      </c>
      <c r="BX3" s="24">
        <f>Calc_Volume!BX3</f>
        <v>75</v>
      </c>
      <c r="BY3" s="24">
        <f>Calc_Volume!BY3</f>
        <v>76</v>
      </c>
      <c r="BZ3" s="24">
        <f>Calc_Volume!BZ3</f>
        <v>77</v>
      </c>
      <c r="CA3" s="24">
        <f>Calc_Volume!CA3</f>
        <v>78</v>
      </c>
      <c r="CB3" s="24">
        <f>Calc_Volume!CB3</f>
        <v>79</v>
      </c>
      <c r="CC3" s="24">
        <f>Calc_Volume!CC3</f>
        <v>80</v>
      </c>
      <c r="CD3" s="24">
        <f>Calc_Volume!CD3</f>
        <v>81</v>
      </c>
      <c r="CE3" s="24">
        <f>Calc_Volume!CE3</f>
        <v>82</v>
      </c>
      <c r="CF3" s="24">
        <f>Calc_Volume!CF3</f>
        <v>83</v>
      </c>
      <c r="CG3" s="24">
        <f>Calc_Volume!CG3</f>
        <v>84</v>
      </c>
      <c r="CH3" s="24">
        <f>Calc_Volume!CH3</f>
        <v>85</v>
      </c>
      <c r="CI3" s="24">
        <f>Calc_Volume!CI3</f>
        <v>86</v>
      </c>
      <c r="CJ3" s="24">
        <f>Calc_Volume!CJ3</f>
        <v>87</v>
      </c>
      <c r="CK3" s="24">
        <f>Calc_Volume!CK3</f>
        <v>88</v>
      </c>
      <c r="CL3" s="24">
        <f>Calc_Volume!CL3</f>
        <v>89</v>
      </c>
      <c r="CM3" s="24">
        <f>Calc_Volume!CM3</f>
        <v>90</v>
      </c>
      <c r="CN3" s="24">
        <f>Calc_Volume!CN3</f>
        <v>91</v>
      </c>
      <c r="CO3" s="24">
        <f>Calc_Volume!CO3</f>
        <v>92</v>
      </c>
      <c r="CP3" s="24">
        <f>Calc_Volume!CP3</f>
        <v>93</v>
      </c>
      <c r="CQ3" s="24">
        <f>Calc_Volume!CQ3</f>
        <v>94</v>
      </c>
      <c r="CR3" s="24">
        <f>Calc_Volume!CR3</f>
        <v>95</v>
      </c>
      <c r="CS3" s="24">
        <f>Calc_Volume!CS3</f>
        <v>96</v>
      </c>
      <c r="CT3" s="24">
        <f>Calc_Volume!CT3</f>
        <v>97</v>
      </c>
      <c r="CU3" s="24">
        <f>Calc_Volume!CU3</f>
        <v>98</v>
      </c>
      <c r="CV3" s="24">
        <f>Calc_Volume!CV3</f>
        <v>99</v>
      </c>
      <c r="CW3" s="24">
        <f>Calc_Volume!CW3</f>
        <v>100</v>
      </c>
      <c r="CX3" s="24">
        <f>Calc_Volume!CX3</f>
        <v>101</v>
      </c>
      <c r="CY3" s="24">
        <f>Calc_Volume!CY3</f>
        <v>102</v>
      </c>
      <c r="CZ3" s="24">
        <f>Calc_Volume!CZ3</f>
        <v>103</v>
      </c>
      <c r="DA3" s="24">
        <f>Calc_Volume!DA3</f>
        <v>104</v>
      </c>
      <c r="DB3" s="24">
        <f>Calc_Volume!DB3</f>
        <v>105</v>
      </c>
      <c r="DC3" s="24">
        <f>Calc_Volume!DC3</f>
        <v>106</v>
      </c>
      <c r="DD3" s="24">
        <f>Calc_Volume!DD3</f>
        <v>107</v>
      </c>
      <c r="DE3" s="24">
        <f>Calc_Volume!DE3</f>
        <v>108</v>
      </c>
      <c r="DF3" s="24">
        <f>Calc_Volume!DF3</f>
        <v>109</v>
      </c>
      <c r="DG3" s="24">
        <f>Calc_Volume!DG3</f>
        <v>110</v>
      </c>
      <c r="DH3" s="24">
        <f>Calc_Volume!DH3</f>
        <v>111</v>
      </c>
      <c r="DI3" s="24">
        <f>Calc_Volume!DI3</f>
        <v>112</v>
      </c>
      <c r="DJ3" s="24">
        <f>Calc_Volume!DJ3</f>
        <v>113</v>
      </c>
      <c r="DK3" s="24">
        <f>Calc_Volume!DK3</f>
        <v>114</v>
      </c>
      <c r="DL3" s="24">
        <f>Calc_Volume!DL3</f>
        <v>115</v>
      </c>
      <c r="DM3" s="24">
        <f>Calc_Volume!DM3</f>
        <v>116</v>
      </c>
      <c r="DN3" s="24">
        <f>Calc_Volume!DN3</f>
        <v>117</v>
      </c>
      <c r="DO3" s="24">
        <f>Calc_Volume!DO3</f>
        <v>118</v>
      </c>
      <c r="DP3" s="24">
        <f>Calc_Volume!DP3</f>
        <v>119</v>
      </c>
      <c r="DQ3" s="24">
        <f>Calc_Volume!DQ3</f>
        <v>120</v>
      </c>
    </row>
    <row r="4" spans="1:121" ht="15" customHeight="1">
      <c r="A4" t="s">
        <v>34</v>
      </c>
      <c r="B4" s="25">
        <f>Calc_Volume!B4</f>
        <v>45658</v>
      </c>
      <c r="C4" s="25">
        <f>Calc_Volume!C4</f>
        <v>45689</v>
      </c>
      <c r="D4" s="25">
        <f>Calc_Volume!D4</f>
        <v>45717</v>
      </c>
      <c r="E4" s="25">
        <f>Calc_Volume!E4</f>
        <v>45748</v>
      </c>
      <c r="F4" s="25">
        <f>Calc_Volume!F4</f>
        <v>45778</v>
      </c>
      <c r="G4" s="25">
        <f>Calc_Volume!G4</f>
        <v>45809</v>
      </c>
      <c r="H4" s="25">
        <f>Calc_Volume!H4</f>
        <v>45839</v>
      </c>
      <c r="I4" s="25">
        <f>Calc_Volume!I4</f>
        <v>45870</v>
      </c>
      <c r="J4" s="25">
        <f>Calc_Volume!J4</f>
        <v>45901</v>
      </c>
      <c r="K4" s="25">
        <f>Calc_Volume!K4</f>
        <v>45931</v>
      </c>
      <c r="L4" s="25">
        <f>Calc_Volume!L4</f>
        <v>45962</v>
      </c>
      <c r="M4" s="25">
        <f>Calc_Volume!M4</f>
        <v>45992</v>
      </c>
      <c r="N4" s="25">
        <f>Calc_Volume!N4</f>
        <v>46023</v>
      </c>
      <c r="O4" s="25">
        <f>Calc_Volume!O4</f>
        <v>46054</v>
      </c>
      <c r="P4" s="25">
        <f>Calc_Volume!P4</f>
        <v>46082</v>
      </c>
      <c r="Q4" s="25">
        <f>Calc_Volume!Q4</f>
        <v>46113</v>
      </c>
      <c r="R4" s="25">
        <f>Calc_Volume!R4</f>
        <v>46143</v>
      </c>
      <c r="S4" s="25">
        <f>Calc_Volume!S4</f>
        <v>46174</v>
      </c>
      <c r="T4" s="25">
        <f>Calc_Volume!T4</f>
        <v>46204</v>
      </c>
      <c r="U4" s="25">
        <f>Calc_Volume!U4</f>
        <v>46235</v>
      </c>
      <c r="V4" s="25">
        <f>Calc_Volume!V4</f>
        <v>46266</v>
      </c>
      <c r="W4" s="25">
        <f>Calc_Volume!W4</f>
        <v>46296</v>
      </c>
      <c r="X4" s="25">
        <f>Calc_Volume!X4</f>
        <v>46327</v>
      </c>
      <c r="Y4" s="25">
        <f>Calc_Volume!Y4</f>
        <v>46357</v>
      </c>
      <c r="Z4" s="25">
        <f>Calc_Volume!Z4</f>
        <v>46388</v>
      </c>
      <c r="AA4" s="25">
        <f>Calc_Volume!AA4</f>
        <v>46419</v>
      </c>
      <c r="AB4" s="25">
        <f>Calc_Volume!AB4</f>
        <v>46447</v>
      </c>
      <c r="AC4" s="25">
        <f>Calc_Volume!AC4</f>
        <v>46478</v>
      </c>
      <c r="AD4" s="25">
        <f>Calc_Volume!AD4</f>
        <v>46508</v>
      </c>
      <c r="AE4" s="25">
        <f>Calc_Volume!AE4</f>
        <v>46539</v>
      </c>
      <c r="AF4" s="25">
        <f>Calc_Volume!AF4</f>
        <v>46569</v>
      </c>
      <c r="AG4" s="25">
        <f>Calc_Volume!AG4</f>
        <v>46600</v>
      </c>
      <c r="AH4" s="25">
        <f>Calc_Volume!AH4</f>
        <v>46631</v>
      </c>
      <c r="AI4" s="25">
        <f>Calc_Volume!AI4</f>
        <v>46661</v>
      </c>
      <c r="AJ4" s="25">
        <f>Calc_Volume!AJ4</f>
        <v>46692</v>
      </c>
      <c r="AK4" s="25">
        <f>Calc_Volume!AK4</f>
        <v>46722</v>
      </c>
      <c r="AL4" s="25">
        <f>Calc_Volume!AL4</f>
        <v>46753</v>
      </c>
      <c r="AM4" s="25">
        <f>Calc_Volume!AM4</f>
        <v>46784</v>
      </c>
      <c r="AN4" s="25">
        <f>Calc_Volume!AN4</f>
        <v>46813</v>
      </c>
      <c r="AO4" s="25">
        <f>Calc_Volume!AO4</f>
        <v>46844</v>
      </c>
      <c r="AP4" s="25">
        <f>Calc_Volume!AP4</f>
        <v>46874</v>
      </c>
      <c r="AQ4" s="25">
        <f>Calc_Volume!AQ4</f>
        <v>46905</v>
      </c>
      <c r="AR4" s="25">
        <f>Calc_Volume!AR4</f>
        <v>46935</v>
      </c>
      <c r="AS4" s="25">
        <f>Calc_Volume!AS4</f>
        <v>46966</v>
      </c>
      <c r="AT4" s="25">
        <f>Calc_Volume!AT4</f>
        <v>46997</v>
      </c>
      <c r="AU4" s="25">
        <f>Calc_Volume!AU4</f>
        <v>47027</v>
      </c>
      <c r="AV4" s="25">
        <f>Calc_Volume!AV4</f>
        <v>47058</v>
      </c>
      <c r="AW4" s="25">
        <f>Calc_Volume!AW4</f>
        <v>47088</v>
      </c>
      <c r="AX4" s="25">
        <f>Calc_Volume!AX4</f>
        <v>47119</v>
      </c>
      <c r="AY4" s="25">
        <f>Calc_Volume!AY4</f>
        <v>47150</v>
      </c>
      <c r="AZ4" s="25">
        <f>Calc_Volume!AZ4</f>
        <v>47178</v>
      </c>
      <c r="BA4" s="25">
        <f>Calc_Volume!BA4</f>
        <v>47209</v>
      </c>
      <c r="BB4" s="25">
        <f>Calc_Volume!BB4</f>
        <v>47239</v>
      </c>
      <c r="BC4" s="25">
        <f>Calc_Volume!BC4</f>
        <v>47270</v>
      </c>
      <c r="BD4" s="25">
        <f>Calc_Volume!BD4</f>
        <v>47300</v>
      </c>
      <c r="BE4" s="25">
        <f>Calc_Volume!BE4</f>
        <v>47331</v>
      </c>
      <c r="BF4" s="25">
        <f>Calc_Volume!BF4</f>
        <v>47362</v>
      </c>
      <c r="BG4" s="25">
        <f>Calc_Volume!BG4</f>
        <v>47392</v>
      </c>
      <c r="BH4" s="25">
        <f>Calc_Volume!BH4</f>
        <v>47423</v>
      </c>
      <c r="BI4" s="25">
        <f>Calc_Volume!BI4</f>
        <v>47453</v>
      </c>
      <c r="BJ4" s="25">
        <f>Calc_Volume!BJ4</f>
        <v>47484</v>
      </c>
      <c r="BK4" s="25">
        <f>Calc_Volume!BK4</f>
        <v>47515</v>
      </c>
      <c r="BL4" s="25">
        <f>Calc_Volume!BL4</f>
        <v>47543</v>
      </c>
      <c r="BM4" s="25">
        <f>Calc_Volume!BM4</f>
        <v>47574</v>
      </c>
      <c r="BN4" s="25">
        <f>Calc_Volume!BN4</f>
        <v>47604</v>
      </c>
      <c r="BO4" s="25">
        <f>Calc_Volume!BO4</f>
        <v>47635</v>
      </c>
      <c r="BP4" s="25">
        <f>Calc_Volume!BP4</f>
        <v>47665</v>
      </c>
      <c r="BQ4" s="25">
        <f>Calc_Volume!BQ4</f>
        <v>47696</v>
      </c>
      <c r="BR4" s="25">
        <f>Calc_Volume!BR4</f>
        <v>47727</v>
      </c>
      <c r="BS4" s="25">
        <f>Calc_Volume!BS4</f>
        <v>47757</v>
      </c>
      <c r="BT4" s="25">
        <f>Calc_Volume!BT4</f>
        <v>47788</v>
      </c>
      <c r="BU4" s="25">
        <f>Calc_Volume!BU4</f>
        <v>47818</v>
      </c>
      <c r="BV4" s="25">
        <f>Calc_Volume!BV4</f>
        <v>47849</v>
      </c>
      <c r="BW4" s="25">
        <f>Calc_Volume!BW4</f>
        <v>47880</v>
      </c>
      <c r="BX4" s="25">
        <f>Calc_Volume!BX4</f>
        <v>47908</v>
      </c>
      <c r="BY4" s="25">
        <f>Calc_Volume!BY4</f>
        <v>47939</v>
      </c>
      <c r="BZ4" s="25">
        <f>Calc_Volume!BZ4</f>
        <v>47969</v>
      </c>
      <c r="CA4" s="25">
        <f>Calc_Volume!CA4</f>
        <v>48000</v>
      </c>
      <c r="CB4" s="25">
        <f>Calc_Volume!CB4</f>
        <v>48030</v>
      </c>
      <c r="CC4" s="25">
        <f>Calc_Volume!CC4</f>
        <v>48061</v>
      </c>
      <c r="CD4" s="25">
        <f>Calc_Volume!CD4</f>
        <v>48092</v>
      </c>
      <c r="CE4" s="25">
        <f>Calc_Volume!CE4</f>
        <v>48122</v>
      </c>
      <c r="CF4" s="25">
        <f>Calc_Volume!CF4</f>
        <v>48153</v>
      </c>
      <c r="CG4" s="25">
        <f>Calc_Volume!CG4</f>
        <v>48183</v>
      </c>
      <c r="CH4" s="25">
        <f>Calc_Volume!CH4</f>
        <v>48214</v>
      </c>
      <c r="CI4" s="25">
        <f>Calc_Volume!CI4</f>
        <v>48245</v>
      </c>
      <c r="CJ4" s="25">
        <f>Calc_Volume!CJ4</f>
        <v>48274</v>
      </c>
      <c r="CK4" s="25">
        <f>Calc_Volume!CK4</f>
        <v>48305</v>
      </c>
      <c r="CL4" s="25">
        <f>Calc_Volume!CL4</f>
        <v>48335</v>
      </c>
      <c r="CM4" s="25">
        <f>Calc_Volume!CM4</f>
        <v>48366</v>
      </c>
      <c r="CN4" s="25">
        <f>Calc_Volume!CN4</f>
        <v>48396</v>
      </c>
      <c r="CO4" s="25">
        <f>Calc_Volume!CO4</f>
        <v>48427</v>
      </c>
      <c r="CP4" s="25">
        <f>Calc_Volume!CP4</f>
        <v>48458</v>
      </c>
      <c r="CQ4" s="25">
        <f>Calc_Volume!CQ4</f>
        <v>48488</v>
      </c>
      <c r="CR4" s="25">
        <f>Calc_Volume!CR4</f>
        <v>48519</v>
      </c>
      <c r="CS4" s="25">
        <f>Calc_Volume!CS4</f>
        <v>48549</v>
      </c>
      <c r="CT4" s="25">
        <f>Calc_Volume!CT4</f>
        <v>48580</v>
      </c>
      <c r="CU4" s="25">
        <f>Calc_Volume!CU4</f>
        <v>48611</v>
      </c>
      <c r="CV4" s="25">
        <f>Calc_Volume!CV4</f>
        <v>48639</v>
      </c>
      <c r="CW4" s="25">
        <f>Calc_Volume!CW4</f>
        <v>48670</v>
      </c>
      <c r="CX4" s="25">
        <f>Calc_Volume!CX4</f>
        <v>48700</v>
      </c>
      <c r="CY4" s="25">
        <f>Calc_Volume!CY4</f>
        <v>48731</v>
      </c>
      <c r="CZ4" s="25">
        <f>Calc_Volume!CZ4</f>
        <v>48761</v>
      </c>
      <c r="DA4" s="25">
        <f>Calc_Volume!DA4</f>
        <v>48792</v>
      </c>
      <c r="DB4" s="25">
        <f>Calc_Volume!DB4</f>
        <v>48823</v>
      </c>
      <c r="DC4" s="25">
        <f>Calc_Volume!DC4</f>
        <v>48853</v>
      </c>
      <c r="DD4" s="25">
        <f>Calc_Volume!DD4</f>
        <v>48884</v>
      </c>
      <c r="DE4" s="25">
        <f>Calc_Volume!DE4</f>
        <v>48914</v>
      </c>
      <c r="DF4" s="25">
        <f>Calc_Volume!DF4</f>
        <v>48945</v>
      </c>
      <c r="DG4" s="25">
        <f>Calc_Volume!DG4</f>
        <v>48976</v>
      </c>
      <c r="DH4" s="25">
        <f>Calc_Volume!DH4</f>
        <v>49004</v>
      </c>
      <c r="DI4" s="25">
        <f>Calc_Volume!DI4</f>
        <v>49035</v>
      </c>
      <c r="DJ4" s="25">
        <f>Calc_Volume!DJ4</f>
        <v>49065</v>
      </c>
      <c r="DK4" s="25">
        <f>Calc_Volume!DK4</f>
        <v>49096</v>
      </c>
      <c r="DL4" s="25">
        <f>Calc_Volume!DL4</f>
        <v>49126</v>
      </c>
      <c r="DM4" s="25">
        <f>Calc_Volume!DM4</f>
        <v>49157</v>
      </c>
      <c r="DN4" s="25">
        <f>Calc_Volume!DN4</f>
        <v>49188</v>
      </c>
      <c r="DO4" s="25">
        <f>Calc_Volume!DO4</f>
        <v>49218</v>
      </c>
      <c r="DP4" s="25">
        <f>Calc_Volume!DP4</f>
        <v>49249</v>
      </c>
      <c r="DQ4" s="25">
        <f>Calc_Volume!DQ4</f>
        <v>49279</v>
      </c>
    </row>
    <row r="6" spans="1:121" ht="15" customHeight="1">
      <c r="A6" s="5" t="s">
        <v>572</v>
      </c>
    </row>
    <row r="7" spans="1:121" ht="15" customHeight="1">
      <c r="A7" t="s">
        <v>573</v>
      </c>
      <c r="B7" s="22">
        <f>Calc_Volume!B14</f>
        <v>76666.666666666657</v>
      </c>
      <c r="C7" s="22">
        <f>Calc_Volume!C14</f>
        <v>73333.333333333343</v>
      </c>
      <c r="D7" s="22">
        <f>Calc_Volume!D14</f>
        <v>66666.666666666672</v>
      </c>
      <c r="E7" s="22">
        <f>Calc_Volume!E14</f>
        <v>60000</v>
      </c>
      <c r="F7" s="22">
        <f>Calc_Volume!F14</f>
        <v>56666.666666666672</v>
      </c>
      <c r="G7" s="22">
        <f>Calc_Volume!G14</f>
        <v>53333.333333333343</v>
      </c>
      <c r="H7" s="22">
        <f>Calc_Volume!H14</f>
        <v>53333.333333333343</v>
      </c>
      <c r="I7" s="22">
        <f>Calc_Volume!I14</f>
        <v>56666.666666666672</v>
      </c>
      <c r="J7" s="22">
        <f>Calc_Volume!J14</f>
        <v>63333.333333333328</v>
      </c>
      <c r="K7" s="22">
        <f>Calc_Volume!K14</f>
        <v>70000</v>
      </c>
      <c r="L7" s="22">
        <f>Calc_Volume!L14</f>
        <v>76666.666666666657</v>
      </c>
      <c r="M7" s="22">
        <f>Calc_Volume!M14</f>
        <v>93333.333333333328</v>
      </c>
      <c r="N7" s="22">
        <f>Calc_Volume!N14</f>
        <v>82800</v>
      </c>
      <c r="O7" s="22">
        <f>Calc_Volume!O14</f>
        <v>79200.000000000015</v>
      </c>
      <c r="P7" s="22">
        <f>Calc_Volume!P14</f>
        <v>72000</v>
      </c>
      <c r="Q7" s="22">
        <f>Calc_Volume!Q14</f>
        <v>64800</v>
      </c>
      <c r="R7" s="22">
        <f>Calc_Volume!R14</f>
        <v>61200</v>
      </c>
      <c r="S7" s="22">
        <f>Calc_Volume!S14</f>
        <v>57600.000000000015</v>
      </c>
      <c r="T7" s="22">
        <f>Calc_Volume!T14</f>
        <v>57600.000000000015</v>
      </c>
      <c r="U7" s="22">
        <f>Calc_Volume!U14</f>
        <v>61200</v>
      </c>
      <c r="V7" s="22">
        <f>Calc_Volume!V14</f>
        <v>68400</v>
      </c>
      <c r="W7" s="22">
        <f>Calc_Volume!W14</f>
        <v>75600</v>
      </c>
      <c r="X7" s="22">
        <f>Calc_Volume!X14</f>
        <v>82800</v>
      </c>
      <c r="Y7" s="22">
        <f>Calc_Volume!Y14</f>
        <v>100800</v>
      </c>
      <c r="Z7" s="22">
        <f>Calc_Volume!Z14</f>
        <v>89424</v>
      </c>
      <c r="AA7" s="22">
        <f>Calc_Volume!AA14</f>
        <v>85536.000000000029</v>
      </c>
      <c r="AB7" s="22">
        <f>Calc_Volume!AB14</f>
        <v>77760</v>
      </c>
      <c r="AC7" s="22">
        <f>Calc_Volume!AC14</f>
        <v>69984</v>
      </c>
      <c r="AD7" s="22">
        <f>Calc_Volume!AD14</f>
        <v>66096.000000000015</v>
      </c>
      <c r="AE7" s="22">
        <f>Calc_Volume!AE14</f>
        <v>62208.000000000015</v>
      </c>
      <c r="AF7" s="22">
        <f>Calc_Volume!AF14</f>
        <v>62208.000000000015</v>
      </c>
      <c r="AG7" s="22">
        <f>Calc_Volume!AG14</f>
        <v>66096.000000000015</v>
      </c>
      <c r="AH7" s="22">
        <f>Calc_Volume!AH14</f>
        <v>73872</v>
      </c>
      <c r="AI7" s="22">
        <f>Calc_Volume!AI14</f>
        <v>81648.000000000015</v>
      </c>
      <c r="AJ7" s="22">
        <f>Calc_Volume!AJ14</f>
        <v>89424</v>
      </c>
      <c r="AK7" s="22">
        <f>Calc_Volume!AK14</f>
        <v>108864.00000000001</v>
      </c>
      <c r="AL7" s="22">
        <f>Calc_Volume!AL14</f>
        <v>94789.440000000002</v>
      </c>
      <c r="AM7" s="22">
        <f>Calc_Volume!AM14</f>
        <v>90668.160000000033</v>
      </c>
      <c r="AN7" s="22">
        <f>Calc_Volume!AN14</f>
        <v>82425.600000000006</v>
      </c>
      <c r="AO7" s="22">
        <f>Calc_Volume!AO14</f>
        <v>74183.040000000008</v>
      </c>
      <c r="AP7" s="22">
        <f>Calc_Volume!AP14</f>
        <v>70061.760000000009</v>
      </c>
      <c r="AQ7" s="22">
        <f>Calc_Volume!AQ14</f>
        <v>65940.48000000001</v>
      </c>
      <c r="AR7" s="22">
        <f>Calc_Volume!AR14</f>
        <v>65940.48000000001</v>
      </c>
      <c r="AS7" s="22">
        <f>Calc_Volume!AS14</f>
        <v>70061.760000000009</v>
      </c>
      <c r="AT7" s="22">
        <f>Calc_Volume!AT14</f>
        <v>78304.320000000007</v>
      </c>
      <c r="AU7" s="22">
        <f>Calc_Volume!AU14</f>
        <v>86546.880000000019</v>
      </c>
      <c r="AV7" s="22">
        <f>Calc_Volume!AV14</f>
        <v>94789.440000000002</v>
      </c>
      <c r="AW7" s="22">
        <f>Calc_Volume!AW14</f>
        <v>115395.84000000001</v>
      </c>
      <c r="AX7" s="22">
        <f>Calc_Volume!AX14</f>
        <v>100476.8064</v>
      </c>
      <c r="AY7" s="22">
        <f>Calc_Volume!AY14</f>
        <v>96108.249600000039</v>
      </c>
      <c r="AZ7" s="22">
        <f>Calc_Volume!AZ14</f>
        <v>87371.136000000013</v>
      </c>
      <c r="BA7" s="22">
        <f>Calc_Volume!BA14</f>
        <v>78634.022400000016</v>
      </c>
      <c r="BB7" s="22">
        <f>Calc_Volume!BB14</f>
        <v>74265.46560000001</v>
      </c>
      <c r="BC7" s="22">
        <f>Calc_Volume!BC14</f>
        <v>69896.908800000019</v>
      </c>
      <c r="BD7" s="22">
        <f>Calc_Volume!BD14</f>
        <v>69896.908800000019</v>
      </c>
      <c r="BE7" s="22">
        <f>Calc_Volume!BE14</f>
        <v>74265.46560000001</v>
      </c>
      <c r="BF7" s="22">
        <f>Calc_Volume!BF14</f>
        <v>83002.579200000007</v>
      </c>
      <c r="BG7" s="22">
        <f>Calc_Volume!BG14</f>
        <v>91739.692800000019</v>
      </c>
      <c r="BH7" s="22">
        <f>Calc_Volume!BH14</f>
        <v>100476.8064</v>
      </c>
      <c r="BI7" s="22">
        <f>Calc_Volume!BI14</f>
        <v>122319.59040000002</v>
      </c>
      <c r="BJ7" s="22">
        <f>Calc_Volume!BJ14</f>
        <v>104495.87865600002</v>
      </c>
      <c r="BK7" s="22">
        <f>Calc_Volume!BK14</f>
        <v>99952.579584000036</v>
      </c>
      <c r="BL7" s="22">
        <f>Calc_Volume!BL14</f>
        <v>90865.981440000018</v>
      </c>
      <c r="BM7" s="22">
        <f>Calc_Volume!BM14</f>
        <v>81779.383296000015</v>
      </c>
      <c r="BN7" s="22">
        <f>Calc_Volume!BN14</f>
        <v>77236.08422400002</v>
      </c>
      <c r="BO7" s="22">
        <f>Calc_Volume!BO14</f>
        <v>72692.785152000026</v>
      </c>
      <c r="BP7" s="22">
        <f>Calc_Volume!BP14</f>
        <v>72692.785152000026</v>
      </c>
      <c r="BQ7" s="22">
        <f>Calc_Volume!BQ14</f>
        <v>77236.08422400002</v>
      </c>
      <c r="BR7" s="22">
        <f>Calc_Volume!BR14</f>
        <v>86322.682368000009</v>
      </c>
      <c r="BS7" s="22">
        <f>Calc_Volume!BS14</f>
        <v>95409.280512000012</v>
      </c>
      <c r="BT7" s="22">
        <f>Calc_Volume!BT14</f>
        <v>104495.87865600002</v>
      </c>
      <c r="BU7" s="22">
        <f>Calc_Volume!BU14</f>
        <v>127212.37401600002</v>
      </c>
      <c r="BV7" s="22">
        <f>Calc_Volume!BV14</f>
        <v>108675.71380224</v>
      </c>
      <c r="BW7" s="22">
        <f>Calc_Volume!BW14</f>
        <v>103950.68276736003</v>
      </c>
      <c r="BX7" s="22">
        <f>Calc_Volume!BX14</f>
        <v>94500.62069760001</v>
      </c>
      <c r="BY7" s="22">
        <f>Calc_Volume!BY14</f>
        <v>85050.558627840015</v>
      </c>
      <c r="BZ7" s="22">
        <f>Calc_Volume!BZ14</f>
        <v>80325.527592960018</v>
      </c>
      <c r="CA7" s="22">
        <f>Calc_Volume!CA14</f>
        <v>75600.49655808002</v>
      </c>
      <c r="CB7" s="22">
        <f>Calc_Volume!CB14</f>
        <v>75600.49655808002</v>
      </c>
      <c r="CC7" s="22">
        <f>Calc_Volume!CC14</f>
        <v>80325.527592960018</v>
      </c>
      <c r="CD7" s="22">
        <f>Calc_Volume!CD14</f>
        <v>89775.589662720013</v>
      </c>
      <c r="CE7" s="22">
        <f>Calc_Volume!CE14</f>
        <v>99225.651732480022</v>
      </c>
      <c r="CF7" s="22">
        <f>Calc_Volume!CF14</f>
        <v>108675.71380224</v>
      </c>
      <c r="CG7" s="22">
        <f>Calc_Volume!CG14</f>
        <v>132300.86897664002</v>
      </c>
      <c r="CH7" s="22">
        <f>Calc_Volume!CH14</f>
        <v>113022.7423543296</v>
      </c>
      <c r="CI7" s="22">
        <f>Calc_Volume!CI14</f>
        <v>108108.71007805443</v>
      </c>
      <c r="CJ7" s="22">
        <f>Calc_Volume!CJ14</f>
        <v>98280.645525504005</v>
      </c>
      <c r="CK7" s="22">
        <f>Calc_Volume!CK14</f>
        <v>88452.580972953612</v>
      </c>
      <c r="CL7" s="22">
        <f>Calc_Volume!CL14</f>
        <v>83538.548696678423</v>
      </c>
      <c r="CM7" s="22">
        <f>Calc_Volume!CM14</f>
        <v>78624.516420403219</v>
      </c>
      <c r="CN7" s="22">
        <f>Calc_Volume!CN14</f>
        <v>78624.516420403219</v>
      </c>
      <c r="CO7" s="22">
        <f>Calc_Volume!CO14</f>
        <v>83538.548696678423</v>
      </c>
      <c r="CP7" s="22">
        <f>Calc_Volume!CP14</f>
        <v>93366.613249228802</v>
      </c>
      <c r="CQ7" s="22">
        <f>Calc_Volume!CQ14</f>
        <v>103194.67780177921</v>
      </c>
      <c r="CR7" s="22">
        <f>Calc_Volume!CR14</f>
        <v>113022.7423543296</v>
      </c>
      <c r="CS7" s="22">
        <f>Calc_Volume!CS14</f>
        <v>137592.90373570559</v>
      </c>
      <c r="CT7" s="22">
        <f>Calc_Volume!CT14</f>
        <v>117543.65204850279</v>
      </c>
      <c r="CU7" s="22">
        <f>Calc_Volume!CU14</f>
        <v>112433.05848117662</v>
      </c>
      <c r="CV7" s="22">
        <f>Calc_Volume!CV14</f>
        <v>102211.87134652417</v>
      </c>
      <c r="CW7" s="22">
        <f>Calc_Volume!CW14</f>
        <v>91990.684211871761</v>
      </c>
      <c r="CX7" s="22">
        <f>Calc_Volume!CX14</f>
        <v>86880.090644545548</v>
      </c>
      <c r="CY7" s="22">
        <f>Calc_Volume!CY14</f>
        <v>81769.497077219348</v>
      </c>
      <c r="CZ7" s="22">
        <f>Calc_Volume!CZ14</f>
        <v>81769.497077219348</v>
      </c>
      <c r="DA7" s="22">
        <f>Calc_Volume!DA14</f>
        <v>86880.090644545548</v>
      </c>
      <c r="DB7" s="22">
        <f>Calc_Volume!DB14</f>
        <v>97101.277779197961</v>
      </c>
      <c r="DC7" s="22">
        <f>Calc_Volume!DC14</f>
        <v>107322.46491385039</v>
      </c>
      <c r="DD7" s="22">
        <f>Calc_Volume!DD14</f>
        <v>117543.65204850279</v>
      </c>
      <c r="DE7" s="22">
        <f>Calc_Volume!DE14</f>
        <v>143096.61988513384</v>
      </c>
      <c r="DF7" s="22">
        <f>Calc_Volume!DF14</f>
        <v>122245.39813044292</v>
      </c>
      <c r="DG7" s="22">
        <f>Calc_Volume!DG14</f>
        <v>116930.38082042367</v>
      </c>
      <c r="DH7" s="22">
        <f>Calc_Volume!DH14</f>
        <v>106300.34620038515</v>
      </c>
      <c r="DI7" s="22">
        <f>Calc_Volume!DI14</f>
        <v>95670.311580346635</v>
      </c>
      <c r="DJ7" s="22">
        <f>Calc_Volume!DJ14</f>
        <v>90355.294270327373</v>
      </c>
      <c r="DK7" s="22">
        <f>Calc_Volume!DK14</f>
        <v>85040.276960308125</v>
      </c>
      <c r="DL7" s="22">
        <f>Calc_Volume!DL14</f>
        <v>85040.276960308125</v>
      </c>
      <c r="DM7" s="22">
        <f>Calc_Volume!DM14</f>
        <v>90355.294270327373</v>
      </c>
      <c r="DN7" s="22">
        <f>Calc_Volume!DN14</f>
        <v>100985.3288903659</v>
      </c>
      <c r="DO7" s="22">
        <f>Calc_Volume!DO14</f>
        <v>111615.36351040441</v>
      </c>
      <c r="DP7" s="22">
        <f>Calc_Volume!DP14</f>
        <v>122245.39813044292</v>
      </c>
      <c r="DQ7" s="22">
        <f>Calc_Volume!DQ14</f>
        <v>148820.4846805392</v>
      </c>
    </row>
    <row r="8" spans="1:121" ht="15" customHeight="1">
      <c r="A8" t="s">
        <v>574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f t="shared" ref="N8:AS8" si="0">IF(B7&gt;0,(N7-B7)/B7,0)</f>
        <v>8.000000000000014E-2</v>
      </c>
      <c r="O8" s="13">
        <f t="shared" si="0"/>
        <v>8.0000000000000057E-2</v>
      </c>
      <c r="P8" s="13">
        <f t="shared" si="0"/>
        <v>7.9999999999999918E-2</v>
      </c>
      <c r="Q8" s="13">
        <f t="shared" si="0"/>
        <v>0.08</v>
      </c>
      <c r="R8" s="13">
        <f t="shared" si="0"/>
        <v>7.9999999999999905E-2</v>
      </c>
      <c r="S8" s="13">
        <f t="shared" si="0"/>
        <v>8.0000000000000071E-2</v>
      </c>
      <c r="T8" s="13">
        <f t="shared" si="0"/>
        <v>8.0000000000000071E-2</v>
      </c>
      <c r="U8" s="13">
        <f t="shared" si="0"/>
        <v>7.9999999999999905E-2</v>
      </c>
      <c r="V8" s="13">
        <f t="shared" si="0"/>
        <v>8.0000000000000085E-2</v>
      </c>
      <c r="W8" s="13">
        <f t="shared" si="0"/>
        <v>0.08</v>
      </c>
      <c r="X8" s="13">
        <f t="shared" si="0"/>
        <v>8.000000000000014E-2</v>
      </c>
      <c r="Y8" s="13">
        <f t="shared" si="0"/>
        <v>8.0000000000000057E-2</v>
      </c>
      <c r="Z8" s="13">
        <f t="shared" si="0"/>
        <v>0.08</v>
      </c>
      <c r="AA8" s="13">
        <f t="shared" si="0"/>
        <v>8.0000000000000168E-2</v>
      </c>
      <c r="AB8" s="13">
        <f t="shared" si="0"/>
        <v>0.08</v>
      </c>
      <c r="AC8" s="13">
        <f t="shared" si="0"/>
        <v>0.08</v>
      </c>
      <c r="AD8" s="13">
        <f t="shared" si="0"/>
        <v>8.0000000000000238E-2</v>
      </c>
      <c r="AE8" s="13">
        <f t="shared" si="0"/>
        <v>7.9999999999999974E-2</v>
      </c>
      <c r="AF8" s="13">
        <f t="shared" si="0"/>
        <v>7.9999999999999974E-2</v>
      </c>
      <c r="AG8" s="13">
        <f t="shared" si="0"/>
        <v>8.0000000000000238E-2</v>
      </c>
      <c r="AH8" s="13">
        <f t="shared" si="0"/>
        <v>0.08</v>
      </c>
      <c r="AI8" s="13">
        <f t="shared" si="0"/>
        <v>8.0000000000000196E-2</v>
      </c>
      <c r="AJ8" s="13">
        <f t="shared" si="0"/>
        <v>0.08</v>
      </c>
      <c r="AK8" s="13">
        <f t="shared" si="0"/>
        <v>8.000000000000014E-2</v>
      </c>
      <c r="AL8" s="13">
        <f t="shared" si="0"/>
        <v>6.0000000000000026E-2</v>
      </c>
      <c r="AM8" s="13">
        <f t="shared" si="0"/>
        <v>6.0000000000000019E-2</v>
      </c>
      <c r="AN8" s="13">
        <f t="shared" si="0"/>
        <v>6.0000000000000074E-2</v>
      </c>
      <c r="AO8" s="13">
        <f t="shared" si="0"/>
        <v>6.0000000000000116E-2</v>
      </c>
      <c r="AP8" s="13">
        <f t="shared" si="0"/>
        <v>5.9999999999999908E-2</v>
      </c>
      <c r="AQ8" s="13">
        <f t="shared" si="0"/>
        <v>5.9999999999999921E-2</v>
      </c>
      <c r="AR8" s="13">
        <f t="shared" si="0"/>
        <v>5.9999999999999921E-2</v>
      </c>
      <c r="AS8" s="13">
        <f t="shared" si="0"/>
        <v>5.9999999999999908E-2</v>
      </c>
      <c r="AT8" s="13">
        <f t="shared" ref="AT8:BY8" si="1">IF(AH7&gt;0,(AT7-AH7)/AH7,0)</f>
        <v>6.0000000000000095E-2</v>
      </c>
      <c r="AU8" s="13">
        <f t="shared" si="1"/>
        <v>6.0000000000000046E-2</v>
      </c>
      <c r="AV8" s="13">
        <f t="shared" si="1"/>
        <v>6.0000000000000026E-2</v>
      </c>
      <c r="AW8" s="13">
        <f t="shared" si="1"/>
        <v>5.9999999999999963E-2</v>
      </c>
      <c r="AX8" s="13">
        <f t="shared" si="1"/>
        <v>5.9999999999999991E-2</v>
      </c>
      <c r="AY8" s="13">
        <f t="shared" si="1"/>
        <v>6.0000000000000053E-2</v>
      </c>
      <c r="AZ8" s="13">
        <f t="shared" si="1"/>
        <v>6.0000000000000088E-2</v>
      </c>
      <c r="BA8" s="13">
        <f t="shared" si="1"/>
        <v>6.0000000000000102E-2</v>
      </c>
      <c r="BB8" s="13">
        <f t="shared" si="1"/>
        <v>6.0000000000000012E-2</v>
      </c>
      <c r="BC8" s="13">
        <f t="shared" si="1"/>
        <v>6.0000000000000123E-2</v>
      </c>
      <c r="BD8" s="13">
        <f t="shared" si="1"/>
        <v>6.0000000000000123E-2</v>
      </c>
      <c r="BE8" s="13">
        <f t="shared" si="1"/>
        <v>6.0000000000000012E-2</v>
      </c>
      <c r="BF8" s="13">
        <f t="shared" si="1"/>
        <v>0.06</v>
      </c>
      <c r="BG8" s="13">
        <f t="shared" si="1"/>
        <v>5.9999999999999984E-2</v>
      </c>
      <c r="BH8" s="13">
        <f t="shared" si="1"/>
        <v>5.9999999999999991E-2</v>
      </c>
      <c r="BI8" s="13">
        <f t="shared" si="1"/>
        <v>6.0000000000000032E-2</v>
      </c>
      <c r="BJ8" s="13">
        <f t="shared" si="1"/>
        <v>4.000000000000014E-2</v>
      </c>
      <c r="BK8" s="13">
        <f t="shared" si="1"/>
        <v>3.9999999999999945E-2</v>
      </c>
      <c r="BL8" s="13">
        <f t="shared" si="1"/>
        <v>4.0000000000000049E-2</v>
      </c>
      <c r="BM8" s="13">
        <f t="shared" si="1"/>
        <v>3.9999999999999973E-2</v>
      </c>
      <c r="BN8" s="13">
        <f t="shared" si="1"/>
        <v>4.0000000000000126E-2</v>
      </c>
      <c r="BO8" s="13">
        <f t="shared" si="1"/>
        <v>4.0000000000000084E-2</v>
      </c>
      <c r="BP8" s="13">
        <f t="shared" si="1"/>
        <v>4.0000000000000084E-2</v>
      </c>
      <c r="BQ8" s="13">
        <f t="shared" si="1"/>
        <v>4.0000000000000126E-2</v>
      </c>
      <c r="BR8" s="13">
        <f t="shared" si="1"/>
        <v>4.0000000000000015E-2</v>
      </c>
      <c r="BS8" s="13">
        <f t="shared" si="1"/>
        <v>3.9999999999999918E-2</v>
      </c>
      <c r="BT8" s="13">
        <f t="shared" si="1"/>
        <v>4.000000000000014E-2</v>
      </c>
      <c r="BU8" s="13">
        <f t="shared" si="1"/>
        <v>0.04</v>
      </c>
      <c r="BV8" s="13">
        <f t="shared" si="1"/>
        <v>3.9999999999999876E-2</v>
      </c>
      <c r="BW8" s="13">
        <f t="shared" si="1"/>
        <v>3.999999999999998E-2</v>
      </c>
      <c r="BX8" s="13">
        <f t="shared" si="1"/>
        <v>3.9999999999999911E-2</v>
      </c>
      <c r="BY8" s="13">
        <f t="shared" si="1"/>
        <v>0.04</v>
      </c>
      <c r="BZ8" s="13">
        <f t="shared" ref="BZ8:DE8" si="2">IF(BN7&gt;0,(BZ7-BN7)/BN7,0)</f>
        <v>3.9999999999999952E-2</v>
      </c>
      <c r="CA8" s="13">
        <f t="shared" si="2"/>
        <v>3.9999999999999904E-2</v>
      </c>
      <c r="CB8" s="13">
        <f t="shared" si="2"/>
        <v>3.9999999999999904E-2</v>
      </c>
      <c r="CC8" s="13">
        <f t="shared" si="2"/>
        <v>3.9999999999999952E-2</v>
      </c>
      <c r="CD8" s="13">
        <f t="shared" si="2"/>
        <v>4.0000000000000042E-2</v>
      </c>
      <c r="CE8" s="13">
        <f t="shared" si="2"/>
        <v>4.0000000000000105E-2</v>
      </c>
      <c r="CF8" s="13">
        <f t="shared" si="2"/>
        <v>3.9999999999999876E-2</v>
      </c>
      <c r="CG8" s="13">
        <f t="shared" si="2"/>
        <v>4.0000000000000029E-2</v>
      </c>
      <c r="CH8" s="13">
        <f t="shared" si="2"/>
        <v>3.9999999999999994E-2</v>
      </c>
      <c r="CI8" s="13">
        <f t="shared" si="2"/>
        <v>3.9999999999999925E-2</v>
      </c>
      <c r="CJ8" s="13">
        <f t="shared" si="2"/>
        <v>3.9999999999999945E-2</v>
      </c>
      <c r="CK8" s="13">
        <f t="shared" si="2"/>
        <v>3.9999999999999959E-2</v>
      </c>
      <c r="CL8" s="13">
        <f t="shared" si="2"/>
        <v>4.0000000000000056E-2</v>
      </c>
      <c r="CM8" s="13">
        <f t="shared" si="2"/>
        <v>3.999999999999998E-2</v>
      </c>
      <c r="CN8" s="13">
        <f t="shared" si="2"/>
        <v>3.999999999999998E-2</v>
      </c>
      <c r="CO8" s="13">
        <f t="shared" si="2"/>
        <v>4.0000000000000056E-2</v>
      </c>
      <c r="CP8" s="13">
        <f t="shared" si="2"/>
        <v>3.9999999999999869E-2</v>
      </c>
      <c r="CQ8" s="13">
        <f t="shared" si="2"/>
        <v>3.9999999999999862E-2</v>
      </c>
      <c r="CR8" s="13">
        <f t="shared" si="2"/>
        <v>3.9999999999999994E-2</v>
      </c>
      <c r="CS8" s="13">
        <f t="shared" si="2"/>
        <v>3.9999999999999786E-2</v>
      </c>
      <c r="CT8" s="13">
        <f t="shared" si="2"/>
        <v>0.04</v>
      </c>
      <c r="CU8" s="13">
        <f t="shared" si="2"/>
        <v>4.0000000000000105E-2</v>
      </c>
      <c r="CV8" s="13">
        <f t="shared" si="2"/>
        <v>4.0000000000000091E-2</v>
      </c>
      <c r="CW8" s="13">
        <f t="shared" si="2"/>
        <v>4.0000000000000049E-2</v>
      </c>
      <c r="CX8" s="13">
        <f t="shared" si="2"/>
        <v>3.9999999999999855E-2</v>
      </c>
      <c r="CY8" s="13">
        <f t="shared" si="2"/>
        <v>4.0000000000000008E-2</v>
      </c>
      <c r="CZ8" s="13">
        <f t="shared" si="2"/>
        <v>4.0000000000000008E-2</v>
      </c>
      <c r="DA8" s="13">
        <f t="shared" si="2"/>
        <v>3.9999999999999855E-2</v>
      </c>
      <c r="DB8" s="13">
        <f t="shared" si="2"/>
        <v>4.0000000000000077E-2</v>
      </c>
      <c r="DC8" s="13">
        <f t="shared" si="2"/>
        <v>4.0000000000000105E-2</v>
      </c>
      <c r="DD8" s="13">
        <f t="shared" si="2"/>
        <v>0.04</v>
      </c>
      <c r="DE8" s="13">
        <f t="shared" si="2"/>
        <v>4.0000000000000174E-2</v>
      </c>
      <c r="DF8" s="13">
        <f t="shared" ref="DF8:EK8" si="3">IF(CT7&gt;0,(DF7-CT7)/CT7,0)</f>
        <v>4.0000000000000167E-2</v>
      </c>
      <c r="DG8" s="13">
        <f t="shared" si="3"/>
        <v>3.9999999999999904E-2</v>
      </c>
      <c r="DH8" s="13">
        <f t="shared" si="3"/>
        <v>4.0000000000000042E-2</v>
      </c>
      <c r="DI8" s="13">
        <f t="shared" si="3"/>
        <v>4.0000000000000036E-2</v>
      </c>
      <c r="DJ8" s="13">
        <f t="shared" si="3"/>
        <v>4.0000000000000042E-2</v>
      </c>
      <c r="DK8" s="13">
        <f t="shared" si="3"/>
        <v>4.0000000000000036E-2</v>
      </c>
      <c r="DL8" s="13">
        <f t="shared" si="3"/>
        <v>4.0000000000000036E-2</v>
      </c>
      <c r="DM8" s="13">
        <f t="shared" si="3"/>
        <v>4.0000000000000042E-2</v>
      </c>
      <c r="DN8" s="13">
        <f t="shared" si="3"/>
        <v>4.0000000000000195E-2</v>
      </c>
      <c r="DO8" s="13">
        <f t="shared" si="3"/>
        <v>4.0000000000000036E-2</v>
      </c>
      <c r="DP8" s="13">
        <f t="shared" si="3"/>
        <v>4.0000000000000167E-2</v>
      </c>
      <c r="DQ8" s="13">
        <f t="shared" si="3"/>
        <v>4.0000000000000042E-2</v>
      </c>
    </row>
    <row r="9" spans="1:121" ht="15" customHeight="1">
      <c r="A9" t="s">
        <v>575</v>
      </c>
      <c r="B9" s="13">
        <f>Calc_Capex!B25</f>
        <v>0.91999999999999993</v>
      </c>
      <c r="C9" s="13">
        <f>Calc_Capex!C25</f>
        <v>0.88000000000000012</v>
      </c>
      <c r="D9" s="13">
        <f>Calc_Capex!D25</f>
        <v>0.80000000000000016</v>
      </c>
      <c r="E9" s="13">
        <f>Calc_Capex!E25</f>
        <v>0.72000000000000008</v>
      </c>
      <c r="F9" s="13">
        <f>Calc_Capex!F25</f>
        <v>0.68</v>
      </c>
      <c r="G9" s="13">
        <f>Calc_Capex!G25</f>
        <v>0.64000000000000012</v>
      </c>
      <c r="H9" s="13">
        <f>Calc_Capex!H25</f>
        <v>0.64000000000000012</v>
      </c>
      <c r="I9" s="13">
        <f>Calc_Capex!I25</f>
        <v>0.68</v>
      </c>
      <c r="J9" s="13">
        <f>Calc_Capex!J25</f>
        <v>0.76</v>
      </c>
      <c r="K9" s="13">
        <f>Calc_Capex!K25</f>
        <v>0.84000000000000008</v>
      </c>
      <c r="L9" s="13">
        <f>Calc_Capex!L25</f>
        <v>0.91999999999999993</v>
      </c>
      <c r="M9" s="13">
        <f>Calc_Capex!M25</f>
        <v>1.1200000000000001</v>
      </c>
      <c r="N9" s="13">
        <f>Calc_Capex!N25</f>
        <v>0.99360000000000004</v>
      </c>
      <c r="O9" s="13">
        <f>Calc_Capex!O25</f>
        <v>0.95040000000000024</v>
      </c>
      <c r="P9" s="13">
        <f>Calc_Capex!P25</f>
        <v>0.8640000000000001</v>
      </c>
      <c r="Q9" s="13">
        <f>Calc_Capex!Q25</f>
        <v>0.77760000000000007</v>
      </c>
      <c r="R9" s="13">
        <f>Calc_Capex!R25</f>
        <v>0.73440000000000005</v>
      </c>
      <c r="S9" s="13">
        <f>Calc_Capex!S25</f>
        <v>0.69120000000000026</v>
      </c>
      <c r="T9" s="13">
        <f>Calc_Capex!T25</f>
        <v>0.69120000000000026</v>
      </c>
      <c r="U9" s="13">
        <f>Calc_Capex!U25</f>
        <v>0.73440000000000005</v>
      </c>
      <c r="V9" s="13">
        <f>Calc_Capex!V25</f>
        <v>0.82080000000000009</v>
      </c>
      <c r="W9" s="13">
        <f>Calc_Capex!W25</f>
        <v>0.90720000000000001</v>
      </c>
      <c r="X9" s="13">
        <f>Calc_Capex!X25</f>
        <v>0.99360000000000004</v>
      </c>
      <c r="Y9" s="13">
        <f>Calc_Capex!Y25</f>
        <v>1.2096</v>
      </c>
      <c r="Z9" s="13">
        <f>Calc_Capex!Z25</f>
        <v>1.073088</v>
      </c>
      <c r="AA9" s="13">
        <f>Calc_Capex!AA25</f>
        <v>1.0264320000000005</v>
      </c>
      <c r="AB9" s="13">
        <f>Calc_Capex!AB25</f>
        <v>0.93312000000000006</v>
      </c>
      <c r="AC9" s="13">
        <f>Calc_Capex!AC25</f>
        <v>0.839808</v>
      </c>
      <c r="AD9" s="13">
        <f>Calc_Capex!AD25</f>
        <v>0.79315200000000019</v>
      </c>
      <c r="AE9" s="13">
        <f>Calc_Capex!AE25</f>
        <v>0.74649600000000027</v>
      </c>
      <c r="AF9" s="13">
        <f>Calc_Capex!AF25</f>
        <v>0.74649600000000027</v>
      </c>
      <c r="AG9" s="13">
        <f>Calc_Capex!AG25</f>
        <v>0.79315200000000019</v>
      </c>
      <c r="AH9" s="13">
        <f>Calc_Capex!AH25</f>
        <v>0.88646400000000003</v>
      </c>
      <c r="AI9" s="13">
        <f>Calc_Capex!AI25</f>
        <v>0.9797760000000002</v>
      </c>
      <c r="AJ9" s="13">
        <f>Calc_Capex!AJ25</f>
        <v>1.073088</v>
      </c>
      <c r="AK9" s="13">
        <f>Calc_Capex!AK25</f>
        <v>1.3063680000000002</v>
      </c>
      <c r="AL9" s="13">
        <f>Calc_Capex!AL25</f>
        <v>1.13747328</v>
      </c>
      <c r="AM9" s="13">
        <f>Calc_Capex!AM25</f>
        <v>1.0880179200000004</v>
      </c>
      <c r="AN9" s="13">
        <f>Calc_Capex!AN25</f>
        <v>0.98910720000000008</v>
      </c>
      <c r="AO9" s="13">
        <f>Calc_Capex!AO25</f>
        <v>0.89019648000000018</v>
      </c>
      <c r="AP9" s="13">
        <f>Calc_Capex!AP25</f>
        <v>0.84074112000000012</v>
      </c>
      <c r="AQ9" s="13">
        <f>Calc_Capex!AQ25</f>
        <v>0.79128576000000017</v>
      </c>
      <c r="AR9" s="13">
        <f>Calc_Capex!AR25</f>
        <v>0.79128576000000017</v>
      </c>
      <c r="AS9" s="13">
        <f>Calc_Capex!AS25</f>
        <v>0.84074112000000012</v>
      </c>
      <c r="AT9" s="13">
        <f>Calc_Capex!AT25</f>
        <v>0.93965184000000013</v>
      </c>
      <c r="AU9" s="13">
        <f>Calc_Capex!AU25</f>
        <v>1.0385625600000004</v>
      </c>
      <c r="AV9" s="13">
        <f>Calc_Capex!AV25</f>
        <v>1.13747328</v>
      </c>
      <c r="AW9" s="13">
        <f>Calc_Capex!AW25</f>
        <v>1.3847500800000001</v>
      </c>
      <c r="AX9" s="13">
        <f>Calc_Capex!AX25</f>
        <v>1.2057216768000001</v>
      </c>
      <c r="AY9" s="13">
        <f>Calc_Capex!AY25</f>
        <v>1.1532989952000006</v>
      </c>
      <c r="AZ9" s="13">
        <f>Calc_Capex!AZ25</f>
        <v>1.0484536320000002</v>
      </c>
      <c r="BA9" s="13">
        <f>Calc_Capex!BA25</f>
        <v>0.94360826880000026</v>
      </c>
      <c r="BB9" s="13">
        <f>Calc_Capex!BB25</f>
        <v>0.89118558720000018</v>
      </c>
      <c r="BC9" s="13">
        <f>Calc_Capex!BC25</f>
        <v>0.83876290560000033</v>
      </c>
      <c r="BD9" s="13">
        <f>Calc_Capex!BD25</f>
        <v>0.83876290560000033</v>
      </c>
      <c r="BE9" s="13">
        <f>Calc_Capex!BE25</f>
        <v>0.89118558720000018</v>
      </c>
      <c r="BF9" s="13">
        <f>Calc_Capex!BF25</f>
        <v>0.99603095040000011</v>
      </c>
      <c r="BG9" s="13">
        <f>Calc_Capex!BG25</f>
        <v>1.1008763136000004</v>
      </c>
      <c r="BH9" s="13">
        <f>Calc_Capex!BH25</f>
        <v>1.2057216768000001</v>
      </c>
      <c r="BI9" s="13">
        <f>Calc_Capex!BI25</f>
        <v>1.4678350848000004</v>
      </c>
      <c r="BJ9" s="13">
        <f>Calc_Capex!BJ25</f>
        <v>1.2539505438720002</v>
      </c>
      <c r="BK9" s="13">
        <f>Calc_Capex!BK25</f>
        <v>1.1994309550080005</v>
      </c>
      <c r="BL9" s="13">
        <f>Calc_Capex!BL25</f>
        <v>1.0903917772800003</v>
      </c>
      <c r="BM9" s="13">
        <f>Calc_Capex!BM25</f>
        <v>0.98135259955200027</v>
      </c>
      <c r="BN9" s="13">
        <f>Calc_Capex!BN25</f>
        <v>0.92683301068800028</v>
      </c>
      <c r="BO9" s="13">
        <f>Calc_Capex!BO25</f>
        <v>0.8723134218240004</v>
      </c>
      <c r="BP9" s="13">
        <f>Calc_Capex!BP25</f>
        <v>0.8723134218240004</v>
      </c>
      <c r="BQ9" s="13">
        <f>Calc_Capex!BQ25</f>
        <v>0.92683301068800028</v>
      </c>
      <c r="BR9" s="13">
        <f>Calc_Capex!BR25</f>
        <v>1.0358721884160003</v>
      </c>
      <c r="BS9" s="13">
        <f>Calc_Capex!BS25</f>
        <v>1.1449113661440002</v>
      </c>
      <c r="BT9" s="13">
        <f>Calc_Capex!BT25</f>
        <v>1.2539505438720002</v>
      </c>
      <c r="BU9" s="13">
        <f>Calc_Capex!BU25</f>
        <v>1.5265484881920002</v>
      </c>
      <c r="BV9" s="13">
        <f>Calc_Capex!BV25</f>
        <v>1.30410856562688</v>
      </c>
      <c r="BW9" s="13">
        <f>Calc_Capex!BW25</f>
        <v>1.2474081932083205</v>
      </c>
      <c r="BX9" s="13">
        <f>Calc_Capex!BX25</f>
        <v>1.1340074483712002</v>
      </c>
      <c r="BY9" s="13">
        <f>Calc_Capex!BY25</f>
        <v>1.0206067035340802</v>
      </c>
      <c r="BZ9" s="13">
        <f>Calc_Capex!BZ25</f>
        <v>0.96390633111552027</v>
      </c>
      <c r="CA9" s="13">
        <f>Calc_Capex!CA25</f>
        <v>0.9072059586969603</v>
      </c>
      <c r="CB9" s="13">
        <f>Calc_Capex!CB25</f>
        <v>0.9072059586969603</v>
      </c>
      <c r="CC9" s="13">
        <f>Calc_Capex!CC25</f>
        <v>0.96390633111552027</v>
      </c>
      <c r="CD9" s="13">
        <f>Calc_Capex!CD25</f>
        <v>1.0773070759526402</v>
      </c>
      <c r="CE9" s="13">
        <f>Calc_Capex!CE25</f>
        <v>1.1907078207897603</v>
      </c>
      <c r="CF9" s="13">
        <f>Calc_Capex!CF25</f>
        <v>1.30410856562688</v>
      </c>
      <c r="CG9" s="13">
        <f>Calc_Capex!CG25</f>
        <v>1.5876104277196803</v>
      </c>
      <c r="CH9" s="13">
        <f>Calc_Capex!CH25</f>
        <v>1.3562729082519553</v>
      </c>
      <c r="CI9" s="13">
        <f>Calc_Capex!CI25</f>
        <v>1.2973045209366532</v>
      </c>
      <c r="CJ9" s="13">
        <f>Calc_Capex!CJ25</f>
        <v>1.1793677463060481</v>
      </c>
      <c r="CK9" s="13">
        <f>Calc_Capex!CK25</f>
        <v>1.0614309716754433</v>
      </c>
      <c r="CL9" s="13">
        <f>Calc_Capex!CL25</f>
        <v>1.0024625843601411</v>
      </c>
      <c r="CM9" s="13">
        <f>Calc_Capex!CM25</f>
        <v>0.94349419704483872</v>
      </c>
      <c r="CN9" s="13">
        <f>Calc_Capex!CN25</f>
        <v>0.94349419704483872</v>
      </c>
      <c r="CO9" s="13">
        <f>Calc_Capex!CO25</f>
        <v>1.0024625843601411</v>
      </c>
      <c r="CP9" s="13">
        <f>Calc_Capex!CP25</f>
        <v>1.1203993589907457</v>
      </c>
      <c r="CQ9" s="13">
        <f>Calc_Capex!CQ25</f>
        <v>1.2383361336213505</v>
      </c>
      <c r="CR9" s="13">
        <f>Calc_Capex!CR25</f>
        <v>1.3562729082519553</v>
      </c>
      <c r="CS9" s="13">
        <f>Calc_Capex!CS25</f>
        <v>1.6511148448284672</v>
      </c>
      <c r="CT9" s="13">
        <f>Calc_Capex!CT25</f>
        <v>1.4105238245820335</v>
      </c>
      <c r="CU9" s="13">
        <f>Calc_Capex!CU25</f>
        <v>1.3491967017741195</v>
      </c>
      <c r="CV9" s="13">
        <f>Calc_Capex!CV25</f>
        <v>1.2265424561582903</v>
      </c>
      <c r="CW9" s="13">
        <f>Calc_Capex!CW25</f>
        <v>1.1038882105424612</v>
      </c>
      <c r="CX9" s="13">
        <f>Calc_Capex!CX25</f>
        <v>1.0425610877345466</v>
      </c>
      <c r="CY9" s="13">
        <f>Calc_Capex!CY25</f>
        <v>0.98123396492663228</v>
      </c>
      <c r="CZ9" s="13">
        <f>Calc_Capex!CZ25</f>
        <v>0.98123396492663228</v>
      </c>
      <c r="DA9" s="13">
        <f>Calc_Capex!DA25</f>
        <v>1.0425610877345466</v>
      </c>
      <c r="DB9" s="13">
        <f>Calc_Capex!DB25</f>
        <v>1.1652153333503756</v>
      </c>
      <c r="DC9" s="13">
        <f>Calc_Capex!DC25</f>
        <v>1.2878695789662047</v>
      </c>
      <c r="DD9" s="13">
        <f>Calc_Capex!DD25</f>
        <v>1.4105238245820335</v>
      </c>
      <c r="DE9" s="13">
        <f>Calc_Capex!DE25</f>
        <v>1.7171594386216062</v>
      </c>
      <c r="DF9" s="13">
        <f>Calc_Capex!DF25</f>
        <v>1.4669447775653151</v>
      </c>
      <c r="DG9" s="13">
        <f>Calc_Capex!DG25</f>
        <v>1.4031645698450841</v>
      </c>
      <c r="DH9" s="13">
        <f>Calc_Capex!DH25</f>
        <v>1.2756041544046217</v>
      </c>
      <c r="DI9" s="13">
        <f>Calc_Capex!DI25</f>
        <v>1.1480437389641598</v>
      </c>
      <c r="DJ9" s="13">
        <f>Calc_Capex!DJ25</f>
        <v>1.0842635312439286</v>
      </c>
      <c r="DK9" s="13">
        <f>Calc_Capex!DK25</f>
        <v>1.0204833235236976</v>
      </c>
      <c r="DL9" s="13">
        <f>Calc_Capex!DL25</f>
        <v>1.0204833235236976</v>
      </c>
      <c r="DM9" s="13">
        <f>Calc_Capex!DM25</f>
        <v>1.0842635312439286</v>
      </c>
      <c r="DN9" s="13">
        <f>Calc_Capex!DN25</f>
        <v>1.2118239466843908</v>
      </c>
      <c r="DO9" s="13">
        <f>Calc_Capex!DO25</f>
        <v>1.3393843621248529</v>
      </c>
      <c r="DP9" s="13">
        <f>Calc_Capex!DP25</f>
        <v>1.4669447775653151</v>
      </c>
      <c r="DQ9" s="13">
        <f>Calc_Capex!DQ25</f>
        <v>1.7858458161664705</v>
      </c>
    </row>
    <row r="11" spans="1:121" ht="15" customHeight="1">
      <c r="A11" s="5" t="s">
        <v>576</v>
      </c>
    </row>
    <row r="12" spans="1:121" ht="15" customHeight="1">
      <c r="A12" t="s">
        <v>577</v>
      </c>
      <c r="B12" s="22">
        <f>Calc_Revenue!B12</f>
        <v>47103.808333333334</v>
      </c>
      <c r="C12" s="22">
        <f>Calc_Revenue!C12</f>
        <v>45055.816666666673</v>
      </c>
      <c r="D12" s="22">
        <f>Calc_Revenue!D12</f>
        <v>40959.833333333336</v>
      </c>
      <c r="E12" s="22">
        <f>Calc_Revenue!E12</f>
        <v>36863.85</v>
      </c>
      <c r="F12" s="22">
        <f>Calc_Revenue!F12</f>
        <v>34815.858333333337</v>
      </c>
      <c r="G12" s="22">
        <f>Calc_Revenue!G12</f>
        <v>32767.866666666672</v>
      </c>
      <c r="H12" s="22">
        <f>Calc_Revenue!H12</f>
        <v>32767.866666666672</v>
      </c>
      <c r="I12" s="22">
        <f>Calc_Revenue!I12</f>
        <v>34815.858333333337</v>
      </c>
      <c r="J12" s="22">
        <f>Calc_Revenue!J12</f>
        <v>38911.841666666667</v>
      </c>
      <c r="K12" s="22">
        <f>Calc_Revenue!K12</f>
        <v>43007.825000000004</v>
      </c>
      <c r="L12" s="22">
        <f>Calc_Revenue!L12</f>
        <v>47103.808333333334</v>
      </c>
      <c r="M12" s="22">
        <f>Calc_Revenue!M12</f>
        <v>57343.766666666663</v>
      </c>
      <c r="N12" s="22">
        <f>Calc_Revenue!N12</f>
        <v>52143.915825000004</v>
      </c>
      <c r="O12" s="22">
        <f>Calc_Revenue!O12</f>
        <v>49876.789050000007</v>
      </c>
      <c r="P12" s="22">
        <f>Calc_Revenue!P12</f>
        <v>45342.535499999998</v>
      </c>
      <c r="Q12" s="22">
        <f>Calc_Revenue!Q12</f>
        <v>40808.281949999997</v>
      </c>
      <c r="R12" s="22">
        <f>Calc_Revenue!R12</f>
        <v>38541.155175</v>
      </c>
      <c r="S12" s="22">
        <f>Calc_Revenue!S12</f>
        <v>36274.028400000003</v>
      </c>
      <c r="T12" s="22">
        <f>Calc_Revenue!T12</f>
        <v>36274.028400000003</v>
      </c>
      <c r="U12" s="22">
        <f>Calc_Revenue!U12</f>
        <v>38541.155175</v>
      </c>
      <c r="V12" s="22">
        <f>Calc_Revenue!V12</f>
        <v>43075.408724999994</v>
      </c>
      <c r="W12" s="22">
        <f>Calc_Revenue!W12</f>
        <v>47609.662275000002</v>
      </c>
      <c r="X12" s="22">
        <f>Calc_Revenue!X12</f>
        <v>52143.915825000004</v>
      </c>
      <c r="Y12" s="22">
        <f>Calc_Revenue!Y12</f>
        <v>63479.549699999996</v>
      </c>
      <c r="Z12" s="22">
        <f>Calc_Revenue!Z12</f>
        <v>57723.314818275001</v>
      </c>
      <c r="AA12" s="22">
        <f>Calc_Revenue!AA12</f>
        <v>55213.605478350015</v>
      </c>
      <c r="AB12" s="22">
        <f>Calc_Revenue!AB12</f>
        <v>50194.186798499999</v>
      </c>
      <c r="AC12" s="22">
        <f>Calc_Revenue!AC12</f>
        <v>45174.768118649998</v>
      </c>
      <c r="AD12" s="22">
        <f>Calc_Revenue!AD12</f>
        <v>42665.058778725012</v>
      </c>
      <c r="AE12" s="22">
        <f>Calc_Revenue!AE12</f>
        <v>40155.349438800004</v>
      </c>
      <c r="AF12" s="22">
        <f>Calc_Revenue!AF12</f>
        <v>40155.349438800004</v>
      </c>
      <c r="AG12" s="22">
        <f>Calc_Revenue!AG12</f>
        <v>42665.058778725012</v>
      </c>
      <c r="AH12" s="22">
        <f>Calc_Revenue!AH12</f>
        <v>47684.477458574998</v>
      </c>
      <c r="AI12" s="22">
        <f>Calc_Revenue!AI12</f>
        <v>52703.896138425</v>
      </c>
      <c r="AJ12" s="22">
        <f>Calc_Revenue!AJ12</f>
        <v>57723.314818275001</v>
      </c>
      <c r="AK12" s="22">
        <f>Calc_Revenue!AK12</f>
        <v>70271.86151789999</v>
      </c>
      <c r="AL12" s="22">
        <f>Calc_Revenue!AL12</f>
        <v>62716.381550055783</v>
      </c>
      <c r="AM12" s="22">
        <f>Calc_Revenue!AM12</f>
        <v>59989.582352227299</v>
      </c>
      <c r="AN12" s="22">
        <f>Calc_Revenue!AN12</f>
        <v>54535.983956570257</v>
      </c>
      <c r="AO12" s="22">
        <f>Calc_Revenue!AO12</f>
        <v>49082.385560913222</v>
      </c>
      <c r="AP12" s="22">
        <f>Calc_Revenue!AP12</f>
        <v>46355.586363084716</v>
      </c>
      <c r="AQ12" s="22">
        <f>Calc_Revenue!AQ12</f>
        <v>43628.787165256203</v>
      </c>
      <c r="AR12" s="22">
        <f>Calc_Revenue!AR12</f>
        <v>43628.787165256203</v>
      </c>
      <c r="AS12" s="22">
        <f>Calc_Revenue!AS12</f>
        <v>46355.586363084716</v>
      </c>
      <c r="AT12" s="22">
        <f>Calc_Revenue!AT12</f>
        <v>51809.184758741729</v>
      </c>
      <c r="AU12" s="22">
        <f>Calc_Revenue!AU12</f>
        <v>57262.78315439877</v>
      </c>
      <c r="AV12" s="22">
        <f>Calc_Revenue!AV12</f>
        <v>62716.381550055783</v>
      </c>
      <c r="AW12" s="22">
        <f>Calc_Revenue!AW12</f>
        <v>76350.377539198351</v>
      </c>
      <c r="AX12" s="22">
        <f>Calc_Revenue!AX12</f>
        <v>68141.348554135606</v>
      </c>
      <c r="AY12" s="22">
        <f>Calc_Revenue!AY12</f>
        <v>65178.681225694949</v>
      </c>
      <c r="AZ12" s="22">
        <f>Calc_Revenue!AZ12</f>
        <v>59253.346568813577</v>
      </c>
      <c r="BA12" s="22">
        <f>Calc_Revenue!BA12</f>
        <v>53328.011911932212</v>
      </c>
      <c r="BB12" s="22">
        <f>Calc_Revenue!BB12</f>
        <v>50365.34458349154</v>
      </c>
      <c r="BC12" s="22">
        <f>Calc_Revenue!BC12</f>
        <v>47402.677255050869</v>
      </c>
      <c r="BD12" s="22">
        <f>Calc_Revenue!BD12</f>
        <v>47402.677255050869</v>
      </c>
      <c r="BE12" s="22">
        <f>Calc_Revenue!BE12</f>
        <v>50365.34458349154</v>
      </c>
      <c r="BF12" s="22">
        <f>Calc_Revenue!BF12</f>
        <v>56290.679240372898</v>
      </c>
      <c r="BG12" s="22">
        <f>Calc_Revenue!BG12</f>
        <v>62216.013897254263</v>
      </c>
      <c r="BH12" s="22">
        <f>Calc_Revenue!BH12</f>
        <v>68141.348554135606</v>
      </c>
      <c r="BI12" s="22">
        <f>Calc_Revenue!BI12</f>
        <v>82954.685196339007</v>
      </c>
      <c r="BJ12" s="22">
        <f>Calc_Revenue!BJ12</f>
        <v>72638.677558708543</v>
      </c>
      <c r="BK12" s="22">
        <f>Calc_Revenue!BK12</f>
        <v>69480.474186590814</v>
      </c>
      <c r="BL12" s="22">
        <f>Calc_Revenue!BL12</f>
        <v>63164.06744235527</v>
      </c>
      <c r="BM12" s="22">
        <f>Calc_Revenue!BM12</f>
        <v>56847.66069811974</v>
      </c>
      <c r="BN12" s="22">
        <f>Calc_Revenue!BN12</f>
        <v>53689.457326001975</v>
      </c>
      <c r="BO12" s="22">
        <f>Calc_Revenue!BO12</f>
        <v>50531.253953884225</v>
      </c>
      <c r="BP12" s="22">
        <f>Calc_Revenue!BP12</f>
        <v>50531.253953884225</v>
      </c>
      <c r="BQ12" s="22">
        <f>Calc_Revenue!BQ12</f>
        <v>53689.457326001975</v>
      </c>
      <c r="BR12" s="22">
        <f>Calc_Revenue!BR12</f>
        <v>60005.864070237491</v>
      </c>
      <c r="BS12" s="22">
        <f>Calc_Revenue!BS12</f>
        <v>66322.270814473028</v>
      </c>
      <c r="BT12" s="22">
        <f>Calc_Revenue!BT12</f>
        <v>72638.677558708543</v>
      </c>
      <c r="BU12" s="22">
        <f>Calc_Revenue!BU12</f>
        <v>88429.694419297361</v>
      </c>
      <c r="BV12" s="22">
        <f>Calc_Revenue!BV12</f>
        <v>77432.830277583314</v>
      </c>
      <c r="BW12" s="22">
        <f>Calc_Revenue!BW12</f>
        <v>74066.185482905785</v>
      </c>
      <c r="BX12" s="22">
        <f>Calc_Revenue!BX12</f>
        <v>67332.895893550711</v>
      </c>
      <c r="BY12" s="22">
        <f>Calc_Revenue!BY12</f>
        <v>60599.606304195637</v>
      </c>
      <c r="BZ12" s="22">
        <f>Calc_Revenue!BZ12</f>
        <v>57232.9615095181</v>
      </c>
      <c r="CA12" s="22">
        <f>Calc_Revenue!CA12</f>
        <v>53866.31671484057</v>
      </c>
      <c r="CB12" s="22">
        <f>Calc_Revenue!CB12</f>
        <v>53866.31671484057</v>
      </c>
      <c r="CC12" s="22">
        <f>Calc_Revenue!CC12</f>
        <v>57232.9615095181</v>
      </c>
      <c r="CD12" s="22">
        <f>Calc_Revenue!CD12</f>
        <v>63966.251098873166</v>
      </c>
      <c r="CE12" s="22">
        <f>Calc_Revenue!CE12</f>
        <v>70699.54068822824</v>
      </c>
      <c r="CF12" s="22">
        <f>Calc_Revenue!CF12</f>
        <v>77432.830277583314</v>
      </c>
      <c r="CG12" s="22">
        <f>Calc_Revenue!CG12</f>
        <v>94266.054250970978</v>
      </c>
      <c r="CH12" s="22">
        <f>Calc_Revenue!CH12</f>
        <v>82543.397075903791</v>
      </c>
      <c r="CI12" s="22">
        <f>Calc_Revenue!CI12</f>
        <v>78954.55372477755</v>
      </c>
      <c r="CJ12" s="22">
        <f>Calc_Revenue!CJ12</f>
        <v>71776.867022525024</v>
      </c>
      <c r="CK12" s="22">
        <f>Calc_Revenue!CK12</f>
        <v>64599.180320272542</v>
      </c>
      <c r="CL12" s="22">
        <f>Calc_Revenue!CL12</f>
        <v>61010.336969146294</v>
      </c>
      <c r="CM12" s="22">
        <f>Calc_Revenue!CM12</f>
        <v>57421.493618020031</v>
      </c>
      <c r="CN12" s="22">
        <f>Calc_Revenue!CN12</f>
        <v>57421.493618020031</v>
      </c>
      <c r="CO12" s="22">
        <f>Calc_Revenue!CO12</f>
        <v>61010.336969146294</v>
      </c>
      <c r="CP12" s="22">
        <f>Calc_Revenue!CP12</f>
        <v>68188.023671398783</v>
      </c>
      <c r="CQ12" s="22">
        <f>Calc_Revenue!CQ12</f>
        <v>75365.71037365128</v>
      </c>
      <c r="CR12" s="22">
        <f>Calc_Revenue!CR12</f>
        <v>82543.397075903791</v>
      </c>
      <c r="CS12" s="22">
        <f>Calc_Revenue!CS12</f>
        <v>100487.61383153504</v>
      </c>
      <c r="CT12" s="22">
        <f>Calc_Revenue!CT12</f>
        <v>87991.261282913445</v>
      </c>
      <c r="CU12" s="22">
        <f>Calc_Revenue!CU12</f>
        <v>84165.554270612862</v>
      </c>
      <c r="CV12" s="22">
        <f>Calc_Revenue!CV12</f>
        <v>76514.140246011681</v>
      </c>
      <c r="CW12" s="22">
        <f>Calc_Revenue!CW12</f>
        <v>68862.726221410529</v>
      </c>
      <c r="CX12" s="22">
        <f>Calc_Revenue!CX12</f>
        <v>65037.019209109938</v>
      </c>
      <c r="CY12" s="22">
        <f>Calc_Revenue!CY12</f>
        <v>61211.312196809347</v>
      </c>
      <c r="CZ12" s="22">
        <f>Calc_Revenue!CZ12</f>
        <v>61211.312196809347</v>
      </c>
      <c r="DA12" s="22">
        <f>Calc_Revenue!DA12</f>
        <v>65037.019209109938</v>
      </c>
      <c r="DB12" s="22">
        <f>Calc_Revenue!DB12</f>
        <v>72688.433233711097</v>
      </c>
      <c r="DC12" s="22">
        <f>Calc_Revenue!DC12</f>
        <v>80339.847258312264</v>
      </c>
      <c r="DD12" s="22">
        <f>Calc_Revenue!DD12</f>
        <v>87991.261282913445</v>
      </c>
      <c r="DE12" s="22">
        <f>Calc_Revenue!DE12</f>
        <v>107119.79634441635</v>
      </c>
      <c r="DF12" s="22">
        <f>Calc_Revenue!DF12</f>
        <v>93798.68452758569</v>
      </c>
      <c r="DG12" s="22">
        <f>Calc_Revenue!DG12</f>
        <v>89720.480852473309</v>
      </c>
      <c r="DH12" s="22">
        <f>Calc_Revenue!DH12</f>
        <v>81564.073502248459</v>
      </c>
      <c r="DI12" s="22">
        <f>Calc_Revenue!DI12</f>
        <v>73407.666152023608</v>
      </c>
      <c r="DJ12" s="22">
        <f>Calc_Revenue!DJ12</f>
        <v>69329.462476911183</v>
      </c>
      <c r="DK12" s="22">
        <f>Calc_Revenue!DK12</f>
        <v>65251.258801798773</v>
      </c>
      <c r="DL12" s="22">
        <f>Calc_Revenue!DL12</f>
        <v>65251.258801798773</v>
      </c>
      <c r="DM12" s="22">
        <f>Calc_Revenue!DM12</f>
        <v>69329.462476911183</v>
      </c>
      <c r="DN12" s="22">
        <f>Calc_Revenue!DN12</f>
        <v>77485.869827136034</v>
      </c>
      <c r="DO12" s="22">
        <f>Calc_Revenue!DO12</f>
        <v>85642.277177360869</v>
      </c>
      <c r="DP12" s="22">
        <f>Calc_Revenue!DP12</f>
        <v>93798.68452758569</v>
      </c>
      <c r="DQ12" s="22">
        <f>Calc_Revenue!DQ12</f>
        <v>114189.70290314785</v>
      </c>
    </row>
    <row r="13" spans="1:121" ht="15" customHeight="1">
      <c r="A13" t="s">
        <v>578</v>
      </c>
      <c r="B13" s="22">
        <f>Calc_Revenue!B25</f>
        <v>23012.167000000009</v>
      </c>
      <c r="C13" s="22">
        <f>Calc_Revenue!C25</f>
        <v>22011.638000000006</v>
      </c>
      <c r="D13" s="22">
        <f>Calc_Revenue!D25</f>
        <v>20010.580000000002</v>
      </c>
      <c r="E13" s="22">
        <f>Calc_Revenue!E25</f>
        <v>18009.521999999997</v>
      </c>
      <c r="F13" s="22">
        <f>Calc_Revenue!F25</f>
        <v>17008.993000000002</v>
      </c>
      <c r="G13" s="22">
        <f>Calc_Revenue!G25</f>
        <v>16008.464000000004</v>
      </c>
      <c r="H13" s="22">
        <f>Calc_Revenue!H25</f>
        <v>16008.464000000004</v>
      </c>
      <c r="I13" s="22">
        <f>Calc_Revenue!I25</f>
        <v>17008.993000000002</v>
      </c>
      <c r="J13" s="22">
        <f>Calc_Revenue!J25</f>
        <v>19010.051000000003</v>
      </c>
      <c r="K13" s="22">
        <f>Calc_Revenue!K25</f>
        <v>21011.109000000004</v>
      </c>
      <c r="L13" s="22">
        <f>Calc_Revenue!L25</f>
        <v>23012.167000000009</v>
      </c>
      <c r="M13" s="22">
        <f>Calc_Revenue!M25</f>
        <v>28014.811999999998</v>
      </c>
      <c r="N13" s="22">
        <f>Calc_Revenue!N25</f>
        <v>25971.128781750005</v>
      </c>
      <c r="O13" s="22">
        <f>Calc_Revenue!O25</f>
        <v>24841.949269500001</v>
      </c>
      <c r="P13" s="22">
        <f>Calc_Revenue!P25</f>
        <v>22583.590244999996</v>
      </c>
      <c r="Q13" s="22">
        <f>Calc_Revenue!Q25</f>
        <v>20325.231220499998</v>
      </c>
      <c r="R13" s="22">
        <f>Calc_Revenue!R25</f>
        <v>19196.051708249997</v>
      </c>
      <c r="S13" s="22">
        <f>Calc_Revenue!S25</f>
        <v>18066.872195999997</v>
      </c>
      <c r="T13" s="22">
        <f>Calc_Revenue!T25</f>
        <v>18066.872195999997</v>
      </c>
      <c r="U13" s="22">
        <f>Calc_Revenue!U25</f>
        <v>19196.051708249997</v>
      </c>
      <c r="V13" s="22">
        <f>Calc_Revenue!V25</f>
        <v>21454.410732749988</v>
      </c>
      <c r="W13" s="22">
        <f>Calc_Revenue!W25</f>
        <v>23712.769757250004</v>
      </c>
      <c r="X13" s="22">
        <f>Calc_Revenue!X25</f>
        <v>25971.128781750005</v>
      </c>
      <c r="Y13" s="22">
        <f>Calc_Revenue!Y25</f>
        <v>31617.026342999994</v>
      </c>
      <c r="Z13" s="22">
        <f>Calc_Revenue!Z25</f>
        <v>29286.432267167253</v>
      </c>
      <c r="AA13" s="22">
        <f>Calc_Revenue!AA25</f>
        <v>28013.109125116505</v>
      </c>
      <c r="AB13" s="22">
        <f>Calc_Revenue!AB25</f>
        <v>25466.462841015004</v>
      </c>
      <c r="AC13" s="22">
        <f>Calc_Revenue!AC25</f>
        <v>22919.816556913494</v>
      </c>
      <c r="AD13" s="22">
        <f>Calc_Revenue!AD25</f>
        <v>21646.493414862758</v>
      </c>
      <c r="AE13" s="22">
        <f>Calc_Revenue!AE25</f>
        <v>20373.170272811996</v>
      </c>
      <c r="AF13" s="22">
        <f>Calc_Revenue!AF25</f>
        <v>20373.170272811996</v>
      </c>
      <c r="AG13" s="22">
        <f>Calc_Revenue!AG25</f>
        <v>21646.493414862758</v>
      </c>
      <c r="AH13" s="22">
        <f>Calc_Revenue!AH25</f>
        <v>24193.139698964249</v>
      </c>
      <c r="AI13" s="22">
        <f>Calc_Revenue!AI25</f>
        <v>26739.785983065747</v>
      </c>
      <c r="AJ13" s="22">
        <f>Calc_Revenue!AJ25</f>
        <v>29286.432267167253</v>
      </c>
      <c r="AK13" s="22">
        <f>Calc_Revenue!AK25</f>
        <v>35653.047977420996</v>
      </c>
      <c r="AL13" s="22">
        <f>Calc_Revenue!AL25</f>
        <v>32388.284926393415</v>
      </c>
      <c r="AM13" s="22">
        <f>Calc_Revenue!AM25</f>
        <v>30980.098625245886</v>
      </c>
      <c r="AN13" s="22">
        <f>Calc_Revenue!AN25</f>
        <v>28163.726022950807</v>
      </c>
      <c r="AO13" s="22">
        <f>Calc_Revenue!AO25</f>
        <v>25347.353420655712</v>
      </c>
      <c r="AP13" s="22">
        <f>Calc_Revenue!AP25</f>
        <v>23939.16711950818</v>
      </c>
      <c r="AQ13" s="22">
        <f>Calc_Revenue!AQ25</f>
        <v>22530.980818360636</v>
      </c>
      <c r="AR13" s="22">
        <f>Calc_Revenue!AR25</f>
        <v>22530.980818360636</v>
      </c>
      <c r="AS13" s="22">
        <f>Calc_Revenue!AS25</f>
        <v>23939.16711950818</v>
      </c>
      <c r="AT13" s="22">
        <f>Calc_Revenue!AT25</f>
        <v>26755.539721803249</v>
      </c>
      <c r="AU13" s="22">
        <f>Calc_Revenue!AU25</f>
        <v>29571.912324098343</v>
      </c>
      <c r="AV13" s="22">
        <f>Calc_Revenue!AV25</f>
        <v>32388.284926393415</v>
      </c>
      <c r="AW13" s="22">
        <f>Calc_Revenue!AW25</f>
        <v>39429.216432131114</v>
      </c>
      <c r="AX13" s="22">
        <f>Calc_Revenue!AX25</f>
        <v>35792.562416729619</v>
      </c>
      <c r="AY13" s="22">
        <f>Calc_Revenue!AY25</f>
        <v>34236.364050784854</v>
      </c>
      <c r="AZ13" s="22">
        <f>Calc_Revenue!AZ25</f>
        <v>31123.967318895317</v>
      </c>
      <c r="BA13" s="22">
        <f>Calc_Revenue!BA25</f>
        <v>28011.570587005783</v>
      </c>
      <c r="BB13" s="22">
        <f>Calc_Revenue!BB25</f>
        <v>26455.372221061025</v>
      </c>
      <c r="BC13" s="22">
        <f>Calc_Revenue!BC25</f>
        <v>24899.173855116256</v>
      </c>
      <c r="BD13" s="22">
        <f>Calc_Revenue!BD25</f>
        <v>24899.173855116256</v>
      </c>
      <c r="BE13" s="22">
        <f>Calc_Revenue!BE25</f>
        <v>26455.372221061025</v>
      </c>
      <c r="BF13" s="22">
        <f>Calc_Revenue!BF25</f>
        <v>29567.768952950551</v>
      </c>
      <c r="BG13" s="22">
        <f>Calc_Revenue!BG25</f>
        <v>32680.165684840089</v>
      </c>
      <c r="BH13" s="22">
        <f>Calc_Revenue!BH25</f>
        <v>35792.562416729619</v>
      </c>
      <c r="BI13" s="22">
        <f>Calc_Revenue!BI25</f>
        <v>43573.554246453445</v>
      </c>
      <c r="BJ13" s="22">
        <f>Calc_Revenue!BJ25</f>
        <v>38781.670014205047</v>
      </c>
      <c r="BK13" s="22">
        <f>Calc_Revenue!BK25</f>
        <v>37095.510448370085</v>
      </c>
      <c r="BL13" s="22">
        <f>Calc_Revenue!BL25</f>
        <v>33723.19131670006</v>
      </c>
      <c r="BM13" s="22">
        <f>Calc_Revenue!BM25</f>
        <v>30350.872185030043</v>
      </c>
      <c r="BN13" s="22">
        <f>Calc_Revenue!BN25</f>
        <v>28664.712619195048</v>
      </c>
      <c r="BO13" s="22">
        <f>Calc_Revenue!BO25</f>
        <v>26978.553053360054</v>
      </c>
      <c r="BP13" s="22">
        <f>Calc_Revenue!BP25</f>
        <v>26978.553053360054</v>
      </c>
      <c r="BQ13" s="22">
        <f>Calc_Revenue!BQ25</f>
        <v>28664.712619195048</v>
      </c>
      <c r="BR13" s="22">
        <f>Calc_Revenue!BR25</f>
        <v>32037.031750865041</v>
      </c>
      <c r="BS13" s="22">
        <f>Calc_Revenue!BS25</f>
        <v>35409.350882535058</v>
      </c>
      <c r="BT13" s="22">
        <f>Calc_Revenue!BT25</f>
        <v>38781.670014205047</v>
      </c>
      <c r="BU13" s="22">
        <f>Calc_Revenue!BU25</f>
        <v>47212.467843380058</v>
      </c>
      <c r="BV13" s="22">
        <f>Calc_Revenue!BV25</f>
        <v>41993.130652232736</v>
      </c>
      <c r="BW13" s="22">
        <f>Calc_Revenue!BW25</f>
        <v>40167.342363005235</v>
      </c>
      <c r="BX13" s="22">
        <f>Calc_Revenue!BX25</f>
        <v>36515.765784550218</v>
      </c>
      <c r="BY13" s="22">
        <f>Calc_Revenue!BY25</f>
        <v>32864.189206095187</v>
      </c>
      <c r="BZ13" s="22">
        <f>Calc_Revenue!BZ25</f>
        <v>31038.400916867675</v>
      </c>
      <c r="CA13" s="22">
        <f>Calc_Revenue!CA25</f>
        <v>29212.61262764017</v>
      </c>
      <c r="CB13" s="22">
        <f>Calc_Revenue!CB25</f>
        <v>29212.61262764017</v>
      </c>
      <c r="CC13" s="22">
        <f>Calc_Revenue!CC25</f>
        <v>31038.400916867675</v>
      </c>
      <c r="CD13" s="22">
        <f>Calc_Revenue!CD25</f>
        <v>34689.977495322702</v>
      </c>
      <c r="CE13" s="22">
        <f>Calc_Revenue!CE25</f>
        <v>38341.554073777719</v>
      </c>
      <c r="CF13" s="22">
        <f>Calc_Revenue!CF25</f>
        <v>41993.130652232736</v>
      </c>
      <c r="CG13" s="22">
        <f>Calc_Revenue!CG25</f>
        <v>51122.072098370292</v>
      </c>
      <c r="CH13" s="22">
        <f>Calc_Revenue!CH25</f>
        <v>45442.622509053843</v>
      </c>
      <c r="CI13" s="22">
        <f>Calc_Revenue!CI25</f>
        <v>43466.856313008037</v>
      </c>
      <c r="CJ13" s="22">
        <f>Calc_Revenue!CJ25</f>
        <v>39515.32392091638</v>
      </c>
      <c r="CK13" s="22">
        <f>Calc_Revenue!CK25</f>
        <v>35563.79152882476</v>
      </c>
      <c r="CL13" s="22">
        <f>Calc_Revenue!CL25</f>
        <v>33588.02533277894</v>
      </c>
      <c r="CM13" s="22">
        <f>Calc_Revenue!CM25</f>
        <v>31612.259136733108</v>
      </c>
      <c r="CN13" s="22">
        <f>Calc_Revenue!CN25</f>
        <v>31612.259136733108</v>
      </c>
      <c r="CO13" s="22">
        <f>Calc_Revenue!CO25</f>
        <v>33588.02533277894</v>
      </c>
      <c r="CP13" s="22">
        <f>Calc_Revenue!CP25</f>
        <v>37539.557724870567</v>
      </c>
      <c r="CQ13" s="22">
        <f>Calc_Revenue!CQ25</f>
        <v>41491.090116962194</v>
      </c>
      <c r="CR13" s="22">
        <f>Calc_Revenue!CR25</f>
        <v>45442.622509053843</v>
      </c>
      <c r="CS13" s="22">
        <f>Calc_Revenue!CS25</f>
        <v>55321.45348928294</v>
      </c>
      <c r="CT13" s="22">
        <f>Calc_Revenue!CT25</f>
        <v>49146.898637776103</v>
      </c>
      <c r="CU13" s="22">
        <f>Calc_Revenue!CU25</f>
        <v>47010.0769578728</v>
      </c>
      <c r="CV13" s="22">
        <f>Calc_Revenue!CV25</f>
        <v>42736.433598066171</v>
      </c>
      <c r="CW13" s="22">
        <f>Calc_Revenue!CW25</f>
        <v>38462.790238259564</v>
      </c>
      <c r="CX13" s="22">
        <f>Calc_Revenue!CX25</f>
        <v>36325.968558356253</v>
      </c>
      <c r="CY13" s="22">
        <f>Calc_Revenue!CY25</f>
        <v>34189.146878452935</v>
      </c>
      <c r="CZ13" s="22">
        <f>Calc_Revenue!CZ25</f>
        <v>34189.146878452935</v>
      </c>
      <c r="DA13" s="22">
        <f>Calc_Revenue!DA25</f>
        <v>36325.968558356253</v>
      </c>
      <c r="DB13" s="22">
        <f>Calc_Revenue!DB25</f>
        <v>40599.61191816286</v>
      </c>
      <c r="DC13" s="22">
        <f>Calc_Revenue!DC25</f>
        <v>44873.255277969474</v>
      </c>
      <c r="DD13" s="22">
        <f>Calc_Revenue!DD25</f>
        <v>49146.898637776103</v>
      </c>
      <c r="DE13" s="22">
        <f>Calc_Revenue!DE25</f>
        <v>59831.007037292628</v>
      </c>
      <c r="DF13" s="22">
        <f>Calc_Revenue!DF25</f>
        <v>53123.859512718991</v>
      </c>
      <c r="DG13" s="22">
        <f>Calc_Revenue!DG25</f>
        <v>50814.126490426883</v>
      </c>
      <c r="DH13" s="22">
        <f>Calc_Revenue!DH25</f>
        <v>46194.660445842615</v>
      </c>
      <c r="DI13" s="22">
        <f>Calc_Revenue!DI25</f>
        <v>41575.194401258363</v>
      </c>
      <c r="DJ13" s="22">
        <f>Calc_Revenue!DJ25</f>
        <v>39265.461378966225</v>
      </c>
      <c r="DK13" s="22">
        <f>Calc_Revenue!DK25</f>
        <v>36955.728356674103</v>
      </c>
      <c r="DL13" s="22">
        <f>Calc_Revenue!DL25</f>
        <v>36955.728356674103</v>
      </c>
      <c r="DM13" s="22">
        <f>Calc_Revenue!DM25</f>
        <v>39265.461378966225</v>
      </c>
      <c r="DN13" s="22">
        <f>Calc_Revenue!DN25</f>
        <v>43884.9274235505</v>
      </c>
      <c r="DO13" s="22">
        <f>Calc_Revenue!DO25</f>
        <v>48504.393468134745</v>
      </c>
      <c r="DP13" s="22">
        <f>Calc_Revenue!DP25</f>
        <v>53123.859512718991</v>
      </c>
      <c r="DQ13" s="22">
        <f>Calc_Revenue!DQ25</f>
        <v>64672.524624179685</v>
      </c>
    </row>
    <row r="14" spans="1:121" ht="15" customHeight="1">
      <c r="A14" t="s">
        <v>579</v>
      </c>
      <c r="B14" s="20">
        <f t="shared" ref="B14:AG14" si="4">IF(B7&gt;0,B13*1000/B7,0)</f>
        <v>300.15870000000012</v>
      </c>
      <c r="C14" s="20">
        <f t="shared" si="4"/>
        <v>300.15870000000007</v>
      </c>
      <c r="D14" s="20">
        <f t="shared" si="4"/>
        <v>300.15869999999995</v>
      </c>
      <c r="E14" s="20">
        <f t="shared" si="4"/>
        <v>300.15869999999995</v>
      </c>
      <c r="F14" s="20">
        <f t="shared" si="4"/>
        <v>300.15870000000007</v>
      </c>
      <c r="G14" s="20">
        <f t="shared" si="4"/>
        <v>300.15870000000001</v>
      </c>
      <c r="H14" s="20">
        <f t="shared" si="4"/>
        <v>300.15870000000001</v>
      </c>
      <c r="I14" s="20">
        <f t="shared" si="4"/>
        <v>300.15870000000007</v>
      </c>
      <c r="J14" s="20">
        <f t="shared" si="4"/>
        <v>300.15870000000007</v>
      </c>
      <c r="K14" s="20">
        <f t="shared" si="4"/>
        <v>300.15870000000007</v>
      </c>
      <c r="L14" s="20">
        <f t="shared" si="4"/>
        <v>300.15870000000012</v>
      </c>
      <c r="M14" s="20">
        <f t="shared" si="4"/>
        <v>300.15869999999995</v>
      </c>
      <c r="N14" s="20">
        <f t="shared" si="4"/>
        <v>313.66097562500005</v>
      </c>
      <c r="O14" s="20">
        <f t="shared" si="4"/>
        <v>313.66097562499999</v>
      </c>
      <c r="P14" s="20">
        <f t="shared" si="4"/>
        <v>313.66097562499994</v>
      </c>
      <c r="Q14" s="20">
        <f t="shared" si="4"/>
        <v>313.66097562499999</v>
      </c>
      <c r="R14" s="20">
        <f t="shared" si="4"/>
        <v>313.66097562499994</v>
      </c>
      <c r="S14" s="20">
        <f t="shared" si="4"/>
        <v>313.66097562499982</v>
      </c>
      <c r="T14" s="20">
        <f t="shared" si="4"/>
        <v>313.66097562499982</v>
      </c>
      <c r="U14" s="20">
        <f t="shared" si="4"/>
        <v>313.66097562499994</v>
      </c>
      <c r="V14" s="20">
        <f t="shared" si="4"/>
        <v>313.66097562499982</v>
      </c>
      <c r="W14" s="20">
        <f t="shared" si="4"/>
        <v>313.66097562500005</v>
      </c>
      <c r="X14" s="20">
        <f t="shared" si="4"/>
        <v>313.66097562500005</v>
      </c>
      <c r="Y14" s="20">
        <f t="shared" si="4"/>
        <v>313.66097562499994</v>
      </c>
      <c r="Z14" s="20">
        <f t="shared" si="4"/>
        <v>327.500808140625</v>
      </c>
      <c r="AA14" s="20">
        <f t="shared" si="4"/>
        <v>327.50080814062494</v>
      </c>
      <c r="AB14" s="20">
        <f t="shared" si="4"/>
        <v>327.50080814062505</v>
      </c>
      <c r="AC14" s="20">
        <f t="shared" si="4"/>
        <v>327.50080814062494</v>
      </c>
      <c r="AD14" s="20">
        <f t="shared" si="4"/>
        <v>327.50080814062505</v>
      </c>
      <c r="AE14" s="20">
        <f t="shared" si="4"/>
        <v>327.50080814062488</v>
      </c>
      <c r="AF14" s="20">
        <f t="shared" si="4"/>
        <v>327.50080814062488</v>
      </c>
      <c r="AG14" s="20">
        <f t="shared" si="4"/>
        <v>327.50080814062505</v>
      </c>
      <c r="AH14" s="20">
        <f t="shared" ref="AH14:BM14" si="5">IF(AH7&gt;0,AH13*1000/AH7,0)</f>
        <v>327.500808140625</v>
      </c>
      <c r="AI14" s="20">
        <f t="shared" si="5"/>
        <v>327.50080814062488</v>
      </c>
      <c r="AJ14" s="20">
        <f t="shared" si="5"/>
        <v>327.500808140625</v>
      </c>
      <c r="AK14" s="20">
        <f t="shared" si="5"/>
        <v>327.50080814062488</v>
      </c>
      <c r="AL14" s="20">
        <f t="shared" si="5"/>
        <v>341.68663646914058</v>
      </c>
      <c r="AM14" s="20">
        <f t="shared" si="5"/>
        <v>341.68663646914064</v>
      </c>
      <c r="AN14" s="20">
        <f t="shared" si="5"/>
        <v>341.68663646914069</v>
      </c>
      <c r="AO14" s="20">
        <f t="shared" si="5"/>
        <v>341.68663646914052</v>
      </c>
      <c r="AP14" s="20">
        <f t="shared" si="5"/>
        <v>341.68663646914064</v>
      </c>
      <c r="AQ14" s="20">
        <f t="shared" si="5"/>
        <v>341.68663646914058</v>
      </c>
      <c r="AR14" s="20">
        <f t="shared" si="5"/>
        <v>341.68663646914058</v>
      </c>
      <c r="AS14" s="20">
        <f t="shared" si="5"/>
        <v>341.68663646914064</v>
      </c>
      <c r="AT14" s="20">
        <f t="shared" si="5"/>
        <v>341.68663646914047</v>
      </c>
      <c r="AU14" s="20">
        <f t="shared" si="5"/>
        <v>341.68663646914058</v>
      </c>
      <c r="AV14" s="20">
        <f t="shared" si="5"/>
        <v>341.68663646914058</v>
      </c>
      <c r="AW14" s="20">
        <f t="shared" si="5"/>
        <v>341.68663646914052</v>
      </c>
      <c r="AX14" s="20">
        <f t="shared" si="5"/>
        <v>356.22711050586918</v>
      </c>
      <c r="AY14" s="20">
        <f t="shared" si="5"/>
        <v>356.22711050586901</v>
      </c>
      <c r="AZ14" s="20">
        <f t="shared" si="5"/>
        <v>356.22711050586906</v>
      </c>
      <c r="BA14" s="20">
        <f t="shared" si="5"/>
        <v>356.22711050586901</v>
      </c>
      <c r="BB14" s="20">
        <f t="shared" si="5"/>
        <v>356.22711050586912</v>
      </c>
      <c r="BC14" s="20">
        <f t="shared" si="5"/>
        <v>356.22711050586901</v>
      </c>
      <c r="BD14" s="20">
        <f t="shared" si="5"/>
        <v>356.22711050586901</v>
      </c>
      <c r="BE14" s="20">
        <f t="shared" si="5"/>
        <v>356.22711050586912</v>
      </c>
      <c r="BF14" s="20">
        <f t="shared" si="5"/>
        <v>356.22711050586906</v>
      </c>
      <c r="BG14" s="20">
        <f t="shared" si="5"/>
        <v>356.22711050586912</v>
      </c>
      <c r="BH14" s="20">
        <f t="shared" si="5"/>
        <v>356.22711050586918</v>
      </c>
      <c r="BI14" s="20">
        <f t="shared" si="5"/>
        <v>356.22711050586901</v>
      </c>
      <c r="BJ14" s="20">
        <f t="shared" si="5"/>
        <v>371.13109639351558</v>
      </c>
      <c r="BK14" s="20">
        <f t="shared" si="5"/>
        <v>371.13109639351586</v>
      </c>
      <c r="BL14" s="20">
        <f t="shared" si="5"/>
        <v>371.1310963935158</v>
      </c>
      <c r="BM14" s="20">
        <f t="shared" si="5"/>
        <v>371.13109639351563</v>
      </c>
      <c r="BN14" s="20">
        <f t="shared" ref="BN14:CS14" si="6">IF(BN7&gt;0,BN13*1000/BN7,0)</f>
        <v>371.13109639351569</v>
      </c>
      <c r="BO14" s="20">
        <f t="shared" si="6"/>
        <v>371.13109639351575</v>
      </c>
      <c r="BP14" s="20">
        <f t="shared" si="6"/>
        <v>371.13109639351575</v>
      </c>
      <c r="BQ14" s="20">
        <f t="shared" si="6"/>
        <v>371.13109639351569</v>
      </c>
      <c r="BR14" s="20">
        <f t="shared" si="6"/>
        <v>371.13109639351563</v>
      </c>
      <c r="BS14" s="20">
        <f t="shared" si="6"/>
        <v>371.13109639351569</v>
      </c>
      <c r="BT14" s="20">
        <f t="shared" si="6"/>
        <v>371.13109639351558</v>
      </c>
      <c r="BU14" s="20">
        <f t="shared" si="6"/>
        <v>371.13109639351558</v>
      </c>
      <c r="BV14" s="20">
        <f t="shared" si="6"/>
        <v>386.40768192835355</v>
      </c>
      <c r="BW14" s="20">
        <f t="shared" si="6"/>
        <v>386.4076819283535</v>
      </c>
      <c r="BX14" s="20">
        <f t="shared" si="6"/>
        <v>386.40768192835367</v>
      </c>
      <c r="BY14" s="20">
        <f t="shared" si="6"/>
        <v>386.4076819283535</v>
      </c>
      <c r="BZ14" s="20">
        <f t="shared" si="6"/>
        <v>386.40768192835344</v>
      </c>
      <c r="CA14" s="20">
        <f t="shared" si="6"/>
        <v>386.4076819283535</v>
      </c>
      <c r="CB14" s="20">
        <f t="shared" si="6"/>
        <v>386.4076819283535</v>
      </c>
      <c r="CC14" s="20">
        <f t="shared" si="6"/>
        <v>386.40768192835344</v>
      </c>
      <c r="CD14" s="20">
        <f t="shared" si="6"/>
        <v>386.40768192835361</v>
      </c>
      <c r="CE14" s="20">
        <f t="shared" si="6"/>
        <v>386.4076819283535</v>
      </c>
      <c r="CF14" s="20">
        <f t="shared" si="6"/>
        <v>386.40768192835355</v>
      </c>
      <c r="CG14" s="20">
        <f t="shared" si="6"/>
        <v>386.4076819283535</v>
      </c>
      <c r="CH14" s="20">
        <f t="shared" si="6"/>
        <v>402.06618210156228</v>
      </c>
      <c r="CI14" s="20">
        <f t="shared" si="6"/>
        <v>402.06618210156233</v>
      </c>
      <c r="CJ14" s="20">
        <f t="shared" si="6"/>
        <v>402.06618210156222</v>
      </c>
      <c r="CK14" s="20">
        <f t="shared" si="6"/>
        <v>402.06618210156239</v>
      </c>
      <c r="CL14" s="20">
        <f t="shared" si="6"/>
        <v>402.06618210156233</v>
      </c>
      <c r="CM14" s="20">
        <f t="shared" si="6"/>
        <v>402.06618210156216</v>
      </c>
      <c r="CN14" s="20">
        <f t="shared" si="6"/>
        <v>402.06618210156216</v>
      </c>
      <c r="CO14" s="20">
        <f t="shared" si="6"/>
        <v>402.06618210156233</v>
      </c>
      <c r="CP14" s="20">
        <f t="shared" si="6"/>
        <v>402.06618210156233</v>
      </c>
      <c r="CQ14" s="20">
        <f t="shared" si="6"/>
        <v>402.06618210156216</v>
      </c>
      <c r="CR14" s="20">
        <f t="shared" si="6"/>
        <v>402.06618210156228</v>
      </c>
      <c r="CS14" s="20">
        <f t="shared" si="6"/>
        <v>402.06618210156233</v>
      </c>
      <c r="CT14" s="20">
        <f t="shared" ref="CT14:DY14" si="7">IF(CT7&gt;0,CT13*1000/CT7,0)</f>
        <v>418.11614477910138</v>
      </c>
      <c r="CU14" s="20">
        <f t="shared" si="7"/>
        <v>418.11614477910126</v>
      </c>
      <c r="CV14" s="20">
        <f t="shared" si="7"/>
        <v>418.11614477910126</v>
      </c>
      <c r="CW14" s="20">
        <f t="shared" si="7"/>
        <v>418.11614477910132</v>
      </c>
      <c r="CX14" s="20">
        <f t="shared" si="7"/>
        <v>418.11614477910138</v>
      </c>
      <c r="CY14" s="20">
        <f t="shared" si="7"/>
        <v>418.11614477910115</v>
      </c>
      <c r="CZ14" s="20">
        <f t="shared" si="7"/>
        <v>418.11614477910115</v>
      </c>
      <c r="DA14" s="20">
        <f t="shared" si="7"/>
        <v>418.11614477910138</v>
      </c>
      <c r="DB14" s="20">
        <f t="shared" si="7"/>
        <v>418.11614477910121</v>
      </c>
      <c r="DC14" s="20">
        <f t="shared" si="7"/>
        <v>418.11614477910115</v>
      </c>
      <c r="DD14" s="20">
        <f t="shared" si="7"/>
        <v>418.11614477910138</v>
      </c>
      <c r="DE14" s="20">
        <f t="shared" si="7"/>
        <v>418.11614477910115</v>
      </c>
      <c r="DF14" s="20">
        <f t="shared" si="7"/>
        <v>434.56735652357855</v>
      </c>
      <c r="DG14" s="20">
        <f t="shared" si="7"/>
        <v>434.56735652357872</v>
      </c>
      <c r="DH14" s="20">
        <f t="shared" si="7"/>
        <v>434.56735652357872</v>
      </c>
      <c r="DI14" s="20">
        <f t="shared" si="7"/>
        <v>434.56735652357878</v>
      </c>
      <c r="DJ14" s="20">
        <f t="shared" si="7"/>
        <v>434.56735652357872</v>
      </c>
      <c r="DK14" s="20">
        <f t="shared" si="7"/>
        <v>434.56735652357878</v>
      </c>
      <c r="DL14" s="20">
        <f t="shared" si="7"/>
        <v>434.56735652357878</v>
      </c>
      <c r="DM14" s="20">
        <f t="shared" si="7"/>
        <v>434.56735652357872</v>
      </c>
      <c r="DN14" s="20">
        <f t="shared" si="7"/>
        <v>434.56735652357884</v>
      </c>
      <c r="DO14" s="20">
        <f t="shared" si="7"/>
        <v>434.56735652357867</v>
      </c>
      <c r="DP14" s="20">
        <f t="shared" si="7"/>
        <v>434.56735652357855</v>
      </c>
      <c r="DQ14" s="20">
        <f t="shared" si="7"/>
        <v>434.56735652357884</v>
      </c>
    </row>
    <row r="15" spans="1:121" ht="15" customHeight="1">
      <c r="A15" t="s">
        <v>580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f t="shared" ref="N15:AS15" si="8">IF(B13&gt;0,(N13-B13)/B13,0)</f>
        <v>0.12858249211167272</v>
      </c>
      <c r="O15" s="13">
        <f t="shared" si="8"/>
        <v>0.12858249211167264</v>
      </c>
      <c r="P15" s="13">
        <f t="shared" si="8"/>
        <v>0.12858249211167261</v>
      </c>
      <c r="Q15" s="13">
        <f t="shared" si="8"/>
        <v>0.128582492111673</v>
      </c>
      <c r="R15" s="13">
        <f t="shared" si="8"/>
        <v>0.12858249211167261</v>
      </c>
      <c r="S15" s="13">
        <f t="shared" si="8"/>
        <v>0.12858249211167247</v>
      </c>
      <c r="T15" s="13">
        <f t="shared" si="8"/>
        <v>0.12858249211167247</v>
      </c>
      <c r="U15" s="13">
        <f t="shared" si="8"/>
        <v>0.12858249211167261</v>
      </c>
      <c r="V15" s="13">
        <f t="shared" si="8"/>
        <v>0.12858249211167211</v>
      </c>
      <c r="W15" s="13">
        <f t="shared" si="8"/>
        <v>0.12858249211167289</v>
      </c>
      <c r="X15" s="13">
        <f t="shared" si="8"/>
        <v>0.12858249211167272</v>
      </c>
      <c r="Y15" s="13">
        <f t="shared" si="8"/>
        <v>0.1285824921116728</v>
      </c>
      <c r="Z15" s="13">
        <f t="shared" si="8"/>
        <v>0.12765342289423021</v>
      </c>
      <c r="AA15" s="13">
        <f t="shared" si="8"/>
        <v>0.12765342289423051</v>
      </c>
      <c r="AB15" s="13">
        <f t="shared" si="8"/>
        <v>0.12765342289423071</v>
      </c>
      <c r="AC15" s="13">
        <f t="shared" si="8"/>
        <v>0.12765342289423018</v>
      </c>
      <c r="AD15" s="13">
        <f t="shared" si="8"/>
        <v>0.12765342289423093</v>
      </c>
      <c r="AE15" s="13">
        <f t="shared" si="8"/>
        <v>0.12765342289423035</v>
      </c>
      <c r="AF15" s="13">
        <f t="shared" si="8"/>
        <v>0.12765342289423035</v>
      </c>
      <c r="AG15" s="13">
        <f t="shared" si="8"/>
        <v>0.12765342289423093</v>
      </c>
      <c r="AH15" s="13">
        <f t="shared" si="8"/>
        <v>0.12765342289423093</v>
      </c>
      <c r="AI15" s="13">
        <f t="shared" si="8"/>
        <v>0.12765342289423004</v>
      </c>
      <c r="AJ15" s="13">
        <f t="shared" si="8"/>
        <v>0.12765342289423021</v>
      </c>
      <c r="AK15" s="13">
        <f t="shared" si="8"/>
        <v>0.12765342289423043</v>
      </c>
      <c r="AL15" s="13">
        <f t="shared" si="8"/>
        <v>0.10591432342899687</v>
      </c>
      <c r="AM15" s="13">
        <f t="shared" si="8"/>
        <v>0.10591432342899715</v>
      </c>
      <c r="AN15" s="13">
        <f t="shared" si="8"/>
        <v>0.10591432342899725</v>
      </c>
      <c r="AO15" s="13">
        <f t="shared" si="8"/>
        <v>0.10591432342899708</v>
      </c>
      <c r="AP15" s="13">
        <f t="shared" si="8"/>
        <v>0.10591432342899672</v>
      </c>
      <c r="AQ15" s="13">
        <f t="shared" si="8"/>
        <v>0.10591432342899716</v>
      </c>
      <c r="AR15" s="13">
        <f t="shared" si="8"/>
        <v>0.10591432342899716</v>
      </c>
      <c r="AS15" s="13">
        <f t="shared" si="8"/>
        <v>0.10591432342899672</v>
      </c>
      <c r="AT15" s="13">
        <f t="shared" ref="AT15:BY15" si="9">IF(AH13&gt;0,(AT13-AH13)/AH13,0)</f>
        <v>0.1059143234289967</v>
      </c>
      <c r="AU15" s="13">
        <f t="shared" si="9"/>
        <v>0.10591432342899736</v>
      </c>
      <c r="AV15" s="13">
        <f t="shared" si="9"/>
        <v>0.10591432342899687</v>
      </c>
      <c r="AW15" s="13">
        <f t="shared" si="9"/>
        <v>0.10591432342899708</v>
      </c>
      <c r="AX15" s="13">
        <f t="shared" si="9"/>
        <v>0.10510829758577421</v>
      </c>
      <c r="AY15" s="13">
        <f t="shared" si="9"/>
        <v>0.10510829758577385</v>
      </c>
      <c r="AZ15" s="13">
        <f t="shared" si="9"/>
        <v>0.10510829758577363</v>
      </c>
      <c r="BA15" s="13">
        <f t="shared" si="9"/>
        <v>0.10510829758577413</v>
      </c>
      <c r="BB15" s="13">
        <f t="shared" si="9"/>
        <v>0.10510829758577413</v>
      </c>
      <c r="BC15" s="13">
        <f t="shared" si="9"/>
        <v>0.10510829758577418</v>
      </c>
      <c r="BD15" s="13">
        <f t="shared" si="9"/>
        <v>0.10510829758577418</v>
      </c>
      <c r="BE15" s="13">
        <f t="shared" si="9"/>
        <v>0.10510829758577413</v>
      </c>
      <c r="BF15" s="13">
        <f t="shared" si="9"/>
        <v>0.10510829758577438</v>
      </c>
      <c r="BG15" s="13">
        <f t="shared" si="9"/>
        <v>0.105108297585774</v>
      </c>
      <c r="BH15" s="13">
        <f t="shared" si="9"/>
        <v>0.10510829758577421</v>
      </c>
      <c r="BI15" s="13">
        <f t="shared" si="9"/>
        <v>0.10510829758577409</v>
      </c>
      <c r="BJ15" s="13">
        <f t="shared" si="9"/>
        <v>8.3511975551610801E-2</v>
      </c>
      <c r="BK15" s="13">
        <f t="shared" si="9"/>
        <v>8.3511975551611953E-2</v>
      </c>
      <c r="BL15" s="13">
        <f t="shared" si="9"/>
        <v>8.3511975551611592E-2</v>
      </c>
      <c r="BM15" s="13">
        <f t="shared" si="9"/>
        <v>8.3511975551611259E-2</v>
      </c>
      <c r="BN15" s="13">
        <f t="shared" si="9"/>
        <v>8.3511975551611245E-2</v>
      </c>
      <c r="BO15" s="13">
        <f t="shared" si="9"/>
        <v>8.3511975551611689E-2</v>
      </c>
      <c r="BP15" s="13">
        <f t="shared" si="9"/>
        <v>8.3511975551611689E-2</v>
      </c>
      <c r="BQ15" s="13">
        <f t="shared" si="9"/>
        <v>8.3511975551611245E-2</v>
      </c>
      <c r="BR15" s="13">
        <f t="shared" si="9"/>
        <v>8.3511975551610995E-2</v>
      </c>
      <c r="BS15" s="13">
        <f t="shared" si="9"/>
        <v>8.3511975551611217E-2</v>
      </c>
      <c r="BT15" s="13">
        <f t="shared" si="9"/>
        <v>8.3511975551610801E-2</v>
      </c>
      <c r="BU15" s="13">
        <f t="shared" si="9"/>
        <v>8.3511975551610954E-2</v>
      </c>
      <c r="BV15" s="13">
        <f t="shared" si="9"/>
        <v>8.2808724762275257E-2</v>
      </c>
      <c r="BW15" s="13">
        <f t="shared" si="9"/>
        <v>8.2808724762274313E-2</v>
      </c>
      <c r="BX15" s="13">
        <f t="shared" si="9"/>
        <v>8.2808724762275007E-2</v>
      </c>
      <c r="BY15" s="13">
        <f t="shared" si="9"/>
        <v>8.2808724762275118E-2</v>
      </c>
      <c r="BZ15" s="13">
        <f t="shared" ref="BZ15:DE15" si="10">IF(BN13&gt;0,(BZ13-BN13)/BN13,0)</f>
        <v>8.2808724762274744E-2</v>
      </c>
      <c r="CA15" s="13">
        <f t="shared" si="10"/>
        <v>8.2808724762274619E-2</v>
      </c>
      <c r="CB15" s="13">
        <f t="shared" si="10"/>
        <v>8.2808724762274619E-2</v>
      </c>
      <c r="CC15" s="13">
        <f t="shared" si="10"/>
        <v>8.2808724762274744E-2</v>
      </c>
      <c r="CD15" s="13">
        <f t="shared" si="10"/>
        <v>8.2808724762275424E-2</v>
      </c>
      <c r="CE15" s="13">
        <f t="shared" si="10"/>
        <v>8.2808724762274882E-2</v>
      </c>
      <c r="CF15" s="13">
        <f t="shared" si="10"/>
        <v>8.2808724762275257E-2</v>
      </c>
      <c r="CG15" s="13">
        <f t="shared" si="10"/>
        <v>8.2808724762275326E-2</v>
      </c>
      <c r="CH15" s="13">
        <f t="shared" si="10"/>
        <v>8.2144193663200971E-2</v>
      </c>
      <c r="CI15" s="13">
        <f t="shared" si="10"/>
        <v>8.2144193663201054E-2</v>
      </c>
      <c r="CJ15" s="13">
        <f t="shared" si="10"/>
        <v>8.2144193663200457E-2</v>
      </c>
      <c r="CK15" s="13">
        <f t="shared" si="10"/>
        <v>8.2144193663201331E-2</v>
      </c>
      <c r="CL15" s="13">
        <f t="shared" si="10"/>
        <v>8.2144193663201359E-2</v>
      </c>
      <c r="CM15" s="13">
        <f t="shared" si="10"/>
        <v>8.2144193663200749E-2</v>
      </c>
      <c r="CN15" s="13">
        <f t="shared" si="10"/>
        <v>8.2144193663200749E-2</v>
      </c>
      <c r="CO15" s="13">
        <f t="shared" si="10"/>
        <v>8.2144193663201359E-2</v>
      </c>
      <c r="CP15" s="13">
        <f t="shared" si="10"/>
        <v>8.2144193663200762E-2</v>
      </c>
      <c r="CQ15" s="13">
        <f t="shared" si="10"/>
        <v>8.2144193663200596E-2</v>
      </c>
      <c r="CR15" s="13">
        <f t="shared" si="10"/>
        <v>8.2144193663200971E-2</v>
      </c>
      <c r="CS15" s="13">
        <f t="shared" si="10"/>
        <v>8.2144193663200873E-2</v>
      </c>
      <c r="CT15" s="13">
        <f t="shared" si="10"/>
        <v>8.1515456727530022E-2</v>
      </c>
      <c r="CU15" s="13">
        <f t="shared" si="10"/>
        <v>8.1515456727529814E-2</v>
      </c>
      <c r="CV15" s="13">
        <f t="shared" si="10"/>
        <v>8.1515456727530008E-2</v>
      </c>
      <c r="CW15" s="13">
        <f t="shared" si="10"/>
        <v>8.1515456727529745E-2</v>
      </c>
      <c r="CX15" s="13">
        <f t="shared" si="10"/>
        <v>8.1515456727529717E-2</v>
      </c>
      <c r="CY15" s="13">
        <f t="shared" si="10"/>
        <v>8.1515456727529842E-2</v>
      </c>
      <c r="CZ15" s="13">
        <f t="shared" si="10"/>
        <v>8.1515456727529842E-2</v>
      </c>
      <c r="DA15" s="13">
        <f t="shared" si="10"/>
        <v>8.1515456727529717E-2</v>
      </c>
      <c r="DB15" s="13">
        <f t="shared" si="10"/>
        <v>8.1515456727529786E-2</v>
      </c>
      <c r="DC15" s="13">
        <f t="shared" si="10"/>
        <v>8.1515456727530022E-2</v>
      </c>
      <c r="DD15" s="13">
        <f t="shared" si="10"/>
        <v>8.1515456727530022E-2</v>
      </c>
      <c r="DE15" s="13">
        <f t="shared" si="10"/>
        <v>8.1515456727529648E-2</v>
      </c>
      <c r="DF15" s="13">
        <f t="shared" ref="DF15:EK15" si="11">IF(CT13&gt;0,(DF13-CT13)/CT13,0)</f>
        <v>8.0919874603970446E-2</v>
      </c>
      <c r="DG15" s="13">
        <f t="shared" si="11"/>
        <v>8.0919874603970779E-2</v>
      </c>
      <c r="DH15" s="13">
        <f t="shared" si="11"/>
        <v>8.0919874603970932E-2</v>
      </c>
      <c r="DI15" s="13">
        <f t="shared" si="11"/>
        <v>8.0919874603970862E-2</v>
      </c>
      <c r="DJ15" s="13">
        <f t="shared" si="11"/>
        <v>8.0919874603970751E-2</v>
      </c>
      <c r="DK15" s="13">
        <f t="shared" si="11"/>
        <v>8.0919874603971265E-2</v>
      </c>
      <c r="DL15" s="13">
        <f t="shared" si="11"/>
        <v>8.0919874603971265E-2</v>
      </c>
      <c r="DM15" s="13">
        <f t="shared" si="11"/>
        <v>8.0919874603970751E-2</v>
      </c>
      <c r="DN15" s="13">
        <f t="shared" si="11"/>
        <v>8.0919874603971362E-2</v>
      </c>
      <c r="DO15" s="13">
        <f t="shared" si="11"/>
        <v>8.0919874603971029E-2</v>
      </c>
      <c r="DP15" s="13">
        <f t="shared" si="11"/>
        <v>8.0919874603970446E-2</v>
      </c>
      <c r="DQ15" s="13">
        <f t="shared" si="11"/>
        <v>8.0919874603971528E-2</v>
      </c>
    </row>
    <row r="17" spans="1:121" ht="15" customHeight="1">
      <c r="A17" s="5" t="s">
        <v>581</v>
      </c>
    </row>
    <row r="18" spans="1:121" ht="15" customHeight="1">
      <c r="A18" t="s">
        <v>449</v>
      </c>
      <c r="B18" s="13">
        <f>IS!B20</f>
        <v>0.75205616229014871</v>
      </c>
      <c r="C18" s="13">
        <f>IS!C20</f>
        <v>0.75205616229014849</v>
      </c>
      <c r="D18" s="13">
        <f>IS!D20</f>
        <v>0.75205616229014849</v>
      </c>
      <c r="E18" s="13">
        <f>IS!E20</f>
        <v>0.75205616229014849</v>
      </c>
      <c r="F18" s="13">
        <f>IS!F20</f>
        <v>0.75205616229014849</v>
      </c>
      <c r="G18" s="13">
        <f>IS!G20</f>
        <v>0.75205616229014849</v>
      </c>
      <c r="H18" s="13">
        <f>IS!H20</f>
        <v>0.75205616229014849</v>
      </c>
      <c r="I18" s="13">
        <f>IS!I20</f>
        <v>0.75205616229014849</v>
      </c>
      <c r="J18" s="13">
        <f>IS!J20</f>
        <v>0.7520561622901486</v>
      </c>
      <c r="K18" s="13">
        <f>IS!K20</f>
        <v>0.75205616229014849</v>
      </c>
      <c r="L18" s="13">
        <f>IS!L20</f>
        <v>0.75205616229014871</v>
      </c>
      <c r="M18" s="13">
        <f>IS!M20</f>
        <v>0.7520561622901486</v>
      </c>
      <c r="N18" s="13">
        <f>IS!N20</f>
        <v>0.75679772611814855</v>
      </c>
      <c r="O18" s="13">
        <f>IS!O20</f>
        <v>0.75679772611814855</v>
      </c>
      <c r="P18" s="13">
        <f>IS!P20</f>
        <v>0.75679772611814844</v>
      </c>
      <c r="Q18" s="13">
        <f>IS!Q20</f>
        <v>0.75679772611814855</v>
      </c>
      <c r="R18" s="13">
        <f>IS!R20</f>
        <v>0.75679772611814844</v>
      </c>
      <c r="S18" s="13">
        <f>IS!S20</f>
        <v>0.75679772611814833</v>
      </c>
      <c r="T18" s="13">
        <f>IS!T20</f>
        <v>0.75679772611814833</v>
      </c>
      <c r="U18" s="13">
        <f>IS!U20</f>
        <v>0.75679772611814844</v>
      </c>
      <c r="V18" s="13">
        <f>IS!V20</f>
        <v>0.75679772611814844</v>
      </c>
      <c r="W18" s="13">
        <f>IS!W20</f>
        <v>0.75679772611814855</v>
      </c>
      <c r="X18" s="13">
        <f>IS!X20</f>
        <v>0.75679772611814855</v>
      </c>
      <c r="Y18" s="13">
        <f>IS!Y20</f>
        <v>0.75679772611814844</v>
      </c>
      <c r="Z18" s="13">
        <f>IS!Z20</f>
        <v>0.7612520729141955</v>
      </c>
      <c r="AA18" s="13">
        <f>IS!AA20</f>
        <v>0.76125207291419539</v>
      </c>
      <c r="AB18" s="13">
        <f>IS!AB20</f>
        <v>0.76125207291419561</v>
      </c>
      <c r="AC18" s="13">
        <f>IS!AC20</f>
        <v>0.76125207291419539</v>
      </c>
      <c r="AD18" s="13">
        <f>IS!AD20</f>
        <v>0.7612520729141955</v>
      </c>
      <c r="AE18" s="13">
        <f>IS!AE20</f>
        <v>0.76125207291419539</v>
      </c>
      <c r="AF18" s="13">
        <f>IS!AF20</f>
        <v>0.76125207291419539</v>
      </c>
      <c r="AG18" s="13">
        <f>IS!AG20</f>
        <v>0.7612520729141955</v>
      </c>
      <c r="AH18" s="13">
        <f>IS!AH20</f>
        <v>0.7612520729141955</v>
      </c>
      <c r="AI18" s="13">
        <f>IS!AI20</f>
        <v>0.76125207291419539</v>
      </c>
      <c r="AJ18" s="13">
        <f>IS!AJ20</f>
        <v>0.7612520729141955</v>
      </c>
      <c r="AK18" s="13">
        <f>IS!AK20</f>
        <v>0.7612520729141955</v>
      </c>
      <c r="AL18" s="13">
        <f>IS!AL20</f>
        <v>0.76544329223042118</v>
      </c>
      <c r="AM18" s="13">
        <f>IS!AM20</f>
        <v>0.76544329223042129</v>
      </c>
      <c r="AN18" s="13">
        <f>IS!AN20</f>
        <v>0.7654432922304214</v>
      </c>
      <c r="AO18" s="13">
        <f>IS!AO20</f>
        <v>0.76544329223042129</v>
      </c>
      <c r="AP18" s="13">
        <f>IS!AP20</f>
        <v>0.76544329223042129</v>
      </c>
      <c r="AQ18" s="13">
        <f>IS!AQ20</f>
        <v>0.76544329223042129</v>
      </c>
      <c r="AR18" s="13">
        <f>IS!AR20</f>
        <v>0.76544329223042129</v>
      </c>
      <c r="AS18" s="13">
        <f>IS!AS20</f>
        <v>0.76544329223042129</v>
      </c>
      <c r="AT18" s="13">
        <f>IS!AT20</f>
        <v>0.76544329223042118</v>
      </c>
      <c r="AU18" s="13">
        <f>IS!AU20</f>
        <v>0.76544329223042118</v>
      </c>
      <c r="AV18" s="13">
        <f>IS!AV20</f>
        <v>0.76544329223042118</v>
      </c>
      <c r="AW18" s="13">
        <f>IS!AW20</f>
        <v>0.76544329223042118</v>
      </c>
      <c r="AX18" s="13">
        <f>IS!AX20</f>
        <v>0.76939286081881297</v>
      </c>
      <c r="AY18" s="13">
        <f>IS!AY20</f>
        <v>0.76939286081881297</v>
      </c>
      <c r="AZ18" s="13">
        <f>IS!AZ20</f>
        <v>0.76939286081881286</v>
      </c>
      <c r="BA18" s="13">
        <f>IS!BA20</f>
        <v>0.76939286081881297</v>
      </c>
      <c r="BB18" s="13">
        <f>IS!BB20</f>
        <v>0.76939286081881297</v>
      </c>
      <c r="BC18" s="13">
        <f>IS!BC20</f>
        <v>0.76939286081881297</v>
      </c>
      <c r="BD18" s="13">
        <f>IS!BD20</f>
        <v>0.76939286081881297</v>
      </c>
      <c r="BE18" s="13">
        <f>IS!BE20</f>
        <v>0.76939286081881297</v>
      </c>
      <c r="BF18" s="13">
        <f>IS!BF20</f>
        <v>0.76939286081881297</v>
      </c>
      <c r="BG18" s="13">
        <f>IS!BG20</f>
        <v>0.76939286081881286</v>
      </c>
      <c r="BH18" s="13">
        <f>IS!BH20</f>
        <v>0.76939286081881297</v>
      </c>
      <c r="BI18" s="13">
        <f>IS!BI20</f>
        <v>0.76939286081881297</v>
      </c>
      <c r="BJ18" s="13">
        <f>IS!BJ20</f>
        <v>0.77311998767526691</v>
      </c>
      <c r="BK18" s="13">
        <f>IS!BK20</f>
        <v>0.77311998767526713</v>
      </c>
      <c r="BL18" s="13">
        <f>IS!BL20</f>
        <v>0.77311998767526702</v>
      </c>
      <c r="BM18" s="13">
        <f>IS!BM20</f>
        <v>0.77311998767526691</v>
      </c>
      <c r="BN18" s="13">
        <f>IS!BN20</f>
        <v>0.77311998767526702</v>
      </c>
      <c r="BO18" s="13">
        <f>IS!BO20</f>
        <v>0.77311998767526702</v>
      </c>
      <c r="BP18" s="13">
        <f>IS!BP20</f>
        <v>0.77311998767526702</v>
      </c>
      <c r="BQ18" s="13">
        <f>IS!BQ20</f>
        <v>0.77311998767526702</v>
      </c>
      <c r="BR18" s="13">
        <f>IS!BR20</f>
        <v>0.77311998767526691</v>
      </c>
      <c r="BS18" s="13">
        <f>IS!BS20</f>
        <v>0.77311998767526702</v>
      </c>
      <c r="BT18" s="13">
        <f>IS!BT20</f>
        <v>0.77311998767526691</v>
      </c>
      <c r="BU18" s="13">
        <f>IS!BU20</f>
        <v>0.77311998767526691</v>
      </c>
      <c r="BV18" s="13">
        <f>IS!BV20</f>
        <v>0.776641905807267</v>
      </c>
      <c r="BW18" s="13">
        <f>IS!BW20</f>
        <v>0.77664190580726689</v>
      </c>
      <c r="BX18" s="13">
        <f>IS!BX20</f>
        <v>0.776641905807267</v>
      </c>
      <c r="BY18" s="13">
        <f>IS!BY20</f>
        <v>0.77664190580726689</v>
      </c>
      <c r="BZ18" s="13">
        <f>IS!BZ20</f>
        <v>0.776641905807267</v>
      </c>
      <c r="CA18" s="13">
        <f>IS!CA20</f>
        <v>0.77664190580726689</v>
      </c>
      <c r="CB18" s="13">
        <f>IS!CB20</f>
        <v>0.77664190580726689</v>
      </c>
      <c r="CC18" s="13">
        <f>IS!CC20</f>
        <v>0.776641905807267</v>
      </c>
      <c r="CD18" s="13">
        <f>IS!CD20</f>
        <v>0.77664190580726689</v>
      </c>
      <c r="CE18" s="13">
        <f>IS!CE20</f>
        <v>0.776641905807267</v>
      </c>
      <c r="CF18" s="13">
        <f>IS!CF20</f>
        <v>0.776641905807267</v>
      </c>
      <c r="CG18" s="13">
        <f>IS!CG20</f>
        <v>0.776641905807267</v>
      </c>
      <c r="CH18" s="13">
        <f>IS!CH20</f>
        <v>0.77997412008148903</v>
      </c>
      <c r="CI18" s="13">
        <f>IS!CI20</f>
        <v>0.77997412008148903</v>
      </c>
      <c r="CJ18" s="13">
        <f>IS!CJ20</f>
        <v>0.77997412008148892</v>
      </c>
      <c r="CK18" s="13">
        <f>IS!CK20</f>
        <v>0.77997412008148892</v>
      </c>
      <c r="CL18" s="13">
        <f>IS!CL20</f>
        <v>0.77997412008148903</v>
      </c>
      <c r="CM18" s="13">
        <f>IS!CM20</f>
        <v>0.77997412008148892</v>
      </c>
      <c r="CN18" s="13">
        <f>IS!CN20</f>
        <v>0.77997412008148892</v>
      </c>
      <c r="CO18" s="13">
        <f>IS!CO20</f>
        <v>0.77997412008148903</v>
      </c>
      <c r="CP18" s="13">
        <f>IS!CP20</f>
        <v>0.77997412008148903</v>
      </c>
      <c r="CQ18" s="13">
        <f>IS!CQ20</f>
        <v>0.77997412008148892</v>
      </c>
      <c r="CR18" s="13">
        <f>IS!CR20</f>
        <v>0.77997412008148903</v>
      </c>
      <c r="CS18" s="13">
        <f>IS!CS20</f>
        <v>0.77997412008148903</v>
      </c>
      <c r="CT18" s="13">
        <f>IS!CT20</f>
        <v>0.78313061867573186</v>
      </c>
      <c r="CU18" s="13">
        <f>IS!CU20</f>
        <v>0.78313061867573186</v>
      </c>
      <c r="CV18" s="13">
        <f>IS!CV20</f>
        <v>0.78313061867573175</v>
      </c>
      <c r="CW18" s="13">
        <f>IS!CW20</f>
        <v>0.78313061867573186</v>
      </c>
      <c r="CX18" s="13">
        <f>IS!CX20</f>
        <v>0.78313061867573186</v>
      </c>
      <c r="CY18" s="13">
        <f>IS!CY20</f>
        <v>0.78313061867573175</v>
      </c>
      <c r="CZ18" s="13">
        <f>IS!CZ20</f>
        <v>0.78313061867573175</v>
      </c>
      <c r="DA18" s="13">
        <f>IS!DA20</f>
        <v>0.78313061867573186</v>
      </c>
      <c r="DB18" s="13">
        <f>IS!DB20</f>
        <v>0.78313061867573175</v>
      </c>
      <c r="DC18" s="13">
        <f>IS!DC20</f>
        <v>0.78313061867573186</v>
      </c>
      <c r="DD18" s="13">
        <f>IS!DD20</f>
        <v>0.78313061867573186</v>
      </c>
      <c r="DE18" s="13">
        <f>IS!DE20</f>
        <v>0.78313061867573175</v>
      </c>
      <c r="DF18" s="13">
        <f>IS!DF20</f>
        <v>0.78612405422152953</v>
      </c>
      <c r="DG18" s="13">
        <f>IS!DG20</f>
        <v>0.78612405422152964</v>
      </c>
      <c r="DH18" s="13">
        <f>IS!DH20</f>
        <v>0.78612405422152964</v>
      </c>
      <c r="DI18" s="13">
        <f>IS!DI20</f>
        <v>0.78612405422152964</v>
      </c>
      <c r="DJ18" s="13">
        <f>IS!DJ20</f>
        <v>0.78612405422152964</v>
      </c>
      <c r="DK18" s="13">
        <f>IS!DK20</f>
        <v>0.78612405422152964</v>
      </c>
      <c r="DL18" s="13">
        <f>IS!DL20</f>
        <v>0.78612405422152964</v>
      </c>
      <c r="DM18" s="13">
        <f>IS!DM20</f>
        <v>0.78612405422152964</v>
      </c>
      <c r="DN18" s="13">
        <f>IS!DN20</f>
        <v>0.78612405422152964</v>
      </c>
      <c r="DO18" s="13">
        <f>IS!DO20</f>
        <v>0.78612405422152953</v>
      </c>
      <c r="DP18" s="13">
        <f>IS!DP20</f>
        <v>0.78612405422152953</v>
      </c>
      <c r="DQ18" s="13">
        <f>IS!DQ20</f>
        <v>0.78612405422152964</v>
      </c>
    </row>
    <row r="19" spans="1:121" ht="15" customHeight="1">
      <c r="A19" t="s">
        <v>582</v>
      </c>
      <c r="B19" s="22">
        <f>IS!B29</f>
        <v>6097.9612500000094</v>
      </c>
      <c r="C19" s="22">
        <f>IS!C29</f>
        <v>5832.8325000000041</v>
      </c>
      <c r="D19" s="22">
        <f>IS!D29</f>
        <v>5302.5750000000007</v>
      </c>
      <c r="E19" s="22">
        <f>IS!E29</f>
        <v>4772.3174999999974</v>
      </c>
      <c r="F19" s="22">
        <f>IS!F29</f>
        <v>4507.1887499999993</v>
      </c>
      <c r="G19" s="22">
        <f>IS!G29</f>
        <v>4242.0600000000013</v>
      </c>
      <c r="H19" s="22">
        <f>IS!H29</f>
        <v>4242.0600000000013</v>
      </c>
      <c r="I19" s="22">
        <f>IS!I29</f>
        <v>4507.1887499999993</v>
      </c>
      <c r="J19" s="22">
        <f>IS!J29</f>
        <v>5037.4462500000045</v>
      </c>
      <c r="K19" s="22">
        <f>IS!K29</f>
        <v>5567.7037500000024</v>
      </c>
      <c r="L19" s="22">
        <f>IS!L29</f>
        <v>6097.9612500000094</v>
      </c>
      <c r="M19" s="22">
        <f>IS!M29</f>
        <v>7423.6050000000014</v>
      </c>
      <c r="N19" s="22">
        <f>IS!N29</f>
        <v>7247.1030165000066</v>
      </c>
      <c r="O19" s="22">
        <f>IS!O29</f>
        <v>6932.0115809999988</v>
      </c>
      <c r="P19" s="22">
        <f>IS!P29</f>
        <v>6301.828709999998</v>
      </c>
      <c r="Q19" s="22">
        <f>IS!Q29</f>
        <v>5671.6458389999989</v>
      </c>
      <c r="R19" s="22">
        <f>IS!R29</f>
        <v>5356.5544034999984</v>
      </c>
      <c r="S19" s="22">
        <f>IS!S29</f>
        <v>5041.4629679999944</v>
      </c>
      <c r="T19" s="22">
        <f>IS!T29</f>
        <v>5041.4629679999944</v>
      </c>
      <c r="U19" s="22">
        <f>IS!U29</f>
        <v>5356.5544034999984</v>
      </c>
      <c r="V19" s="22">
        <f>IS!V29</f>
        <v>5986.7372744999884</v>
      </c>
      <c r="W19" s="22">
        <f>IS!W29</f>
        <v>6616.9201455000039</v>
      </c>
      <c r="X19" s="22">
        <f>IS!X29</f>
        <v>7247.1030165000066</v>
      </c>
      <c r="Y19" s="22">
        <f>IS!Y29</f>
        <v>8822.5601939999979</v>
      </c>
      <c r="Z19" s="22">
        <f>IS!Z29</f>
        <v>8558.9357450355019</v>
      </c>
      <c r="AA19" s="22">
        <f>IS!AA29</f>
        <v>8186.808103946998</v>
      </c>
      <c r="AB19" s="22">
        <f>IS!AB29</f>
        <v>7442.5528217700066</v>
      </c>
      <c r="AC19" s="22">
        <f>IS!AC29</f>
        <v>6698.2975395929952</v>
      </c>
      <c r="AD19" s="22">
        <f>IS!AD29</f>
        <v>6326.1698985045041</v>
      </c>
      <c r="AE19" s="22">
        <f>IS!AE29</f>
        <v>5954.0422574159929</v>
      </c>
      <c r="AF19" s="22">
        <f>IS!AF29</f>
        <v>5954.0422574159929</v>
      </c>
      <c r="AG19" s="22">
        <f>IS!AG29</f>
        <v>6326.1698985045041</v>
      </c>
      <c r="AH19" s="22">
        <f>IS!AH29</f>
        <v>7070.4251806815009</v>
      </c>
      <c r="AI19" s="22">
        <f>IS!AI29</f>
        <v>7814.680462858496</v>
      </c>
      <c r="AJ19" s="22">
        <f>IS!AJ29</f>
        <v>8558.9357450355019</v>
      </c>
      <c r="AK19" s="22">
        <f>IS!AK29</f>
        <v>10419.573950477999</v>
      </c>
      <c r="AL19" s="22">
        <f>IS!AL29</f>
        <v>9867.8599550972685</v>
      </c>
      <c r="AM19" s="22">
        <f>IS!AM29</f>
        <v>9438.8225657452167</v>
      </c>
      <c r="AN19" s="22">
        <f>IS!AN29</f>
        <v>8580.747787041113</v>
      </c>
      <c r="AO19" s="22">
        <f>IS!AO29</f>
        <v>7722.6730083369876</v>
      </c>
      <c r="AP19" s="22">
        <f>IS!AP29</f>
        <v>7293.6356189849412</v>
      </c>
      <c r="AQ19" s="22">
        <f>IS!AQ29</f>
        <v>6864.5982296328821</v>
      </c>
      <c r="AR19" s="22">
        <f>IS!AR29</f>
        <v>6864.5982296328821</v>
      </c>
      <c r="AS19" s="22">
        <f>IS!AS29</f>
        <v>7293.6356189849412</v>
      </c>
      <c r="AT19" s="22">
        <f>IS!AT29</f>
        <v>8151.710397689043</v>
      </c>
      <c r="AU19" s="22">
        <f>IS!AU29</f>
        <v>9009.7851763931612</v>
      </c>
      <c r="AV19" s="22">
        <f>IS!AV29</f>
        <v>9867.8599550972685</v>
      </c>
      <c r="AW19" s="22">
        <f>IS!AW29</f>
        <v>12013.046901857546</v>
      </c>
      <c r="AX19" s="22">
        <f>IS!AX29</f>
        <v>11324.120685416361</v>
      </c>
      <c r="AY19" s="22">
        <f>IS!AY29</f>
        <v>10831.767612137382</v>
      </c>
      <c r="AZ19" s="22">
        <f>IS!AZ29</f>
        <v>9847.0614655794343</v>
      </c>
      <c r="BA19" s="22">
        <f>IS!BA29</f>
        <v>8862.3553190214952</v>
      </c>
      <c r="BB19" s="22">
        <f>IS!BB29</f>
        <v>8370.0022457425257</v>
      </c>
      <c r="BC19" s="22">
        <f>IS!BC29</f>
        <v>7877.6491724635507</v>
      </c>
      <c r="BD19" s="22">
        <f>IS!BD29</f>
        <v>7877.6491724635507</v>
      </c>
      <c r="BE19" s="22">
        <f>IS!BE29</f>
        <v>8370.0022457425257</v>
      </c>
      <c r="BF19" s="22">
        <f>IS!BF29</f>
        <v>9354.7083923004648</v>
      </c>
      <c r="BG19" s="22">
        <f>IS!BG29</f>
        <v>10339.414538858411</v>
      </c>
      <c r="BH19" s="22">
        <f>IS!BH29</f>
        <v>11324.120685416361</v>
      </c>
      <c r="BI19" s="22">
        <f>IS!BI29</f>
        <v>13785.886051811212</v>
      </c>
      <c r="BJ19" s="22">
        <f>IS!BJ29</f>
        <v>12698.311128625111</v>
      </c>
      <c r="BK19" s="22">
        <f>IS!BK29</f>
        <v>12146.21064477188</v>
      </c>
      <c r="BL19" s="22">
        <f>IS!BL29</f>
        <v>11042.009677065333</v>
      </c>
      <c r="BM19" s="22">
        <f>IS!BM29</f>
        <v>9937.8087093587892</v>
      </c>
      <c r="BN19" s="22">
        <f>IS!BN29</f>
        <v>9385.708225505532</v>
      </c>
      <c r="BO19" s="22">
        <f>IS!BO29</f>
        <v>8833.6077416522694</v>
      </c>
      <c r="BP19" s="22">
        <f>IS!BP29</f>
        <v>8833.6077416522694</v>
      </c>
      <c r="BQ19" s="22">
        <f>IS!BQ29</f>
        <v>9385.708225505532</v>
      </c>
      <c r="BR19" s="22">
        <f>IS!BR29</f>
        <v>10489.909193212054</v>
      </c>
      <c r="BS19" s="22">
        <f>IS!BS29</f>
        <v>11594.110160918597</v>
      </c>
      <c r="BT19" s="22">
        <f>IS!BT29</f>
        <v>12698.311128625111</v>
      </c>
      <c r="BU19" s="22">
        <f>IS!BU29</f>
        <v>15458.813547891441</v>
      </c>
      <c r="BV19" s="22">
        <f>IS!BV29</f>
        <v>14188.270080204526</v>
      </c>
      <c r="BW19" s="22">
        <f>IS!BW29</f>
        <v>13571.388772369552</v>
      </c>
      <c r="BX19" s="22">
        <f>IS!BX29</f>
        <v>12337.626156699602</v>
      </c>
      <c r="BY19" s="22">
        <f>IS!BY29</f>
        <v>11103.86354102963</v>
      </c>
      <c r="BZ19" s="22">
        <f>IS!BZ29</f>
        <v>10486.982233194653</v>
      </c>
      <c r="CA19" s="22">
        <f>IS!CA29</f>
        <v>9870.1009253596731</v>
      </c>
      <c r="CB19" s="22">
        <f>IS!CB29</f>
        <v>9870.1009253596731</v>
      </c>
      <c r="CC19" s="22">
        <f>IS!CC29</f>
        <v>10486.982233194653</v>
      </c>
      <c r="CD19" s="22">
        <f>IS!CD29</f>
        <v>11720.744848864615</v>
      </c>
      <c r="CE19" s="22">
        <f>IS!CE29</f>
        <v>12954.507464534574</v>
      </c>
      <c r="CF19" s="22">
        <f>IS!CF29</f>
        <v>14188.270080204526</v>
      </c>
      <c r="CG19" s="22">
        <f>IS!CG29</f>
        <v>17272.676619379439</v>
      </c>
      <c r="CH19" s="22">
        <f>IS!CH29</f>
        <v>15802.641139271786</v>
      </c>
      <c r="CI19" s="22">
        <f>IS!CI29</f>
        <v>15115.569785390406</v>
      </c>
      <c r="CJ19" s="22">
        <f>IS!CJ29</f>
        <v>13741.427077627632</v>
      </c>
      <c r="CK19" s="22">
        <f>IS!CK29</f>
        <v>12367.284369864879</v>
      </c>
      <c r="CL19" s="22">
        <f>IS!CL29</f>
        <v>11680.2130159835</v>
      </c>
      <c r="CM19" s="22">
        <f>IS!CM29</f>
        <v>10993.141662102105</v>
      </c>
      <c r="CN19" s="22">
        <f>IS!CN29</f>
        <v>10993.141662102105</v>
      </c>
      <c r="CO19" s="22">
        <f>IS!CO29</f>
        <v>11680.2130159835</v>
      </c>
      <c r="CP19" s="22">
        <f>IS!CP29</f>
        <v>13054.355723746256</v>
      </c>
      <c r="CQ19" s="22">
        <f>IS!CQ29</f>
        <v>14428.498431509008</v>
      </c>
      <c r="CR19" s="22">
        <f>IS!CR29</f>
        <v>15802.641139271786</v>
      </c>
      <c r="CS19" s="22">
        <f>IS!CS29</f>
        <v>19237.997908678699</v>
      </c>
      <c r="CT19" s="22">
        <f>IS!CT29</f>
        <v>17550.678497588429</v>
      </c>
      <c r="CU19" s="22">
        <f>IS!CU29</f>
        <v>16787.605519432407</v>
      </c>
      <c r="CV19" s="22">
        <f>IS!CV29</f>
        <v>15261.459563120363</v>
      </c>
      <c r="CW19" s="22">
        <f>IS!CW29</f>
        <v>13735.313606808337</v>
      </c>
      <c r="CX19" s="22">
        <f>IS!CX29</f>
        <v>12972.240628652315</v>
      </c>
      <c r="CY19" s="22">
        <f>IS!CY29</f>
        <v>12209.167650496285</v>
      </c>
      <c r="CZ19" s="22">
        <f>IS!CZ29</f>
        <v>12209.167650496285</v>
      </c>
      <c r="DA19" s="22">
        <f>IS!DA29</f>
        <v>12972.240628652315</v>
      </c>
      <c r="DB19" s="22">
        <f>IS!DB29</f>
        <v>14498.386584964344</v>
      </c>
      <c r="DC19" s="22">
        <f>IS!DC29</f>
        <v>16024.532541276381</v>
      </c>
      <c r="DD19" s="22">
        <f>IS!DD29</f>
        <v>17550.678497588429</v>
      </c>
      <c r="DE19" s="22">
        <f>IS!DE29</f>
        <v>21366.043388368504</v>
      </c>
      <c r="DF19" s="22">
        <f>IS!DF29</f>
        <v>19442.28884327893</v>
      </c>
      <c r="DG19" s="22">
        <f>IS!DG29</f>
        <v>18596.971937049428</v>
      </c>
      <c r="DH19" s="22">
        <f>IS!DH29</f>
        <v>16906.338124590387</v>
      </c>
      <c r="DI19" s="22">
        <f>IS!DI29</f>
        <v>15215.704312131355</v>
      </c>
      <c r="DJ19" s="22">
        <f>IS!DJ29</f>
        <v>14370.387405901831</v>
      </c>
      <c r="DK19" s="22">
        <f>IS!DK29</f>
        <v>13525.070499672318</v>
      </c>
      <c r="DL19" s="22">
        <f>IS!DL29</f>
        <v>13525.070499672318</v>
      </c>
      <c r="DM19" s="22">
        <f>IS!DM29</f>
        <v>14370.387405901831</v>
      </c>
      <c r="DN19" s="22">
        <f>IS!DN29</f>
        <v>16061.021218360878</v>
      </c>
      <c r="DO19" s="22">
        <f>IS!DO29</f>
        <v>17751.655030819908</v>
      </c>
      <c r="DP19" s="22">
        <f>IS!DP29</f>
        <v>19442.28884327893</v>
      </c>
      <c r="DQ19" s="22">
        <f>IS!DQ29</f>
        <v>23668.873374426559</v>
      </c>
    </row>
    <row r="20" spans="1:121" ht="15" customHeight="1">
      <c r="A20" t="s">
        <v>521</v>
      </c>
      <c r="B20" s="13">
        <f>IS!B30</f>
        <v>0.264988571045917</v>
      </c>
      <c r="C20" s="13">
        <f>IS!C30</f>
        <v>0.26498857104591683</v>
      </c>
      <c r="D20" s="13">
        <f>IS!D30</f>
        <v>0.26498857104591672</v>
      </c>
      <c r="E20" s="13">
        <f>IS!E30</f>
        <v>0.26498857104591661</v>
      </c>
      <c r="F20" s="13">
        <f>IS!F30</f>
        <v>0.26498857104591661</v>
      </c>
      <c r="G20" s="13">
        <f>IS!G30</f>
        <v>0.26498857104591672</v>
      </c>
      <c r="H20" s="13">
        <f>IS!H30</f>
        <v>0.26498857104591672</v>
      </c>
      <c r="I20" s="13">
        <f>IS!I30</f>
        <v>0.26498857104591661</v>
      </c>
      <c r="J20" s="13">
        <f>IS!J30</f>
        <v>0.26498857104591689</v>
      </c>
      <c r="K20" s="13">
        <f>IS!K30</f>
        <v>0.26498857104591678</v>
      </c>
      <c r="L20" s="13">
        <f>IS!L30</f>
        <v>0.264988571045917</v>
      </c>
      <c r="M20" s="13">
        <f>IS!M30</f>
        <v>0.26498857104591678</v>
      </c>
      <c r="N20" s="13">
        <f>IS!N30</f>
        <v>0.27904459129988102</v>
      </c>
      <c r="O20" s="13">
        <f>IS!O30</f>
        <v>0.27904459129988074</v>
      </c>
      <c r="P20" s="13">
        <f>IS!P30</f>
        <v>0.27904459129988074</v>
      </c>
      <c r="Q20" s="13">
        <f>IS!Q30</f>
        <v>0.2790445912998808</v>
      </c>
      <c r="R20" s="13">
        <f>IS!R30</f>
        <v>0.27904459129988074</v>
      </c>
      <c r="S20" s="13">
        <f>IS!S30</f>
        <v>0.27904459129988052</v>
      </c>
      <c r="T20" s="13">
        <f>IS!T30</f>
        <v>0.27904459129988052</v>
      </c>
      <c r="U20" s="13">
        <f>IS!U30</f>
        <v>0.27904459129988074</v>
      </c>
      <c r="V20" s="13">
        <f>IS!V30</f>
        <v>0.27904459129988041</v>
      </c>
      <c r="W20" s="13">
        <f>IS!W30</f>
        <v>0.27904459129988091</v>
      </c>
      <c r="X20" s="13">
        <f>IS!X30</f>
        <v>0.27904459129988102</v>
      </c>
      <c r="Y20" s="13">
        <f>IS!Y30</f>
        <v>0.2790445912998808</v>
      </c>
      <c r="Z20" s="13">
        <f>IS!Z30</f>
        <v>0.2922491776040213</v>
      </c>
      <c r="AA20" s="13">
        <f>IS!AA30</f>
        <v>0.29224917760402114</v>
      </c>
      <c r="AB20" s="13">
        <f>IS!AB30</f>
        <v>0.29224917760402147</v>
      </c>
      <c r="AC20" s="13">
        <f>IS!AC30</f>
        <v>0.29224917760402108</v>
      </c>
      <c r="AD20" s="13">
        <f>IS!AD30</f>
        <v>0.2922491776040213</v>
      </c>
      <c r="AE20" s="13">
        <f>IS!AE30</f>
        <v>0.29224917760402097</v>
      </c>
      <c r="AF20" s="13">
        <f>IS!AF30</f>
        <v>0.29224917760402097</v>
      </c>
      <c r="AG20" s="13">
        <f>IS!AG30</f>
        <v>0.2922491776040213</v>
      </c>
      <c r="AH20" s="13">
        <f>IS!AH30</f>
        <v>0.2922491776040213</v>
      </c>
      <c r="AI20" s="13">
        <f>IS!AI30</f>
        <v>0.29224917760402114</v>
      </c>
      <c r="AJ20" s="13">
        <f>IS!AJ30</f>
        <v>0.2922491776040213</v>
      </c>
      <c r="AK20" s="13">
        <f>IS!AK30</f>
        <v>0.29224917760402125</v>
      </c>
      <c r="AL20" s="13">
        <f>IS!AL30</f>
        <v>0.30467374167922945</v>
      </c>
      <c r="AM20" s="13">
        <f>IS!AM30</f>
        <v>0.30467374167922945</v>
      </c>
      <c r="AN20" s="13">
        <f>IS!AN30</f>
        <v>0.30467374167922967</v>
      </c>
      <c r="AO20" s="13">
        <f>IS!AO30</f>
        <v>0.30467374167922928</v>
      </c>
      <c r="AP20" s="13">
        <f>IS!AP30</f>
        <v>0.30467374167922956</v>
      </c>
      <c r="AQ20" s="13">
        <f>IS!AQ30</f>
        <v>0.30467374167922945</v>
      </c>
      <c r="AR20" s="13">
        <f>IS!AR30</f>
        <v>0.30467374167922945</v>
      </c>
      <c r="AS20" s="13">
        <f>IS!AS30</f>
        <v>0.30467374167922956</v>
      </c>
      <c r="AT20" s="13">
        <f>IS!AT30</f>
        <v>0.30467374167922934</v>
      </c>
      <c r="AU20" s="13">
        <f>IS!AU30</f>
        <v>0.3046737416792295</v>
      </c>
      <c r="AV20" s="13">
        <f>IS!AV30</f>
        <v>0.30467374167922945</v>
      </c>
      <c r="AW20" s="13">
        <f>IS!AW30</f>
        <v>0.3046737416792295</v>
      </c>
      <c r="AX20" s="13">
        <f>IS!AX30</f>
        <v>0.31638194979087086</v>
      </c>
      <c r="AY20" s="13">
        <f>IS!AY30</f>
        <v>0.31638194979087064</v>
      </c>
      <c r="AZ20" s="13">
        <f>IS!AZ30</f>
        <v>0.31638194979087059</v>
      </c>
      <c r="BA20" s="13">
        <f>IS!BA30</f>
        <v>0.31638194979087075</v>
      </c>
      <c r="BB20" s="13">
        <f>IS!BB30</f>
        <v>0.31638194979087075</v>
      </c>
      <c r="BC20" s="13">
        <f>IS!BC30</f>
        <v>0.31638194979087064</v>
      </c>
      <c r="BD20" s="13">
        <f>IS!BD30</f>
        <v>0.31638194979087064</v>
      </c>
      <c r="BE20" s="13">
        <f>IS!BE30</f>
        <v>0.31638194979087075</v>
      </c>
      <c r="BF20" s="13">
        <f>IS!BF30</f>
        <v>0.31638194979087064</v>
      </c>
      <c r="BG20" s="13">
        <f>IS!BG30</f>
        <v>0.31638194979087064</v>
      </c>
      <c r="BH20" s="13">
        <f>IS!BH30</f>
        <v>0.31638194979087086</v>
      </c>
      <c r="BI20" s="13">
        <f>IS!BI30</f>
        <v>0.31638194979087064</v>
      </c>
      <c r="BJ20" s="13">
        <f>IS!BJ30</f>
        <v>0.32743074560672458</v>
      </c>
      <c r="BK20" s="13">
        <f>IS!BK30</f>
        <v>0.32743074560672514</v>
      </c>
      <c r="BL20" s="13">
        <f>IS!BL30</f>
        <v>0.32743074560672492</v>
      </c>
      <c r="BM20" s="13">
        <f>IS!BM30</f>
        <v>0.32743074560672475</v>
      </c>
      <c r="BN20" s="13">
        <f>IS!BN30</f>
        <v>0.32743074560672492</v>
      </c>
      <c r="BO20" s="13">
        <f>IS!BO30</f>
        <v>0.32743074560672497</v>
      </c>
      <c r="BP20" s="13">
        <f>IS!BP30</f>
        <v>0.32743074560672497</v>
      </c>
      <c r="BQ20" s="13">
        <f>IS!BQ30</f>
        <v>0.32743074560672492</v>
      </c>
      <c r="BR20" s="13">
        <f>IS!BR30</f>
        <v>0.32743074560672469</v>
      </c>
      <c r="BS20" s="13">
        <f>IS!BS30</f>
        <v>0.32743074560672492</v>
      </c>
      <c r="BT20" s="13">
        <f>IS!BT30</f>
        <v>0.32743074560672458</v>
      </c>
      <c r="BU20" s="13">
        <f>IS!BU30</f>
        <v>0.32743074560672458</v>
      </c>
      <c r="BV20" s="13">
        <f>IS!BV30</f>
        <v>0.33787121512099383</v>
      </c>
      <c r="BW20" s="13">
        <f>IS!BW30</f>
        <v>0.33787121512099388</v>
      </c>
      <c r="BX20" s="13">
        <f>IS!BX30</f>
        <v>0.33787121512099405</v>
      </c>
      <c r="BY20" s="13">
        <f>IS!BY30</f>
        <v>0.33787121512099383</v>
      </c>
      <c r="BZ20" s="13">
        <f>IS!BZ30</f>
        <v>0.33787121512099388</v>
      </c>
      <c r="CA20" s="13">
        <f>IS!CA30</f>
        <v>0.33787121512099383</v>
      </c>
      <c r="CB20" s="13">
        <f>IS!CB30</f>
        <v>0.33787121512099383</v>
      </c>
      <c r="CC20" s="13">
        <f>IS!CC30</f>
        <v>0.33787121512099388</v>
      </c>
      <c r="CD20" s="13">
        <f>IS!CD30</f>
        <v>0.33787121512099394</v>
      </c>
      <c r="CE20" s="13">
        <f>IS!CE30</f>
        <v>0.33787121512099394</v>
      </c>
      <c r="CF20" s="13">
        <f>IS!CF30</f>
        <v>0.33787121512099383</v>
      </c>
      <c r="CG20" s="13">
        <f>IS!CG30</f>
        <v>0.33787121512099411</v>
      </c>
      <c r="CH20" s="13">
        <f>IS!CH30</f>
        <v>0.34774932138045767</v>
      </c>
      <c r="CI20" s="13">
        <f>IS!CI30</f>
        <v>0.34774932138045767</v>
      </c>
      <c r="CJ20" s="13">
        <f>IS!CJ30</f>
        <v>0.34774932138045755</v>
      </c>
      <c r="CK20" s="13">
        <f>IS!CK30</f>
        <v>0.34774932138045767</v>
      </c>
      <c r="CL20" s="13">
        <f>IS!CL30</f>
        <v>0.34774932138045772</v>
      </c>
      <c r="CM20" s="13">
        <f>IS!CM30</f>
        <v>0.3477493213804575</v>
      </c>
      <c r="CN20" s="13">
        <f>IS!CN30</f>
        <v>0.3477493213804575</v>
      </c>
      <c r="CO20" s="13">
        <f>IS!CO30</f>
        <v>0.34774932138045772</v>
      </c>
      <c r="CP20" s="13">
        <f>IS!CP30</f>
        <v>0.34774932138045761</v>
      </c>
      <c r="CQ20" s="13">
        <f>IS!CQ30</f>
        <v>0.34774932138045744</v>
      </c>
      <c r="CR20" s="13">
        <f>IS!CR30</f>
        <v>0.34774932138045767</v>
      </c>
      <c r="CS20" s="13">
        <f>IS!CS30</f>
        <v>0.34774932138045778</v>
      </c>
      <c r="CT20" s="13">
        <f>IS!CT30</f>
        <v>0.3571065313183025</v>
      </c>
      <c r="CU20" s="13">
        <f>IS!CU30</f>
        <v>0.35710653131830239</v>
      </c>
      <c r="CV20" s="13">
        <f>IS!CV30</f>
        <v>0.35710653131830228</v>
      </c>
      <c r="CW20" s="13">
        <f>IS!CW30</f>
        <v>0.35710653131830244</v>
      </c>
      <c r="CX20" s="13">
        <f>IS!CX30</f>
        <v>0.35710653131830239</v>
      </c>
      <c r="CY20" s="13">
        <f>IS!CY30</f>
        <v>0.35710653131830217</v>
      </c>
      <c r="CZ20" s="13">
        <f>IS!CZ30</f>
        <v>0.35710653131830217</v>
      </c>
      <c r="DA20" s="13">
        <f>IS!DA30</f>
        <v>0.35710653131830239</v>
      </c>
      <c r="DB20" s="13">
        <f>IS!DB30</f>
        <v>0.35710653131830228</v>
      </c>
      <c r="DC20" s="13">
        <f>IS!DC30</f>
        <v>0.35710653131830233</v>
      </c>
      <c r="DD20" s="13">
        <f>IS!DD30</f>
        <v>0.3571065313183025</v>
      </c>
      <c r="DE20" s="13">
        <f>IS!DE30</f>
        <v>0.35710653131830228</v>
      </c>
      <c r="DF20" s="13">
        <f>IS!DF30</f>
        <v>0.36598035273818968</v>
      </c>
      <c r="DG20" s="13">
        <f>IS!DG30</f>
        <v>0.36598035273818985</v>
      </c>
      <c r="DH20" s="13">
        <f>IS!DH30</f>
        <v>0.36598035273818985</v>
      </c>
      <c r="DI20" s="13">
        <f>IS!DI30</f>
        <v>0.36598035273818991</v>
      </c>
      <c r="DJ20" s="13">
        <f>IS!DJ30</f>
        <v>0.36598035273818991</v>
      </c>
      <c r="DK20" s="13">
        <f>IS!DK30</f>
        <v>0.36598035273818996</v>
      </c>
      <c r="DL20" s="13">
        <f>IS!DL30</f>
        <v>0.36598035273818996</v>
      </c>
      <c r="DM20" s="13">
        <f>IS!DM30</f>
        <v>0.36598035273818991</v>
      </c>
      <c r="DN20" s="13">
        <f>IS!DN30</f>
        <v>0.36598035273818996</v>
      </c>
      <c r="DO20" s="13">
        <f>IS!DO30</f>
        <v>0.36598035273818991</v>
      </c>
      <c r="DP20" s="13">
        <f>IS!DP30</f>
        <v>0.36598035273818968</v>
      </c>
      <c r="DQ20" s="13">
        <f>IS!DQ30</f>
        <v>0.36598035273819002</v>
      </c>
    </row>
    <row r="21" spans="1:121" ht="15" customHeight="1">
      <c r="A21" t="s">
        <v>523</v>
      </c>
      <c r="B21" s="13">
        <f>IS!B34</f>
        <v>0.24866266638667983</v>
      </c>
      <c r="C21" s="13">
        <f>IS!C34</f>
        <v>0.24792057981125976</v>
      </c>
      <c r="D21" s="13">
        <f>IS!D34</f>
        <v>0.24621378068779395</v>
      </c>
      <c r="E21" s="13">
        <f>IS!E34</f>
        <v>0.24412769287022462</v>
      </c>
      <c r="F21" s="13">
        <f>IS!F34</f>
        <v>0.24290058238930162</v>
      </c>
      <c r="G21" s="13">
        <f>IS!G34</f>
        <v>0.24152008309826328</v>
      </c>
      <c r="H21" s="13">
        <f>IS!H34</f>
        <v>0.24152008309826328</v>
      </c>
      <c r="I21" s="13">
        <f>IS!I34</f>
        <v>0.24290058238930162</v>
      </c>
      <c r="J21" s="13">
        <f>IS!J34</f>
        <v>0.24522563382684032</v>
      </c>
      <c r="K21" s="13">
        <f>IS!K34</f>
        <v>0.24710781832389508</v>
      </c>
      <c r="L21" s="13">
        <f>IS!L34</f>
        <v>0.24866266638667983</v>
      </c>
      <c r="M21" s="13">
        <f>IS!M34</f>
        <v>0.25157800650440049</v>
      </c>
      <c r="N21" s="13">
        <f>IS!N34</f>
        <v>0.26457874164037581</v>
      </c>
      <c r="O21" s="13">
        <f>IS!O34</f>
        <v>0.26392120301948896</v>
      </c>
      <c r="P21" s="13">
        <f>IS!P34</f>
        <v>0.26240886419144976</v>
      </c>
      <c r="Q21" s="13">
        <f>IS!Q34</f>
        <v>0.26056045006829076</v>
      </c>
      <c r="R21" s="13">
        <f>IS!R34</f>
        <v>0.25947314764290313</v>
      </c>
      <c r="S21" s="13">
        <f>IS!S34</f>
        <v>0.2582499324143418</v>
      </c>
      <c r="T21" s="13">
        <f>IS!T34</f>
        <v>0.2582499324143418</v>
      </c>
      <c r="U21" s="13">
        <f>IS!U34</f>
        <v>0.25947314764290313</v>
      </c>
      <c r="V21" s="13">
        <f>IS!V34</f>
        <v>0.26153329960679517</v>
      </c>
      <c r="W21" s="13">
        <f>IS!W34</f>
        <v>0.26320104167280378</v>
      </c>
      <c r="X21" s="13">
        <f>IS!X34</f>
        <v>0.26457874164037581</v>
      </c>
      <c r="Y21" s="13">
        <f>IS!Y34</f>
        <v>0.26716192907957292</v>
      </c>
      <c r="Z21" s="13">
        <f>IS!Z34</f>
        <v>0.27942090132177738</v>
      </c>
      <c r="AA21" s="13">
        <f>IS!AA34</f>
        <v>0.27883779785440249</v>
      </c>
      <c r="AB21" s="13">
        <f>IS!AB34</f>
        <v>0.27749665987944094</v>
      </c>
      <c r="AC21" s="13">
        <f>IS!AC34</f>
        <v>0.27585749124337611</v>
      </c>
      <c r="AD21" s="13">
        <f>IS!AD34</f>
        <v>0.27489327439863248</v>
      </c>
      <c r="AE21" s="13">
        <f>IS!AE34</f>
        <v>0.27380853044829534</v>
      </c>
      <c r="AF21" s="13">
        <f>IS!AF34</f>
        <v>0.27380853044829534</v>
      </c>
      <c r="AG21" s="13">
        <f>IS!AG34</f>
        <v>0.27489327439863248</v>
      </c>
      <c r="AH21" s="13">
        <f>IS!AH34</f>
        <v>0.27672021157814708</v>
      </c>
      <c r="AI21" s="13">
        <f>IS!AI34</f>
        <v>0.27819916072346829</v>
      </c>
      <c r="AJ21" s="13">
        <f>IS!AJ34</f>
        <v>0.27942090132177738</v>
      </c>
      <c r="AK21" s="13">
        <f>IS!AK34</f>
        <v>0.28171166494360661</v>
      </c>
      <c r="AL21" s="13">
        <f>IS!AL34</f>
        <v>0.29307403995688575</v>
      </c>
      <c r="AM21" s="13">
        <f>IS!AM34</f>
        <v>0.29254678078768831</v>
      </c>
      <c r="AN21" s="13">
        <f>IS!AN34</f>
        <v>0.29133408469853439</v>
      </c>
      <c r="AO21" s="13">
        <f>IS!AO34</f>
        <v>0.28985190058956789</v>
      </c>
      <c r="AP21" s="13">
        <f>IS!AP34</f>
        <v>0.28898002758429397</v>
      </c>
      <c r="AQ21" s="13">
        <f>IS!AQ34</f>
        <v>0.28799917045336038</v>
      </c>
      <c r="AR21" s="13">
        <f>IS!AR34</f>
        <v>0.28799917045336038</v>
      </c>
      <c r="AS21" s="13">
        <f>IS!AS34</f>
        <v>0.28898002758429397</v>
      </c>
      <c r="AT21" s="13">
        <f>IS!AT34</f>
        <v>0.2906319974890238</v>
      </c>
      <c r="AU21" s="13">
        <f>IS!AU34</f>
        <v>0.29196930645951968</v>
      </c>
      <c r="AV21" s="13">
        <f>IS!AV34</f>
        <v>0.29307403995688575</v>
      </c>
      <c r="AW21" s="13">
        <f>IS!AW34</f>
        <v>0.29514541526444715</v>
      </c>
      <c r="AX21" s="13">
        <f>IS!AX34</f>
        <v>0.30588551089190996</v>
      </c>
      <c r="AY21" s="13">
        <f>IS!AY34</f>
        <v>0.30540840003286612</v>
      </c>
      <c r="AZ21" s="13">
        <f>IS!AZ34</f>
        <v>0.30431104505706558</v>
      </c>
      <c r="BA21" s="13">
        <f>IS!BA34</f>
        <v>0.3029698334199763</v>
      </c>
      <c r="BB21" s="13">
        <f>IS!BB34</f>
        <v>0.30218088539815902</v>
      </c>
      <c r="BC21" s="13">
        <f>IS!BC34</f>
        <v>0.30129331887361444</v>
      </c>
      <c r="BD21" s="13">
        <f>IS!BD34</f>
        <v>0.30129331887361444</v>
      </c>
      <c r="BE21" s="13">
        <f>IS!BE34</f>
        <v>0.30218088539815902</v>
      </c>
      <c r="BF21" s="13">
        <f>IS!BF34</f>
        <v>0.30367573428160222</v>
      </c>
      <c r="BG21" s="13">
        <f>IS!BG34</f>
        <v>0.30488585004438973</v>
      </c>
      <c r="BH21" s="13">
        <f>IS!BH34</f>
        <v>0.30588551089190996</v>
      </c>
      <c r="BI21" s="13">
        <f>IS!BI34</f>
        <v>0.30775987498100993</v>
      </c>
      <c r="BJ21" s="13">
        <f>IS!BJ34</f>
        <v>0.31774332254560228</v>
      </c>
      <c r="BK21" s="13">
        <f>IS!BK34</f>
        <v>0.31730298513373367</v>
      </c>
      <c r="BL21" s="13">
        <f>IS!BL34</f>
        <v>0.31629020908643429</v>
      </c>
      <c r="BM21" s="13">
        <f>IS!BM34</f>
        <v>0.31505237169529066</v>
      </c>
      <c r="BN21" s="13">
        <f>IS!BN34</f>
        <v>0.31432423205344184</v>
      </c>
      <c r="BO21" s="13">
        <f>IS!BO34</f>
        <v>0.31350507495636171</v>
      </c>
      <c r="BP21" s="13">
        <f>IS!BP34</f>
        <v>0.31350507495636171</v>
      </c>
      <c r="BQ21" s="13">
        <f>IS!BQ34</f>
        <v>0.31432423205344184</v>
      </c>
      <c r="BR21" s="13">
        <f>IS!BR34</f>
        <v>0.31570386505905035</v>
      </c>
      <c r="BS21" s="13">
        <f>IS!BS34</f>
        <v>0.31682071082549573</v>
      </c>
      <c r="BT21" s="13">
        <f>IS!BT34</f>
        <v>0.31774332254560228</v>
      </c>
      <c r="BU21" s="13">
        <f>IS!BU34</f>
        <v>0.31947321952080271</v>
      </c>
      <c r="BV21" s="13">
        <f>IS!BV34</f>
        <v>0.32892464603673643</v>
      </c>
      <c r="BW21" s="13">
        <f>IS!BW34</f>
        <v>0.32851798380563391</v>
      </c>
      <c r="BX21" s="13">
        <f>IS!BX34</f>
        <v>0.32758266067409814</v>
      </c>
      <c r="BY21" s="13">
        <f>IS!BY34</f>
        <v>0.32643948795777611</v>
      </c>
      <c r="BZ21" s="13">
        <f>IS!BZ34</f>
        <v>0.32576703341876334</v>
      </c>
      <c r="CA21" s="13">
        <f>IS!CA34</f>
        <v>0.32501052206237391</v>
      </c>
      <c r="CB21" s="13">
        <f>IS!CB34</f>
        <v>0.32501052206237391</v>
      </c>
      <c r="CC21" s="13">
        <f>IS!CC34</f>
        <v>0.32576703341876334</v>
      </c>
      <c r="CD21" s="13">
        <f>IS!CD34</f>
        <v>0.32704115780847187</v>
      </c>
      <c r="CE21" s="13">
        <f>IS!CE34</f>
        <v>0.32807259183823589</v>
      </c>
      <c r="CF21" s="13">
        <f>IS!CF34</f>
        <v>0.32892464603673643</v>
      </c>
      <c r="CG21" s="13">
        <f>IS!CG34</f>
        <v>0.33052224765892557</v>
      </c>
      <c r="CH21" s="13">
        <f>IS!CH34</f>
        <v>0.33948187501180693</v>
      </c>
      <c r="CI21" s="13">
        <f>IS!CI34</f>
        <v>0.33910608199504999</v>
      </c>
      <c r="CJ21" s="13">
        <f>IS!CJ34</f>
        <v>0.33824175805650913</v>
      </c>
      <c r="CK21" s="13">
        <f>IS!CK34</f>
        <v>0.33718536213162614</v>
      </c>
      <c r="CL21" s="13">
        <f>IS!CL34</f>
        <v>0.33656395276404788</v>
      </c>
      <c r="CM21" s="13">
        <f>IS!CM34</f>
        <v>0.335864867225522</v>
      </c>
      <c r="CN21" s="13">
        <f>IS!CN34</f>
        <v>0.335864867225522</v>
      </c>
      <c r="CO21" s="13">
        <f>IS!CO34</f>
        <v>0.33656395276404788</v>
      </c>
      <c r="CP21" s="13">
        <f>IS!CP34</f>
        <v>0.33774135998682775</v>
      </c>
      <c r="CQ21" s="13">
        <f>IS!CQ34</f>
        <v>0.33869449916717326</v>
      </c>
      <c r="CR21" s="13">
        <f>IS!CR34</f>
        <v>0.33948187501180693</v>
      </c>
      <c r="CS21" s="13">
        <f>IS!CS34</f>
        <v>0.3409582047204946</v>
      </c>
      <c r="CT21" s="13">
        <f>IS!CT34</f>
        <v>0.34946221489432222</v>
      </c>
      <c r="CU21" s="13">
        <f>IS!CU34</f>
        <v>0.34911474596595937</v>
      </c>
      <c r="CV21" s="13">
        <f>IS!CV34</f>
        <v>0.34831556743072495</v>
      </c>
      <c r="CW21" s="13">
        <f>IS!CW34</f>
        <v>0.34733879366543879</v>
      </c>
      <c r="CX21" s="13">
        <f>IS!CX34</f>
        <v>0.34676422086232905</v>
      </c>
      <c r="CY21" s="13">
        <f>IS!CY34</f>
        <v>0.34611782645883049</v>
      </c>
      <c r="CZ21" s="13">
        <f>IS!CZ34</f>
        <v>0.34611782645883049</v>
      </c>
      <c r="DA21" s="13">
        <f>IS!DA34</f>
        <v>0.34676422086232905</v>
      </c>
      <c r="DB21" s="13">
        <f>IS!DB34</f>
        <v>0.3478528851208525</v>
      </c>
      <c r="DC21" s="13">
        <f>IS!DC34</f>
        <v>0.34873418475870488</v>
      </c>
      <c r="DD21" s="13">
        <f>IS!DD34</f>
        <v>0.34946221489432222</v>
      </c>
      <c r="DE21" s="13">
        <f>IS!DE34</f>
        <v>0.3508272713986042</v>
      </c>
      <c r="DF21" s="13">
        <f>IS!DF34</f>
        <v>0.35890830549067193</v>
      </c>
      <c r="DG21" s="13">
        <f>IS!DG34</f>
        <v>0.35858684879760311</v>
      </c>
      <c r="DH21" s="13">
        <f>IS!DH34</f>
        <v>0.35784749840354441</v>
      </c>
      <c r="DI21" s="13">
        <f>IS!DI34</f>
        <v>0.35694384792191725</v>
      </c>
      <c r="DJ21" s="13">
        <f>IS!DJ34</f>
        <v>0.35641228881507758</v>
      </c>
      <c r="DK21" s="13">
        <f>IS!DK34</f>
        <v>0.3558142848198832</v>
      </c>
      <c r="DL21" s="13">
        <f>IS!DL34</f>
        <v>0.3558142848198832</v>
      </c>
      <c r="DM21" s="13">
        <f>IS!DM34</f>
        <v>0.35641228881507758</v>
      </c>
      <c r="DN21" s="13">
        <f>IS!DN34</f>
        <v>0.35741945343856318</v>
      </c>
      <c r="DO21" s="13">
        <f>IS!DO34</f>
        <v>0.35823477718138469</v>
      </c>
      <c r="DP21" s="13">
        <f>IS!DP34</f>
        <v>0.35890830549067193</v>
      </c>
      <c r="DQ21" s="13">
        <f>IS!DQ34</f>
        <v>0.3601711710705861</v>
      </c>
    </row>
    <row r="22" spans="1:121" ht="15" customHeight="1">
      <c r="A22" t="s">
        <v>583</v>
      </c>
      <c r="B22" s="22">
        <f>IS!B40</f>
        <v>3907.8784305555628</v>
      </c>
      <c r="C22" s="22">
        <f>IS!C40</f>
        <v>3723.4167777777802</v>
      </c>
      <c r="D22" s="22">
        <f>IS!D40</f>
        <v>3353.3650000000007</v>
      </c>
      <c r="E22" s="22">
        <f>IS!E40</f>
        <v>2983.3132222222202</v>
      </c>
      <c r="F22" s="22">
        <f>IS!F40</f>
        <v>2798.8515694444441</v>
      </c>
      <c r="G22" s="22">
        <f>IS!G40</f>
        <v>2614.3899166666679</v>
      </c>
      <c r="H22" s="22">
        <f>IS!H40</f>
        <v>2615.5183888888901</v>
      </c>
      <c r="I22" s="22">
        <f>IS!I40</f>
        <v>2802.2369861111106</v>
      </c>
      <c r="J22" s="22">
        <f>IS!J40</f>
        <v>3174.5457083333367</v>
      </c>
      <c r="K22" s="22">
        <f>IS!K40</f>
        <v>3546.8544305555574</v>
      </c>
      <c r="L22" s="22">
        <f>IS!L40</f>
        <v>3919.1631527777845</v>
      </c>
      <c r="M22" s="22">
        <f>IS!M40</f>
        <v>4848.2422500000011</v>
      </c>
      <c r="N22" s="22">
        <f>IS!N40</f>
        <v>4725.8193337722269</v>
      </c>
      <c r="O22" s="22">
        <f>IS!O40</f>
        <v>4506.3838011444441</v>
      </c>
      <c r="P22" s="22">
        <f>IS!P40</f>
        <v>4066.3842636666654</v>
      </c>
      <c r="Q22" s="22">
        <f>IS!Q40</f>
        <v>3626.3847261888877</v>
      </c>
      <c r="R22" s="22">
        <f>IS!R40</f>
        <v>3406.94919356111</v>
      </c>
      <c r="S22" s="22">
        <f>IS!S40</f>
        <v>3187.5136609333294</v>
      </c>
      <c r="T22" s="22">
        <f>IS!T40</f>
        <v>3188.6421331555521</v>
      </c>
      <c r="U22" s="22">
        <f>IS!U40</f>
        <v>3410.3346102277769</v>
      </c>
      <c r="V22" s="22">
        <f>IS!V40</f>
        <v>3852.5910921499917</v>
      </c>
      <c r="W22" s="22">
        <f>IS!W40</f>
        <v>4294.8475740722251</v>
      </c>
      <c r="X22" s="22">
        <f>IS!X40</f>
        <v>4737.1040559944486</v>
      </c>
      <c r="Y22" s="22">
        <f>IS!Y40</f>
        <v>5841.0525524666646</v>
      </c>
      <c r="Z22" s="22">
        <f>IS!Z40</f>
        <v>5657.6439104137398</v>
      </c>
      <c r="AA22" s="22">
        <f>IS!AA40</f>
        <v>5398.2830338740096</v>
      </c>
      <c r="AB22" s="22">
        <f>IS!AB40</f>
        <v>4878.4328085723373</v>
      </c>
      <c r="AC22" s="22">
        <f>IS!AC40</f>
        <v>4358.5825832706523</v>
      </c>
      <c r="AD22" s="22">
        <f>IS!AD40</f>
        <v>4099.2217067309311</v>
      </c>
      <c r="AE22" s="22">
        <f>IS!AE40</f>
        <v>3839.8608301911945</v>
      </c>
      <c r="AF22" s="22">
        <f>IS!AF40</f>
        <v>3840.9893024134171</v>
      </c>
      <c r="AG22" s="22">
        <f>IS!AG40</f>
        <v>4102.6071233975972</v>
      </c>
      <c r="AH22" s="22">
        <f>IS!AH40</f>
        <v>4624.7142931437174</v>
      </c>
      <c r="AI22" s="22">
        <f>IS!AI40</f>
        <v>5146.8214628898368</v>
      </c>
      <c r="AJ22" s="22">
        <f>IS!AJ40</f>
        <v>5668.9286326359615</v>
      </c>
      <c r="AK22" s="22">
        <f>IS!AK40</f>
        <v>6972.5038486679323</v>
      </c>
      <c r="AL22" s="22">
        <f>IS!AL40</f>
        <v>6587.432524123642</v>
      </c>
      <c r="AM22" s="22">
        <f>IS!AM40</f>
        <v>6288.2348237994283</v>
      </c>
      <c r="AN22" s="22">
        <f>IS!AN40</f>
        <v>5688.7109509287784</v>
      </c>
      <c r="AO22" s="22">
        <f>IS!AO40</f>
        <v>5089.1870780581139</v>
      </c>
      <c r="AP22" s="22">
        <f>IS!AP40</f>
        <v>4789.989377733903</v>
      </c>
      <c r="AQ22" s="22">
        <f>IS!AQ40</f>
        <v>4490.7916774096839</v>
      </c>
      <c r="AR22" s="22">
        <f>IS!AR40</f>
        <v>4491.9201496319065</v>
      </c>
      <c r="AS22" s="22">
        <f>IS!AS40</f>
        <v>4793.37479440057</v>
      </c>
      <c r="AT22" s="22">
        <f>IS!AT40</f>
        <v>5395.1556117156633</v>
      </c>
      <c r="AU22" s="22">
        <f>IS!AU40</f>
        <v>5996.9364290307676</v>
      </c>
      <c r="AV22" s="22">
        <f>IS!AV40</f>
        <v>6598.7172463458646</v>
      </c>
      <c r="AW22" s="22">
        <f>IS!AW40</f>
        <v>8101.4765813002814</v>
      </c>
      <c r="AX22" s="22">
        <f>IS!AX40</f>
        <v>7620.3567020136743</v>
      </c>
      <c r="AY22" s="22">
        <f>IS!AY40</f>
        <v>7276.8380229406121</v>
      </c>
      <c r="AZ22" s="22">
        <f>IS!AZ40</f>
        <v>6588.6721925722704</v>
      </c>
      <c r="BA22" s="22">
        <f>IS!BA40</f>
        <v>5900.5063622039343</v>
      </c>
      <c r="BB22" s="22">
        <f>IS!BB40</f>
        <v>5556.9876831308793</v>
      </c>
      <c r="BC22" s="22">
        <f>IS!BC40</f>
        <v>5213.4690040578189</v>
      </c>
      <c r="BD22" s="22">
        <f>IS!BD40</f>
        <v>5214.5974762800415</v>
      </c>
      <c r="BE22" s="22">
        <f>IS!BE40</f>
        <v>5560.3730997975454</v>
      </c>
      <c r="BF22" s="22">
        <f>IS!BF40</f>
        <v>6250.7958746103241</v>
      </c>
      <c r="BG22" s="22">
        <f>IS!BG40</f>
        <v>6941.21864942311</v>
      </c>
      <c r="BH22" s="22">
        <f>IS!BH40</f>
        <v>7631.6414242358969</v>
      </c>
      <c r="BI22" s="22">
        <f>IS!BI40</f>
        <v>9356.0056529345147</v>
      </c>
      <c r="BJ22" s="22">
        <f>IS!BJ40</f>
        <v>8595.8316789264663</v>
      </c>
      <c r="BK22" s="22">
        <f>IS!BK40</f>
        <v>8210.4898124514257</v>
      </c>
      <c r="BL22" s="22">
        <f>IS!BL40</f>
        <v>7438.6776072790653</v>
      </c>
      <c r="BM22" s="22">
        <f>IS!BM40</f>
        <v>6666.8654021067068</v>
      </c>
      <c r="BN22" s="22">
        <f>IS!BN40</f>
        <v>6281.5235356316498</v>
      </c>
      <c r="BO22" s="22">
        <f>IS!BO40</f>
        <v>5896.1816691565873</v>
      </c>
      <c r="BP22" s="22">
        <f>IS!BP40</f>
        <v>5897.3101413788099</v>
      </c>
      <c r="BQ22" s="22">
        <f>IS!BQ40</f>
        <v>6284.9089522983159</v>
      </c>
      <c r="BR22" s="22">
        <f>IS!BR40</f>
        <v>7058.9781019151033</v>
      </c>
      <c r="BS22" s="22">
        <f>IS!BS40</f>
        <v>7833.047251531907</v>
      </c>
      <c r="BT22" s="22">
        <f>IS!BT40</f>
        <v>8607.116401148689</v>
      </c>
      <c r="BU22" s="22">
        <f>IS!BU40</f>
        <v>10540.596566857341</v>
      </c>
      <c r="BV22" s="22">
        <f>IS!BV40</f>
        <v>9652.3446116987234</v>
      </c>
      <c r="BW22" s="22">
        <f>IS!BW40</f>
        <v>9221.6561684364642</v>
      </c>
      <c r="BX22" s="22">
        <f>IS!BX40</f>
        <v>8359.1508096897214</v>
      </c>
      <c r="BY22" s="22">
        <f>IS!BY40</f>
        <v>7496.6454509429623</v>
      </c>
      <c r="BZ22" s="22">
        <f>IS!BZ40</f>
        <v>7065.9570076806995</v>
      </c>
      <c r="CA22" s="22">
        <f>IS!CA40</f>
        <v>6635.2685644184376</v>
      </c>
      <c r="CB22" s="22">
        <f>IS!CB40</f>
        <v>6636.3970366406593</v>
      </c>
      <c r="CC22" s="22">
        <f>IS!CC40</f>
        <v>7069.3424243473673</v>
      </c>
      <c r="CD22" s="22">
        <f>IS!CD40</f>
        <v>7934.1047275385627</v>
      </c>
      <c r="CE22" s="22">
        <f>IS!CE40</f>
        <v>8798.8670307297562</v>
      </c>
      <c r="CF22" s="22">
        <f>IS!CF40</f>
        <v>9663.6293339209442</v>
      </c>
      <c r="CG22" s="22">
        <f>IS!CG40</f>
        <v>11823.842383565607</v>
      </c>
      <c r="CH22" s="22">
        <f>IS!CH40</f>
        <v>10795.946019712472</v>
      </c>
      <c r="CI22" s="22">
        <f>IS!CI40</f>
        <v>10314.996071995505</v>
      </c>
      <c r="CJ22" s="22">
        <f>IS!CJ40</f>
        <v>9353.0961765615648</v>
      </c>
      <c r="CK22" s="22">
        <f>IS!CK40</f>
        <v>8391.1962811276371</v>
      </c>
      <c r="CL22" s="22">
        <f>IS!CL40</f>
        <v>7910.2463334106724</v>
      </c>
      <c r="CM22" s="22">
        <f>IS!CM40</f>
        <v>7429.2963856936958</v>
      </c>
      <c r="CN22" s="22">
        <f>IS!CN40</f>
        <v>7429.2963856936958</v>
      </c>
      <c r="CO22" s="22">
        <f>IS!CO40</f>
        <v>7910.2463334106724</v>
      </c>
      <c r="CP22" s="22">
        <f>IS!CP40</f>
        <v>8872.1462288446019</v>
      </c>
      <c r="CQ22" s="22">
        <f>IS!CQ40</f>
        <v>9834.0461242785277</v>
      </c>
      <c r="CR22" s="22">
        <f>IS!CR40</f>
        <v>10795.946019712472</v>
      </c>
      <c r="CS22" s="22">
        <f>IS!CS40</f>
        <v>13200.69575829731</v>
      </c>
      <c r="CT22" s="22">
        <f>IS!CT40</f>
        <v>12019.57217053412</v>
      </c>
      <c r="CU22" s="22">
        <f>IS!CU40</f>
        <v>11485.421085824906</v>
      </c>
      <c r="CV22" s="22">
        <f>IS!CV40</f>
        <v>10417.118916406476</v>
      </c>
      <c r="CW22" s="22">
        <f>IS!CW40</f>
        <v>9348.8167469880573</v>
      </c>
      <c r="CX22" s="22">
        <f>IS!CX40</f>
        <v>8814.6656622788432</v>
      </c>
      <c r="CY22" s="22">
        <f>IS!CY40</f>
        <v>8280.5145775696219</v>
      </c>
      <c r="CZ22" s="22">
        <f>IS!CZ40</f>
        <v>8280.5145775696219</v>
      </c>
      <c r="DA22" s="22">
        <f>IS!DA40</f>
        <v>8814.6656622788432</v>
      </c>
      <c r="DB22" s="22">
        <f>IS!DB40</f>
        <v>9882.967831697264</v>
      </c>
      <c r="DC22" s="22">
        <f>IS!DC40</f>
        <v>10951.270001115689</v>
      </c>
      <c r="DD22" s="22">
        <f>IS!DD40</f>
        <v>12019.57217053412</v>
      </c>
      <c r="DE22" s="22">
        <f>IS!DE40</f>
        <v>14690.327594080172</v>
      </c>
      <c r="DF22" s="22">
        <f>IS!DF40</f>
        <v>13343.699412517472</v>
      </c>
      <c r="DG22" s="22">
        <f>IS!DG40</f>
        <v>12751.977578156821</v>
      </c>
      <c r="DH22" s="22">
        <f>IS!DH40</f>
        <v>11568.533909435493</v>
      </c>
      <c r="DI22" s="22">
        <f>IS!DI40</f>
        <v>10385.090240714169</v>
      </c>
      <c r="DJ22" s="22">
        <f>IS!DJ40</f>
        <v>9793.3684063535038</v>
      </c>
      <c r="DK22" s="22">
        <f>IS!DK40</f>
        <v>9201.6465719928456</v>
      </c>
      <c r="DL22" s="22">
        <f>IS!DL40</f>
        <v>9201.6465719928456</v>
      </c>
      <c r="DM22" s="22">
        <f>IS!DM40</f>
        <v>9793.3684063535038</v>
      </c>
      <c r="DN22" s="22">
        <f>IS!DN40</f>
        <v>10976.812075074837</v>
      </c>
      <c r="DO22" s="22">
        <f>IS!DO40</f>
        <v>12160.255743796155</v>
      </c>
      <c r="DP22" s="22">
        <f>IS!DP40</f>
        <v>13343.699412517472</v>
      </c>
      <c r="DQ22" s="22">
        <f>IS!DQ40</f>
        <v>16302.308584320814</v>
      </c>
    </row>
    <row r="23" spans="1:121" ht="15" customHeight="1">
      <c r="A23" t="s">
        <v>527</v>
      </c>
      <c r="B23" s="13">
        <f>IS!B41</f>
        <v>0.16981792416835673</v>
      </c>
      <c r="C23" s="13">
        <f>IS!C41</f>
        <v>0.16915673325982278</v>
      </c>
      <c r="D23" s="13">
        <f>IS!D41</f>
        <v>0.16757960039139297</v>
      </c>
      <c r="E23" s="13">
        <f>IS!E41</f>
        <v>0.16565199355220092</v>
      </c>
      <c r="F23" s="13">
        <f>IS!F41</f>
        <v>0.16455127998726576</v>
      </c>
      <c r="G23" s="13">
        <f>IS!G41</f>
        <v>0.16331297722671378</v>
      </c>
      <c r="H23" s="13">
        <f>IS!H41</f>
        <v>0.16338346945021642</v>
      </c>
      <c r="I23" s="13">
        <f>IS!I41</f>
        <v>0.16475031685362621</v>
      </c>
      <c r="J23" s="13">
        <f>IS!J41</f>
        <v>0.16699301376589343</v>
      </c>
      <c r="K23" s="13">
        <f>IS!K41</f>
        <v>0.16880853031391901</v>
      </c>
      <c r="L23" s="13">
        <f>IS!L41</f>
        <v>0.17030830485359258</v>
      </c>
      <c r="M23" s="13">
        <f>IS!M41</f>
        <v>0.17305996020962058</v>
      </c>
      <c r="N23" s="13">
        <f>IS!N41</f>
        <v>0.18196434099903563</v>
      </c>
      <c r="O23" s="13">
        <f>IS!O41</f>
        <v>0.18140218194057783</v>
      </c>
      <c r="P23" s="13">
        <f>IS!P41</f>
        <v>0.18005924742488463</v>
      </c>
      <c r="Q23" s="13">
        <f>IS!Q41</f>
        <v>0.17841788301681516</v>
      </c>
      <c r="R23" s="13">
        <f>IS!R41</f>
        <v>0.17748176788338646</v>
      </c>
      <c r="S23" s="13">
        <f>IS!S41</f>
        <v>0.17642863835827902</v>
      </c>
      <c r="T23" s="13">
        <f>IS!T41</f>
        <v>0.17649109920982986</v>
      </c>
      <c r="U23" s="13">
        <f>IS!U41</f>
        <v>0.17765812793482411</v>
      </c>
      <c r="V23" s="13">
        <f>IS!V41</f>
        <v>0.17957105138613955</v>
      </c>
      <c r="W23" s="13">
        <f>IS!W41</f>
        <v>0.18111960846577643</v>
      </c>
      <c r="X23" s="13">
        <f>IS!X41</f>
        <v>0.18239885127069358</v>
      </c>
      <c r="Y23" s="13">
        <f>IS!Y41</f>
        <v>0.18474389365715518</v>
      </c>
      <c r="Z23" s="13">
        <f>IS!Z41</f>
        <v>0.1931831046814286</v>
      </c>
      <c r="AA23" s="13">
        <f>IS!AA41</f>
        <v>0.19270560114421281</v>
      </c>
      <c r="AB23" s="13">
        <f>IS!AB41</f>
        <v>0.19156303091748489</v>
      </c>
      <c r="AC23" s="13">
        <f>IS!AC41</f>
        <v>0.19016655619592807</v>
      </c>
      <c r="AD23" s="13">
        <f>IS!AD41</f>
        <v>0.18937116641332555</v>
      </c>
      <c r="AE23" s="13">
        <f>IS!AE41</f>
        <v>0.18847635290789722</v>
      </c>
      <c r="AF23" s="13">
        <f>IS!AF41</f>
        <v>0.1885317430218123</v>
      </c>
      <c r="AG23" s="13">
        <f>IS!AG41</f>
        <v>0.18952756202908574</v>
      </c>
      <c r="AH23" s="13">
        <f>IS!AH41</f>
        <v>0.19115808657698569</v>
      </c>
      <c r="AI23" s="13">
        <f>IS!AI41</f>
        <v>0.19247803502052366</v>
      </c>
      <c r="AJ23" s="13">
        <f>IS!AJ41</f>
        <v>0.19356842721301171</v>
      </c>
      <c r="AK23" s="13">
        <f>IS!AK41</f>
        <v>0.19556543533342802</v>
      </c>
      <c r="AL23" s="13">
        <f>IS!AL41</f>
        <v>0.20338935942716443</v>
      </c>
      <c r="AM23" s="13">
        <f>IS!AM41</f>
        <v>0.20297659151656491</v>
      </c>
      <c r="AN23" s="13">
        <f>IS!AN41</f>
        <v>0.20198715703643083</v>
      </c>
      <c r="AO23" s="13">
        <f>IS!AO41</f>
        <v>0.20077784822737763</v>
      </c>
      <c r="AP23" s="13">
        <f>IS!AP41</f>
        <v>0.20009005968426152</v>
      </c>
      <c r="AQ23" s="13">
        <f>IS!AQ41</f>
        <v>0.19931629757325567</v>
      </c>
      <c r="AR23" s="13">
        <f>IS!AR41</f>
        <v>0.19936638293044984</v>
      </c>
      <c r="AS23" s="13">
        <f>IS!AS41</f>
        <v>0.20023147716339798</v>
      </c>
      <c r="AT23" s="13">
        <f>IS!AT41</f>
        <v>0.20164630083388371</v>
      </c>
      <c r="AU23" s="13">
        <f>IS!AU41</f>
        <v>0.20279163428142</v>
      </c>
      <c r="AV23" s="13">
        <f>IS!AV41</f>
        <v>0.20373777930329767</v>
      </c>
      <c r="AW23" s="13">
        <f>IS!AW41</f>
        <v>0.20546887091315205</v>
      </c>
      <c r="AX23" s="13">
        <f>IS!AX41</f>
        <v>0.21290335721959605</v>
      </c>
      <c r="AY23" s="13">
        <f>IS!AY41</f>
        <v>0.21254704536224819</v>
      </c>
      <c r="AZ23" s="13">
        <f>IS!AZ41</f>
        <v>0.21169127075173019</v>
      </c>
      <c r="BA23" s="13">
        <f>IS!BA41</f>
        <v>0.21064532400554167</v>
      </c>
      <c r="BB23" s="13">
        <f>IS!BB41</f>
        <v>0.21005138905991205</v>
      </c>
      <c r="BC23" s="13">
        <f>IS!BC41</f>
        <v>0.20938321224607861</v>
      </c>
      <c r="BD23" s="13">
        <f>IS!BD41</f>
        <v>0.20942853391935137</v>
      </c>
      <c r="BE23" s="13">
        <f>IS!BE41</f>
        <v>0.21017935613738795</v>
      </c>
      <c r="BF23" s="13">
        <f>IS!BF41</f>
        <v>0.21140573320079872</v>
      </c>
      <c r="BG23" s="13">
        <f>IS!BG41</f>
        <v>0.21239851463308379</v>
      </c>
      <c r="BH23" s="13">
        <f>IS!BH41</f>
        <v>0.21321863842497152</v>
      </c>
      <c r="BI23" s="13">
        <f>IS!BI41</f>
        <v>0.21471752338624114</v>
      </c>
      <c r="BJ23" s="13">
        <f>IS!BJ41</f>
        <v>0.22164676445800202</v>
      </c>
      <c r="BK23" s="13">
        <f>IS!BK41</f>
        <v>0.22133378711364196</v>
      </c>
      <c r="BL23" s="13">
        <f>IS!BL41</f>
        <v>0.22058047642707404</v>
      </c>
      <c r="BM23" s="13">
        <f>IS!BM41</f>
        <v>0.21965976336571322</v>
      </c>
      <c r="BN23" s="13">
        <f>IS!BN41</f>
        <v>0.21913785144405348</v>
      </c>
      <c r="BO23" s="13">
        <f>IS!BO41</f>
        <v>0.21855070053218606</v>
      </c>
      <c r="BP23" s="13">
        <f>IS!BP41</f>
        <v>0.21859252902535956</v>
      </c>
      <c r="BQ23" s="13">
        <f>IS!BQ41</f>
        <v>0.21925595542477852</v>
      </c>
      <c r="BR23" s="13">
        <f>IS!BR41</f>
        <v>0.22033808115586431</v>
      </c>
      <c r="BS23" s="13">
        <f>IS!BS41</f>
        <v>0.22121408770007694</v>
      </c>
      <c r="BT23" s="13">
        <f>IS!BT41</f>
        <v>0.22193774528007826</v>
      </c>
      <c r="BU23" s="13">
        <f>IS!BU41</f>
        <v>0.22325875024843253</v>
      </c>
      <c r="BV23" s="13">
        <f>IS!BV41</f>
        <v>0.2298553230440207</v>
      </c>
      <c r="BW23" s="13">
        <f>IS!BW41</f>
        <v>0.22958093879095565</v>
      </c>
      <c r="BX23" s="13">
        <f>IS!BX41</f>
        <v>0.2289189513102439</v>
      </c>
      <c r="BY23" s="13">
        <f>IS!BY41</f>
        <v>0.22810985550048471</v>
      </c>
      <c r="BZ23" s="13">
        <f>IS!BZ41</f>
        <v>0.22765209543513365</v>
      </c>
      <c r="CA23" s="13">
        <f>IS!CA41</f>
        <v>0.22713711536161368</v>
      </c>
      <c r="CB23" s="13">
        <f>IS!CB41</f>
        <v>0.22717574498494131</v>
      </c>
      <c r="CC23" s="13">
        <f>IS!CC41</f>
        <v>0.22776116731276469</v>
      </c>
      <c r="CD23" s="13">
        <f>IS!CD41</f>
        <v>0.22871461155050704</v>
      </c>
      <c r="CE23" s="13">
        <f>IS!CE41</f>
        <v>0.22948644736201276</v>
      </c>
      <c r="CF23" s="13">
        <f>IS!CF41</f>
        <v>0.23012405085847387</v>
      </c>
      <c r="CG23" s="13">
        <f>IS!CG41</f>
        <v>0.23128644630862949</v>
      </c>
      <c r="CH23" s="13">
        <f>IS!CH41</f>
        <v>0.2375731290059574</v>
      </c>
      <c r="CI23" s="13">
        <f>IS!CI41</f>
        <v>0.23730715646230446</v>
      </c>
      <c r="CJ23" s="13">
        <f>IS!CJ41</f>
        <v>0.23669541961190285</v>
      </c>
      <c r="CK23" s="13">
        <f>IS!CK41</f>
        <v>0.23594774123918988</v>
      </c>
      <c r="CL23" s="13">
        <f>IS!CL41</f>
        <v>0.2355079304317117</v>
      </c>
      <c r="CM23" s="13">
        <f>IS!CM41</f>
        <v>0.23501314327329845</v>
      </c>
      <c r="CN23" s="13">
        <f>IS!CN41</f>
        <v>0.23501314327329845</v>
      </c>
      <c r="CO23" s="13">
        <f>IS!CO41</f>
        <v>0.2355079304317117</v>
      </c>
      <c r="CP23" s="13">
        <f>IS!CP41</f>
        <v>0.23634125617219676</v>
      </c>
      <c r="CQ23" s="13">
        <f>IS!CQ41</f>
        <v>0.23701585320020838</v>
      </c>
      <c r="CR23" s="13">
        <f>IS!CR41</f>
        <v>0.2375731290059574</v>
      </c>
      <c r="CS23" s="13">
        <f>IS!CS41</f>
        <v>0.23861802114173652</v>
      </c>
      <c r="CT23" s="13">
        <f>IS!CT41</f>
        <v>0.24456420453142161</v>
      </c>
      <c r="CU23" s="13">
        <f>IS!CU41</f>
        <v>0.24431827874090381</v>
      </c>
      <c r="CV23" s="13">
        <f>IS!CV41</f>
        <v>0.24375264942271299</v>
      </c>
      <c r="CW23" s="13">
        <f>IS!CW41</f>
        <v>0.24306132470047992</v>
      </c>
      <c r="CX23" s="13">
        <f>IS!CX41</f>
        <v>0.24265466309916628</v>
      </c>
      <c r="CY23" s="13">
        <f>IS!CY41</f>
        <v>0.24219716879768824</v>
      </c>
      <c r="CZ23" s="13">
        <f>IS!CZ41</f>
        <v>0.24219716879768824</v>
      </c>
      <c r="DA23" s="13">
        <f>IS!DA41</f>
        <v>0.24265466309916628</v>
      </c>
      <c r="DB23" s="13">
        <f>IS!DB41</f>
        <v>0.24342517981744466</v>
      </c>
      <c r="DC23" s="13">
        <f>IS!DC41</f>
        <v>0.24404893144652723</v>
      </c>
      <c r="DD23" s="13">
        <f>IS!DD41</f>
        <v>0.24456420453142161</v>
      </c>
      <c r="DE23" s="13">
        <f>IS!DE41</f>
        <v>0.24553034156559828</v>
      </c>
      <c r="DF23" s="13">
        <f>IS!DF41</f>
        <v>0.25118091070402565</v>
      </c>
      <c r="DG23" s="13">
        <f>IS!DG41</f>
        <v>0.25095339542162998</v>
      </c>
      <c r="DH23" s="13">
        <f>IS!DH41</f>
        <v>0.2504301102721197</v>
      </c>
      <c r="DI23" s="13">
        <f>IS!DI41</f>
        <v>0.2497905395338294</v>
      </c>
      <c r="DJ23" s="13">
        <f>IS!DJ41</f>
        <v>0.24941432145248213</v>
      </c>
      <c r="DK23" s="13">
        <f>IS!DK41</f>
        <v>0.24899107611096652</v>
      </c>
      <c r="DL23" s="13">
        <f>IS!DL41</f>
        <v>0.24899107611096652</v>
      </c>
      <c r="DM23" s="13">
        <f>IS!DM41</f>
        <v>0.24941432145248213</v>
      </c>
      <c r="DN23" s="13">
        <f>IS!DN41</f>
        <v>0.25012715571187699</v>
      </c>
      <c r="DO23" s="13">
        <f>IS!DO41</f>
        <v>0.25070421201710125</v>
      </c>
      <c r="DP23" s="13">
        <f>IS!DP41</f>
        <v>0.25118091070402565</v>
      </c>
      <c r="DQ23" s="13">
        <f>IS!DQ41</f>
        <v>0.25207472074200932</v>
      </c>
    </row>
    <row r="25" spans="1:121" ht="15" customHeight="1">
      <c r="A25" s="5" t="s">
        <v>584</v>
      </c>
    </row>
    <row r="26" spans="1:121" ht="15" customHeight="1">
      <c r="A26" t="s">
        <v>585</v>
      </c>
      <c r="B26" s="22">
        <f>CF!B25</f>
        <v>10280.819489496622</v>
      </c>
      <c r="C26" s="22">
        <f>CF!C25</f>
        <v>13538.945903186554</v>
      </c>
      <c r="D26" s="22">
        <f>CF!D25</f>
        <v>17624.375246703992</v>
      </c>
      <c r="E26" s="22">
        <f>CF!E25</f>
        <v>21487.600726780071</v>
      </c>
      <c r="F26" s="22">
        <f>CF!F25</f>
        <v>24190.469624666726</v>
      </c>
      <c r="G26" s="22">
        <f>CF!G25</f>
        <v>26782.488157642794</v>
      </c>
      <c r="H26" s="22">
        <f>CF!H25</f>
        <v>28325.503605999435</v>
      </c>
      <c r="I26" s="22">
        <f>CF!I25</f>
        <v>28930.869755299645</v>
      </c>
      <c r="J26" s="22">
        <f>CF!J25</f>
        <v>28709.94039062404</v>
      </c>
      <c r="K26" s="22">
        <f>CF!K25</f>
        <v>28712.221727323438</v>
      </c>
      <c r="L26" s="22">
        <f>CF!L25</f>
        <v>28937.713474511245</v>
      </c>
      <c r="M26" s="22">
        <f>CF!M25</f>
        <v>26571.958048555804</v>
      </c>
      <c r="N26" s="22">
        <f>CF!N25</f>
        <v>31327.163457543884</v>
      </c>
      <c r="O26" s="22">
        <f>CF!O25</f>
        <v>35196.47980825245</v>
      </c>
      <c r="P26" s="22">
        <f>CF!P25</f>
        <v>39994.625866927265</v>
      </c>
      <c r="Q26" s="22">
        <f>CF!Q25</f>
        <v>44528.595918549152</v>
      </c>
      <c r="R26" s="22">
        <f>CF!R25</f>
        <v>47737.722650520111</v>
      </c>
      <c r="S26" s="22">
        <f>CF!S25</f>
        <v>50815.011190243247</v>
      </c>
      <c r="T26" s="22">
        <f>CF!T25</f>
        <v>52699.794224140365</v>
      </c>
      <c r="U26" s="22">
        <f>CF!U25</f>
        <v>53524.409859842366</v>
      </c>
      <c r="V26" s="22">
        <f>CF!V25</f>
        <v>53421.196204488035</v>
      </c>
      <c r="W26" s="22">
        <f>CF!W25</f>
        <v>53583.158383513561</v>
      </c>
      <c r="X26" s="22">
        <f>CF!X25</f>
        <v>54010.296100161046</v>
      </c>
      <c r="Y26" s="22">
        <f>CF!Y25</f>
        <v>51520.608000806671</v>
      </c>
      <c r="Z26" s="22">
        <f>CF!Z25</f>
        <v>57139.712923276769</v>
      </c>
      <c r="AA26" s="22">
        <f>CF!AA25</f>
        <v>61703.386889201007</v>
      </c>
      <c r="AB26" s="22">
        <f>CF!AB25</f>
        <v>67309.326035667036</v>
      </c>
      <c r="AC26" s="22">
        <f>CF!AC25</f>
        <v>72603.175204195417</v>
      </c>
      <c r="AD26" s="22">
        <f>CF!AD25</f>
        <v>76386.87284506514</v>
      </c>
      <c r="AE26" s="22">
        <f>CF!AE25</f>
        <v>80014.773517278998</v>
      </c>
      <c r="AF26" s="22">
        <f>CF!AF25</f>
        <v>82288.81567011599</v>
      </c>
      <c r="AG26" s="22">
        <f>CF!AG25</f>
        <v>83365.292611594181</v>
      </c>
      <c r="AH26" s="22">
        <f>CF!AH25</f>
        <v>83400.497649229597</v>
      </c>
      <c r="AI26" s="22">
        <f>CF!AI25</f>
        <v>83748.785340018352</v>
      </c>
      <c r="AJ26" s="22">
        <f>CF!AJ25</f>
        <v>84410.155381212622</v>
      </c>
      <c r="AK26" s="22">
        <f>CF!AK25</f>
        <v>81790.42371961083</v>
      </c>
      <c r="AL26" s="22">
        <f>CF!AL25</f>
        <v>88966.972540926072</v>
      </c>
      <c r="AM26" s="22">
        <f>CF!AM25</f>
        <v>94215.314622862963</v>
      </c>
      <c r="AN26" s="22">
        <f>CF!AN25</f>
        <v>100610.98549701726</v>
      </c>
      <c r="AO26" s="22">
        <f>CF!AO25</f>
        <v>106646.75857468239</v>
      </c>
      <c r="AP26" s="22">
        <f>CF!AP25</f>
        <v>110995.60297017074</v>
      </c>
      <c r="AQ26" s="22">
        <f>CF!AQ25</f>
        <v>115164.74466061222</v>
      </c>
      <c r="AR26" s="22">
        <f>CF!AR25</f>
        <v>117827.15275929915</v>
      </c>
      <c r="AS26" s="22">
        <f>CF!AS25</f>
        <v>119163.02266243995</v>
      </c>
      <c r="AT26" s="22">
        <f>CF!AT25</f>
        <v>119352.54976573083</v>
      </c>
      <c r="AU26" s="22">
        <f>CF!AU25</f>
        <v>119902.96004425458</v>
      </c>
      <c r="AV26" s="22">
        <f>CF!AV25</f>
        <v>120814.25318915266</v>
      </c>
      <c r="AW26" s="22">
        <f>CF!AW25</f>
        <v>118105.33715135283</v>
      </c>
      <c r="AX26" s="22">
        <f>CF!AX25</f>
        <v>126310.35209642084</v>
      </c>
      <c r="AY26" s="22">
        <f>CF!AY25</f>
        <v>132317.87581332156</v>
      </c>
      <c r="AZ26" s="22">
        <f>CF!AZ25</f>
        <v>139587.77743693453</v>
      </c>
      <c r="BA26" s="22">
        <f>CF!BA25</f>
        <v>146444.5923862801</v>
      </c>
      <c r="BB26" s="22">
        <f>CF!BB25</f>
        <v>151419.6443706367</v>
      </c>
      <c r="BC26" s="22">
        <f>CF!BC25</f>
        <v>156188.397347063</v>
      </c>
      <c r="BD26" s="22">
        <f>CF!BD25</f>
        <v>159282.17502379668</v>
      </c>
      <c r="BE26" s="22">
        <f>CF!BE25</f>
        <v>160907.76537809242</v>
      </c>
      <c r="BF26" s="22">
        <f>CF!BF25</f>
        <v>161271.95638668237</v>
      </c>
      <c r="BG26" s="22">
        <f>CF!BG25</f>
        <v>162050.21200453676</v>
      </c>
      <c r="BH26" s="22">
        <f>CF!BH25</f>
        <v>163242.53191656293</v>
      </c>
      <c r="BI26" s="22">
        <f>CF!BI25</f>
        <v>160442.88787085851</v>
      </c>
      <c r="BJ26" s="22">
        <f>CF!BJ25</f>
        <v>170492.55650323268</v>
      </c>
      <c r="BK26" s="22">
        <f>CF!BK25</f>
        <v>177207.96631973234</v>
      </c>
      <c r="BL26" s="22">
        <f>CF!BL25</f>
        <v>185285.52051720832</v>
      </c>
      <c r="BM26" s="22">
        <f>CF!BM25</f>
        <v>192899.79643750662</v>
      </c>
      <c r="BN26" s="22">
        <f>CF!BN25</f>
        <v>198457.25362516203</v>
      </c>
      <c r="BO26" s="22">
        <f>CF!BO25</f>
        <v>203783.31410181412</v>
      </c>
      <c r="BP26" s="22">
        <f>CF!BP25</f>
        <v>207284.43741093596</v>
      </c>
      <c r="BQ26" s="22">
        <f>CF!BQ25</f>
        <v>209192.50543589523</v>
      </c>
      <c r="BR26" s="22">
        <f>CF!BR25</f>
        <v>209739.4000595265</v>
      </c>
      <c r="BS26" s="22">
        <f>CF!BS25</f>
        <v>210750.54330133865</v>
      </c>
      <c r="BT26" s="22">
        <f>CF!BT25</f>
        <v>212225.9348398791</v>
      </c>
      <c r="BU26" s="22">
        <f>CF!BU25</f>
        <v>209384.9539415343</v>
      </c>
      <c r="BV26" s="22">
        <f>CF!BV25</f>
        <v>220552.15222000214</v>
      </c>
      <c r="BW26" s="22">
        <f>CF!BW25</f>
        <v>228033.38352772282</v>
      </c>
      <c r="BX26" s="22">
        <f>CF!BX25</f>
        <v>236983.76987713389</v>
      </c>
      <c r="BY26" s="22">
        <f>CF!BY25</f>
        <v>245416.45820293773</v>
      </c>
      <c r="BZ26" s="22">
        <f>CF!BZ25</f>
        <v>251603.68558858702</v>
      </c>
      <c r="CA26" s="22">
        <f>CF!CA25</f>
        <v>257532.30445001731</v>
      </c>
      <c r="CB26" s="22">
        <f>CF!CB25</f>
        <v>261474.55186959828</v>
      </c>
      <c r="CC26" s="22">
        <f>CF!CC25</f>
        <v>263689.51767031389</v>
      </c>
      <c r="CD26" s="22">
        <f>CF!CD25</f>
        <v>264436.29167460417</v>
      </c>
      <c r="CE26" s="22">
        <f>CF!CE25</f>
        <v>265701.72629623127</v>
      </c>
      <c r="CF26" s="22">
        <f>CF!CF25</f>
        <v>267485.82120725419</v>
      </c>
      <c r="CG26" s="22">
        <f>CF!CG25</f>
        <v>264605.28830358549</v>
      </c>
      <c r="CH26" s="22">
        <f>CF!CH25</f>
        <v>277278.33940148127</v>
      </c>
      <c r="CI26" s="22">
        <f>CF!CI25</f>
        <v>285884.56128399679</v>
      </c>
      <c r="CJ26" s="22">
        <f>CF!CJ25</f>
        <v>296074.02046888124</v>
      </c>
      <c r="CK26" s="22">
        <f>CF!CK25</f>
        <v>305686.14097606478</v>
      </c>
      <c r="CL26" s="22">
        <f>CF!CL25</f>
        <v>312848.91679355694</v>
      </c>
      <c r="CM26" s="22">
        <f>CF!CM25</f>
        <v>319722.92323895829</v>
      </c>
      <c r="CN26" s="22">
        <f>CF!CN25</f>
        <v>324436.15429917321</v>
      </c>
      <c r="CO26" s="22">
        <f>CF!CO25</f>
        <v>327277.17960993882</v>
      </c>
      <c r="CP26" s="22">
        <f>CF!CP25</f>
        <v>328534.56880643754</v>
      </c>
      <c r="CQ26" s="22">
        <f>CF!CQ25</f>
        <v>330368.89720405248</v>
      </c>
      <c r="CR26" s="22">
        <f>CF!CR25</f>
        <v>332780.16446822346</v>
      </c>
      <c r="CS26" s="22">
        <f>CF!CS25</f>
        <v>330152.35322156292</v>
      </c>
      <c r="CT26" s="22">
        <f>CF!CT25</f>
        <v>344122.90093351807</v>
      </c>
      <c r="CU26" s="22">
        <f>CF!CU25</f>
        <v>353615.86720572639</v>
      </c>
      <c r="CV26" s="22">
        <f>CF!CV25</f>
        <v>364815.11765640473</v>
      </c>
      <c r="CW26" s="22">
        <f>CF!CW25</f>
        <v>375373.18405354384</v>
      </c>
      <c r="CX26" s="22">
        <f>CF!CX25</f>
        <v>383263.0888153977</v>
      </c>
      <c r="CY26" s="22">
        <f>CF!CY25</f>
        <v>390832.29949813499</v>
      </c>
      <c r="CZ26" s="22">
        <f>CF!CZ25</f>
        <v>396053.8385188824</v>
      </c>
      <c r="DA26" s="22">
        <f>CF!DA25</f>
        <v>399248.19618885324</v>
      </c>
      <c r="DB26" s="22">
        <f>CF!DB25</f>
        <v>400735.86281869479</v>
      </c>
      <c r="DC26" s="22">
        <f>CF!DC25</f>
        <v>402864.30596231349</v>
      </c>
      <c r="DD26" s="22">
        <f>CF!DD25</f>
        <v>405633.52527839632</v>
      </c>
      <c r="DE26" s="22">
        <f>CF!DE25</f>
        <v>402962.58869358269</v>
      </c>
      <c r="DF26" s="22">
        <f>CF!DF25</f>
        <v>418335.17355120752</v>
      </c>
      <c r="DG26" s="22">
        <f>CF!DG25</f>
        <v>428786.62125823478</v>
      </c>
      <c r="DH26" s="22">
        <f>CF!DH25</f>
        <v>441076.26306209218</v>
      </c>
      <c r="DI26" s="22">
        <f>CF!DI25</f>
        <v>452655.63182041235</v>
      </c>
      <c r="DJ26" s="22">
        <f>CF!DJ25</f>
        <v>461331.29349087074</v>
      </c>
      <c r="DK26" s="22">
        <f>CF!DK25</f>
        <v>469651.71452635276</v>
      </c>
      <c r="DL26" s="22">
        <f>CF!DL25</f>
        <v>475423.46088338376</v>
      </c>
      <c r="DM26" s="22">
        <f>CF!DM25</f>
        <v>479001.56531611306</v>
      </c>
      <c r="DN26" s="22">
        <f>CF!DN25</f>
        <v>480741.06057811255</v>
      </c>
      <c r="DO26" s="22">
        <f>CF!DO25</f>
        <v>483190.4131199597</v>
      </c>
      <c r="DP26" s="22">
        <f>CF!DP25</f>
        <v>486349.62259345216</v>
      </c>
      <c r="DQ26" s="22">
        <f>CF!DQ25</f>
        <v>483638.38755705522</v>
      </c>
    </row>
    <row r="27" spans="1:121" ht="15" customHeight="1">
      <c r="A27" t="s">
        <v>586</v>
      </c>
      <c r="B27" s="22">
        <f>Calc_Debt!B20</f>
        <v>24702.380952380954</v>
      </c>
      <c r="C27" s="22">
        <f>Calc_Debt!C20</f>
        <v>24404.761904761908</v>
      </c>
      <c r="D27" s="22">
        <f>Calc_Debt!D20</f>
        <v>24107.142857142862</v>
      </c>
      <c r="E27" s="22">
        <f>Calc_Debt!E20</f>
        <v>23809.523809523816</v>
      </c>
      <c r="F27" s="22">
        <f>Calc_Debt!F20</f>
        <v>23511.904761904771</v>
      </c>
      <c r="G27" s="22">
        <f>Calc_Debt!G20</f>
        <v>23214.285714285725</v>
      </c>
      <c r="H27" s="22">
        <f>Calc_Debt!H20</f>
        <v>22916.666666666679</v>
      </c>
      <c r="I27" s="22">
        <f>Calc_Debt!I20</f>
        <v>22619.047619047633</v>
      </c>
      <c r="J27" s="22">
        <f>Calc_Debt!J20</f>
        <v>22321.428571428587</v>
      </c>
      <c r="K27" s="22">
        <f>Calc_Debt!K20</f>
        <v>22023.809523809541</v>
      </c>
      <c r="L27" s="22">
        <f>Calc_Debt!L20</f>
        <v>21726.190476190495</v>
      </c>
      <c r="M27" s="22">
        <f>Calc_Debt!M20</f>
        <v>21428.571428571449</v>
      </c>
      <c r="N27" s="22">
        <f>Calc_Debt!N20</f>
        <v>21130.952380952403</v>
      </c>
      <c r="O27" s="22">
        <f>Calc_Debt!O20</f>
        <v>20833.333333333358</v>
      </c>
      <c r="P27" s="22">
        <f>Calc_Debt!P20</f>
        <v>20535.714285714312</v>
      </c>
      <c r="Q27" s="22">
        <f>Calc_Debt!Q20</f>
        <v>20238.095238095266</v>
      </c>
      <c r="R27" s="22">
        <f>Calc_Debt!R20</f>
        <v>19940.47619047622</v>
      </c>
      <c r="S27" s="22">
        <f>Calc_Debt!S20</f>
        <v>19642.857142857174</v>
      </c>
      <c r="T27" s="22">
        <f>Calc_Debt!T20</f>
        <v>19345.238095238128</v>
      </c>
      <c r="U27" s="22">
        <f>Calc_Debt!U20</f>
        <v>19047.619047619082</v>
      </c>
      <c r="V27" s="22">
        <f>Calc_Debt!V20</f>
        <v>18750.000000000036</v>
      </c>
      <c r="W27" s="22">
        <f>Calc_Debt!W20</f>
        <v>18452.38095238099</v>
      </c>
      <c r="X27" s="22">
        <f>Calc_Debt!X20</f>
        <v>18154.761904761945</v>
      </c>
      <c r="Y27" s="22">
        <f>Calc_Debt!Y20</f>
        <v>17857.142857142899</v>
      </c>
      <c r="Z27" s="22">
        <f>Calc_Debt!Z20</f>
        <v>17559.523809523853</v>
      </c>
      <c r="AA27" s="22">
        <f>Calc_Debt!AA20</f>
        <v>17261.904761904807</v>
      </c>
      <c r="AB27" s="22">
        <f>Calc_Debt!AB20</f>
        <v>16964.285714285761</v>
      </c>
      <c r="AC27" s="22">
        <f>Calc_Debt!AC20</f>
        <v>16666.666666666715</v>
      </c>
      <c r="AD27" s="22">
        <f>Calc_Debt!AD20</f>
        <v>16369.047619047667</v>
      </c>
      <c r="AE27" s="22">
        <f>Calc_Debt!AE20</f>
        <v>16071.42857142862</v>
      </c>
      <c r="AF27" s="22">
        <f>Calc_Debt!AF20</f>
        <v>15773.809523809572</v>
      </c>
      <c r="AG27" s="22">
        <f>Calc_Debt!AG20</f>
        <v>15476.190476190524</v>
      </c>
      <c r="AH27" s="22">
        <f>Calc_Debt!AH20</f>
        <v>15178.571428571477</v>
      </c>
      <c r="AI27" s="22">
        <f>Calc_Debt!AI20</f>
        <v>14880.952380952429</v>
      </c>
      <c r="AJ27" s="22">
        <f>Calc_Debt!AJ20</f>
        <v>14583.333333333381</v>
      </c>
      <c r="AK27" s="22">
        <f>Calc_Debt!AK20</f>
        <v>14285.714285714334</v>
      </c>
      <c r="AL27" s="22">
        <f>Calc_Debt!AL20</f>
        <v>13988.095238095286</v>
      </c>
      <c r="AM27" s="22">
        <f>Calc_Debt!AM20</f>
        <v>13690.476190476238</v>
      </c>
      <c r="AN27" s="22">
        <f>Calc_Debt!AN20</f>
        <v>13392.85714285719</v>
      </c>
      <c r="AO27" s="22">
        <f>Calc_Debt!AO20</f>
        <v>13095.238095238143</v>
      </c>
      <c r="AP27" s="22">
        <f>Calc_Debt!AP20</f>
        <v>12797.619047619095</v>
      </c>
      <c r="AQ27" s="22">
        <f>Calc_Debt!AQ20</f>
        <v>12500.000000000047</v>
      </c>
      <c r="AR27" s="22">
        <f>Calc_Debt!AR20</f>
        <v>12202.380952381</v>
      </c>
      <c r="AS27" s="22">
        <f>Calc_Debt!AS20</f>
        <v>11904.761904761952</v>
      </c>
      <c r="AT27" s="22">
        <f>Calc_Debt!AT20</f>
        <v>11607.142857142904</v>
      </c>
      <c r="AU27" s="22">
        <f>Calc_Debt!AU20</f>
        <v>11309.523809523856</v>
      </c>
      <c r="AV27" s="22">
        <f>Calc_Debt!AV20</f>
        <v>11011.904761904809</v>
      </c>
      <c r="AW27" s="22">
        <f>Calc_Debt!AW20</f>
        <v>10714.285714285761</v>
      </c>
      <c r="AX27" s="22">
        <f>Calc_Debt!AX20</f>
        <v>10416.666666666713</v>
      </c>
      <c r="AY27" s="22">
        <f>Calc_Debt!AY20</f>
        <v>10119.047619047666</v>
      </c>
      <c r="AZ27" s="22">
        <f>Calc_Debt!AZ20</f>
        <v>9821.4285714286179</v>
      </c>
      <c r="BA27" s="22">
        <f>Calc_Debt!BA20</f>
        <v>9523.8095238095702</v>
      </c>
      <c r="BB27" s="22">
        <f>Calc_Debt!BB20</f>
        <v>9226.1904761905225</v>
      </c>
      <c r="BC27" s="22">
        <f>Calc_Debt!BC20</f>
        <v>8928.5714285714748</v>
      </c>
      <c r="BD27" s="22">
        <f>Calc_Debt!BD20</f>
        <v>8630.9523809524271</v>
      </c>
      <c r="BE27" s="22">
        <f>Calc_Debt!BE20</f>
        <v>8333.3333333333794</v>
      </c>
      <c r="BF27" s="22">
        <f>Calc_Debt!BF20</f>
        <v>8035.7142857143317</v>
      </c>
      <c r="BG27" s="22">
        <f>Calc_Debt!BG20</f>
        <v>7738.095238095284</v>
      </c>
      <c r="BH27" s="22">
        <f>Calc_Debt!BH20</f>
        <v>7440.4761904762363</v>
      </c>
      <c r="BI27" s="22">
        <f>Calc_Debt!BI20</f>
        <v>7142.8571428571886</v>
      </c>
      <c r="BJ27" s="22">
        <f>Calc_Debt!BJ20</f>
        <v>6845.2380952381409</v>
      </c>
      <c r="BK27" s="22">
        <f>Calc_Debt!BK20</f>
        <v>6547.6190476190932</v>
      </c>
      <c r="BL27" s="22">
        <f>Calc_Debt!BL20</f>
        <v>6250.0000000000455</v>
      </c>
      <c r="BM27" s="22">
        <f>Calc_Debt!BM20</f>
        <v>5952.3809523809978</v>
      </c>
      <c r="BN27" s="22">
        <f>Calc_Debt!BN20</f>
        <v>5654.7619047619501</v>
      </c>
      <c r="BO27" s="22">
        <f>Calc_Debt!BO20</f>
        <v>5357.1428571429024</v>
      </c>
      <c r="BP27" s="22">
        <f>Calc_Debt!BP20</f>
        <v>5059.5238095238547</v>
      </c>
      <c r="BQ27" s="22">
        <f>Calc_Debt!BQ20</f>
        <v>4761.9047619048069</v>
      </c>
      <c r="BR27" s="22">
        <f>Calc_Debt!BR20</f>
        <v>4464.2857142857592</v>
      </c>
      <c r="BS27" s="22">
        <f>Calc_Debt!BS20</f>
        <v>4166.6666666667115</v>
      </c>
      <c r="BT27" s="22">
        <f>Calc_Debt!BT20</f>
        <v>3869.0476190476638</v>
      </c>
      <c r="BU27" s="22">
        <f>Calc_Debt!BU20</f>
        <v>3571.4285714286161</v>
      </c>
      <c r="BV27" s="22">
        <f>Calc_Debt!BV20</f>
        <v>3273.8095238095684</v>
      </c>
      <c r="BW27" s="22">
        <f>Calc_Debt!BW20</f>
        <v>2976.1904761905207</v>
      </c>
      <c r="BX27" s="22">
        <f>Calc_Debt!BX20</f>
        <v>2678.571428571473</v>
      </c>
      <c r="BY27" s="22">
        <f>Calc_Debt!BY20</f>
        <v>2380.9523809524253</v>
      </c>
      <c r="BZ27" s="22">
        <f>Calc_Debt!BZ20</f>
        <v>2083.3333333333776</v>
      </c>
      <c r="CA27" s="22">
        <f>Calc_Debt!CA20</f>
        <v>1785.7142857143299</v>
      </c>
      <c r="CB27" s="22">
        <f>Calc_Debt!CB20</f>
        <v>1488.0952380952822</v>
      </c>
      <c r="CC27" s="22">
        <f>Calc_Debt!CC20</f>
        <v>1190.4761904762345</v>
      </c>
      <c r="CD27" s="22">
        <f>Calc_Debt!CD20</f>
        <v>892.85714285718677</v>
      </c>
      <c r="CE27" s="22">
        <f>Calc_Debt!CE20</f>
        <v>595.23809523813907</v>
      </c>
      <c r="CF27" s="22">
        <f>Calc_Debt!CF20</f>
        <v>297.61904761909142</v>
      </c>
      <c r="CG27" s="22">
        <f>Calc_Debt!CG20</f>
        <v>4.3769432522822171E-11</v>
      </c>
      <c r="CH27" s="22">
        <f>Calc_Debt!CH20</f>
        <v>0</v>
      </c>
      <c r="CI27" s="22">
        <f>Calc_Debt!CI20</f>
        <v>0</v>
      </c>
      <c r="CJ27" s="22">
        <f>Calc_Debt!CJ20</f>
        <v>0</v>
      </c>
      <c r="CK27" s="22">
        <f>Calc_Debt!CK20</f>
        <v>0</v>
      </c>
      <c r="CL27" s="22">
        <f>Calc_Debt!CL20</f>
        <v>0</v>
      </c>
      <c r="CM27" s="22">
        <f>Calc_Debt!CM20</f>
        <v>0</v>
      </c>
      <c r="CN27" s="22">
        <f>Calc_Debt!CN20</f>
        <v>0</v>
      </c>
      <c r="CO27" s="22">
        <f>Calc_Debt!CO20</f>
        <v>0</v>
      </c>
      <c r="CP27" s="22">
        <f>Calc_Debt!CP20</f>
        <v>0</v>
      </c>
      <c r="CQ27" s="22">
        <f>Calc_Debt!CQ20</f>
        <v>0</v>
      </c>
      <c r="CR27" s="22">
        <f>Calc_Debt!CR20</f>
        <v>0</v>
      </c>
      <c r="CS27" s="22">
        <f>Calc_Debt!CS20</f>
        <v>0</v>
      </c>
      <c r="CT27" s="22">
        <f>Calc_Debt!CT20</f>
        <v>0</v>
      </c>
      <c r="CU27" s="22">
        <f>Calc_Debt!CU20</f>
        <v>0</v>
      </c>
      <c r="CV27" s="22">
        <f>Calc_Debt!CV20</f>
        <v>0</v>
      </c>
      <c r="CW27" s="22">
        <f>Calc_Debt!CW20</f>
        <v>0</v>
      </c>
      <c r="CX27" s="22">
        <f>Calc_Debt!CX20</f>
        <v>0</v>
      </c>
      <c r="CY27" s="22">
        <f>Calc_Debt!CY20</f>
        <v>0</v>
      </c>
      <c r="CZ27" s="22">
        <f>Calc_Debt!CZ20</f>
        <v>0</v>
      </c>
      <c r="DA27" s="22">
        <f>Calc_Debt!DA20</f>
        <v>0</v>
      </c>
      <c r="DB27" s="22">
        <f>Calc_Debt!DB20</f>
        <v>0</v>
      </c>
      <c r="DC27" s="22">
        <f>Calc_Debt!DC20</f>
        <v>0</v>
      </c>
      <c r="DD27" s="22">
        <f>Calc_Debt!DD20</f>
        <v>0</v>
      </c>
      <c r="DE27" s="22">
        <f>Calc_Debt!DE20</f>
        <v>0</v>
      </c>
      <c r="DF27" s="22">
        <f>Calc_Debt!DF20</f>
        <v>0</v>
      </c>
      <c r="DG27" s="22">
        <f>Calc_Debt!DG20</f>
        <v>0</v>
      </c>
      <c r="DH27" s="22">
        <f>Calc_Debt!DH20</f>
        <v>0</v>
      </c>
      <c r="DI27" s="22">
        <f>Calc_Debt!DI20</f>
        <v>0</v>
      </c>
      <c r="DJ27" s="22">
        <f>Calc_Debt!DJ20</f>
        <v>0</v>
      </c>
      <c r="DK27" s="22">
        <f>Calc_Debt!DK20</f>
        <v>0</v>
      </c>
      <c r="DL27" s="22">
        <f>Calc_Debt!DL20</f>
        <v>0</v>
      </c>
      <c r="DM27" s="22">
        <f>Calc_Debt!DM20</f>
        <v>0</v>
      </c>
      <c r="DN27" s="22">
        <f>Calc_Debt!DN20</f>
        <v>0</v>
      </c>
      <c r="DO27" s="22">
        <f>Calc_Debt!DO20</f>
        <v>0</v>
      </c>
      <c r="DP27" s="22">
        <f>Calc_Debt!DP20</f>
        <v>0</v>
      </c>
      <c r="DQ27" s="22">
        <f>Calc_Debt!DQ20</f>
        <v>0</v>
      </c>
    </row>
    <row r="28" spans="1:121" ht="15" customHeight="1">
      <c r="A28" t="s">
        <v>587</v>
      </c>
      <c r="B28" s="22">
        <f t="shared" ref="B28:AG28" si="12">B27-B26</f>
        <v>14421.561462884332</v>
      </c>
      <c r="C28" s="22">
        <f t="shared" si="12"/>
        <v>10865.816001575355</v>
      </c>
      <c r="D28" s="22">
        <f t="shared" si="12"/>
        <v>6482.7676104388702</v>
      </c>
      <c r="E28" s="22">
        <f t="shared" si="12"/>
        <v>2321.9230827437459</v>
      </c>
      <c r="F28" s="22">
        <f t="shared" si="12"/>
        <v>-678.56486276195574</v>
      </c>
      <c r="G28" s="22">
        <f t="shared" si="12"/>
        <v>-3568.2024433570696</v>
      </c>
      <c r="H28" s="22">
        <f t="shared" si="12"/>
        <v>-5408.8369393327557</v>
      </c>
      <c r="I28" s="22">
        <f t="shared" si="12"/>
        <v>-6311.8221362520126</v>
      </c>
      <c r="J28" s="22">
        <f t="shared" si="12"/>
        <v>-6388.5118191954534</v>
      </c>
      <c r="K28" s="22">
        <f t="shared" si="12"/>
        <v>-6688.4122035138971</v>
      </c>
      <c r="L28" s="22">
        <f t="shared" si="12"/>
        <v>-7211.52299832075</v>
      </c>
      <c r="M28" s="22">
        <f t="shared" si="12"/>
        <v>-5143.3866199843542</v>
      </c>
      <c r="N28" s="22">
        <f t="shared" si="12"/>
        <v>-10196.21107659148</v>
      </c>
      <c r="O28" s="22">
        <f t="shared" si="12"/>
        <v>-14363.146474919093</v>
      </c>
      <c r="P28" s="22">
        <f t="shared" si="12"/>
        <v>-19458.911581212953</v>
      </c>
      <c r="Q28" s="22">
        <f t="shared" si="12"/>
        <v>-24290.500680453886</v>
      </c>
      <c r="R28" s="22">
        <f t="shared" si="12"/>
        <v>-27797.246460043891</v>
      </c>
      <c r="S28" s="22">
        <f t="shared" si="12"/>
        <v>-31172.154047386073</v>
      </c>
      <c r="T28" s="22">
        <f t="shared" si="12"/>
        <v>-33354.556128902237</v>
      </c>
      <c r="U28" s="22">
        <f t="shared" si="12"/>
        <v>-34476.790812223284</v>
      </c>
      <c r="V28" s="22">
        <f t="shared" si="12"/>
        <v>-34671.196204487998</v>
      </c>
      <c r="W28" s="22">
        <f t="shared" si="12"/>
        <v>-35130.77743113257</v>
      </c>
      <c r="X28" s="22">
        <f t="shared" si="12"/>
        <v>-35855.534195399101</v>
      </c>
      <c r="Y28" s="22">
        <f t="shared" si="12"/>
        <v>-33663.465143663772</v>
      </c>
      <c r="Z28" s="22">
        <f t="shared" si="12"/>
        <v>-39580.189113752916</v>
      </c>
      <c r="AA28" s="22">
        <f t="shared" si="12"/>
        <v>-44441.4821272962</v>
      </c>
      <c r="AB28" s="22">
        <f t="shared" si="12"/>
        <v>-50345.040321381275</v>
      </c>
      <c r="AC28" s="22">
        <f t="shared" si="12"/>
        <v>-55936.508537528702</v>
      </c>
      <c r="AD28" s="22">
        <f t="shared" si="12"/>
        <v>-60017.82522601747</v>
      </c>
      <c r="AE28" s="22">
        <f t="shared" si="12"/>
        <v>-63943.344945850375</v>
      </c>
      <c r="AF28" s="22">
        <f t="shared" si="12"/>
        <v>-66515.006146306419</v>
      </c>
      <c r="AG28" s="22">
        <f t="shared" si="12"/>
        <v>-67889.102135403664</v>
      </c>
      <c r="AH28" s="22">
        <f t="shared" ref="AH28:BM28" si="13">AH27-AH26</f>
        <v>-68221.926220658119</v>
      </c>
      <c r="AI28" s="22">
        <f t="shared" si="13"/>
        <v>-68867.832959065927</v>
      </c>
      <c r="AJ28" s="22">
        <f t="shared" si="13"/>
        <v>-69826.822047879235</v>
      </c>
      <c r="AK28" s="22">
        <f t="shared" si="13"/>
        <v>-67504.709433896496</v>
      </c>
      <c r="AL28" s="22">
        <f t="shared" si="13"/>
        <v>-74978.877302830791</v>
      </c>
      <c r="AM28" s="22">
        <f t="shared" si="13"/>
        <v>-80524.838432386721</v>
      </c>
      <c r="AN28" s="22">
        <f t="shared" si="13"/>
        <v>-87218.128354160071</v>
      </c>
      <c r="AO28" s="22">
        <f t="shared" si="13"/>
        <v>-93551.52047944424</v>
      </c>
      <c r="AP28" s="22">
        <f t="shared" si="13"/>
        <v>-98197.983922551648</v>
      </c>
      <c r="AQ28" s="22">
        <f t="shared" si="13"/>
        <v>-102664.74466061218</v>
      </c>
      <c r="AR28" s="22">
        <f t="shared" si="13"/>
        <v>-105624.77180691814</v>
      </c>
      <c r="AS28" s="22">
        <f t="shared" si="13"/>
        <v>-107258.260757678</v>
      </c>
      <c r="AT28" s="22">
        <f t="shared" si="13"/>
        <v>-107745.40690858793</v>
      </c>
      <c r="AU28" s="22">
        <f t="shared" si="13"/>
        <v>-108593.43623473072</v>
      </c>
      <c r="AV28" s="22">
        <f t="shared" si="13"/>
        <v>-109802.34842724785</v>
      </c>
      <c r="AW28" s="22">
        <f t="shared" si="13"/>
        <v>-107391.05143706707</v>
      </c>
      <c r="AX28" s="22">
        <f t="shared" si="13"/>
        <v>-115893.68542975413</v>
      </c>
      <c r="AY28" s="22">
        <f t="shared" si="13"/>
        <v>-122198.8281942739</v>
      </c>
      <c r="AZ28" s="22">
        <f t="shared" si="13"/>
        <v>-129766.3488655059</v>
      </c>
      <c r="BA28" s="22">
        <f t="shared" si="13"/>
        <v>-136920.78286247054</v>
      </c>
      <c r="BB28" s="22">
        <f t="shared" si="13"/>
        <v>-142193.45389444617</v>
      </c>
      <c r="BC28" s="22">
        <f t="shared" si="13"/>
        <v>-147259.82591849152</v>
      </c>
      <c r="BD28" s="22">
        <f t="shared" si="13"/>
        <v>-150651.22264284425</v>
      </c>
      <c r="BE28" s="22">
        <f t="shared" si="13"/>
        <v>-152574.43204475904</v>
      </c>
      <c r="BF28" s="22">
        <f t="shared" si="13"/>
        <v>-153236.24210096805</v>
      </c>
      <c r="BG28" s="22">
        <f t="shared" si="13"/>
        <v>-154312.11676644147</v>
      </c>
      <c r="BH28" s="22">
        <f t="shared" si="13"/>
        <v>-155802.05572608669</v>
      </c>
      <c r="BI28" s="22">
        <f t="shared" si="13"/>
        <v>-153300.03072800132</v>
      </c>
      <c r="BJ28" s="22">
        <f t="shared" si="13"/>
        <v>-163647.31840799455</v>
      </c>
      <c r="BK28" s="22">
        <f t="shared" si="13"/>
        <v>-170660.34727211326</v>
      </c>
      <c r="BL28" s="22">
        <f t="shared" si="13"/>
        <v>-179035.52051720826</v>
      </c>
      <c r="BM28" s="22">
        <f t="shared" si="13"/>
        <v>-186947.41548512562</v>
      </c>
      <c r="BN28" s="22">
        <f t="shared" ref="BN28:CS28" si="14">BN27-BN26</f>
        <v>-192802.49172040008</v>
      </c>
      <c r="BO28" s="22">
        <f t="shared" si="14"/>
        <v>-198426.17124467122</v>
      </c>
      <c r="BP28" s="22">
        <f t="shared" si="14"/>
        <v>-202224.91360141212</v>
      </c>
      <c r="BQ28" s="22">
        <f t="shared" si="14"/>
        <v>-204430.60067399044</v>
      </c>
      <c r="BR28" s="22">
        <f t="shared" si="14"/>
        <v>-205275.11434524073</v>
      </c>
      <c r="BS28" s="22">
        <f t="shared" si="14"/>
        <v>-206583.87663467193</v>
      </c>
      <c r="BT28" s="22">
        <f t="shared" si="14"/>
        <v>-208356.88722083144</v>
      </c>
      <c r="BU28" s="22">
        <f t="shared" si="14"/>
        <v>-205813.52537010569</v>
      </c>
      <c r="BV28" s="22">
        <f t="shared" si="14"/>
        <v>-217278.34269619259</v>
      </c>
      <c r="BW28" s="22">
        <f t="shared" si="14"/>
        <v>-225057.19305153229</v>
      </c>
      <c r="BX28" s="22">
        <f t="shared" si="14"/>
        <v>-234305.19844856241</v>
      </c>
      <c r="BY28" s="22">
        <f t="shared" si="14"/>
        <v>-243035.50582198531</v>
      </c>
      <c r="BZ28" s="22">
        <f t="shared" si="14"/>
        <v>-249520.35225525365</v>
      </c>
      <c r="CA28" s="22">
        <f t="shared" si="14"/>
        <v>-255746.59016430299</v>
      </c>
      <c r="CB28" s="22">
        <f t="shared" si="14"/>
        <v>-259986.45663150298</v>
      </c>
      <c r="CC28" s="22">
        <f t="shared" si="14"/>
        <v>-262499.04147983767</v>
      </c>
      <c r="CD28" s="22">
        <f t="shared" si="14"/>
        <v>-263543.43453174701</v>
      </c>
      <c r="CE28" s="22">
        <f t="shared" si="14"/>
        <v>-265106.4882009931</v>
      </c>
      <c r="CF28" s="22">
        <f t="shared" si="14"/>
        <v>-267188.20215963508</v>
      </c>
      <c r="CG28" s="22">
        <f t="shared" si="14"/>
        <v>-264605.28830358543</v>
      </c>
      <c r="CH28" s="22">
        <f t="shared" si="14"/>
        <v>-277278.33940148127</v>
      </c>
      <c r="CI28" s="22">
        <f t="shared" si="14"/>
        <v>-285884.56128399679</v>
      </c>
      <c r="CJ28" s="22">
        <f t="shared" si="14"/>
        <v>-296074.02046888124</v>
      </c>
      <c r="CK28" s="22">
        <f t="shared" si="14"/>
        <v>-305686.14097606478</v>
      </c>
      <c r="CL28" s="22">
        <f t="shared" si="14"/>
        <v>-312848.91679355694</v>
      </c>
      <c r="CM28" s="22">
        <f t="shared" si="14"/>
        <v>-319722.92323895829</v>
      </c>
      <c r="CN28" s="22">
        <f t="shared" si="14"/>
        <v>-324436.15429917321</v>
      </c>
      <c r="CO28" s="22">
        <f t="shared" si="14"/>
        <v>-327277.17960993882</v>
      </c>
      <c r="CP28" s="22">
        <f t="shared" si="14"/>
        <v>-328534.56880643754</v>
      </c>
      <c r="CQ28" s="22">
        <f t="shared" si="14"/>
        <v>-330368.89720405248</v>
      </c>
      <c r="CR28" s="22">
        <f t="shared" si="14"/>
        <v>-332780.16446822346</v>
      </c>
      <c r="CS28" s="22">
        <f t="shared" si="14"/>
        <v>-330152.35322156292</v>
      </c>
      <c r="CT28" s="22">
        <f t="shared" ref="CT28:DY28" si="15">CT27-CT26</f>
        <v>-344122.90093351807</v>
      </c>
      <c r="CU28" s="22">
        <f t="shared" si="15"/>
        <v>-353615.86720572639</v>
      </c>
      <c r="CV28" s="22">
        <f t="shared" si="15"/>
        <v>-364815.11765640473</v>
      </c>
      <c r="CW28" s="22">
        <f t="shared" si="15"/>
        <v>-375373.18405354384</v>
      </c>
      <c r="CX28" s="22">
        <f t="shared" si="15"/>
        <v>-383263.0888153977</v>
      </c>
      <c r="CY28" s="22">
        <f t="shared" si="15"/>
        <v>-390832.29949813499</v>
      </c>
      <c r="CZ28" s="22">
        <f t="shared" si="15"/>
        <v>-396053.8385188824</v>
      </c>
      <c r="DA28" s="22">
        <f t="shared" si="15"/>
        <v>-399248.19618885324</v>
      </c>
      <c r="DB28" s="22">
        <f t="shared" si="15"/>
        <v>-400735.86281869479</v>
      </c>
      <c r="DC28" s="22">
        <f t="shared" si="15"/>
        <v>-402864.30596231349</v>
      </c>
      <c r="DD28" s="22">
        <f t="shared" si="15"/>
        <v>-405633.52527839632</v>
      </c>
      <c r="DE28" s="22">
        <f t="shared" si="15"/>
        <v>-402962.58869358269</v>
      </c>
      <c r="DF28" s="22">
        <f t="shared" si="15"/>
        <v>-418335.17355120752</v>
      </c>
      <c r="DG28" s="22">
        <f t="shared" si="15"/>
        <v>-428786.62125823478</v>
      </c>
      <c r="DH28" s="22">
        <f t="shared" si="15"/>
        <v>-441076.26306209218</v>
      </c>
      <c r="DI28" s="22">
        <f t="shared" si="15"/>
        <v>-452655.63182041235</v>
      </c>
      <c r="DJ28" s="22">
        <f t="shared" si="15"/>
        <v>-461331.29349087074</v>
      </c>
      <c r="DK28" s="22">
        <f t="shared" si="15"/>
        <v>-469651.71452635276</v>
      </c>
      <c r="DL28" s="22">
        <f t="shared" si="15"/>
        <v>-475423.46088338376</v>
      </c>
      <c r="DM28" s="22">
        <f t="shared" si="15"/>
        <v>-479001.56531611306</v>
      </c>
      <c r="DN28" s="22">
        <f t="shared" si="15"/>
        <v>-480741.06057811255</v>
      </c>
      <c r="DO28" s="22">
        <f t="shared" si="15"/>
        <v>-483190.4131199597</v>
      </c>
      <c r="DP28" s="22">
        <f t="shared" si="15"/>
        <v>-486349.62259345216</v>
      </c>
      <c r="DQ28" s="22">
        <f t="shared" si="15"/>
        <v>-483638.38755705522</v>
      </c>
    </row>
    <row r="29" spans="1:121" ht="15" customHeight="1">
      <c r="A29" t="s">
        <v>588</v>
      </c>
      <c r="B29" s="32">
        <v>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f>IF(SUM(IS!B29:M29)&gt;0,M28/SUM(IS!B29:M29),0)</f>
        <v>-8.083158685456833E-2</v>
      </c>
      <c r="N29" s="32">
        <f>IF(SUM(IS!C29:N29)&gt;0,N28/SUM(IS!C29:N29),0)</f>
        <v>-0.15739741436635332</v>
      </c>
      <c r="O29" s="32">
        <f>IF(SUM(IS!D29:O29)&gt;0,O28/SUM(IS!D29:O29),0)</f>
        <v>-0.21802240964821828</v>
      </c>
      <c r="P29" s="32">
        <f>IF(SUM(IS!E29:P29)&gt;0,P28/SUM(IS!E29:P29),0)</f>
        <v>-0.29095926170509151</v>
      </c>
      <c r="Q29" s="32">
        <f>IF(SUM(IS!F29:Q29)&gt;0,Q28/SUM(IS!F29:Q29),0)</f>
        <v>-0.35838430345029998</v>
      </c>
      <c r="R29" s="32">
        <f>IF(SUM(IS!G29:R29)&gt;0,R28/SUM(IS!G29:R29),0)</f>
        <v>-0.405047258212198</v>
      </c>
      <c r="S29" s="32">
        <f>IF(SUM(IS!H29:S29)&gt;0,S28/SUM(IS!H29:S29),0)</f>
        <v>-0.44899457607962345</v>
      </c>
      <c r="T29" s="32">
        <f>IF(SUM(IS!I29:T29)&gt;0,T28/SUM(IS!I29:T29),0)</f>
        <v>-0.47496038856038486</v>
      </c>
      <c r="U29" s="32">
        <f>IF(SUM(IS!J29:U29)&gt;0,U28/SUM(IS!J29:U29),0)</f>
        <v>-0.48507387716408351</v>
      </c>
      <c r="V29" s="32">
        <f>IF(SUM(IS!K29:V29)&gt;0,V28/SUM(IS!K29:V29),0)</f>
        <v>-0.48137971197022489</v>
      </c>
      <c r="W29" s="32">
        <f>IF(SUM(IS!L29:W29)&gt;0,W28/SUM(IS!L29:W29),0)</f>
        <v>-0.48075718748116458</v>
      </c>
      <c r="X29" s="32">
        <f>IF(SUM(IS!M29:X29)&gt;0,X28/SUM(IS!M29:X29),0)</f>
        <v>-0.48307855182058884</v>
      </c>
      <c r="Y29" s="32">
        <f>IF(SUM(IS!N29:Y29)&gt;0,Y28/SUM(IS!N29:Y29),0)</f>
        <v>-0.4451547147767495</v>
      </c>
      <c r="Z29" s="32">
        <f>IF(SUM(IS!O29:Z29)&gt;0,Z28/SUM(IS!O29:Z29),0)</f>
        <v>-0.51447089340080943</v>
      </c>
      <c r="AA29" s="32">
        <f>IF(SUM(IS!P29:AA29)&gt;0,AA28/SUM(IS!P29:AA29),0)</f>
        <v>-0.56838844838355695</v>
      </c>
      <c r="AB29" s="32">
        <f>IF(SUM(IS!Q29:AB29)&gt;0,AB28/SUM(IS!Q29:AB29),0)</f>
        <v>-0.63463363050903554</v>
      </c>
      <c r="AC29" s="32">
        <f>IF(SUM(IS!R29:AC29)&gt;0,AC28/SUM(IS!R29:AC29),0)</f>
        <v>-0.69610910986949515</v>
      </c>
      <c r="AD29" s="32">
        <f>IF(SUM(IS!S29:AD29)&gt;0,AD28/SUM(IS!S29:AD29),0)</f>
        <v>-0.73799456748719305</v>
      </c>
      <c r="AE29" s="32">
        <f>IF(SUM(IS!T29:AE29)&gt;0,AE28/SUM(IS!T29:AE29),0)</f>
        <v>-0.77753876181239323</v>
      </c>
      <c r="AF29" s="32">
        <f>IF(SUM(IS!U29:AF29)&gt;0,AF28/SUM(IS!U29:AF29),0)</f>
        <v>-0.79993297977944111</v>
      </c>
      <c r="AG29" s="32">
        <f>IF(SUM(IS!V29:AG29)&gt;0,AG28/SUM(IS!V29:AG29),0)</f>
        <v>-0.80704741349388087</v>
      </c>
      <c r="AH29" s="32">
        <f>IF(SUM(IS!W29:AH29)&gt;0,AH28/SUM(IS!W29:AH29),0)</f>
        <v>-0.80068898825079193</v>
      </c>
      <c r="AI29" s="32">
        <f>IF(SUM(IS!X29:AI29)&gt;0,AI28/SUM(IS!X29:AI29),0)</f>
        <v>-0.79706491092816156</v>
      </c>
      <c r="AJ29" s="32">
        <f>IF(SUM(IS!Y29:AJ29)&gt;0,AJ28/SUM(IS!Y29:AJ29),0)</f>
        <v>-0.79607730207099647</v>
      </c>
      <c r="AK29" s="32">
        <f>IF(SUM(IS!Z29:AK29)&gt;0,AK28/SUM(IS!Z29:AK29),0)</f>
        <v>-0.75584179078582181</v>
      </c>
      <c r="AL29" s="32">
        <f>IF(SUM(IS!AA29:AL29)&gt;0,AL28/SUM(IS!AA29:AL29),0)</f>
        <v>-0.82740281346147715</v>
      </c>
      <c r="AM29" s="32">
        <f>IF(SUM(IS!AB29:AM29)&gt;0,AM28/SUM(IS!AB29:AM29),0)</f>
        <v>-0.87649352473394093</v>
      </c>
      <c r="AN29" s="32">
        <f>IF(SUM(IS!AC29:AN29)&gt;0,AN28/SUM(IS!AC29:AN29),0)</f>
        <v>-0.93773085021084013</v>
      </c>
      <c r="AO29" s="32">
        <f>IF(SUM(IS!AD29:AO29)&gt;0,AO28/SUM(IS!AD29:AO29),0)</f>
        <v>-0.99486758242865458</v>
      </c>
      <c r="AP29" s="32">
        <f>IF(SUM(IS!AE29:AP29)&gt;0,AP28/SUM(IS!AE29:AP29),0)</f>
        <v>-1.0336454853671702</v>
      </c>
      <c r="AQ29" s="32">
        <f>IF(SUM(IS!AF29:AQ29)&gt;0,AQ28/SUM(IS!AF29:AQ29),0)</f>
        <v>-1.0704037910597708</v>
      </c>
      <c r="AR29" s="32">
        <f>IF(SUM(IS!AG29:AR29)&gt;0,AR28/SUM(IS!AG29:AR29),0)</f>
        <v>-1.0909089428331669</v>
      </c>
      <c r="AS29" s="32">
        <f>IF(SUM(IS!AH29:AS29)&gt;0,AS28/SUM(IS!AH29:AS29),0)</f>
        <v>-1.0968202920795975</v>
      </c>
      <c r="AT29" s="32">
        <f>IF(SUM(IS!AI29:AT29)&gt;0,AT28/SUM(IS!AI29:AT29),0)</f>
        <v>-1.0897522328554736</v>
      </c>
      <c r="AU29" s="32">
        <f>IF(SUM(IS!AJ29:AU29)&gt;0,AU28/SUM(IS!AJ29:AU29),0)</f>
        <v>-1.0852118686219401</v>
      </c>
      <c r="AV29" s="32">
        <f>IF(SUM(IS!AK29:AV29)&gt;0,AV28/SUM(IS!AK29:AV29),0)</f>
        <v>-1.0831250932734635</v>
      </c>
      <c r="AW29" s="32">
        <f>IF(SUM(IS!AL29:AW29)&gt;0,AW28/SUM(IS!AL29:AW29),0)</f>
        <v>-1.0429457325313396</v>
      </c>
      <c r="AX29" s="32">
        <f>IF(SUM(IS!AM29:AX29)&gt;0,AX28/SUM(IS!AM29:AX29),0)</f>
        <v>-1.1098245203428807</v>
      </c>
      <c r="AY29" s="32">
        <f>IF(SUM(IS!AN29:AY29)&gt;0,AY28/SUM(IS!AN29:AY29),0)</f>
        <v>-1.154799951139085</v>
      </c>
      <c r="AZ29" s="32">
        <f>IF(SUM(IS!AO29:AZ29)&gt;0,AZ28/SUM(IS!AO29:AZ29),0)</f>
        <v>-1.2118127037030357</v>
      </c>
      <c r="BA29" s="32">
        <f>IF(SUM(IS!AP29:BA29)&gt;0,BA28/SUM(IS!AP29:BA29),0)</f>
        <v>-1.2651589406548633</v>
      </c>
      <c r="BB29" s="32">
        <f>IF(SUM(IS!AQ29:BB29)&gt;0,BB28/SUM(IS!AQ29:BB29),0)</f>
        <v>-1.3009400640141275</v>
      </c>
      <c r="BC29" s="32">
        <f>IF(SUM(IS!AR29:BC29)&gt;0,BC28/SUM(IS!AR29:BC29),0)</f>
        <v>-1.334920042103543</v>
      </c>
      <c r="BD29" s="32">
        <f>IF(SUM(IS!AS29:BD29)&gt;0,BD28/SUM(IS!AS29:BD29),0)</f>
        <v>-1.3532360053708137</v>
      </c>
      <c r="BE29" s="32">
        <f>IF(SUM(IS!AT29:BE29)&gt;0,BE28/SUM(IS!AT29:BE29),0)</f>
        <v>-1.3573874184526837</v>
      </c>
      <c r="BF29" s="32">
        <f>IF(SUM(IS!AU29:BF29)&gt;0,BF28/SUM(IS!AU29:BF29),0)</f>
        <v>-1.3488392412897474</v>
      </c>
      <c r="BG29" s="32">
        <f>IF(SUM(IS!AV29:BG29)&gt;0,BG28/SUM(IS!AV29:BG29),0)</f>
        <v>-1.3425959071132576</v>
      </c>
      <c r="BH29" s="32">
        <f>IF(SUM(IS!AW29:BH29)&gt;0,BH28/SUM(IS!AW29:BH29),0)</f>
        <v>-1.3385988012766965</v>
      </c>
      <c r="BI29" s="32">
        <f>IF(SUM(IS!AX29:BI29)&gt;0,BI28/SUM(IS!AX29:BI29),0)</f>
        <v>-1.2973416084912237</v>
      </c>
      <c r="BJ29" s="32">
        <f>IF(SUM(IS!AY29:BJ29)&gt;0,BJ28/SUM(IS!AY29:BJ29),0)</f>
        <v>-1.3689876687425466</v>
      </c>
      <c r="BK29" s="32">
        <f>IF(SUM(IS!AZ29:BK29)&gt;0,BK28/SUM(IS!AZ29:BK29),0)</f>
        <v>-1.41212732231885</v>
      </c>
      <c r="BL29" s="32">
        <f>IF(SUM(IS!BA29:BL29)&gt;0,BL28/SUM(IS!BA29:BL29),0)</f>
        <v>-1.4669232774509331</v>
      </c>
      <c r="BM29" s="32">
        <f>IF(SUM(IS!BB29:BM29)&gt;0,BM28/SUM(IS!BB29:BM29),0)</f>
        <v>-1.5183697789569597</v>
      </c>
      <c r="BN29" s="32">
        <f>IF(SUM(IS!BC29:BN29)&gt;0,BN28/SUM(IS!BC29:BN29),0)</f>
        <v>-1.5531118208794277</v>
      </c>
      <c r="BO29" s="32">
        <f>IF(SUM(IS!BD29:BO29)&gt;0,BO28/SUM(IS!BD29:BO29),0)</f>
        <v>-1.5861983111814426</v>
      </c>
      <c r="BP29" s="32">
        <f>IF(SUM(IS!BE29:BP29)&gt;0,BP28/SUM(IS!BE29:BP29),0)</f>
        <v>-1.6043052307800787</v>
      </c>
      <c r="BQ29" s="32">
        <f>IF(SUM(IS!BF29:BQ29)&gt;0,BQ28/SUM(IS!BF29:BQ29),0)</f>
        <v>-1.6088397219923423</v>
      </c>
      <c r="BR29" s="32">
        <f>IF(SUM(IS!BG29:BR29)&gt;0,BR28/SUM(IS!BG29:BR29),0)</f>
        <v>-1.6011811819344679</v>
      </c>
      <c r="BS29" s="32">
        <f>IF(SUM(IS!BH29:BS29)&gt;0,BS28/SUM(IS!BH29:BS29),0)</f>
        <v>-1.5957721832748217</v>
      </c>
      <c r="BT29" s="32">
        <f>IF(SUM(IS!BI29:BT29)&gt;0,BT28/SUM(IS!BI29:BT29),0)</f>
        <v>-1.5925628239314109</v>
      </c>
      <c r="BU29" s="32">
        <f>IF(SUM(IS!BJ29:BU29)&gt;0,BU28/SUM(IS!BJ29:BU29),0)</f>
        <v>-1.5532613732261997</v>
      </c>
      <c r="BV29" s="32">
        <f>IF(SUM(IS!BK29:BV29)&gt;0,BV28/SUM(IS!BK29:BV29),0)</f>
        <v>-1.6215518676655332</v>
      </c>
      <c r="BW29" s="32">
        <f>IF(SUM(IS!BL29:BW29)&gt;0,BW28/SUM(IS!BL29:BW29),0)</f>
        <v>-1.6619290664124662</v>
      </c>
      <c r="BX29" s="32">
        <f>IF(SUM(IS!BM29:BX29)&gt;0,BX28/SUM(IS!BM29:BX29),0)</f>
        <v>-1.7138238071017762</v>
      </c>
      <c r="BY29" s="32">
        <f>IF(SUM(IS!BN29:BY29)&gt;0,BY28/SUM(IS!BN29:BY29),0)</f>
        <v>-1.7626477823266737</v>
      </c>
      <c r="BZ29" s="32">
        <f>IF(SUM(IS!BO29:BZ29)&gt;0,BZ28/SUM(IS!BO29:BZ29),0)</f>
        <v>-1.7953403738540024</v>
      </c>
      <c r="CA29" s="32">
        <f>IF(SUM(IS!BP29:CA29)&gt;0,CA28/SUM(IS!BP29:CA29),0)</f>
        <v>-1.8265174959646731</v>
      </c>
      <c r="CB29" s="32">
        <f>IF(SUM(IS!BQ29:CB29)&gt;0,CB28/SUM(IS!BQ29:CB29),0)</f>
        <v>-1.8431542011984028</v>
      </c>
      <c r="CC29" s="32">
        <f>IF(SUM(IS!BR29:CC29)&gt;0,CC28/SUM(IS!BR29:CC29),0)</f>
        <v>-1.8465502272258805</v>
      </c>
      <c r="CD29" s="32">
        <f>IF(SUM(IS!BS29:CD29)&gt;0,CD28/SUM(IS!BS29:CD29),0)</f>
        <v>-1.8379831724422819</v>
      </c>
      <c r="CE29" s="32">
        <f>IF(SUM(IS!BT29:CE29)&gt;0,CE28/SUM(IS!BT29:CE29),0)</f>
        <v>-1.831507534243092</v>
      </c>
      <c r="CF29" s="32">
        <f>IF(SUM(IS!BU29:CF29)&gt;0,CF28/SUM(IS!BU29:CF29),0)</f>
        <v>-1.8270821548465483</v>
      </c>
      <c r="CG29" s="32">
        <f>IF(SUM(IS!BV29:CG29)&gt;0,CG28/SUM(IS!BV29:CG29),0)</f>
        <v>-1.7872514867855351</v>
      </c>
      <c r="CH29" s="32">
        <f>IF(SUM(IS!BW29:CH29)&gt;0,CH28/SUM(IS!BW29:CH29),0)</f>
        <v>-1.8526489153733079</v>
      </c>
      <c r="CI29" s="32">
        <f>IF(SUM(IS!BX29:CI29)&gt;0,CI28/SUM(IS!BX29:CI29),0)</f>
        <v>-1.8906450406141226</v>
      </c>
      <c r="CJ29" s="32">
        <f>IF(SUM(IS!BY29:CJ29)&gt;0,CJ28/SUM(IS!BY29:CJ29),0)</f>
        <v>-1.9400204354592887</v>
      </c>
      <c r="CK29" s="32">
        <f>IF(SUM(IS!BZ29:CK29)&gt;0,CK28/SUM(IS!BZ29:CK29),0)</f>
        <v>-1.9865578964945712</v>
      </c>
      <c r="CL29" s="32">
        <f>IF(SUM(IS!CA29:CL29)&gt;0,CL28/SUM(IS!CA29:CL29),0)</f>
        <v>-2.017462247820804</v>
      </c>
      <c r="CM29" s="32">
        <f>IF(SUM(IS!CB29:CM29)&gt;0,CM28/SUM(IS!CB29:CM29),0)</f>
        <v>-2.0469661158369963</v>
      </c>
      <c r="CN29" s="32">
        <f>IF(SUM(IS!CC29:CN29)&gt;0,CN28/SUM(IS!CC29:CN29),0)</f>
        <v>-2.0623135408769167</v>
      </c>
      <c r="CO29" s="32">
        <f>IF(SUM(IS!CD29:CO29)&gt;0,CO28/SUM(IS!CD29:CO29),0)</f>
        <v>-2.0647121890128139</v>
      </c>
      <c r="CP29" s="32">
        <f>IF(SUM(IS!CE29:CP29)&gt;0,CP28/SUM(IS!CE29:CP29),0)</f>
        <v>-2.0553521964029082</v>
      </c>
      <c r="CQ29" s="32">
        <f>IF(SUM(IS!CF29:CQ29)&gt;0,CQ28/SUM(IS!CF29:CQ29),0)</f>
        <v>-2.0479429402878391</v>
      </c>
      <c r="CR29" s="32">
        <f>IF(SUM(IS!CG29:CR29)&gt;0,CR28/SUM(IS!CG29:CR29),0)</f>
        <v>-2.0424506267600528</v>
      </c>
      <c r="CS29" s="32">
        <f>IF(SUM(IS!CH29:CS29)&gt;0,CS28/SUM(IS!CH29:CS29),0)</f>
        <v>-2.0021716773936982</v>
      </c>
      <c r="CT29" s="32">
        <f>IF(SUM(IS!CI29:CT29)&gt;0,CT28/SUM(IS!CI29:CT29),0)</f>
        <v>-2.0650038453260358</v>
      </c>
      <c r="CU29" s="32">
        <f>IF(SUM(IS!CJ29:CU29)&gt;0,CU28/SUM(IS!CJ29:CU29),0)</f>
        <v>-2.1008896972936508</v>
      </c>
      <c r="CV29" s="32">
        <f>IF(SUM(IS!CK29:CV29)&gt;0,CV28/SUM(IS!CK29:CV29),0)</f>
        <v>-2.1480279474779223</v>
      </c>
      <c r="CW29" s="32">
        <f>IF(SUM(IS!CL29:CW29)&gt;0,CW28/SUM(IS!CL29:CW29),0)</f>
        <v>-2.1925330133532777</v>
      </c>
      <c r="CX29" s="32">
        <f>IF(SUM(IS!CM29:CX29)&gt;0,CX28/SUM(IS!CM29:CX29),0)</f>
        <v>-2.2218499472270774</v>
      </c>
      <c r="CY29" s="32">
        <f>IF(SUM(IS!CN29:CY29)&gt;0,CY28/SUM(IS!CN29:CY29),0)</f>
        <v>-2.2498695809028404</v>
      </c>
      <c r="CZ29" s="32">
        <f>IF(SUM(IS!CO29:CZ29)&gt;0,CZ28/SUM(IS!CO29:CZ29),0)</f>
        <v>-2.2640789705301616</v>
      </c>
      <c r="DA29" s="32">
        <f>IF(SUM(IS!CP29:DA29)&gt;0,DA28/SUM(IS!CP29:DA29),0)</f>
        <v>-2.2656060561920373</v>
      </c>
      <c r="DB29" s="32">
        <f>IF(SUM(IS!CQ29:DB29)&gt;0,DB28/SUM(IS!CQ29:DB29),0)</f>
        <v>-2.2555650552056017</v>
      </c>
      <c r="DC29" s="32">
        <f>IF(SUM(IS!CR29:DC29)&gt;0,DC28/SUM(IS!CR29:DC29),0)</f>
        <v>-2.2473562865623271</v>
      </c>
      <c r="DD29" s="32">
        <f>IF(SUM(IS!CS29:DD29)&gt;0,DD28/SUM(IS!CS29:DD29),0)</f>
        <v>-2.2409519617780966</v>
      </c>
      <c r="DE29" s="32">
        <f>IF(SUM(IS!CT29:DE29)&gt;0,DE28/SUM(IS!CT29:DE29),0)</f>
        <v>-2.2003279296832465</v>
      </c>
      <c r="DF29" s="32">
        <f>IF(SUM(IS!CU29:DF29)&gt;0,DF28/SUM(IS!CU29:DF29),0)</f>
        <v>-2.2609152657346687</v>
      </c>
      <c r="DG29" s="32">
        <f>IF(SUM(IS!CV29:DG29)&gt;0,DG28/SUM(IS!CV29:DG29),0)</f>
        <v>-2.2949586981149972</v>
      </c>
      <c r="DH29" s="32">
        <f>IF(SUM(IS!CW29:DH29)&gt;0,DH28/SUM(IS!CW29:DH29),0)</f>
        <v>-2.3401335771409535</v>
      </c>
      <c r="DI29" s="32">
        <f>IF(SUM(IS!CX29:DI29)&gt;0,DI28/SUM(IS!CX29:DI29),0)</f>
        <v>-2.3828525501064455</v>
      </c>
      <c r="DJ29" s="32">
        <f>IF(SUM(IS!CY29:DJ29)&gt;0,DJ28/SUM(IS!CY29:DJ29),0)</f>
        <v>-2.4107791323864474</v>
      </c>
      <c r="DK29" s="32">
        <f>IF(SUM(IS!CZ29:DK29)&gt;0,DK28/SUM(IS!CZ29:DK29),0)</f>
        <v>-2.4374976730185001</v>
      </c>
      <c r="DL29" s="32">
        <f>IF(SUM(IS!DA29:DL29)&gt;0,DL28/SUM(IS!DA29:DL29),0)</f>
        <v>-2.4507158138598353</v>
      </c>
      <c r="DM29" s="32">
        <f>IF(SUM(IS!DB29:DM29)&gt;0,DM28/SUM(IS!DB29:DM29),0)</f>
        <v>-2.4514919158714314</v>
      </c>
      <c r="DN29" s="32">
        <f>IF(SUM(IS!DC29:DN29)&gt;0,DN28/SUM(IS!DC29:DN29),0)</f>
        <v>-2.4408737732761248</v>
      </c>
      <c r="DO29" s="32">
        <f>IF(SUM(IS!DD29:DO29)&gt;0,DO28/SUM(IS!DD29:DO29),0)</f>
        <v>-2.4319834920748051</v>
      </c>
      <c r="DP29" s="32">
        <f>IF(SUM(IS!DE29:DP29)&gt;0,DP28/SUM(IS!DE29:DP29),0)</f>
        <v>-2.4247983074987638</v>
      </c>
      <c r="DQ29" s="32">
        <f>IF(SUM(IS!DF29:DQ29)&gt;0,DQ28/SUM(IS!DF29:DQ29),0)</f>
        <v>-2.3839106177858023</v>
      </c>
    </row>
    <row r="30" spans="1:121" ht="15" customHeight="1">
      <c r="A30" t="s">
        <v>589</v>
      </c>
      <c r="B30" s="32">
        <f>IF(Calc_Debt!B21&gt;0,IS!B29/Calc_Debt!B21,0)</f>
        <v>43.686886567164251</v>
      </c>
      <c r="C30" s="32">
        <f>IF(Calc_Debt!C21&gt;0,IS!C29/Calc_Debt!C21,0)</f>
        <v>42.275715692971438</v>
      </c>
      <c r="D30" s="32">
        <f>IF(Calc_Debt!D21&gt;0,IS!D29/Calc_Debt!D21,0)</f>
        <v>38.886835940341946</v>
      </c>
      <c r="E30" s="32">
        <f>IF(Calc_Debt!E21&gt;0,IS!E29/Calc_Debt!E21,0)</f>
        <v>35.4168675869685</v>
      </c>
      <c r="F30" s="32">
        <f>IF(Calc_Debt!F21&gt;0,IS!F29/Calc_Debt!F21,0)</f>
        <v>33.854294038748122</v>
      </c>
      <c r="G30" s="32">
        <f>IF(Calc_Debt!G21&gt;0,IS!G29/Calc_Debt!G21,0)</f>
        <v>32.253414897227984</v>
      </c>
      <c r="H30" s="32">
        <f>IF(Calc_Debt!H21&gt;0,IS!H29/Calc_Debt!H21,0)</f>
        <v>32.653657731958752</v>
      </c>
      <c r="I30" s="32">
        <f>IF(Calc_Debt!I21&gt;0,IS!I29/Calc_Debt!I21,0)</f>
        <v>35.130456292286851</v>
      </c>
      <c r="J30" s="32">
        <f>IF(Calc_Debt!J21&gt;0,IS!J29/Calc_Debt!J21,0)</f>
        <v>39.763083946750207</v>
      </c>
      <c r="K30" s="32">
        <f>IF(Calc_Debt!K21&gt;0,IS!K29/Calc_Debt!K21,0)</f>
        <v>44.515132897085053</v>
      </c>
      <c r="L30" s="32">
        <f>IF(Calc_Debt!L21&gt;0,IS!L29/Calc_Debt!L21,0)</f>
        <v>49.391281157091242</v>
      </c>
      <c r="M30" s="32">
        <f>IF(Calc_Debt!M21&gt;0,IS!M29/Calc_Debt!M21,0)</f>
        <v>60.924028821493948</v>
      </c>
      <c r="N30" s="32">
        <f>IF(Calc_Debt!N21&gt;0,IS!N29/Calc_Debt!N21,0)</f>
        <v>60.27293597881188</v>
      </c>
      <c r="O30" s="32">
        <f>IF(Calc_Debt!O21&gt;0,IS!O29/Calc_Debt!O21,0)</f>
        <v>58.435857609433334</v>
      </c>
      <c r="P30" s="32">
        <f>IF(Calc_Debt!P21&gt;0,IS!P29/Calc_Debt!P21,0)</f>
        <v>53.855390756083004</v>
      </c>
      <c r="Q30" s="32">
        <f>IF(Calc_Debt!Q21&gt;0,IS!Q29/Calc_Debt!Q21,0)</f>
        <v>49.14695040371366</v>
      </c>
      <c r="R30" s="32">
        <f>IF(Calc_Debt!R21&gt;0,IS!R29/Calc_Debt!R21,0)</f>
        <v>47.074165987166438</v>
      </c>
      <c r="S30" s="32">
        <f>IF(Calc_Debt!S21&gt;0,IS!S29/Calc_Debt!S21,0)</f>
        <v>44.941805631165039</v>
      </c>
      <c r="T30" s="32">
        <f>IF(Calc_Debt!T21&gt;0,IS!T29/Calc_Debt!T21,0)</f>
        <v>45.597080948802031</v>
      </c>
      <c r="U30" s="32">
        <f>IF(Calc_Debt!U21&gt;0,IS!U29/Calc_Debt!U21,0)</f>
        <v>49.163731743482714</v>
      </c>
      <c r="V30" s="32">
        <f>IF(Calc_Debt!V21&gt;0,IS!V29/Calc_Debt!V21,0)</f>
        <v>55.772931355785374</v>
      </c>
      <c r="W30" s="32">
        <f>IF(Calc_Debt!W21&gt;0,IS!W29/Calc_Debt!W21,0)</f>
        <v>62.583678223448182</v>
      </c>
      <c r="X30" s="32">
        <f>IF(Calc_Debt!X21&gt;0,IS!X29/Calc_Debt!X21,0)</f>
        <v>69.605334355712159</v>
      </c>
      <c r="Y30" s="32">
        <f>IF(Calc_Debt!Y21&gt;0,IS!Y29/Calc_Debt!Y21,0)</f>
        <v>86.069592795083281</v>
      </c>
      <c r="Z30" s="32">
        <f>IF(Calc_Debt!Z21&gt;0,IS!Z29/Calc_Debt!Z21,0)</f>
        <v>84.831929508316279</v>
      </c>
      <c r="AA30" s="32">
        <f>IF(Calc_Debt!AA21&gt;0,IS!AA29/Calc_Debt!AA21,0)</f>
        <v>82.461179802933344</v>
      </c>
      <c r="AB30" s="32">
        <f>IF(Calc_Debt!AB21&gt;0,IS!AB29/Calc_Debt!AB21,0)</f>
        <v>76.202064442297072</v>
      </c>
      <c r="AC30" s="32">
        <f>IF(Calc_Debt!AC21&gt;0,IS!AC29/Calc_Debt!AC21,0)</f>
        <v>69.732857422253772</v>
      </c>
      <c r="AD30" s="32">
        <f>IF(Calc_Debt!AD21&gt;0,IS!AD29/Calc_Debt!AD21,0)</f>
        <v>66.982975395929856</v>
      </c>
      <c r="AE30" s="32">
        <f>IF(Calc_Debt!AE21&gt;0,IS!AE29/Calc_Debt!AE21,0)</f>
        <v>64.13758584531449</v>
      </c>
      <c r="AF30" s="32">
        <f>IF(Calc_Debt!AF21&gt;0,IS!AF29/Calc_Debt!AF21,0)</f>
        <v>65.271066834967954</v>
      </c>
      <c r="AG30" s="32">
        <f>IF(Calc_Debt!AG21&gt;0,IS!AG29/Calc_Debt!AG21,0)</f>
        <v>70.598165045032061</v>
      </c>
      <c r="AH30" s="32">
        <f>IF(Calc_Debt!AH21&gt;0,IS!AH29/Calc_Debt!AH21,0)</f>
        <v>80.349363947316021</v>
      </c>
      <c r="AI30" s="32">
        <f>IF(Calc_Debt!AI21&gt;0,IS!AI29/Calc_Debt!AI21,0)</f>
        <v>90.464518019653624</v>
      </c>
      <c r="AJ30" s="32">
        <f>IF(Calc_Debt!AJ21&gt;0,IS!AJ29/Calc_Debt!AJ21,0)</f>
        <v>100.96439123459051</v>
      </c>
      <c r="AK30" s="32">
        <f>IF(Calc_Debt!AK21&gt;0,IS!AK29/Calc_Debt!AK21,0)</f>
        <v>125.29592057359726</v>
      </c>
      <c r="AL30" s="32">
        <f>IF(Calc_Debt!AL21&gt;0,IS!AL29/Calc_Debt!AL21,0)</f>
        <v>121.0073337559369</v>
      </c>
      <c r="AM30" s="32">
        <f>IF(Calc_Debt!AM21&gt;0,IS!AM29/Calc_Debt!AM21,0)</f>
        <v>118.08046101484513</v>
      </c>
      <c r="AN30" s="32">
        <f>IF(Calc_Debt!AN21&gt;0,IS!AN29/Calc_Debt!AN21,0)</f>
        <v>109.55533590041054</v>
      </c>
      <c r="AO30" s="32">
        <f>IF(Calc_Debt!AO21&gt;0,IS!AO29/Calc_Debt!AO21,0)</f>
        <v>100.67189644233633</v>
      </c>
      <c r="AP30" s="32">
        <f>IF(Calc_Debt!AP21&gt;0,IS!AP29/Calc_Debt!AP21,0)</f>
        <v>97.120009299032958</v>
      </c>
      <c r="AQ30" s="32">
        <f>IF(Calc_Debt!AQ21&gt;0,IS!AQ29/Calc_Debt!AQ21,0)</f>
        <v>93.412285055280719</v>
      </c>
      <c r="AR30" s="32">
        <f>IF(Calc_Debt!AR21&gt;0,IS!AR29/Calc_Debt!AR21,0)</f>
        <v>95.507453629674544</v>
      </c>
      <c r="AS30" s="32">
        <f>IF(Calc_Debt!AS21&gt;0,IS!AS29/Calc_Debt!AS21,0)</f>
        <v>103.80493757764621</v>
      </c>
      <c r="AT30" s="32">
        <f>IF(Calc_Debt!AT21&gt;0,IS!AT29/Calc_Debt!AT21,0)</f>
        <v>118.74167746922723</v>
      </c>
      <c r="AU30" s="32">
        <f>IF(Calc_Debt!AU21&gt;0,IS!AU29/Calc_Debt!AU21,0)</f>
        <v>134.39679552799512</v>
      </c>
      <c r="AV30" s="32">
        <f>IF(Calc_Debt!AV21&gt;0,IS!AV29/Calc_Debt!AV21,0)</f>
        <v>150.82339400664151</v>
      </c>
      <c r="AW30" s="32">
        <f>IF(Calc_Debt!AW21&gt;0,IS!AW29/Calc_Debt!AW21,0)</f>
        <v>188.2495340392127</v>
      </c>
      <c r="AX30" s="32">
        <f>IF(Calc_Debt!AX21&gt;0,IS!AX29/Calc_Debt!AX21,0)</f>
        <v>182.05284929664506</v>
      </c>
      <c r="AY30" s="32">
        <f>IF(Calc_Debt!AY21&gt;0,IS!AY29/Calc_Debt!AY21,0)</f>
        <v>178.77072047538985</v>
      </c>
      <c r="AZ30" s="32">
        <f>IF(Calc_Debt!AZ21&gt;0,IS!AZ29/Calc_Debt!AZ21,0)</f>
        <v>166.96110945843614</v>
      </c>
      <c r="BA30" s="32">
        <f>IF(Calc_Debt!BA21&gt;0,IS!BA29/Calc_Debt!BA21,0)</f>
        <v>154.48775030823396</v>
      </c>
      <c r="BB30" s="32">
        <f>IF(Calc_Debt!BB21&gt;0,IS!BB29/Calc_Debt!BB21,0)</f>
        <v>150.1238836958795</v>
      </c>
      <c r="BC30" s="32">
        <f>IF(Calc_Debt!BC21&gt;0,IS!BC29/Calc_Debt!BC21,0)</f>
        <v>145.50014412905583</v>
      </c>
      <c r="BD30" s="32">
        <f>IF(Calc_Debt!BD21&gt;0,IS!BD29/Calc_Debt!BD21,0)</f>
        <v>149.96544600270485</v>
      </c>
      <c r="BE30" s="32">
        <f>IF(Calc_Debt!BE21&gt;0,IS!BE29/Calc_Debt!BE21,0)</f>
        <v>164.38309330167414</v>
      </c>
      <c r="BF30" s="32">
        <f>IF(Calc_Debt!BF21&gt;0,IS!BF29/Calc_Debt!BF21,0)</f>
        <v>189.72929697060002</v>
      </c>
      <c r="BG30" s="32">
        <f>IF(Calc_Debt!BG21&gt;0,IS!BG29/Calc_Debt!BG21,0)</f>
        <v>216.78897254642169</v>
      </c>
      <c r="BH30" s="32">
        <f>IF(Calc_Debt!BH21&gt;0,IS!BH29/Calc_Debt!BH21,0)</f>
        <v>245.7419515801858</v>
      </c>
      <c r="BI30" s="32">
        <f>IF(Calc_Debt!BI21&gt;0,IS!BI29/Calc_Debt!BI21,0)</f>
        <v>310.00943982656162</v>
      </c>
      <c r="BJ30" s="32">
        <f>IF(Calc_Debt!BJ21&gt;0,IS!BJ29/Calc_Debt!BJ21,0)</f>
        <v>296.29392633458423</v>
      </c>
      <c r="BK30" s="32">
        <f>IF(Calc_Debt!BK21&gt;0,IS!BK29/Calc_Debt!BK21,0)</f>
        <v>294.48900372651792</v>
      </c>
      <c r="BL30" s="32">
        <f>IF(Calc_Debt!BL21&gt;0,IS!BL29/Calc_Debt!BL21,0)</f>
        <v>278.60690249015732</v>
      </c>
      <c r="BM30" s="32">
        <f>IF(Calc_Debt!BM21&gt;0,IS!BM29/Calc_Debt!BM21,0)</f>
        <v>261.37798249272265</v>
      </c>
      <c r="BN30" s="32">
        <f>IF(Calc_Debt!BN21&gt;0,IS!BN29/Calc_Debt!BN21,0)</f>
        <v>257.78729949072238</v>
      </c>
      <c r="BO30" s="32">
        <f>IF(Calc_Debt!BO21&gt;0,IS!BO29/Calc_Debt!BO21,0)</f>
        <v>253.86390886914967</v>
      </c>
      <c r="BP30" s="32">
        <f>IF(Calc_Debt!BP21&gt;0,IS!BP29/Calc_Debt!BP21,0)</f>
        <v>266.19660997265834</v>
      </c>
      <c r="BQ30" s="32">
        <f>IF(Calc_Debt!BQ21&gt;0,IS!BQ29/Calc_Debt!BQ21,0)</f>
        <v>297.27553468372355</v>
      </c>
      <c r="BR30" s="32">
        <f>IF(Calc_Debt!BR21&gt;0,IS!BR29/Calc_Debt!BR21,0)</f>
        <v>350.12677042243917</v>
      </c>
      <c r="BS30" s="32">
        <f>IF(Calc_Debt!BS21&gt;0,IS!BS29/Calc_Debt!BS21,0)</f>
        <v>408.98908284184932</v>
      </c>
      <c r="BT30" s="32">
        <f>IF(Calc_Debt!BT21&gt;0,IS!BT29/Calc_Debt!BT21,0)</f>
        <v>474.94981883688291</v>
      </c>
      <c r="BU30" s="32">
        <f>IF(Calc_Debt!BU21&gt;0,IS!BU29/Calc_Debt!BU21,0)</f>
        <v>615.30045631883195</v>
      </c>
      <c r="BV30" s="32">
        <f>IF(Calc_Debt!BV21&gt;0,IS!BV29/Calc_Debt!BV21,0)</f>
        <v>603.45047429730005</v>
      </c>
      <c r="BW30" s="32">
        <f>IF(Calc_Debt!BW21&gt;0,IS!BW29/Calc_Debt!BW21,0)</f>
        <v>619.70373193877037</v>
      </c>
      <c r="BX30" s="32">
        <f>IF(Calc_Debt!BX21&gt;0,IS!BX29/Calc_Debt!BX21,0)</f>
        <v>608.13335774831535</v>
      </c>
      <c r="BY30" s="32">
        <f>IF(Calc_Debt!BY21&gt;0,IS!BY29/Calc_Debt!BY21,0)</f>
        <v>594.56544219695741</v>
      </c>
      <c r="BZ30" s="32">
        <f>IF(Calc_Debt!BZ21&gt;0,IS!BZ29/Calc_Debt!BZ21,0)</f>
        <v>614.58593552674768</v>
      </c>
      <c r="CA30" s="32">
        <f>IF(Calc_Debt!CA21&gt;0,IS!CA29/Calc_Debt!CA21,0)</f>
        <v>638.78405988843622</v>
      </c>
      <c r="CB30" s="32">
        <f>IF(Calc_Debt!CB21&gt;0,IS!CB29/Calc_Debt!CB21,0)</f>
        <v>713.19438944533181</v>
      </c>
      <c r="CC30" s="32">
        <f>IF(Calc_Debt!CC21&gt;0,IS!CC29/Calc_Debt!CC21,0)</f>
        <v>857.67773558296165</v>
      </c>
      <c r="CD30" s="32">
        <f>IF(Calc_Debt!CD21&gt;0,IS!CD29/Calc_Debt!CD21,0)</f>
        <v>1104.1598885659125</v>
      </c>
      <c r="CE30" s="32">
        <f>IF(Calc_Debt!CE21&gt;0,IS!CE29/Calc_Debt!CE21,0)</f>
        <v>1438.9138869697529</v>
      </c>
      <c r="CF30" s="32">
        <f>IF(Calc_Debt!CF21&gt;0,IS!CF29/Calc_Debt!CF21,0)</f>
        <v>1919.7015088383491</v>
      </c>
      <c r="CG30" s="32">
        <f>IF(Calc_Debt!CG21&gt;0,IS!CG29/Calc_Debt!CG21,0)</f>
        <v>2988.9885034049371</v>
      </c>
      <c r="CH30" s="32">
        <f>IF(Calc_Debt!CH21&gt;0,IS!CH29/Calc_Debt!CH21,0)</f>
        <v>3792.6338734250126</v>
      </c>
      <c r="CI30" s="32">
        <f>IF(Calc_Debt!CI21&gt;0,IS!CI29/Calc_Debt!CI21,0)</f>
        <v>3627.7367484936972</v>
      </c>
      <c r="CJ30" s="32">
        <f>IF(Calc_Debt!CJ21&gt;0,IS!CJ29/Calc_Debt!CJ21,0)</f>
        <v>3297.9424986306312</v>
      </c>
      <c r="CK30" s="32">
        <f>IF(Calc_Debt!CK21&gt;0,IS!CK29/Calc_Debt!CK21,0)</f>
        <v>2968.1482487675707</v>
      </c>
      <c r="CL30" s="32">
        <f>IF(Calc_Debt!CL21&gt;0,IS!CL29/Calc_Debt!CL21,0)</f>
        <v>2803.2511238360398</v>
      </c>
      <c r="CM30" s="32">
        <f>IF(Calc_Debt!CM21&gt;0,IS!CM29/Calc_Debt!CM21,0)</f>
        <v>2638.3539989045053</v>
      </c>
      <c r="CN30" s="32">
        <f>IF(Calc_Debt!CN21&gt;0,IS!CN29/Calc_Debt!CN21,0)</f>
        <v>2638.3539989045053</v>
      </c>
      <c r="CO30" s="32">
        <f>IF(Calc_Debt!CO21&gt;0,IS!CO29/Calc_Debt!CO21,0)</f>
        <v>2803.2511238360398</v>
      </c>
      <c r="CP30" s="32">
        <f>IF(Calc_Debt!CP21&gt;0,IS!CP29/Calc_Debt!CP21,0)</f>
        <v>3133.0453736991012</v>
      </c>
      <c r="CQ30" s="32">
        <f>IF(Calc_Debt!CQ21&gt;0,IS!CQ29/Calc_Debt!CQ21,0)</f>
        <v>3462.8396235621617</v>
      </c>
      <c r="CR30" s="32">
        <f>IF(Calc_Debt!CR21&gt;0,IS!CR29/Calc_Debt!CR21,0)</f>
        <v>3792.6338734252281</v>
      </c>
      <c r="CS30" s="32">
        <f>IF(Calc_Debt!CS21&gt;0,IS!CS29/Calc_Debt!CS21,0)</f>
        <v>4617.1194980828877</v>
      </c>
      <c r="CT30" s="32">
        <f>IF(Calc_Debt!CT21&gt;0,IS!CT29/Calc_Debt!CT21,0)</f>
        <v>4212.162839421223</v>
      </c>
      <c r="CU30" s="32">
        <f>IF(Calc_Debt!CU21&gt;0,IS!CU29/Calc_Debt!CU21,0)</f>
        <v>4029.0253246637776</v>
      </c>
      <c r="CV30" s="32">
        <f>IF(Calc_Debt!CV21&gt;0,IS!CV29/Calc_Debt!CV21,0)</f>
        <v>3662.7502951488868</v>
      </c>
      <c r="CW30" s="32">
        <f>IF(Calc_Debt!CW21&gt;0,IS!CW29/Calc_Debt!CW21,0)</f>
        <v>3296.4752656340006</v>
      </c>
      <c r="CX30" s="32">
        <f>IF(Calc_Debt!CX21&gt;0,IS!CX29/Calc_Debt!CX21,0)</f>
        <v>3113.3377508765552</v>
      </c>
      <c r="CY30" s="32">
        <f>IF(Calc_Debt!CY21&gt;0,IS!CY29/Calc_Debt!CY21,0)</f>
        <v>2930.2002361191085</v>
      </c>
      <c r="CZ30" s="32">
        <f>IF(Calc_Debt!CZ21&gt;0,IS!CZ29/Calc_Debt!CZ21,0)</f>
        <v>2930.2002361191085</v>
      </c>
      <c r="DA30" s="32">
        <f>IF(Calc_Debt!DA21&gt;0,IS!DA29/Calc_Debt!DA21,0)</f>
        <v>3113.3377508765552</v>
      </c>
      <c r="DB30" s="32">
        <f>IF(Calc_Debt!DB21&gt;0,IS!DB29/Calc_Debt!DB21,0)</f>
        <v>3479.6127803914424</v>
      </c>
      <c r="DC30" s="32">
        <f>IF(Calc_Debt!DC21&gt;0,IS!DC29/Calc_Debt!DC21,0)</f>
        <v>3845.8878099063313</v>
      </c>
      <c r="DD30" s="32">
        <f>IF(Calc_Debt!DD21&gt;0,IS!DD29/Calc_Debt!DD21,0)</f>
        <v>4212.162839421223</v>
      </c>
      <c r="DE30" s="32">
        <f>IF(Calc_Debt!DE21&gt;0,IS!DE29/Calc_Debt!DE21,0)</f>
        <v>5127.8504132084408</v>
      </c>
      <c r="DF30" s="32">
        <f>IF(Calc_Debt!DF21&gt;0,IS!DF29/Calc_Debt!DF21,0)</f>
        <v>4666.1493223869429</v>
      </c>
      <c r="DG30" s="32">
        <f>IF(Calc_Debt!DG21&gt;0,IS!DG29/Calc_Debt!DG21,0)</f>
        <v>4463.2732648918627</v>
      </c>
      <c r="DH30" s="32">
        <f>IF(Calc_Debt!DH21&gt;0,IS!DH29/Calc_Debt!DH21,0)</f>
        <v>4057.5211499016928</v>
      </c>
      <c r="DI30" s="32">
        <f>IF(Calc_Debt!DI21&gt;0,IS!DI29/Calc_Debt!DI21,0)</f>
        <v>3651.7690349115246</v>
      </c>
      <c r="DJ30" s="32">
        <f>IF(Calc_Debt!DJ21&gt;0,IS!DJ29/Calc_Debt!DJ21,0)</f>
        <v>3448.892977416439</v>
      </c>
      <c r="DK30" s="32">
        <f>IF(Calc_Debt!DK21&gt;0,IS!DK29/Calc_Debt!DK21,0)</f>
        <v>3246.016919921356</v>
      </c>
      <c r="DL30" s="32">
        <f>IF(Calc_Debt!DL21&gt;0,IS!DL29/Calc_Debt!DL21,0)</f>
        <v>3246.016919921356</v>
      </c>
      <c r="DM30" s="32">
        <f>IF(Calc_Debt!DM21&gt;0,IS!DM29/Calc_Debt!DM21,0)</f>
        <v>3448.892977416439</v>
      </c>
      <c r="DN30" s="32">
        <f>IF(Calc_Debt!DN21&gt;0,IS!DN29/Calc_Debt!DN21,0)</f>
        <v>3854.6450924066107</v>
      </c>
      <c r="DO30" s="32">
        <f>IF(Calc_Debt!DO21&gt;0,IS!DO29/Calc_Debt!DO21,0)</f>
        <v>4260.397207396778</v>
      </c>
      <c r="DP30" s="32">
        <f>IF(Calc_Debt!DP21&gt;0,IS!DP29/Calc_Debt!DP21,0)</f>
        <v>4666.1493223869429</v>
      </c>
      <c r="DQ30" s="32">
        <f>IF(Calc_Debt!DQ21&gt;0,IS!DQ29/Calc_Debt!DQ21,0)</f>
        <v>5680.5296098623739</v>
      </c>
    </row>
    <row r="32" spans="1:121" ht="15" customHeight="1">
      <c r="A32" s="5" t="s">
        <v>590</v>
      </c>
    </row>
    <row r="33" spans="1:121" ht="15" customHeight="1">
      <c r="A33" t="s">
        <v>591</v>
      </c>
      <c r="B33" s="13">
        <f>IF(BS!B36&gt;0,B22*12/BS!B36,0)</f>
        <v>0.92962225987344094</v>
      </c>
      <c r="C33" s="13">
        <f>IF(BS!C36&gt;0,C22*12/BS!C36,0)</f>
        <v>0.84817840830494329</v>
      </c>
      <c r="D33" s="13">
        <f>IF(BS!D36&gt;0,D22*12/BS!D36,0)</f>
        <v>0.73577974451181016</v>
      </c>
      <c r="E33" s="13">
        <f>IF(BS!E36&gt;0,E22*12/BS!E36,0)</f>
        <v>0.63383961932420541</v>
      </c>
      <c r="F33" s="13">
        <f>IF(BS!F36&gt;0,F22*12/BS!F36,0)</f>
        <v>0.57747874781382891</v>
      </c>
      <c r="G33" s="13">
        <f>IF(BS!G36&gt;0,G22*12/BS!G36,0)</f>
        <v>0.52525274773991337</v>
      </c>
      <c r="H33" s="13">
        <f>IF(BS!H36&gt;0,H22*12/BS!H36,0)</f>
        <v>0.51202649669060307</v>
      </c>
      <c r="I33" s="13">
        <f>IF(BS!I36&gt;0,I22*12/BS!I36,0)</f>
        <v>0.53393416499220092</v>
      </c>
      <c r="J33" s="13">
        <f>IF(BS!J36&gt;0,J22*12/BS!J36,0)</f>
        <v>0.58711676456449424</v>
      </c>
      <c r="K33" s="13">
        <f>IF(BS!K36&gt;0,K22*12/BS!K36,0)</f>
        <v>0.63514164628936542</v>
      </c>
      <c r="L33" s="13">
        <f>IF(BS!L36&gt;0,L22*12/BS!L36,0)</f>
        <v>0.67801954294882794</v>
      </c>
      <c r="M33" s="13">
        <f>IF(BS!M36&gt;0,M22*12/BS!M36,0)</f>
        <v>0.80499185407794338</v>
      </c>
      <c r="N33" s="13">
        <f>IF(BS!N36&gt;0,N22*12/BS!N36,0)</f>
        <v>0.75504225099763356</v>
      </c>
      <c r="O33" s="13">
        <f>IF(BS!O36&gt;0,O22*12/BS!O36,0)</f>
        <v>0.69496497177210514</v>
      </c>
      <c r="P33" s="13">
        <f>IF(BS!P36&gt;0,P22*12/BS!P36,0)</f>
        <v>0.60804368570191691</v>
      </c>
      <c r="Q33" s="13">
        <f>IF(BS!Q36&gt;0,Q22*12/BS!Q36,0)</f>
        <v>0.52793713470008896</v>
      </c>
      <c r="R33" s="13">
        <f>IF(BS!R36&gt;0,R22*12/BS!R36,0)</f>
        <v>0.48398852007533039</v>
      </c>
      <c r="S33" s="13">
        <f>IF(BS!S36&gt;0,S22*12/BS!S36,0)</f>
        <v>0.44279055572318737</v>
      </c>
      <c r="T33" s="13">
        <f>IF(BS!T36&gt;0,T22*12/BS!T36,0)</f>
        <v>0.43334976073437564</v>
      </c>
      <c r="U33" s="13">
        <f>IF(BS!U36&gt;0,U22*12/BS!U36,0)</f>
        <v>0.4529813329014753</v>
      </c>
      <c r="V33" s="13">
        <f>IF(BS!V36&gt;0,V22*12/BS!V36,0)</f>
        <v>0.49895806799150116</v>
      </c>
      <c r="W33" s="13">
        <f>IF(BS!W36&gt;0,W22*12/BS!W36,0)</f>
        <v>0.5411844315432629</v>
      </c>
      <c r="X33" s="13">
        <f>IF(BS!X36&gt;0,X22*12/BS!X36,0)</f>
        <v>0.57961329918795279</v>
      </c>
      <c r="Y33" s="13">
        <f>IF(BS!Y36&gt;0,Y22*12/BS!Y36,0)</f>
        <v>0.69003024774407851</v>
      </c>
      <c r="Z33" s="13">
        <f>IF(BS!Z36&gt;0,Z22*12/BS!Z36,0)</f>
        <v>0.64675014173164203</v>
      </c>
      <c r="AA33" s="13">
        <f>IF(BS!AA36&gt;0,AA22*12/BS!AA36,0)</f>
        <v>0.59863066706577872</v>
      </c>
      <c r="AB33" s="13">
        <f>IF(BS!AB36&gt;0,AB22*12/BS!AB36,0)</f>
        <v>0.52673528283891136</v>
      </c>
      <c r="AC33" s="13">
        <f>IF(BS!AC36&gt;0,AC22*12/BS!AC36,0)</f>
        <v>0.45978697040203231</v>
      </c>
      <c r="AD33" s="13">
        <f>IF(BS!AD36&gt;0,AD22*12/BS!AD36,0)</f>
        <v>0.42327520490612253</v>
      </c>
      <c r="AE33" s="13">
        <f>IF(BS!AE36&gt;0,AE22*12/BS!AE36,0)</f>
        <v>0.3887866763273331</v>
      </c>
      <c r="AF33" s="13">
        <f>IF(BS!AF36&gt;0,AF22*12/BS!AF36,0)</f>
        <v>0.38148297999705522</v>
      </c>
      <c r="AG33" s="13">
        <f>IF(BS!AG36&gt;0,AG22*12/BS!AG36,0)</f>
        <v>0.39933088467078026</v>
      </c>
      <c r="AH33" s="13">
        <f>IF(BS!AH36&gt;0,AH22*12/BS!AH36,0)</f>
        <v>0.44024188823149435</v>
      </c>
      <c r="AI33" s="13">
        <f>IF(BS!AI36&gt;0,AI22*12/BS!AI36,0)</f>
        <v>0.47822778316647568</v>
      </c>
      <c r="AJ33" s="13">
        <f>IF(BS!AJ36&gt;0,AJ22*12/BS!AJ36,0)</f>
        <v>0.51322368878010338</v>
      </c>
      <c r="AK33" s="13">
        <f>IF(BS!AK36&gt;0,AK22*12/BS!AK36,0)</f>
        <v>0.61192631913058437</v>
      </c>
      <c r="AL33" s="13">
        <f>IF(BS!AL36&gt;0,AL22*12/BS!AL36,0)</f>
        <v>0.56188910292554095</v>
      </c>
      <c r="AM33" s="13">
        <f>IF(BS!AM36&gt;0,AM22*12/BS!AM36,0)</f>
        <v>0.52235953967360083</v>
      </c>
      <c r="AN33" s="13">
        <f>IF(BS!AN36&gt;0,AN22*12/BS!AN36,0)</f>
        <v>0.46164968434784642</v>
      </c>
      <c r="AO33" s="13">
        <f>IF(BS!AO36&gt;0,AO22*12/BS!AO36,0)</f>
        <v>0.40464139696142026</v>
      </c>
      <c r="AP33" s="13">
        <f>IF(BS!AP36&gt;0,AP22*12/BS!AP36,0)</f>
        <v>0.37373528512107013</v>
      </c>
      <c r="AQ33" s="13">
        <f>IF(BS!AQ36&gt;0,AQ22*12/BS!AQ36,0)</f>
        <v>0.34435762768403688</v>
      </c>
      <c r="AR33" s="13">
        <f>IF(BS!AR36&gt;0,AR22*12/BS!AR36,0)</f>
        <v>0.33861250488103839</v>
      </c>
      <c r="AS33" s="13">
        <f>IF(BS!AS36&gt;0,AS22*12/BS!AS36,0)</f>
        <v>0.35492456440776288</v>
      </c>
      <c r="AT33" s="13">
        <f>IF(BS!AT36&gt;0,AT22*12/BS!AT36,0)</f>
        <v>0.39166022917523036</v>
      </c>
      <c r="AU33" s="13">
        <f>IF(BS!AU36&gt;0,AU22*12/BS!AU36,0)</f>
        <v>0.42607194175868957</v>
      </c>
      <c r="AV33" s="13">
        <f>IF(BS!AV36&gt;0,AV22*12/BS!AV36,0)</f>
        <v>0.4580891873297816</v>
      </c>
      <c r="AW33" s="13">
        <f>IF(BS!AW36&gt;0,AW22*12/BS!AW36,0)</f>
        <v>0.54702936226294696</v>
      </c>
      <c r="AX33" s="13">
        <f>IF(BS!AX36&gt;0,AX22*12/BS!AX36,0)</f>
        <v>0.50163739602004442</v>
      </c>
      <c r="AY33" s="13">
        <f>IF(BS!AY36&gt;0,AY22*12/BS!AY36,0)</f>
        <v>0.46781921059265036</v>
      </c>
      <c r="AZ33" s="13">
        <f>IF(BS!AZ36&gt;0,AZ22*12/BS!AZ36,0)</f>
        <v>0.41479299633526079</v>
      </c>
      <c r="BA33" s="13">
        <f>IF(BS!BA36&gt;0,BA22*12/BS!BA36,0)</f>
        <v>0.36469553103168278</v>
      </c>
      <c r="BB33" s="13">
        <f>IF(BS!BB36&gt;0,BB22*12/BS!BB36,0)</f>
        <v>0.33766472575641349</v>
      </c>
      <c r="BC33" s="13">
        <f>IF(BS!BC36&gt;0,BC22*12/BS!BC36,0)</f>
        <v>0.31185157024995569</v>
      </c>
      <c r="BD33" s="13">
        <f>IF(BS!BD36&gt;0,BD22*12/BS!BD36,0)</f>
        <v>0.30712910033972113</v>
      </c>
      <c r="BE33" s="13">
        <f>IF(BS!BE36&gt;0,BE22*12/BS!BE36,0)</f>
        <v>0.32221833776304515</v>
      </c>
      <c r="BF33" s="13">
        <f>IF(BS!BF36&gt;0,BF22*12/BS!BF36,0)</f>
        <v>0.35578394191530177</v>
      </c>
      <c r="BG33" s="13">
        <f>IF(BS!BG36&gt;0,BG22*12/BS!BG36,0)</f>
        <v>0.3874282636101295</v>
      </c>
      <c r="BH33" s="13">
        <f>IF(BS!BH36&gt;0,BH22*12/BS!BH36,0)</f>
        <v>0.41708152433219087</v>
      </c>
      <c r="BI33" s="13">
        <f>IF(BS!BI36&gt;0,BI22*12/BS!BI36,0)</f>
        <v>0.49857424384751031</v>
      </c>
      <c r="BJ33" s="13">
        <f>IF(BS!BJ36&gt;0,BJ22*12/BS!BJ36,0)</f>
        <v>0.44780888317173551</v>
      </c>
      <c r="BK33" s="13">
        <f>IF(BS!BK36&gt;0,BK22*12/BS!BK36,0)</f>
        <v>0.41877781626317795</v>
      </c>
      <c r="BL33" s="13">
        <f>IF(BS!BL36&gt;0,BL22*12/BS!BL36,0)</f>
        <v>0.3723477192355501</v>
      </c>
      <c r="BM33" s="13">
        <f>IF(BS!BM36&gt;0,BM22*12/BS!BM36,0)</f>
        <v>0.32823729855568484</v>
      </c>
      <c r="BN33" s="13">
        <f>IF(BS!BN36&gt;0,BN22*12/BS!BN36,0)</f>
        <v>0.30455589912157555</v>
      </c>
      <c r="BO33" s="13">
        <f>IF(BS!BO36&gt;0,BO22*12/BS!BO36,0)</f>
        <v>0.28184424930881996</v>
      </c>
      <c r="BP33" s="13">
        <f>IF(BS!BP36&gt;0,BP22*12/BS!BP36,0)</f>
        <v>0.27798008737957736</v>
      </c>
      <c r="BQ33" s="13">
        <f>IF(BS!BQ36&gt;0,BQ22*12/BS!BQ36,0)</f>
        <v>0.29192608059176173</v>
      </c>
      <c r="BR33" s="13">
        <f>IF(BS!BR36&gt;0,BR22*12/BS!BR36,0)</f>
        <v>0.32259203097640166</v>
      </c>
      <c r="BS33" s="13">
        <f>IF(BS!BS36&gt;0,BS22*12/BS!BS36,0)</f>
        <v>0.35167228552905966</v>
      </c>
      <c r="BT33" s="13">
        <f>IF(BS!BT36&gt;0,BT22*12/BS!BT36,0)</f>
        <v>0.37910018682810015</v>
      </c>
      <c r="BU33" s="13">
        <f>IF(BS!BU36&gt;0,BU22*12/BS!BU36,0)</f>
        <v>0.45372787235338441</v>
      </c>
      <c r="BV33" s="13">
        <f>IF(BS!BV36&gt;0,BV22*12/BS!BV36,0)</f>
        <v>0.4070363757240249</v>
      </c>
      <c r="BW33" s="13">
        <f>IF(BS!BW36&gt;0,BW22*12/BS!BW36,0)</f>
        <v>0.38145742680318667</v>
      </c>
      <c r="BX33" s="13">
        <f>IF(BS!BX36&gt;0,BX22*12/BS!BX36,0)</f>
        <v>0.33990297908746181</v>
      </c>
      <c r="BY33" s="13">
        <f>IF(BS!BY36&gt;0,BY22*12/BS!BY36,0)</f>
        <v>0.30025509721974764</v>
      </c>
      <c r="BZ33" s="13">
        <f>IF(BS!BZ36&gt;0,BZ22*12/BS!BZ36,0)</f>
        <v>0.27905647349428608</v>
      </c>
      <c r="CA33" s="13">
        <f>IF(BS!CA36&gt;0,CA22*12/BS!CA36,0)</f>
        <v>0.25865822232510166</v>
      </c>
      <c r="CB33" s="13">
        <f>IF(BS!CB36&gt;0,CB22*12/BS!CB36,0)</f>
        <v>0.25539860360561284</v>
      </c>
      <c r="CC33" s="13">
        <f>IF(BS!CC36&gt;0,CC22*12/BS!CC36,0)</f>
        <v>0.26840912880689144</v>
      </c>
      <c r="CD33" s="13">
        <f>IF(BS!CD36&gt;0,CD22*12/BS!CD36,0)</f>
        <v>0.29677244189486379</v>
      </c>
      <c r="CE33" s="13">
        <f>IF(BS!CE36&gt;0,CE22*12/BS!CE36,0)</f>
        <v>0.32379030637424822</v>
      </c>
      <c r="CF33" s="13">
        <f>IF(BS!CF36&gt;0,CF22*12/BS!CF36,0)</f>
        <v>0.34940021390287923</v>
      </c>
      <c r="CG33" s="13">
        <f>IF(BS!CG36&gt;0,CG22*12/BS!CG36,0)</f>
        <v>0.41855853092711365</v>
      </c>
      <c r="CH33" s="13">
        <f>IF(BS!CH36&gt;0,CH22*12/BS!CH36,0)</f>
        <v>0.37500565364345823</v>
      </c>
      <c r="CI33" s="13">
        <f>IF(BS!CI36&gt;0,CI22*12/BS!CI36,0)</f>
        <v>0.35199352508955123</v>
      </c>
      <c r="CJ33" s="13">
        <f>IF(BS!CJ36&gt;0,CJ22*12/BS!CJ36,0)</f>
        <v>0.31415578132733318</v>
      </c>
      <c r="CK33" s="13">
        <f>IF(BS!CK36&gt;0,CK22*12/BS!CK36,0)</f>
        <v>0.2779303842805253</v>
      </c>
      <c r="CL33" s="13">
        <f>IF(BS!CL36&gt;0,CL22*12/BS!CL36,0)</f>
        <v>0.25861268871497156</v>
      </c>
      <c r="CM33" s="13">
        <f>IF(BS!CM36&gt;0,CM22*12/BS!CM36,0)</f>
        <v>0.23997445387832433</v>
      </c>
      <c r="CN33" s="13">
        <f>IF(BS!CN36&gt;0,CN22*12/BS!CN36,0)</f>
        <v>0.23712920628942905</v>
      </c>
      <c r="CO33" s="13">
        <f>IF(BS!CO36&gt;0,CO22*12/BS!CO36,0)</f>
        <v>0.24933264837636926</v>
      </c>
      <c r="CP33" s="13">
        <f>IF(BS!CP36&gt;0,CP22*12/BS!CP36,0)</f>
        <v>0.27579559916355317</v>
      </c>
      <c r="CQ33" s="13">
        <f>IF(BS!CQ36&gt;0,CQ22*12/BS!CQ36,0)</f>
        <v>0.30109460949307015</v>
      </c>
      <c r="CR33" s="13">
        <f>IF(BS!CR36&gt;0,CR22*12/BS!CR36,0)</f>
        <v>0.32517144788271013</v>
      </c>
      <c r="CS33" s="13">
        <f>IF(BS!CS36&gt;0,CS22*12/BS!CS36,0)</f>
        <v>0.38985167550724509</v>
      </c>
      <c r="CT33" s="13">
        <f>IF(BS!CT36&gt;0,CT22*12/BS!CT36,0)</f>
        <v>0.34877963816403235</v>
      </c>
      <c r="CU33" s="13">
        <f>IF(BS!CU36&gt;0,CU22*12/BS!CU36,0)</f>
        <v>0.32781709210305587</v>
      </c>
      <c r="CV33" s="13">
        <f>IF(BS!CV36&gt;0,CV22*12/BS!CV36,0)</f>
        <v>0.29297021550999114</v>
      </c>
      <c r="CW33" s="13">
        <f>IF(BS!CW36&gt;0,CW22*12/BS!CW36,0)</f>
        <v>0.25951373388335164</v>
      </c>
      <c r="CX33" s="13">
        <f>IF(BS!CX36&gt;0,CX22*12/BS!CX36,0)</f>
        <v>0.24172885176668177</v>
      </c>
      <c r="CY33" s="13">
        <f>IF(BS!CY36&gt;0,CY22*12/BS!CY36,0)</f>
        <v>0.22453123349930296</v>
      </c>
      <c r="CZ33" s="13">
        <f>IF(BS!CZ36&gt;0,CZ22*12/BS!CZ36,0)</f>
        <v>0.2220385045339357</v>
      </c>
      <c r="DA33" s="13">
        <f>IF(BS!DA36&gt;0,DA22*12/BS!DA36,0)</f>
        <v>0.23360082791448264</v>
      </c>
      <c r="DB33" s="13">
        <f>IF(BS!DB36&gt;0,DB22*12/BS!DB36,0)</f>
        <v>0.25852674563445205</v>
      </c>
      <c r="DC33" s="13">
        <f>IF(BS!DC36&gt;0,DC22*12/BS!DC36,0)</f>
        <v>0.28242689284047751</v>
      </c>
      <c r="DD33" s="13">
        <f>IF(BS!DD36&gt;0,DD22*12/BS!DD36,0)</f>
        <v>0.30524679898451407</v>
      </c>
      <c r="DE33" s="13">
        <f>IF(BS!DE36&gt;0,DE22*12/BS!DE36,0)</f>
        <v>0.36624107328841338</v>
      </c>
      <c r="DF33" s="13">
        <f>IF(BS!DF36&gt;0,DF22*12/BS!DF36,0)</f>
        <v>0.32722571927524852</v>
      </c>
      <c r="DG33" s="13">
        <f>IF(BS!DG36&gt;0,DG22*12/BS!DG36,0)</f>
        <v>0.30790074632237924</v>
      </c>
      <c r="DH33" s="13">
        <f>IF(BS!DH36&gt;0,DH22*12/BS!DH36,0)</f>
        <v>0.27547868532919056</v>
      </c>
      <c r="DI33" s="13">
        <f>IF(BS!DI36&gt;0,DI22*12/BS!DI36,0)</f>
        <v>0.24427717071983585</v>
      </c>
      <c r="DJ33" s="13">
        <f>IF(BS!DJ36&gt;0,DJ22*12/BS!DJ36,0)</f>
        <v>0.22773569682685249</v>
      </c>
      <c r="DK33" s="13">
        <f>IF(BS!DK36&gt;0,DK22*12/BS!DK36,0)</f>
        <v>0.21171070660919059</v>
      </c>
      <c r="DL33" s="13">
        <f>IF(BS!DL36&gt;0,DL22*12/BS!DL36,0)</f>
        <v>0.20949310989293113</v>
      </c>
      <c r="DM33" s="13">
        <f>IF(BS!DM36&gt;0,DM22*12/BS!DM36,0)</f>
        <v>0.2205065312590534</v>
      </c>
      <c r="DN33" s="13">
        <f>IF(BS!DN36&gt;0,DN22*12/BS!DN36,0)</f>
        <v>0.24413589003598415</v>
      </c>
      <c r="DO33" s="13">
        <f>IF(BS!DO36&gt;0,DO22*12/BS!DO36,0)</f>
        <v>0.2668483771273108</v>
      </c>
      <c r="DP33" s="13">
        <f>IF(BS!DP36&gt;0,DP22*12/BS!DP36,0)</f>
        <v>0.28859296351873437</v>
      </c>
      <c r="DQ33" s="13">
        <f>IF(BS!DQ36&gt;0,DQ22*12/BS!DQ36,0)</f>
        <v>0.34647276856335102</v>
      </c>
    </row>
    <row r="34" spans="1:121" ht="15" customHeight="1">
      <c r="A34" t="s">
        <v>592</v>
      </c>
      <c r="B34" s="13">
        <f>IF(BS!B18&gt;0,B22*12/BS!B18,0)</f>
        <v>0.45984061512280905</v>
      </c>
      <c r="C34" s="13">
        <f>IF(BS!C18&gt;0,C22*12/BS!C18,0)</f>
        <v>0.43485255250430976</v>
      </c>
      <c r="D34" s="13">
        <f>IF(BS!D18&gt;0,D22*12/BS!D18,0)</f>
        <v>0.39400796492842366</v>
      </c>
      <c r="E34" s="13">
        <f>IF(BS!E18&gt;0,E22*12/BS!E18,0)</f>
        <v>0.35343839270647337</v>
      </c>
      <c r="F34" s="13">
        <f>IF(BS!F18&gt;0,F22*12/BS!F18,0)</f>
        <v>0.33088241060920792</v>
      </c>
      <c r="G34" s="13">
        <f>IF(BS!G18&gt;0,G22*12/BS!G18,0)</f>
        <v>0.30875774443421677</v>
      </c>
      <c r="H34" s="13">
        <f>IF(BS!H18&gt;0,H22*12/BS!H18,0)</f>
        <v>0.30507287682285239</v>
      </c>
      <c r="I34" s="13">
        <f>IF(BS!I18&gt;0,I22*12/BS!I18,0)</f>
        <v>0.31894515771450888</v>
      </c>
      <c r="J34" s="13">
        <f>IF(BS!J18&gt;0,J22*12/BS!J18,0)</f>
        <v>0.34830310428818251</v>
      </c>
      <c r="K34" s="13">
        <f>IF(BS!K18&gt;0,K22*12/BS!K18,0)</f>
        <v>0.37488017775859866</v>
      </c>
      <c r="L34" s="13">
        <f>IF(BS!L18&gt;0,L22*12/BS!L18,0)</f>
        <v>0.39881991372036812</v>
      </c>
      <c r="M34" s="13">
        <f>IF(BS!M18&gt;0,M22*12/BS!M18,0)</f>
        <v>0.46039507276618818</v>
      </c>
      <c r="N34" s="13">
        <f>IF(BS!N18&gt;0,N22*12/BS!N18,0)</f>
        <v>0.45028133936682074</v>
      </c>
      <c r="O34" s="13">
        <f>IF(BS!O18&gt;0,O22*12/BS!O18,0)</f>
        <v>0.4256062009551887</v>
      </c>
      <c r="P34" s="13">
        <f>IF(BS!P18&gt;0,P22*12/BS!P18,0)</f>
        <v>0.38538721990630082</v>
      </c>
      <c r="Q34" s="13">
        <f>IF(BS!Q18&gt;0,Q22*12/BS!Q18,0)</f>
        <v>0.34561038522216397</v>
      </c>
      <c r="R34" s="13">
        <f>IF(BS!R18&gt;0,R22*12/BS!R18,0)</f>
        <v>0.32352792152170773</v>
      </c>
      <c r="S34" s="13">
        <f>IF(BS!S18&gt;0,S22*12/BS!S18,0)</f>
        <v>0.30191736991710405</v>
      </c>
      <c r="T34" s="13">
        <f>IF(BS!T18&gt;0,T22*12/BS!T18,0)</f>
        <v>0.29822132799189838</v>
      </c>
      <c r="U34" s="13">
        <f>IF(BS!U18&gt;0,U22*12/BS!U18,0)</f>
        <v>0.31157303137645204</v>
      </c>
      <c r="V34" s="13">
        <f>IF(BS!V18&gt;0,V22*12/BS!V18,0)</f>
        <v>0.34007615455999429</v>
      </c>
      <c r="W34" s="13">
        <f>IF(BS!W18&gt;0,W22*12/BS!W18,0)</f>
        <v>0.36602358741907232</v>
      </c>
      <c r="X34" s="13">
        <f>IF(BS!X18&gt;0,X22*12/BS!X18,0)</f>
        <v>0.3895292411720942</v>
      </c>
      <c r="Y34" s="13">
        <f>IF(BS!Y18&gt;0,Y22*12/BS!Y18,0)</f>
        <v>0.45047371495611233</v>
      </c>
      <c r="Z34" s="13">
        <f>IF(BS!Z18&gt;0,Z22*12/BS!Z18,0)</f>
        <v>0.43684010610965368</v>
      </c>
      <c r="AA34" s="13">
        <f>IF(BS!AA18&gt;0,AA22*12/BS!AA18,0)</f>
        <v>0.4127990536062206</v>
      </c>
      <c r="AB34" s="13">
        <f>IF(BS!AB18&gt;0,AB22*12/BS!AB18,0)</f>
        <v>0.37359414444624239</v>
      </c>
      <c r="AC34" s="13">
        <f>IF(BS!AC18&gt;0,AC22*12/BS!AC18,0)</f>
        <v>0.33494172037355174</v>
      </c>
      <c r="AD34" s="13">
        <f>IF(BS!AD18&gt;0,AD22*12/BS!AD18,0)</f>
        <v>0.31354049003445877</v>
      </c>
      <c r="AE34" s="13">
        <f>IF(BS!AE18&gt;0,AE22*12/BS!AE18,0)</f>
        <v>0.29262701251445583</v>
      </c>
      <c r="AF34" s="13">
        <f>IF(BS!AF18&gt;0,AF22*12/BS!AF18,0)</f>
        <v>0.28902916692653341</v>
      </c>
      <c r="AG34" s="13">
        <f>IF(BS!AG18&gt;0,AG22*12/BS!AG18,0)</f>
        <v>0.30191210166474308</v>
      </c>
      <c r="AH34" s="13">
        <f>IF(BS!AH18&gt;0,AH22*12/BS!AH18,0)</f>
        <v>0.3295491427649867</v>
      </c>
      <c r="AI34" s="13">
        <f>IF(BS!AI18&gt;0,AI22*12/BS!AI18,0)</f>
        <v>0.35484856192946335</v>
      </c>
      <c r="AJ34" s="13">
        <f>IF(BS!AJ18&gt;0,AJ22*12/BS!AJ18,0)</f>
        <v>0.37789838057813596</v>
      </c>
      <c r="AK34" s="13">
        <f>IF(BS!AK18&gt;0,AK22*12/BS!AK18,0)</f>
        <v>0.43795163708867224</v>
      </c>
      <c r="AL34" s="13">
        <f>IF(BS!AL18&gt;0,AL22*12/BS!AL18,0)</f>
        <v>0.41517556710419057</v>
      </c>
      <c r="AM34" s="13">
        <f>IF(BS!AM18&gt;0,AM22*12/BS!AM18,0)</f>
        <v>0.39235785152390812</v>
      </c>
      <c r="AN34" s="13">
        <f>IF(BS!AN18&gt;0,AN22*12/BS!AN18,0)</f>
        <v>0.35493372818963559</v>
      </c>
      <c r="AO34" s="13">
        <f>IF(BS!AO18&gt;0,AO22*12/BS!AO18,0)</f>
        <v>0.31810801260659038</v>
      </c>
      <c r="AP34" s="13">
        <f>IF(BS!AP18&gt;0,AP22*12/BS!AP18,0)</f>
        <v>0.29781911665763511</v>
      </c>
      <c r="AQ34" s="13">
        <f>IF(BS!AQ18&gt;0,AQ22*12/BS!AQ18,0)</f>
        <v>0.27800139140997676</v>
      </c>
      <c r="AR34" s="13">
        <f>IF(BS!AR18&gt;0,AR22*12/BS!AR18,0)</f>
        <v>0.27467401884749992</v>
      </c>
      <c r="AS34" s="13">
        <f>IF(BS!AS18&gt;0,AS22*12/BS!AS18,0)</f>
        <v>0.28706363477008506</v>
      </c>
      <c r="AT34" s="13">
        <f>IF(BS!AT18&gt;0,AT22*12/BS!AT18,0)</f>
        <v>0.31363907068989055</v>
      </c>
      <c r="AU34" s="13">
        <f>IF(BS!AU18&gt;0,AU22*12/BS!AU18,0)</f>
        <v>0.33812739066278286</v>
      </c>
      <c r="AV34" s="13">
        <f>IF(BS!AV18&gt;0,AV22*12/BS!AV18,0)</f>
        <v>0.36059048930772858</v>
      </c>
      <c r="AW34" s="13">
        <f>IF(BS!AW18&gt;0,AW22*12/BS!AW18,0)</f>
        <v>0.4191738276257575</v>
      </c>
      <c r="AX34" s="13">
        <f>IF(BS!AX18&gt;0,AX22*12/BS!AX18,0)</f>
        <v>0.39496458601827983</v>
      </c>
      <c r="AY34" s="13">
        <f>IF(BS!AY18&gt;0,AY22*12/BS!AY18,0)</f>
        <v>0.37332106289697226</v>
      </c>
      <c r="AZ34" s="13">
        <f>IF(BS!AZ18&gt;0,AZ22*12/BS!AZ18,0)</f>
        <v>0.33761191295246151</v>
      </c>
      <c r="BA34" s="13">
        <f>IF(BS!BA18&gt;0,BA22*12/BS!BA18,0)</f>
        <v>0.30252085396889195</v>
      </c>
      <c r="BB34" s="13">
        <f>IF(BS!BB18&gt;0,BB22*12/BS!BB18,0)</f>
        <v>0.28327598868871812</v>
      </c>
      <c r="BC34" s="13">
        <f>IF(BS!BC18&gt;0,BC22*12/BS!BC18,0)</f>
        <v>0.26448066844772422</v>
      </c>
      <c r="BD34" s="13">
        <f>IF(BS!BD18&gt;0,BD22*12/BS!BD18,0)</f>
        <v>0.26140918678354375</v>
      </c>
      <c r="BE34" s="13">
        <f>IF(BS!BE18&gt;0,BE22*12/BS!BE18,0)</f>
        <v>0.27334600678304838</v>
      </c>
      <c r="BF34" s="13">
        <f>IF(BS!BF18&gt;0,BF22*12/BS!BF18,0)</f>
        <v>0.29892515654181362</v>
      </c>
      <c r="BG34" s="13">
        <f>IF(BS!BG18&gt;0,BG22*12/BS!BG18,0)</f>
        <v>0.32263057024161429</v>
      </c>
      <c r="BH34" s="13">
        <f>IF(BS!BH18&gt;0,BH22*12/BS!BH18,0)</f>
        <v>0.34450457362671127</v>
      </c>
      <c r="BI34" s="13">
        <f>IF(BS!BI18&gt;0,BI22*12/BS!BI18,0)</f>
        <v>0.40156742776998422</v>
      </c>
      <c r="BJ34" s="13">
        <f>IF(BS!BJ18&gt;0,BJ22*12/BS!BJ18,0)</f>
        <v>0.37028664246657372</v>
      </c>
      <c r="BK34" s="13">
        <f>IF(BS!BK18&gt;0,BK22*12/BS!BK18,0)</f>
        <v>0.35013059299566407</v>
      </c>
      <c r="BL34" s="13">
        <f>IF(BS!BL18&gt;0,BL22*12/BS!BL18,0)</f>
        <v>0.31657884070547626</v>
      </c>
      <c r="BM34" s="13">
        <f>IF(BS!BM18&gt;0,BM22*12/BS!BM18,0)</f>
        <v>0.28362673590075566</v>
      </c>
      <c r="BN34" s="13">
        <f>IF(BS!BN18&gt;0,BN22*12/BS!BN18,0)</f>
        <v>0.26565831512701388</v>
      </c>
      <c r="BO34" s="13">
        <f>IF(BS!BO18&gt;0,BO22*12/BS!BO18,0)</f>
        <v>0.24810142441422273</v>
      </c>
      <c r="BP34" s="13">
        <f>IF(BS!BP18&gt;0,BP22*12/BS!BP18,0)</f>
        <v>0.24536067014495982</v>
      </c>
      <c r="BQ34" s="13">
        <f>IF(BS!BQ18&gt;0,BQ22*12/BS!BQ18,0)</f>
        <v>0.25679272080883625</v>
      </c>
      <c r="BR34" s="13">
        <f>IF(BS!BR18&gt;0,BR22*12/BS!BR18,0)</f>
        <v>0.28120469014381705</v>
      </c>
      <c r="BS34" s="13">
        <f>IF(BS!BS18&gt;0,BS22*12/BS!BS18,0)</f>
        <v>0.30396781605520895</v>
      </c>
      <c r="BT34" s="13">
        <f>IF(BS!BT18&gt;0,BT22*12/BS!BT18,0)</f>
        <v>0.32510683183019062</v>
      </c>
      <c r="BU34" s="13">
        <f>IF(BS!BU18&gt;0,BU22*12/BS!BU18,0)</f>
        <v>0.38016217510456013</v>
      </c>
      <c r="BV34" s="13">
        <f>IF(BS!BV18&gt;0,BV22*12/BS!BV18,0)</f>
        <v>0.34893423588953681</v>
      </c>
      <c r="BW34" s="13">
        <f>IF(BS!BW18&gt;0,BW22*12/BS!BW18,0)</f>
        <v>0.33006602113800815</v>
      </c>
      <c r="BX34" s="13">
        <f>IF(BS!BX18&gt;0,BX22*12/BS!BX18,0)</f>
        <v>0.29840956765955418</v>
      </c>
      <c r="BY34" s="13">
        <f>IF(BS!BY18&gt;0,BY22*12/BS!BY18,0)</f>
        <v>0.26732932346512106</v>
      </c>
      <c r="BZ34" s="13">
        <f>IF(BS!BZ18&gt;0,BZ22*12/BS!BZ18,0)</f>
        <v>0.25046448484085165</v>
      </c>
      <c r="CA34" s="13">
        <f>IF(BS!CA18&gt;0,CA22*12/BS!CA18,0)</f>
        <v>0.23397765827690373</v>
      </c>
      <c r="CB34" s="13">
        <f>IF(BS!CB18&gt;0,CB22*12/BS!CB18,0)</f>
        <v>0.23151104305082307</v>
      </c>
      <c r="CC34" s="13">
        <f>IF(BS!CC18&gt;0,CC22*12/BS!CC18,0)</f>
        <v>0.24248227415886817</v>
      </c>
      <c r="CD34" s="13">
        <f>IF(BS!CD18&gt;0,CD22*12/BS!CD18,0)</f>
        <v>0.26583834387515198</v>
      </c>
      <c r="CE34" s="13">
        <f>IF(BS!CE18&gt;0,CE22*12/BS!CE18,0)</f>
        <v>0.28772917421136024</v>
      </c>
      <c r="CF34" s="13">
        <f>IF(BS!CF18&gt;0,CF22*12/BS!CF18,0)</f>
        <v>0.30816721244235679</v>
      </c>
      <c r="CG34" s="13">
        <f>IF(BS!CG18&gt;0,CG22*12/BS!CG18,0)</f>
        <v>0.36132153983123094</v>
      </c>
      <c r="CH34" s="13">
        <f>IF(BS!CH18&gt;0,CH22*12/BS!CH18,0)</f>
        <v>0.33007869767496512</v>
      </c>
      <c r="CI34" s="13">
        <f>IF(BS!CI18&gt;0,CI22*12/BS!CI18,0)</f>
        <v>0.31207847703760555</v>
      </c>
      <c r="CJ34" s="13">
        <f>IF(BS!CJ18&gt;0,CJ22*12/BS!CJ18,0)</f>
        <v>0.28189388730074755</v>
      </c>
      <c r="CK34" s="13">
        <f>IF(BS!CK18&gt;0,CK22*12/BS!CK18,0)</f>
        <v>0.25230367836090728</v>
      </c>
      <c r="CL34" s="13">
        <f>IF(BS!CL18&gt;0,CL22*12/BS!CL18,0)</f>
        <v>0.23624336225647477</v>
      </c>
      <c r="CM34" s="13">
        <f>IF(BS!CM18&gt;0,CM22*12/BS!CM18,0)</f>
        <v>0.22055492785840602</v>
      </c>
      <c r="CN34" s="13">
        <f>IF(BS!CN18&gt;0,CN22*12/BS!CN18,0)</f>
        <v>0.21814923343626094</v>
      </c>
      <c r="CO34" s="13">
        <f>IF(BS!CO18&gt;0,CO22*12/BS!CO18,0)</f>
        <v>0.22847517790471683</v>
      </c>
      <c r="CP34" s="13">
        <f>IF(BS!CP18&gt;0,CP22*12/BS!CP18,0)</f>
        <v>0.25058137657995078</v>
      </c>
      <c r="CQ34" s="13">
        <f>IF(BS!CQ18&gt;0,CQ22*12/BS!CQ18,0)</f>
        <v>0.27136875014648132</v>
      </c>
      <c r="CR34" s="13">
        <f>IF(BS!CR18&gt;0,CR22*12/BS!CR18,0)</f>
        <v>0.29084522455245854</v>
      </c>
      <c r="CS34" s="13">
        <f>IF(BS!CS18&gt;0,CS22*12/BS!CS18,0)</f>
        <v>0.34171178272533104</v>
      </c>
      <c r="CT34" s="13">
        <f>IF(BS!CT18&gt;0,CT22*12/BS!CT18,0)</f>
        <v>0.31107484232327298</v>
      </c>
      <c r="CU34" s="13">
        <f>IF(BS!CU18&gt;0,CU22*12/BS!CU18,0)</f>
        <v>0.29426027621892331</v>
      </c>
      <c r="CV34" s="13">
        <f>IF(BS!CV18&gt;0,CV22*12/BS!CV18,0)</f>
        <v>0.26581648464355184</v>
      </c>
      <c r="CW34" s="13">
        <f>IF(BS!CW18&gt;0,CW22*12/BS!CW18,0)</f>
        <v>0.23792359333925492</v>
      </c>
      <c r="CX34" s="13">
        <f>IF(BS!CX18&gt;0,CX22*12/BS!CX18,0)</f>
        <v>0.22286000102960091</v>
      </c>
      <c r="CY34" s="13">
        <f>IF(BS!CY18&gt;0,CY22*12/BS!CY18,0)</f>
        <v>0.20813212316231799</v>
      </c>
      <c r="CZ34" s="13">
        <f>IF(BS!CZ18&gt;0,CZ22*12/BS!CZ18,0)</f>
        <v>0.20598848215541848</v>
      </c>
      <c r="DA34" s="13">
        <f>IF(BS!DA18&gt;0,DA22*12/BS!DA18,0)</f>
        <v>0.21593318549200913</v>
      </c>
      <c r="DB34" s="13">
        <f>IF(BS!DB18&gt;0,DB22*12/BS!DB18,0)</f>
        <v>0.2371231196622661</v>
      </c>
      <c r="DC34" s="13">
        <f>IF(BS!DC18&gt;0,DC22*12/BS!DC18,0)</f>
        <v>0.25713592931410573</v>
      </c>
      <c r="DD34" s="13">
        <f>IF(BS!DD18&gt;0,DD22*12/BS!DD18,0)</f>
        <v>0.27597182943464438</v>
      </c>
      <c r="DE34" s="13">
        <f>IF(BS!DE18&gt;0,DE22*12/BS!DE18,0)</f>
        <v>0.3250346420131428</v>
      </c>
      <c r="DF34" s="13">
        <f>IF(BS!DF18&gt;0,DF22*12/BS!DF18,0)</f>
        <v>0.29501221478380152</v>
      </c>
      <c r="DG34" s="13">
        <f>IF(BS!DG18&gt;0,DG22*12/BS!DG18,0)</f>
        <v>0.27918938747821809</v>
      </c>
      <c r="DH34" s="13">
        <f>IF(BS!DH18&gt;0,DH22*12/BS!DH18,0)</f>
        <v>0.25222328546977774</v>
      </c>
      <c r="DI34" s="13">
        <f>IF(BS!DI18&gt;0,DI22*12/BS!DI18,0)</f>
        <v>0.22577117079392292</v>
      </c>
      <c r="DJ34" s="13">
        <f>IF(BS!DJ18&gt;0,DJ22*12/BS!DJ18,0)</f>
        <v>0.21154554980882909</v>
      </c>
      <c r="DK34" s="13">
        <f>IF(BS!DK18&gt;0,DK22*12/BS!DK18,0)</f>
        <v>0.19762622732620325</v>
      </c>
      <c r="DL34" s="13">
        <f>IF(BS!DL18&gt;0,DL22*12/BS!DL18,0)</f>
        <v>0.1956925285198382</v>
      </c>
      <c r="DM34" s="13">
        <f>IF(BS!DM18&gt;0,DM22*12/BS!DM18,0)</f>
        <v>0.20529360803150901</v>
      </c>
      <c r="DN34" s="13">
        <f>IF(BS!DN18&gt;0,DN22*12/BS!DN18,0)</f>
        <v>0.22567347630086873</v>
      </c>
      <c r="DO34" s="13">
        <f>IF(BS!DO18&gt;0,DO22*12/BS!DO18,0)</f>
        <v>0.24499136059173429</v>
      </c>
      <c r="DP34" s="13">
        <f>IF(BS!DP18&gt;0,DP22*12/BS!DP18,0)</f>
        <v>0.26324216003373502</v>
      </c>
      <c r="DQ34" s="13">
        <f>IF(BS!DQ18&gt;0,DQ22*12/BS!DQ18,0)</f>
        <v>0.31068037012510225</v>
      </c>
    </row>
    <row r="35" spans="1:121" ht="15" customHeight="1">
      <c r="A35" t="s">
        <v>593</v>
      </c>
      <c r="B35" s="13">
        <f>IF((BS!B36+B27)&gt;0,IS!B33*12/(BS!B36+B27),0)</f>
        <v>0.91377038297836255</v>
      </c>
      <c r="C35" s="13">
        <f>IF((BS!C36+C27)&gt;0,IS!C33*12/(BS!C36+C27),0)</f>
        <v>0.84954138705778337</v>
      </c>
      <c r="D35" s="13">
        <f>IF((BS!D36+D27)&gt;0,IS!D33*12/(BS!D36+D27),0)</f>
        <v>0.75030600330885555</v>
      </c>
      <c r="E35" s="13">
        <f>IF((BS!E36+E27)&gt;0,IS!E33*12/(BS!E36+E27),0)</f>
        <v>0.65710890975158409</v>
      </c>
      <c r="F35" s="13">
        <f>IF((BS!F36+F27)&gt;0,IS!F33*12/(BS!F36+F27),0)</f>
        <v>0.60703707281809305</v>
      </c>
      <c r="G35" s="13">
        <f>IF((BS!G36+G27)&gt;0,IS!G33*12/(BS!G36+G27),0)</f>
        <v>0.55937666184979429</v>
      </c>
      <c r="H35" s="13">
        <f>IF((BS!H36+H27)&gt;0,IS!H33*12/(BS!H36+H27),0)</f>
        <v>0.5509297427050609</v>
      </c>
      <c r="I35" s="13">
        <f>IF((BS!I36+I27)&gt;0,IS!I33*12/(BS!I36+I27),0)</f>
        <v>0.57919206912968646</v>
      </c>
      <c r="J35" s="13">
        <f>IF((BS!J36+J27)&gt;0,IS!J33*12/(BS!J36+J27),0)</f>
        <v>0.6414847364016939</v>
      </c>
      <c r="K35" s="13">
        <f>IF((BS!K36+K27)&gt;0,IS!K33*12/(BS!K36+K27),0)</f>
        <v>0.69976289845346007</v>
      </c>
      <c r="L35" s="13">
        <f>IF((BS!L36+L27)&gt;0,IS!L33*12/(BS!L36+L27),0)</f>
        <v>0.75383981820400781</v>
      </c>
      <c r="M35" s="13">
        <f>IF((BS!M36+M27)&gt;0,IS!M33*12/(BS!M36+M27),0)</f>
        <v>0.90260203001523054</v>
      </c>
      <c r="N35" s="13">
        <f>IF((BS!N36+N27)&gt;0,IS!N33*12/(BS!N36+N27),0)</f>
        <v>0.85679203921521063</v>
      </c>
      <c r="O35" s="13">
        <f>IF((BS!O36+O27)&gt;0,IS!O33*12/(BS!O36+O27),0)</f>
        <v>0.79756246995783531</v>
      </c>
      <c r="P35" s="13">
        <f>IF((BS!P36+P27)&gt;0,IS!P33*12/(BS!P36+P27),0)</f>
        <v>0.70557944635460468</v>
      </c>
      <c r="Q35" s="13">
        <f>IF((BS!Q36+Q27)&gt;0,IS!Q33*12/(BS!Q36+Q27),0)</f>
        <v>0.61901286885570228</v>
      </c>
      <c r="R35" s="13">
        <f>IF((BS!R36+R27)&gt;0,IS!R33*12/(BS!R36+R27),0)</f>
        <v>0.57244522597164538</v>
      </c>
      <c r="S35" s="13">
        <f>IF((BS!S36+S27)&gt;0,IS!S33*12/(BS!S36+S27),0)</f>
        <v>0.5280647883455083</v>
      </c>
      <c r="T35" s="13">
        <f>IF((BS!T36+T27)&gt;0,IS!T33*12/(BS!T36+T27),0)</f>
        <v>0.52013927880963795</v>
      </c>
      <c r="U35" s="13">
        <f>IF((BS!U36+U27)&gt;0,IS!U33*12/(BS!U36+U27),0)</f>
        <v>0.54638990717737834</v>
      </c>
      <c r="V35" s="13">
        <f>IF((BS!V36+V27)&gt;0,IS!V33*12/(BS!V36+V27),0)</f>
        <v>0.60439255395805336</v>
      </c>
      <c r="W35" s="13">
        <f>IF((BS!W36+W27)&gt;0,IS!W33*12/(BS!W36+W27),0)</f>
        <v>0.65879404024702171</v>
      </c>
      <c r="X35" s="13">
        <f>IF((BS!X36+X27)&gt;0,IS!X33*12/(BS!X36+X27),0)</f>
        <v>0.70943362609235161</v>
      </c>
      <c r="Y35" s="13">
        <f>IF((BS!Y36+Y27)&gt;0,IS!Y33*12/(BS!Y36+Y27),0)</f>
        <v>0.84867383874491864</v>
      </c>
      <c r="Z35" s="13">
        <f>IF((BS!Z36+Z27)&gt;0,IS!Z33*12/(BS!Z36+Z27),0)</f>
        <v>0.80140657186861675</v>
      </c>
      <c r="AA35" s="13">
        <f>IF((BS!AA36+AA27)&gt;0,IS!AA33*12/(BS!AA36+AA27),0)</f>
        <v>0.7470309986077156</v>
      </c>
      <c r="AB35" s="13">
        <f>IF((BS!AB36+AB27)&gt;0,IS!AB33*12/(BS!AB36+AB27),0)</f>
        <v>0.66198026252346209</v>
      </c>
      <c r="AC35" s="13">
        <f>IF((BS!AC36+AC27)&gt;0,IS!AC33*12/(BS!AC36+AC27),0)</f>
        <v>0.58173871726669724</v>
      </c>
      <c r="AD35" s="13">
        <f>IF((BS!AD36+AD27)&gt;0,IS!AD33*12/(BS!AD36+AD27),0)</f>
        <v>0.53857192506674456</v>
      </c>
      <c r="AE35" s="13">
        <f>IF((BS!AE36+AE27)&gt;0,IS!AE33*12/(BS!AE36+AE27),0)</f>
        <v>0.49736471062494042</v>
      </c>
      <c r="AF35" s="13">
        <f>IF((BS!AF36+AF27)&gt;0,IS!AF33*12/(BS!AF36+AF27),0)</f>
        <v>0.49005707875731486</v>
      </c>
      <c r="AG35" s="13">
        <f>IF((BS!AG36+AG27)&gt;0,IS!AG33*12/(BS!AG36+AG27),0)</f>
        <v>0.51459627942486452</v>
      </c>
      <c r="AH35" s="13">
        <f>IF((BS!AH36+AH27)&gt;0,IS!AH33*12/(BS!AH36+AH27),0)</f>
        <v>0.56880484311407586</v>
      </c>
      <c r="AI35" s="13">
        <f>IF((BS!AI36+AI27)&gt;0,IS!AI33*12/(BS!AI36+AI27),0)</f>
        <v>0.61979362466067245</v>
      </c>
      <c r="AJ35" s="13">
        <f>IF((BS!AJ36+AJ27)&gt;0,IS!AJ33*12/(BS!AJ36+AJ27),0)</f>
        <v>0.66742013477626727</v>
      </c>
      <c r="AK35" s="13">
        <f>IF((BS!AK36+AK27)&gt;0,IS!AK33*12/(BS!AK36+AK27),0)</f>
        <v>0.79809429199843784</v>
      </c>
      <c r="AL35" s="13">
        <f>IF((BS!AL36+AL27)&gt;0,IS!AL33*12/(BS!AL36+AL27),0)</f>
        <v>0.73643201779604217</v>
      </c>
      <c r="AM35" s="13">
        <f>IF((BS!AM36+AM27)&gt;0,IS!AM33*12/(BS!AM36+AM27),0)</f>
        <v>0.68769424003387825</v>
      </c>
      <c r="AN35" s="13">
        <f>IF((BS!AN36+AN27)&gt;0,IS!AN33*12/(BS!AN36+AN27),0)</f>
        <v>0.61055671863019856</v>
      </c>
      <c r="AO35" s="13">
        <f>IF((BS!AO36+AO27)&gt;0,IS!AO33*12/(BS!AO36+AO27),0)</f>
        <v>0.5375195547857522</v>
      </c>
      <c r="AP35" s="13">
        <f>IF((BS!AP36+AP27)&gt;0,IS!AP33*12/(BS!AP36+AP27),0)</f>
        <v>0.49830311887647216</v>
      </c>
      <c r="AQ35" s="13">
        <f>IF((BS!AQ36+AQ27)&gt;0,IS!AQ33*12/(BS!AQ36+AQ27),0)</f>
        <v>0.46077010978970911</v>
      </c>
      <c r="AR35" s="13">
        <f>IF((BS!AR36+AR27)&gt;0,IS!AR33*12/(BS!AR36+AR27),0)</f>
        <v>0.4543245224462561</v>
      </c>
      <c r="AS35" s="13">
        <f>IF((BS!AS36+AS27)&gt;0,IS!AS33*12/(BS!AS36+AS27),0)</f>
        <v>0.47718503742167773</v>
      </c>
      <c r="AT35" s="13">
        <f>IF((BS!AT36+AT27)&gt;0,IS!AT33*12/(BS!AT36+AT27),0)</f>
        <v>0.52746095422810113</v>
      </c>
      <c r="AU35" s="13">
        <f>IF((BS!AU36+AU27)&gt;0,IS!AU33*12/(BS!AU36+AU27),0)</f>
        <v>0.57493916000083167</v>
      </c>
      <c r="AV35" s="13">
        <f>IF((BS!AV36+AV27)&gt;0,IS!AV33*12/(BS!AV36+AV27),0)</f>
        <v>0.61949061408226858</v>
      </c>
      <c r="AW35" s="13">
        <f>IF((BS!AW36+AW27)&gt;0,IS!AW33*12/(BS!AW36+AW27),0)</f>
        <v>0.74110021228116862</v>
      </c>
      <c r="AX35" s="13">
        <f>IF((BS!AX36+AX27)&gt;0,IS!AX33*12/(BS!AX36+AX27),0)</f>
        <v>0.68176171888884096</v>
      </c>
      <c r="AY35" s="13">
        <f>IF((BS!AY36+AY27)&gt;0,IS!AY33*12/(BS!AY36+AY27),0)</f>
        <v>0.63764078681729919</v>
      </c>
      <c r="AZ35" s="13">
        <f>IF((BS!AZ36+AZ27)&gt;0,IS!AZ33*12/(BS!AZ36+AZ27),0)</f>
        <v>0.5670562484135282</v>
      </c>
      <c r="BA35" s="13">
        <f>IF((BS!BA36+BA27)&gt;0,IS!BA33*12/(BS!BA36+BA27),0)</f>
        <v>0.50001190065319234</v>
      </c>
      <c r="BB35" s="13">
        <f>IF((BS!BB36+BB27)&gt;0,IS!BB33*12/(BS!BB36+BB27),0)</f>
        <v>0.46408474285856222</v>
      </c>
      <c r="BC35" s="13">
        <f>IF((BS!BC36+BC27)&gt;0,IS!BC33*12/(BS!BC36+BC27),0)</f>
        <v>0.42962000748984613</v>
      </c>
      <c r="BD35" s="13">
        <f>IF((BS!BD36+BD27)&gt;0,IS!BD33*12/(BS!BD36+BD27),0)</f>
        <v>0.42389275842153318</v>
      </c>
      <c r="BE35" s="13">
        <f>IF((BS!BE36+BE27)&gt;0,IS!BE33*12/(BS!BE36+BE27),0)</f>
        <v>0.44534095413192526</v>
      </c>
      <c r="BF35" s="13">
        <f>IF((BS!BF36+BF27)&gt;0,IS!BF33*12/(BS!BF36+BF27),0)</f>
        <v>0.49230502247564073</v>
      </c>
      <c r="BG35" s="13">
        <f>IF((BS!BG36+BG27)&gt;0,IS!BG33*12/(BS!BG36+BG27),0)</f>
        <v>0.53681001291197095</v>
      </c>
      <c r="BH35" s="13">
        <f>IF((BS!BH36+BH27)&gt;0,IS!BH33*12/(BS!BH36+BH27),0)</f>
        <v>0.57873795659876992</v>
      </c>
      <c r="BI35" s="13">
        <f>IF((BS!BI36+BI27)&gt;0,IS!BI33*12/(BS!BI36+BI27),0)</f>
        <v>0.69264801290687061</v>
      </c>
      <c r="BJ35" s="13">
        <f>IF((BS!BJ36+BJ27)&gt;0,IS!BJ33*12/(BS!BJ36+BJ27),0)</f>
        <v>0.62343280613164109</v>
      </c>
      <c r="BK35" s="13">
        <f>IF((BS!BK36+BK27)&gt;0,IS!BK33*12/(BS!BK36+BK27),0)</f>
        <v>0.58410204262781829</v>
      </c>
      <c r="BL35" s="13">
        <f>IF((BS!BL36+BL27)&gt;0,IS!BL33*12/(BS!BL36+BL27),0)</f>
        <v>0.52034347624361466</v>
      </c>
      <c r="BM35" s="13">
        <f>IF((BS!BM36+BM27)&gt;0,IS!BM33*12/(BS!BM36+BM27),0)</f>
        <v>0.45955913822511552</v>
      </c>
      <c r="BN35" s="13">
        <f>IF((BS!BN36+BN27)&gt;0,IS!BN33*12/(BS!BN36+BN27),0)</f>
        <v>0.42708731442615827</v>
      </c>
      <c r="BO35" s="13">
        <f>IF((BS!BO36+BO27)&gt;0,IS!BO33*12/(BS!BO36+BO27),0)</f>
        <v>0.39585058897368069</v>
      </c>
      <c r="BP35" s="13">
        <f>IF((BS!BP36+BP27)&gt;0,IS!BP33*12/(BS!BP36+BP27),0)</f>
        <v>0.39090963275323604</v>
      </c>
      <c r="BQ35" s="13">
        <f>IF((BS!BQ36+BQ27)&gt;0,IS!BQ33*12/(BS!BQ36+BQ27),0)</f>
        <v>0.41092948894329462</v>
      </c>
      <c r="BR35" s="13">
        <f>IF((BS!BR36+BR27)&gt;0,IS!BR33*12/(BS!BR36+BR27),0)</f>
        <v>0.45448803651548431</v>
      </c>
      <c r="BS35" s="13">
        <f>IF((BS!BS36+BS27)&gt;0,IS!BS33*12/(BS!BS36+BS27),0)</f>
        <v>0.49593069598359607</v>
      </c>
      <c r="BT35" s="13">
        <f>IF((BS!BT36+BT27)&gt;0,IS!BT33*12/(BS!BT36+BT27),0)</f>
        <v>0.53514962298209601</v>
      </c>
      <c r="BU35" s="13">
        <f>IF((BS!BU36+BU27)&gt;0,IS!BU33*12/(BS!BU36+BU27),0)</f>
        <v>0.64105149531878003</v>
      </c>
      <c r="BV35" s="13">
        <f>IF((BS!BV36+BV27)&gt;0,IS!BV33*12/(BS!BV36+BV27),0)</f>
        <v>0.5758471198019145</v>
      </c>
      <c r="BW35" s="13">
        <f>IF((BS!BW36+BW27)&gt;0,IS!BW33*12/(BS!BW36+BW27),0)</f>
        <v>0.5403019691288875</v>
      </c>
      <c r="BX35" s="13">
        <f>IF((BS!BX36+BX27)&gt;0,IS!BX33*12/(BS!BX36+BX27),0)</f>
        <v>0.48202556195270402</v>
      </c>
      <c r="BY35" s="13">
        <f>IF((BS!BY36+BY27)&gt;0,IS!BY33*12/(BS!BY36+BY27),0)</f>
        <v>0.42629615182914737</v>
      </c>
      <c r="BZ35" s="13">
        <f>IF((BS!BZ36+BZ27)&gt;0,IS!BZ33*12/(BS!BZ36+BZ27),0)</f>
        <v>0.39660668539920285</v>
      </c>
      <c r="CA35" s="13">
        <f>IF((BS!CA36+CA27)&gt;0,IS!CA33*12/(BS!CA36+CA27),0)</f>
        <v>0.3679794499247353</v>
      </c>
      <c r="CB35" s="13">
        <f>IF((BS!CB36+CB27)&gt;0,IS!CB33*12/(BS!CB36+CB27),0)</f>
        <v>0.36365225713544808</v>
      </c>
      <c r="CC35" s="13">
        <f>IF((BS!CC36+CC27)&gt;0,IS!CC33*12/(BS!CC36+CC27),0)</f>
        <v>0.38246523397901416</v>
      </c>
      <c r="CD35" s="13">
        <f>IF((BS!CD36+CD27)&gt;0,IS!CD33*12/(BS!CD36+CD27),0)</f>
        <v>0.42317993917331087</v>
      </c>
      <c r="CE35" s="13">
        <f>IF((BS!CE36+CE27)&gt;0,IS!CE33*12/(BS!CE36+CE27),0)</f>
        <v>0.46204548634753573</v>
      </c>
      <c r="CF35" s="13">
        <f>IF((BS!CF36+CF27)&gt;0,IS!CF33*12/(BS!CF36+CF27),0)</f>
        <v>0.49896295292730281</v>
      </c>
      <c r="CG35" s="13">
        <f>IF((BS!CG36+CG27)&gt;0,IS!CG33*12/(BS!CG36+CG27),0)</f>
        <v>0.59814532423677869</v>
      </c>
      <c r="CH35" s="13">
        <f>IF((BS!CH36+CH27)&gt;0,IS!CH33*12/(BS!CH36+CH27),0)</f>
        <v>0.53586709478291661</v>
      </c>
      <c r="CI35" s="13">
        <f>IF((BS!CI36+CI27)&gt;0,IS!CI33*12/(BS!CI36+CI27),0)</f>
        <v>0.50299007817619079</v>
      </c>
      <c r="CJ35" s="13">
        <f>IF((BS!CJ36+CJ27)&gt;0,IS!CJ33*12/(BS!CJ36+CJ27),0)</f>
        <v>0.44893392510088875</v>
      </c>
      <c r="CK35" s="13">
        <f>IF((BS!CK36+CK27)&gt;0,IS!CK33*12/(BS!CK36+CK27),0)</f>
        <v>0.39718141304861726</v>
      </c>
      <c r="CL35" s="13">
        <f>IF((BS!CL36+CL27)&gt;0,IS!CL33*12/(BS!CL36+CL27),0)</f>
        <v>0.36958292058061842</v>
      </c>
      <c r="CM35" s="13">
        <f>IF((BS!CM36+CM27)&gt;0,IS!CM33*12/(BS!CM36+CM27),0)</f>
        <v>0.34295523631898078</v>
      </c>
      <c r="CN35" s="13">
        <f>IF((BS!CN36+CN27)&gt;0,IS!CN33*12/(BS!CN36+CN27),0)</f>
        <v>0.3388890011699246</v>
      </c>
      <c r="CO35" s="13">
        <f>IF((BS!CO36+CO27)&gt;0,IS!CO33*12/(BS!CO36+CO27),0)</f>
        <v>0.35632083190086816</v>
      </c>
      <c r="CP35" s="13">
        <f>IF((BS!CP36+CP27)&gt;0,IS!CP33*12/(BS!CP36+CP27),0)</f>
        <v>0.39412323624113138</v>
      </c>
      <c r="CQ35" s="13">
        <f>IF((BS!CQ36+CQ27)&gt;0,IS!CQ33*12/(BS!CQ36+CQ27),0)</f>
        <v>0.4302627296328943</v>
      </c>
      <c r="CR35" s="13">
        <f>IF((BS!CR36+CR27)&gt;0,IS!CR33*12/(BS!CR36+CR27),0)</f>
        <v>0.46465613888832669</v>
      </c>
      <c r="CS35" s="13">
        <f>IF((BS!CS36+CS27)&gt;0,IS!CS33*12/(BS!CS36+CS27),0)</f>
        <v>0.55705401776537333</v>
      </c>
      <c r="CT35" s="13">
        <f>IF((BS!CT36+CT27)&gt;0,IS!CT33*12/(BS!CT36+CT27),0)</f>
        <v>0.4983775327888722</v>
      </c>
      <c r="CU35" s="13">
        <f>IF((BS!CU36+CU27)&gt;0,IS!CU33*12/(BS!CU36+CU27),0)</f>
        <v>0.46842905664960927</v>
      </c>
      <c r="CV35" s="13">
        <f>IF((BS!CV36+CV27)&gt;0,IS!CV33*12/(BS!CV36+CV27),0)</f>
        <v>0.4186460622985772</v>
      </c>
      <c r="CW35" s="13">
        <f>IF((BS!CW36+CW27)&gt;0,IS!CW33*12/(BS!CW36+CW27),0)</f>
        <v>0.37084956801635949</v>
      </c>
      <c r="CX35" s="13">
        <f>IF((BS!CX36+CX27)&gt;0,IS!CX33*12/(BS!CX36+CX27),0)</f>
        <v>0.34544119561618619</v>
      </c>
      <c r="CY35" s="13">
        <f>IF((BS!CY36+CY27)&gt;0,IS!CY33*12/(BS!CY36+CY27),0)</f>
        <v>0.32087188672223926</v>
      </c>
      <c r="CZ35" s="13">
        <f>IF((BS!CZ36+CZ27)&gt;0,IS!CZ33*12/(BS!CZ36+CZ27),0)</f>
        <v>0.31730959102849982</v>
      </c>
      <c r="DA35" s="13">
        <f>IF((BS!DA36+DA27)&gt;0,IS!DA33*12/(BS!DA36+DA27),0)</f>
        <v>0.33382589087709524</v>
      </c>
      <c r="DB35" s="13">
        <f>IF((BS!DB36+DB27)&gt;0,IS!DB33*12/(BS!DB36+DB27),0)</f>
        <v>0.36943291740522016</v>
      </c>
      <c r="DC35" s="13">
        <f>IF((BS!DC36+DC27)&gt;0,IS!DC33*12/(BS!DC36+DC27),0)</f>
        <v>0.40357444568544754</v>
      </c>
      <c r="DD35" s="13">
        <f>IF((BS!DD36+DD27)&gt;0,IS!DD33*12/(BS!DD36+DD27),0)</f>
        <v>0.43617267157682099</v>
      </c>
      <c r="DE35" s="13">
        <f>IF((BS!DE36+DE27)&gt;0,IS!DE33*12/(BS!DE36+DE27),0)</f>
        <v>0.52330541144766163</v>
      </c>
      <c r="DF35" s="13">
        <f>IF((BS!DF36+DF27)&gt;0,IS!DF33*12/(BS!DF36+DF27),0)</f>
        <v>0.46756749184827079</v>
      </c>
      <c r="DG35" s="13">
        <f>IF((BS!DG36+DG27)&gt;0,IS!DG33*12/(BS!DG36+DG27),0)</f>
        <v>0.43995881458655822</v>
      </c>
      <c r="DH35" s="13">
        <f>IF((BS!DH36+DH27)&gt;0,IS!DH33*12/(BS!DH36+DH27),0)</f>
        <v>0.39364019886199297</v>
      </c>
      <c r="DI35" s="13">
        <f>IF((BS!DI36+DI27)&gt;0,IS!DI33*12/(BS!DI36+DI27),0)</f>
        <v>0.34906539470606579</v>
      </c>
      <c r="DJ35" s="13">
        <f>IF((BS!DJ36+DJ27)&gt;0,IS!DJ33*12/(BS!DJ36+DJ27),0)</f>
        <v>0.32543360172049707</v>
      </c>
      <c r="DK35" s="13">
        <f>IF((BS!DK36+DK27)&gt;0,IS!DK33*12/(BS!DK36+DK27),0)</f>
        <v>0.30253973289905978</v>
      </c>
      <c r="DL35" s="13">
        <f>IF((BS!DL36+DL27)&gt;0,IS!DL33*12/(BS!DL36+DL27),0)</f>
        <v>0.29937073342349974</v>
      </c>
      <c r="DM35" s="13">
        <f>IF((BS!DM36+DM27)&gt;0,IS!DM33*12/(BS!DM36+DM27),0)</f>
        <v>0.31510314663180117</v>
      </c>
      <c r="DN35" s="13">
        <f>IF((BS!DN36+DN27)&gt;0,IS!DN33*12/(BS!DN36+DN27),0)</f>
        <v>0.34885822826016022</v>
      </c>
      <c r="DO35" s="13">
        <f>IF((BS!DO36+DO27)&gt;0,IS!DO33*12/(BS!DO36+DO27),0)</f>
        <v>0.38130340193444984</v>
      </c>
      <c r="DP35" s="13">
        <f>IF((BS!DP36+DP27)&gt;0,IS!DP33*12/(BS!DP36+DP27),0)</f>
        <v>0.41236577741009123</v>
      </c>
      <c r="DQ35" s="13">
        <f>IF((BS!DQ36+DQ27)&gt;0,IS!DQ33*12/(BS!DQ36+DQ27),0)</f>
        <v>0.49504965206427221</v>
      </c>
    </row>
    <row r="37" spans="1:121" ht="15" customHeight="1">
      <c r="A37" s="5" t="s">
        <v>478</v>
      </c>
    </row>
    <row r="38" spans="1:121" ht="15" customHeight="1">
      <c r="A38" t="s">
        <v>594</v>
      </c>
      <c r="B38" s="22">
        <f>Calc_WC!B23</f>
        <v>24138.649632328779</v>
      </c>
      <c r="C38" s="22">
        <f>Calc_WC!C23</f>
        <v>23089.143126575356</v>
      </c>
      <c r="D38" s="22">
        <f>Calc_WC!D23</f>
        <v>20990.130115068499</v>
      </c>
      <c r="E38" s="22">
        <f>Calc_WC!E23</f>
        <v>18891.117103561643</v>
      </c>
      <c r="F38" s="22">
        <f>Calc_WC!F23</f>
        <v>17841.610597808227</v>
      </c>
      <c r="G38" s="22">
        <f>Calc_WC!G23</f>
        <v>16792.104092054804</v>
      </c>
      <c r="H38" s="22">
        <f>Calc_WC!H23</f>
        <v>16792.104092054804</v>
      </c>
      <c r="I38" s="22">
        <f>Calc_WC!I23</f>
        <v>17841.610597808227</v>
      </c>
      <c r="J38" s="22">
        <f>Calc_WC!J23</f>
        <v>19940.623609315073</v>
      </c>
      <c r="K38" s="22">
        <f>Calc_WC!K23</f>
        <v>22039.636620821922</v>
      </c>
      <c r="L38" s="22">
        <f>Calc_WC!L23</f>
        <v>24138.649632328779</v>
      </c>
      <c r="M38" s="22">
        <f>Calc_WC!M23</f>
        <v>29386.182161095887</v>
      </c>
      <c r="N38" s="22">
        <f>Calc_WC!N23</f>
        <v>27439.124699109452</v>
      </c>
      <c r="O38" s="22">
        <f>Calc_WC!O23</f>
        <v>26246.119277409045</v>
      </c>
      <c r="P38" s="22">
        <f>Calc_WC!P23</f>
        <v>23860.10843400822</v>
      </c>
      <c r="Q38" s="22">
        <f>Calc_WC!Q23</f>
        <v>21474.097590607402</v>
      </c>
      <c r="R38" s="22">
        <f>Calc_WC!R23</f>
        <v>20281.092168906987</v>
      </c>
      <c r="S38" s="22">
        <f>Calc_WC!S23</f>
        <v>19088.086747206573</v>
      </c>
      <c r="T38" s="22">
        <f>Calc_WC!T23</f>
        <v>19088.086747206573</v>
      </c>
      <c r="U38" s="22">
        <f>Calc_WC!U23</f>
        <v>20281.092168906987</v>
      </c>
      <c r="V38" s="22">
        <f>Calc_WC!V23</f>
        <v>22667.103012307794</v>
      </c>
      <c r="W38" s="22">
        <f>Calc_WC!W23</f>
        <v>25053.113855708634</v>
      </c>
      <c r="X38" s="22">
        <f>Calc_WC!X23</f>
        <v>27439.124699109452</v>
      </c>
      <c r="Y38" s="22">
        <f>Calc_WC!Y23</f>
        <v>33404.151807611503</v>
      </c>
      <c r="Z38" s="22">
        <f>Calc_WC!Z23</f>
        <v>31150.161762525393</v>
      </c>
      <c r="AA38" s="22">
        <f>Calc_WC!AA23</f>
        <v>29795.80690328516</v>
      </c>
      <c r="AB38" s="22">
        <f>Calc_WC!AB23</f>
        <v>27087.09718480469</v>
      </c>
      <c r="AC38" s="22">
        <f>Calc_WC!AC23</f>
        <v>24378.387466324217</v>
      </c>
      <c r="AD38" s="22">
        <f>Calc_WC!AD23</f>
        <v>23024.032607083995</v>
      </c>
      <c r="AE38" s="22">
        <f>Calc_WC!AE23</f>
        <v>21669.677747843743</v>
      </c>
      <c r="AF38" s="22">
        <f>Calc_WC!AF23</f>
        <v>21669.677747843743</v>
      </c>
      <c r="AG38" s="22">
        <f>Calc_WC!AG23</f>
        <v>23024.032607083995</v>
      </c>
      <c r="AH38" s="22">
        <f>Calc_WC!AH23</f>
        <v>25732.742325564453</v>
      </c>
      <c r="AI38" s="22">
        <f>Calc_WC!AI23</f>
        <v>28441.45204404492</v>
      </c>
      <c r="AJ38" s="22">
        <f>Calc_WC!AJ23</f>
        <v>31150.161762525393</v>
      </c>
      <c r="AK38" s="22">
        <f>Calc_WC!AK23</f>
        <v>37921.936058726555</v>
      </c>
      <c r="AL38" s="22">
        <f>Calc_WC!AL23</f>
        <v>34666.204518831728</v>
      </c>
      <c r="AM38" s="22">
        <f>Calc_WC!AM23</f>
        <v>33158.978235404269</v>
      </c>
      <c r="AN38" s="22">
        <f>Calc_WC!AN23</f>
        <v>30144.525668549351</v>
      </c>
      <c r="AO38" s="22">
        <f>Calc_WC!AO23</f>
        <v>27130.07310169439</v>
      </c>
      <c r="AP38" s="22">
        <f>Calc_WC!AP23</f>
        <v>25622.846818266928</v>
      </c>
      <c r="AQ38" s="22">
        <f>Calc_WC!AQ23</f>
        <v>24115.620534839472</v>
      </c>
      <c r="AR38" s="22">
        <f>Calc_WC!AR23</f>
        <v>24115.620534839472</v>
      </c>
      <c r="AS38" s="22">
        <f>Calc_WC!AS23</f>
        <v>25622.846818266928</v>
      </c>
      <c r="AT38" s="22">
        <f>Calc_WC!AT23</f>
        <v>28637.299385121874</v>
      </c>
      <c r="AU38" s="22">
        <f>Calc_WC!AU23</f>
        <v>31651.751951976825</v>
      </c>
      <c r="AV38" s="22">
        <f>Calc_WC!AV23</f>
        <v>34666.204518831728</v>
      </c>
      <c r="AW38" s="22">
        <f>Calc_WC!AW23</f>
        <v>42202.335935969066</v>
      </c>
      <c r="AX38" s="22">
        <f>Calc_WC!AX23</f>
        <v>38535.678199389477</v>
      </c>
      <c r="AY38" s="22">
        <f>Calc_WC!AY23</f>
        <v>36860.213929850783</v>
      </c>
      <c r="AZ38" s="22">
        <f>Calc_WC!AZ23</f>
        <v>33509.285390773439</v>
      </c>
      <c r="BA38" s="22">
        <f>Calc_WC!BA23</f>
        <v>30158.356851696102</v>
      </c>
      <c r="BB38" s="22">
        <f>Calc_WC!BB23</f>
        <v>28482.89258215743</v>
      </c>
      <c r="BC38" s="22">
        <f>Calc_WC!BC23</f>
        <v>26807.428312618747</v>
      </c>
      <c r="BD38" s="22">
        <f>Calc_WC!BD23</f>
        <v>26807.428312618747</v>
      </c>
      <c r="BE38" s="22">
        <f>Calc_WC!BE23</f>
        <v>28482.89258215743</v>
      </c>
      <c r="BF38" s="22">
        <f>Calc_WC!BF23</f>
        <v>31833.821121234767</v>
      </c>
      <c r="BG38" s="22">
        <f>Calc_WC!BG23</f>
        <v>35184.749660312125</v>
      </c>
      <c r="BH38" s="22">
        <f>Calc_WC!BH23</f>
        <v>38535.678199389477</v>
      </c>
      <c r="BI38" s="22">
        <f>Calc_WC!BI23</f>
        <v>46912.999547082814</v>
      </c>
      <c r="BJ38" s="22">
        <f>Calc_WC!BJ23</f>
        <v>41984.71382981506</v>
      </c>
      <c r="BK38" s="22">
        <f>Calc_WC!BK23</f>
        <v>40159.291489388357</v>
      </c>
      <c r="BL38" s="22">
        <f>Calc_WC!BL23</f>
        <v>36508.446808534864</v>
      </c>
      <c r="BM38" s="22">
        <f>Calc_WC!BM23</f>
        <v>32857.602127681355</v>
      </c>
      <c r="BN38" s="22">
        <f>Calc_WC!BN23</f>
        <v>31032.179787254634</v>
      </c>
      <c r="BO38" s="22">
        <f>Calc_WC!BO23</f>
        <v>29206.757446827894</v>
      </c>
      <c r="BP38" s="22">
        <f>Calc_WC!BP23</f>
        <v>29206.757446827894</v>
      </c>
      <c r="BQ38" s="22">
        <f>Calc_WC!BQ23</f>
        <v>31032.179787254634</v>
      </c>
      <c r="BR38" s="22">
        <f>Calc_WC!BR23</f>
        <v>34683.02446810808</v>
      </c>
      <c r="BS38" s="22">
        <f>Calc_WC!BS23</f>
        <v>38333.869148961589</v>
      </c>
      <c r="BT38" s="22">
        <f>Calc_WC!BT23</f>
        <v>41984.71382981506</v>
      </c>
      <c r="BU38" s="22">
        <f>Calc_WC!BU23</f>
        <v>51111.825531948773</v>
      </c>
      <c r="BV38" s="22">
        <f>Calc_WC!BV23</f>
        <v>45697.61304661943</v>
      </c>
      <c r="BW38" s="22">
        <f>Calc_WC!BW23</f>
        <v>43710.760305462056</v>
      </c>
      <c r="BX38" s="22">
        <f>Calc_WC!BX23</f>
        <v>39737.054823147351</v>
      </c>
      <c r="BY38" s="22">
        <f>Calc_WC!BY23</f>
        <v>35763.349340832603</v>
      </c>
      <c r="BZ38" s="22">
        <f>Calc_WC!BZ23</f>
        <v>33776.496599675214</v>
      </c>
      <c r="CA38" s="22">
        <f>Calc_WC!CA23</f>
        <v>31789.643858517873</v>
      </c>
      <c r="CB38" s="22">
        <f>Calc_WC!CB23</f>
        <v>31789.643858517873</v>
      </c>
      <c r="CC38" s="22">
        <f>Calc_WC!CC23</f>
        <v>33776.496599675214</v>
      </c>
      <c r="CD38" s="22">
        <f>Calc_WC!CD23</f>
        <v>37750.202081989948</v>
      </c>
      <c r="CE38" s="22">
        <f>Calc_WC!CE23</f>
        <v>41723.907564304682</v>
      </c>
      <c r="CF38" s="22">
        <f>Calc_WC!CF23</f>
        <v>45697.61304661943</v>
      </c>
      <c r="CG38" s="22">
        <f>Calc_WC!CG23</f>
        <v>55631.876752406257</v>
      </c>
      <c r="CH38" s="22">
        <f>Calc_WC!CH23</f>
        <v>49693.2399358943</v>
      </c>
      <c r="CI38" s="22">
        <f>Calc_WC!CI23</f>
        <v>47532.664286507614</v>
      </c>
      <c r="CJ38" s="22">
        <f>Calc_WC!CJ23</f>
        <v>43211.512987734168</v>
      </c>
      <c r="CK38" s="22">
        <f>Calc_WC!CK23</f>
        <v>38890.361688960795</v>
      </c>
      <c r="CL38" s="22">
        <f>Calc_WC!CL23</f>
        <v>36729.786039574079</v>
      </c>
      <c r="CM38" s="22">
        <f>Calc_WC!CM23</f>
        <v>34569.210390187349</v>
      </c>
      <c r="CN38" s="22">
        <f>Calc_WC!CN23</f>
        <v>34569.210390187349</v>
      </c>
      <c r="CO38" s="22">
        <f>Calc_WC!CO23</f>
        <v>36729.786039574079</v>
      </c>
      <c r="CP38" s="22">
        <f>Calc_WC!CP23</f>
        <v>41050.937338347489</v>
      </c>
      <c r="CQ38" s="22">
        <f>Calc_WC!CQ23</f>
        <v>45372.088637120905</v>
      </c>
      <c r="CR38" s="22">
        <f>Calc_WC!CR23</f>
        <v>49693.2399358943</v>
      </c>
      <c r="CS38" s="22">
        <f>Calc_WC!CS23</f>
        <v>60496.118182827857</v>
      </c>
      <c r="CT38" s="22">
        <f>Calc_WC!CT23</f>
        <v>53991.761576989273</v>
      </c>
      <c r="CU38" s="22">
        <f>Calc_WC!CU23</f>
        <v>51644.293682337579</v>
      </c>
      <c r="CV38" s="22">
        <f>Calc_WC!CV23</f>
        <v>46949.357893034161</v>
      </c>
      <c r="CW38" s="22">
        <f>Calc_WC!CW23</f>
        <v>42254.422103730743</v>
      </c>
      <c r="CX38" s="22">
        <f>Calc_WC!CX23</f>
        <v>39906.954209079035</v>
      </c>
      <c r="CY38" s="22">
        <f>Calc_WC!CY23</f>
        <v>37559.486314427319</v>
      </c>
      <c r="CZ38" s="22">
        <f>Calc_WC!CZ23</f>
        <v>37559.486314427319</v>
      </c>
      <c r="DA38" s="22">
        <f>Calc_WC!DA23</f>
        <v>39906.954209079035</v>
      </c>
      <c r="DB38" s="22">
        <f>Calc_WC!DB23</f>
        <v>44601.889998382423</v>
      </c>
      <c r="DC38" s="22">
        <f>Calc_WC!DC23</f>
        <v>49296.825787685855</v>
      </c>
      <c r="DD38" s="22">
        <f>Calc_WC!DD23</f>
        <v>53991.761576989273</v>
      </c>
      <c r="DE38" s="22">
        <f>Calc_WC!DE23</f>
        <v>65729.101050247817</v>
      </c>
      <c r="DF38" s="22">
        <f>Calc_WC!DF23</f>
        <v>58614.736358609531</v>
      </c>
      <c r="DG38" s="22">
        <f>Calc_WC!DG23</f>
        <v>56066.269560409128</v>
      </c>
      <c r="DH38" s="22">
        <f>Calc_WC!DH23</f>
        <v>50969.335964008285</v>
      </c>
      <c r="DI38" s="22">
        <f>Calc_WC!DI23</f>
        <v>45872.402367607472</v>
      </c>
      <c r="DJ38" s="22">
        <f>Calc_WC!DJ23</f>
        <v>43323.935569407069</v>
      </c>
      <c r="DK38" s="22">
        <f>Calc_WC!DK23</f>
        <v>40775.468771206644</v>
      </c>
      <c r="DL38" s="22">
        <f>Calc_WC!DL23</f>
        <v>40775.468771206644</v>
      </c>
      <c r="DM38" s="22">
        <f>Calc_WC!DM23</f>
        <v>43323.935569407069</v>
      </c>
      <c r="DN38" s="22">
        <f>Calc_WC!DN23</f>
        <v>48420.869165807919</v>
      </c>
      <c r="DO38" s="22">
        <f>Calc_WC!DO23</f>
        <v>53517.802762208725</v>
      </c>
      <c r="DP38" s="22">
        <f>Calc_WC!DP23</f>
        <v>58614.736358609531</v>
      </c>
      <c r="DQ38" s="22">
        <f>Calc_WC!DQ23</f>
        <v>71357.070349611662</v>
      </c>
    </row>
    <row r="39" spans="1:121" ht="15" customHeight="1">
      <c r="A39" t="s">
        <v>595</v>
      </c>
      <c r="B39" s="13">
        <f t="shared" ref="B39:AG39" si="16">IF(B13&gt;0,B38/B13,0)</f>
        <v>1.0489516103515488</v>
      </c>
      <c r="C39" s="13">
        <f t="shared" si="16"/>
        <v>1.048951610351549</v>
      </c>
      <c r="D39" s="13">
        <f t="shared" si="16"/>
        <v>1.0489516103515488</v>
      </c>
      <c r="E39" s="13">
        <f t="shared" si="16"/>
        <v>1.0489516103515488</v>
      </c>
      <c r="F39" s="13">
        <f t="shared" si="16"/>
        <v>1.048951610351549</v>
      </c>
      <c r="G39" s="13">
        <f t="shared" si="16"/>
        <v>1.048951610351549</v>
      </c>
      <c r="H39" s="13">
        <f t="shared" si="16"/>
        <v>1.048951610351549</v>
      </c>
      <c r="I39" s="13">
        <f t="shared" si="16"/>
        <v>1.048951610351549</v>
      </c>
      <c r="J39" s="13">
        <f t="shared" si="16"/>
        <v>1.0489516103515488</v>
      </c>
      <c r="K39" s="13">
        <f t="shared" si="16"/>
        <v>1.0489516103515486</v>
      </c>
      <c r="L39" s="13">
        <f t="shared" si="16"/>
        <v>1.0489516103515488</v>
      </c>
      <c r="M39" s="13">
        <f t="shared" si="16"/>
        <v>1.0489516103515486</v>
      </c>
      <c r="N39" s="13">
        <f t="shared" si="16"/>
        <v>1.0565241476293095</v>
      </c>
      <c r="O39" s="13">
        <f t="shared" si="16"/>
        <v>1.0565241476293099</v>
      </c>
      <c r="P39" s="13">
        <f t="shared" si="16"/>
        <v>1.0565241476293099</v>
      </c>
      <c r="Q39" s="13">
        <f t="shared" si="16"/>
        <v>1.0565241476293101</v>
      </c>
      <c r="R39" s="13">
        <f t="shared" si="16"/>
        <v>1.0565241476293099</v>
      </c>
      <c r="S39" s="13">
        <f t="shared" si="16"/>
        <v>1.0565241476293099</v>
      </c>
      <c r="T39" s="13">
        <f t="shared" si="16"/>
        <v>1.0565241476293099</v>
      </c>
      <c r="U39" s="13">
        <f t="shared" si="16"/>
        <v>1.0565241476293099</v>
      </c>
      <c r="V39" s="13">
        <f t="shared" si="16"/>
        <v>1.0565241476293097</v>
      </c>
      <c r="W39" s="13">
        <f t="shared" si="16"/>
        <v>1.0565241476293097</v>
      </c>
      <c r="X39" s="13">
        <f t="shared" si="16"/>
        <v>1.0565241476293095</v>
      </c>
      <c r="Y39" s="13">
        <f t="shared" si="16"/>
        <v>1.0565241476293099</v>
      </c>
      <c r="Z39" s="13">
        <f t="shared" si="16"/>
        <v>1.0636379835671397</v>
      </c>
      <c r="AA39" s="13">
        <f t="shared" si="16"/>
        <v>1.0636379835671397</v>
      </c>
      <c r="AB39" s="13">
        <f t="shared" si="16"/>
        <v>1.0636379835671397</v>
      </c>
      <c r="AC39" s="13">
        <f t="shared" si="16"/>
        <v>1.0636379835671399</v>
      </c>
      <c r="AD39" s="13">
        <f t="shared" si="16"/>
        <v>1.0636379835671399</v>
      </c>
      <c r="AE39" s="13">
        <f t="shared" si="16"/>
        <v>1.0636379835671397</v>
      </c>
      <c r="AF39" s="13">
        <f t="shared" si="16"/>
        <v>1.0636379835671397</v>
      </c>
      <c r="AG39" s="13">
        <f t="shared" si="16"/>
        <v>1.0636379835671399</v>
      </c>
      <c r="AH39" s="13">
        <f t="shared" ref="AH39:BM39" si="17">IF(AH13&gt;0,AH38/AH13,0)</f>
        <v>1.0636379835671399</v>
      </c>
      <c r="AI39" s="13">
        <f t="shared" si="17"/>
        <v>1.0636379835671397</v>
      </c>
      <c r="AJ39" s="13">
        <f t="shared" si="17"/>
        <v>1.0636379835671397</v>
      </c>
      <c r="AK39" s="13">
        <f t="shared" si="17"/>
        <v>1.0636379835671397</v>
      </c>
      <c r="AL39" s="13">
        <f t="shared" si="17"/>
        <v>1.0703315904999349</v>
      </c>
      <c r="AM39" s="13">
        <f t="shared" si="17"/>
        <v>1.0703315904999346</v>
      </c>
      <c r="AN39" s="13">
        <f t="shared" si="17"/>
        <v>1.0703315904999353</v>
      </c>
      <c r="AO39" s="13">
        <f t="shared" si="17"/>
        <v>1.0703315904999346</v>
      </c>
      <c r="AP39" s="13">
        <f t="shared" si="17"/>
        <v>1.0703315904999346</v>
      </c>
      <c r="AQ39" s="13">
        <f t="shared" si="17"/>
        <v>1.0703315904999353</v>
      </c>
      <c r="AR39" s="13">
        <f t="shared" si="17"/>
        <v>1.0703315904999353</v>
      </c>
      <c r="AS39" s="13">
        <f t="shared" si="17"/>
        <v>1.0703315904999346</v>
      </c>
      <c r="AT39" s="13">
        <f t="shared" si="17"/>
        <v>1.0703315904999355</v>
      </c>
      <c r="AU39" s="13">
        <f t="shared" si="17"/>
        <v>1.0703315904999355</v>
      </c>
      <c r="AV39" s="13">
        <f t="shared" si="17"/>
        <v>1.0703315904999349</v>
      </c>
      <c r="AW39" s="13">
        <f t="shared" si="17"/>
        <v>1.0703315904999349</v>
      </c>
      <c r="AX39" s="13">
        <f t="shared" si="17"/>
        <v>1.076639267977576</v>
      </c>
      <c r="AY39" s="13">
        <f t="shared" si="17"/>
        <v>1.0766392679775754</v>
      </c>
      <c r="AZ39" s="13">
        <f t="shared" si="17"/>
        <v>1.0766392679775756</v>
      </c>
      <c r="BA39" s="13">
        <f t="shared" si="17"/>
        <v>1.0766392679775758</v>
      </c>
      <c r="BB39" s="13">
        <f t="shared" si="17"/>
        <v>1.0766392679775756</v>
      </c>
      <c r="BC39" s="13">
        <f t="shared" si="17"/>
        <v>1.0766392679775754</v>
      </c>
      <c r="BD39" s="13">
        <f t="shared" si="17"/>
        <v>1.0766392679775754</v>
      </c>
      <c r="BE39" s="13">
        <f t="shared" si="17"/>
        <v>1.0766392679775756</v>
      </c>
      <c r="BF39" s="13">
        <f t="shared" si="17"/>
        <v>1.0766392679775756</v>
      </c>
      <c r="BG39" s="13">
        <f t="shared" si="17"/>
        <v>1.0766392679775758</v>
      </c>
      <c r="BH39" s="13">
        <f t="shared" si="17"/>
        <v>1.076639267977576</v>
      </c>
      <c r="BI39" s="13">
        <f t="shared" si="17"/>
        <v>1.0766392679775756</v>
      </c>
      <c r="BJ39" s="13">
        <f t="shared" si="17"/>
        <v>1.0825916938191882</v>
      </c>
      <c r="BK39" s="13">
        <f t="shared" si="17"/>
        <v>1.082591693819188</v>
      </c>
      <c r="BL39" s="13">
        <f t="shared" si="17"/>
        <v>1.0825916938191884</v>
      </c>
      <c r="BM39" s="13">
        <f t="shared" si="17"/>
        <v>1.082591693819188</v>
      </c>
      <c r="BN39" s="13">
        <f t="shared" ref="BN39:CS39" si="18">IF(BN13&gt;0,BN38/BN13,0)</f>
        <v>1.0825916938191884</v>
      </c>
      <c r="BO39" s="13">
        <f t="shared" si="18"/>
        <v>1.0825916938191882</v>
      </c>
      <c r="BP39" s="13">
        <f t="shared" si="18"/>
        <v>1.0825916938191882</v>
      </c>
      <c r="BQ39" s="13">
        <f t="shared" si="18"/>
        <v>1.0825916938191884</v>
      </c>
      <c r="BR39" s="13">
        <f t="shared" si="18"/>
        <v>1.0825916938191877</v>
      </c>
      <c r="BS39" s="13">
        <f t="shared" si="18"/>
        <v>1.082591693819188</v>
      </c>
      <c r="BT39" s="13">
        <f t="shared" si="18"/>
        <v>1.0825916938191882</v>
      </c>
      <c r="BU39" s="13">
        <f t="shared" si="18"/>
        <v>1.0825916938191882</v>
      </c>
      <c r="BV39" s="13">
        <f t="shared" si="18"/>
        <v>1.0882163900821176</v>
      </c>
      <c r="BW39" s="13">
        <f t="shared" si="18"/>
        <v>1.0882163900821171</v>
      </c>
      <c r="BX39" s="13">
        <f t="shared" si="18"/>
        <v>1.0882163900821178</v>
      </c>
      <c r="BY39" s="13">
        <f t="shared" si="18"/>
        <v>1.0882163900821178</v>
      </c>
      <c r="BZ39" s="13">
        <f t="shared" si="18"/>
        <v>1.0882163900821171</v>
      </c>
      <c r="CA39" s="13">
        <f t="shared" si="18"/>
        <v>1.0882163900821178</v>
      </c>
      <c r="CB39" s="13">
        <f t="shared" si="18"/>
        <v>1.0882163900821178</v>
      </c>
      <c r="CC39" s="13">
        <f t="shared" si="18"/>
        <v>1.0882163900821171</v>
      </c>
      <c r="CD39" s="13">
        <f t="shared" si="18"/>
        <v>1.0882163900821169</v>
      </c>
      <c r="CE39" s="13">
        <f t="shared" si="18"/>
        <v>1.0882163900821171</v>
      </c>
      <c r="CF39" s="13">
        <f t="shared" si="18"/>
        <v>1.0882163900821176</v>
      </c>
      <c r="CG39" s="13">
        <f t="shared" si="18"/>
        <v>1.0882163900821173</v>
      </c>
      <c r="CH39" s="13">
        <f t="shared" si="18"/>
        <v>1.0935381188881337</v>
      </c>
      <c r="CI39" s="13">
        <f t="shared" si="18"/>
        <v>1.0935381188881339</v>
      </c>
      <c r="CJ39" s="13">
        <f t="shared" si="18"/>
        <v>1.0935381188881337</v>
      </c>
      <c r="CK39" s="13">
        <f t="shared" si="18"/>
        <v>1.0935381188881343</v>
      </c>
      <c r="CL39" s="13">
        <f t="shared" si="18"/>
        <v>1.0935381188881341</v>
      </c>
      <c r="CM39" s="13">
        <f t="shared" si="18"/>
        <v>1.0935381188881339</v>
      </c>
      <c r="CN39" s="13">
        <f t="shared" si="18"/>
        <v>1.0935381188881339</v>
      </c>
      <c r="CO39" s="13">
        <f t="shared" si="18"/>
        <v>1.0935381188881341</v>
      </c>
      <c r="CP39" s="13">
        <f t="shared" si="18"/>
        <v>1.0935381188881343</v>
      </c>
      <c r="CQ39" s="13">
        <f t="shared" si="18"/>
        <v>1.0935381188881346</v>
      </c>
      <c r="CR39" s="13">
        <f t="shared" si="18"/>
        <v>1.0935381188881337</v>
      </c>
      <c r="CS39" s="13">
        <f t="shared" si="18"/>
        <v>1.0935381188881339</v>
      </c>
      <c r="CT39" s="13">
        <f t="shared" ref="CT39:DY39" si="19">IF(CT13&gt;0,CT38/CT13,0)</f>
        <v>1.0985792201237543</v>
      </c>
      <c r="CU39" s="13">
        <f t="shared" si="19"/>
        <v>1.0985792201237545</v>
      </c>
      <c r="CV39" s="13">
        <f t="shared" si="19"/>
        <v>1.0985792201237548</v>
      </c>
      <c r="CW39" s="13">
        <f t="shared" si="19"/>
        <v>1.0985792201237543</v>
      </c>
      <c r="CX39" s="13">
        <f t="shared" si="19"/>
        <v>1.0985792201237543</v>
      </c>
      <c r="CY39" s="13">
        <f t="shared" si="19"/>
        <v>1.0985792201237545</v>
      </c>
      <c r="CZ39" s="13">
        <f t="shared" si="19"/>
        <v>1.0985792201237545</v>
      </c>
      <c r="DA39" s="13">
        <f t="shared" si="19"/>
        <v>1.0985792201237543</v>
      </c>
      <c r="DB39" s="13">
        <f t="shared" si="19"/>
        <v>1.0985792201237541</v>
      </c>
      <c r="DC39" s="13">
        <f t="shared" si="19"/>
        <v>1.0985792201237545</v>
      </c>
      <c r="DD39" s="13">
        <f t="shared" si="19"/>
        <v>1.0985792201237543</v>
      </c>
      <c r="DE39" s="13">
        <f t="shared" si="19"/>
        <v>1.0985792201237548</v>
      </c>
      <c r="DF39" s="13">
        <f t="shared" si="19"/>
        <v>1.1033599007349213</v>
      </c>
      <c r="DG39" s="13">
        <f t="shared" si="19"/>
        <v>1.1033599007349211</v>
      </c>
      <c r="DH39" s="13">
        <f t="shared" si="19"/>
        <v>1.1033599007349209</v>
      </c>
      <c r="DI39" s="13">
        <f t="shared" si="19"/>
        <v>1.1033599007349211</v>
      </c>
      <c r="DJ39" s="13">
        <f t="shared" si="19"/>
        <v>1.1033599007349215</v>
      </c>
      <c r="DK39" s="13">
        <f t="shared" si="19"/>
        <v>1.1033599007349211</v>
      </c>
      <c r="DL39" s="13">
        <f t="shared" si="19"/>
        <v>1.1033599007349211</v>
      </c>
      <c r="DM39" s="13">
        <f t="shared" si="19"/>
        <v>1.1033599007349215</v>
      </c>
      <c r="DN39" s="13">
        <f t="shared" si="19"/>
        <v>1.1033599007349215</v>
      </c>
      <c r="DO39" s="13">
        <f t="shared" si="19"/>
        <v>1.1033599007349215</v>
      </c>
      <c r="DP39" s="13">
        <f t="shared" si="19"/>
        <v>1.1033599007349213</v>
      </c>
      <c r="DQ39" s="13">
        <f t="shared" si="19"/>
        <v>1.1033599007349215</v>
      </c>
    </row>
    <row r="40" spans="1:121" ht="15" customHeight="1">
      <c r="A40" t="s">
        <v>596</v>
      </c>
      <c r="B40" s="33">
        <f>Assum_WC!$C$7+Assum_WC!$C$13-Assum_WC!$C$17</f>
        <v>73.95</v>
      </c>
      <c r="C40" s="33">
        <f>Assum_WC!$C$7+Assum_WC!$C$13-Assum_WC!$C$17</f>
        <v>73.95</v>
      </c>
      <c r="D40" s="33">
        <f>Assum_WC!$C$7+Assum_WC!$C$13-Assum_WC!$C$17</f>
        <v>73.95</v>
      </c>
      <c r="E40" s="33">
        <f>Assum_WC!$C$7+Assum_WC!$C$13-Assum_WC!$C$17</f>
        <v>73.95</v>
      </c>
      <c r="F40" s="33">
        <f>Assum_WC!$C$7+Assum_WC!$C$13-Assum_WC!$C$17</f>
        <v>73.95</v>
      </c>
      <c r="G40" s="33">
        <f>Assum_WC!$C$7+Assum_WC!$C$13-Assum_WC!$C$17</f>
        <v>73.95</v>
      </c>
      <c r="H40" s="33">
        <f>Assum_WC!$C$7+Assum_WC!$C$13-Assum_WC!$C$17</f>
        <v>73.95</v>
      </c>
      <c r="I40" s="33">
        <f>Assum_WC!$C$7+Assum_WC!$C$13-Assum_WC!$C$17</f>
        <v>73.95</v>
      </c>
      <c r="J40" s="33">
        <f>Assum_WC!$C$7+Assum_WC!$C$13-Assum_WC!$C$17</f>
        <v>73.95</v>
      </c>
      <c r="K40" s="33">
        <f>Assum_WC!$C$7+Assum_WC!$C$13-Assum_WC!$C$17</f>
        <v>73.95</v>
      </c>
      <c r="L40" s="33">
        <f>Assum_WC!$C$7+Assum_WC!$C$13-Assum_WC!$C$17</f>
        <v>73.95</v>
      </c>
      <c r="M40" s="33">
        <f>Assum_WC!$C$7+Assum_WC!$C$13-Assum_WC!$C$17</f>
        <v>73.95</v>
      </c>
      <c r="N40" s="33">
        <f>Assum_WC!$C$7+Assum_WC!$C$13-Assum_WC!$C$17</f>
        <v>73.95</v>
      </c>
      <c r="O40" s="33">
        <f>Assum_WC!$C$7+Assum_WC!$C$13-Assum_WC!$C$17</f>
        <v>73.95</v>
      </c>
      <c r="P40" s="33">
        <f>Assum_WC!$C$7+Assum_WC!$C$13-Assum_WC!$C$17</f>
        <v>73.95</v>
      </c>
      <c r="Q40" s="33">
        <f>Assum_WC!$C$7+Assum_WC!$C$13-Assum_WC!$C$17</f>
        <v>73.95</v>
      </c>
      <c r="R40" s="33">
        <f>Assum_WC!$C$7+Assum_WC!$C$13-Assum_WC!$C$17</f>
        <v>73.95</v>
      </c>
      <c r="S40" s="33">
        <f>Assum_WC!$C$7+Assum_WC!$C$13-Assum_WC!$C$17</f>
        <v>73.95</v>
      </c>
      <c r="T40" s="33">
        <f>Assum_WC!$C$7+Assum_WC!$C$13-Assum_WC!$C$17</f>
        <v>73.95</v>
      </c>
      <c r="U40" s="33">
        <f>Assum_WC!$C$7+Assum_WC!$C$13-Assum_WC!$C$17</f>
        <v>73.95</v>
      </c>
      <c r="V40" s="33">
        <f>Assum_WC!$C$7+Assum_WC!$C$13-Assum_WC!$C$17</f>
        <v>73.95</v>
      </c>
      <c r="W40" s="33">
        <f>Assum_WC!$C$7+Assum_WC!$C$13-Assum_WC!$C$17</f>
        <v>73.95</v>
      </c>
      <c r="X40" s="33">
        <f>Assum_WC!$C$7+Assum_WC!$C$13-Assum_WC!$C$17</f>
        <v>73.95</v>
      </c>
      <c r="Y40" s="33">
        <f>Assum_WC!$C$7+Assum_WC!$C$13-Assum_WC!$C$17</f>
        <v>73.95</v>
      </c>
      <c r="Z40" s="33">
        <f>Assum_WC!$C$7+Assum_WC!$C$13-Assum_WC!$C$17</f>
        <v>73.95</v>
      </c>
      <c r="AA40" s="33">
        <f>Assum_WC!$C$7+Assum_WC!$C$13-Assum_WC!$C$17</f>
        <v>73.95</v>
      </c>
      <c r="AB40" s="33">
        <f>Assum_WC!$C$7+Assum_WC!$C$13-Assum_WC!$C$17</f>
        <v>73.95</v>
      </c>
      <c r="AC40" s="33">
        <f>Assum_WC!$C$7+Assum_WC!$C$13-Assum_WC!$C$17</f>
        <v>73.95</v>
      </c>
      <c r="AD40" s="33">
        <f>Assum_WC!$C$7+Assum_WC!$C$13-Assum_WC!$C$17</f>
        <v>73.95</v>
      </c>
      <c r="AE40" s="33">
        <f>Assum_WC!$C$7+Assum_WC!$C$13-Assum_WC!$C$17</f>
        <v>73.95</v>
      </c>
      <c r="AF40" s="33">
        <f>Assum_WC!$C$7+Assum_WC!$C$13-Assum_WC!$C$17</f>
        <v>73.95</v>
      </c>
      <c r="AG40" s="33">
        <f>Assum_WC!$C$7+Assum_WC!$C$13-Assum_WC!$C$17</f>
        <v>73.95</v>
      </c>
      <c r="AH40" s="33">
        <f>Assum_WC!$C$7+Assum_WC!$C$13-Assum_WC!$C$17</f>
        <v>73.95</v>
      </c>
      <c r="AI40" s="33">
        <f>Assum_WC!$C$7+Assum_WC!$C$13-Assum_WC!$C$17</f>
        <v>73.95</v>
      </c>
      <c r="AJ40" s="33">
        <f>Assum_WC!$C$7+Assum_WC!$C$13-Assum_WC!$C$17</f>
        <v>73.95</v>
      </c>
      <c r="AK40" s="33">
        <f>Assum_WC!$C$7+Assum_WC!$C$13-Assum_WC!$C$17</f>
        <v>73.95</v>
      </c>
      <c r="AL40" s="33">
        <f>Assum_WC!$C$7+Assum_WC!$C$13-Assum_WC!$C$17</f>
        <v>73.95</v>
      </c>
      <c r="AM40" s="33">
        <f>Assum_WC!$C$7+Assum_WC!$C$13-Assum_WC!$C$17</f>
        <v>73.95</v>
      </c>
      <c r="AN40" s="33">
        <f>Assum_WC!$C$7+Assum_WC!$C$13-Assum_WC!$C$17</f>
        <v>73.95</v>
      </c>
      <c r="AO40" s="33">
        <f>Assum_WC!$C$7+Assum_WC!$C$13-Assum_WC!$C$17</f>
        <v>73.95</v>
      </c>
      <c r="AP40" s="33">
        <f>Assum_WC!$C$7+Assum_WC!$C$13-Assum_WC!$C$17</f>
        <v>73.95</v>
      </c>
      <c r="AQ40" s="33">
        <f>Assum_WC!$C$7+Assum_WC!$C$13-Assum_WC!$C$17</f>
        <v>73.95</v>
      </c>
      <c r="AR40" s="33">
        <f>Assum_WC!$C$7+Assum_WC!$C$13-Assum_WC!$C$17</f>
        <v>73.95</v>
      </c>
      <c r="AS40" s="33">
        <f>Assum_WC!$C$7+Assum_WC!$C$13-Assum_WC!$C$17</f>
        <v>73.95</v>
      </c>
      <c r="AT40" s="33">
        <f>Assum_WC!$C$7+Assum_WC!$C$13-Assum_WC!$C$17</f>
        <v>73.95</v>
      </c>
      <c r="AU40" s="33">
        <f>Assum_WC!$C$7+Assum_WC!$C$13-Assum_WC!$C$17</f>
        <v>73.95</v>
      </c>
      <c r="AV40" s="33">
        <f>Assum_WC!$C$7+Assum_WC!$C$13-Assum_WC!$C$17</f>
        <v>73.95</v>
      </c>
      <c r="AW40" s="33">
        <f>Assum_WC!$C$7+Assum_WC!$C$13-Assum_WC!$C$17</f>
        <v>73.95</v>
      </c>
      <c r="AX40" s="33">
        <f>Assum_WC!$C$7+Assum_WC!$C$13-Assum_WC!$C$17</f>
        <v>73.95</v>
      </c>
      <c r="AY40" s="33">
        <f>Assum_WC!$C$7+Assum_WC!$C$13-Assum_WC!$C$17</f>
        <v>73.95</v>
      </c>
      <c r="AZ40" s="33">
        <f>Assum_WC!$C$7+Assum_WC!$C$13-Assum_WC!$C$17</f>
        <v>73.95</v>
      </c>
      <c r="BA40" s="33">
        <f>Assum_WC!$C$7+Assum_WC!$C$13-Assum_WC!$C$17</f>
        <v>73.95</v>
      </c>
      <c r="BB40" s="33">
        <f>Assum_WC!$C$7+Assum_WC!$C$13-Assum_WC!$C$17</f>
        <v>73.95</v>
      </c>
      <c r="BC40" s="33">
        <f>Assum_WC!$C$7+Assum_WC!$C$13-Assum_WC!$C$17</f>
        <v>73.95</v>
      </c>
      <c r="BD40" s="33">
        <f>Assum_WC!$C$7+Assum_WC!$C$13-Assum_WC!$C$17</f>
        <v>73.95</v>
      </c>
      <c r="BE40" s="33">
        <f>Assum_WC!$C$7+Assum_WC!$C$13-Assum_WC!$C$17</f>
        <v>73.95</v>
      </c>
      <c r="BF40" s="33">
        <f>Assum_WC!$C$7+Assum_WC!$C$13-Assum_WC!$C$17</f>
        <v>73.95</v>
      </c>
      <c r="BG40" s="33">
        <f>Assum_WC!$C$7+Assum_WC!$C$13-Assum_WC!$C$17</f>
        <v>73.95</v>
      </c>
      <c r="BH40" s="33">
        <f>Assum_WC!$C$7+Assum_WC!$C$13-Assum_WC!$C$17</f>
        <v>73.95</v>
      </c>
      <c r="BI40" s="33">
        <f>Assum_WC!$C$7+Assum_WC!$C$13-Assum_WC!$C$17</f>
        <v>73.95</v>
      </c>
      <c r="BJ40" s="33">
        <f>Assum_WC!$C$7+Assum_WC!$C$13-Assum_WC!$C$17</f>
        <v>73.95</v>
      </c>
      <c r="BK40" s="33">
        <f>Assum_WC!$C$7+Assum_WC!$C$13-Assum_WC!$C$17</f>
        <v>73.95</v>
      </c>
      <c r="BL40" s="33">
        <f>Assum_WC!$C$7+Assum_WC!$C$13-Assum_WC!$C$17</f>
        <v>73.95</v>
      </c>
      <c r="BM40" s="33">
        <f>Assum_WC!$C$7+Assum_WC!$C$13-Assum_WC!$C$17</f>
        <v>73.95</v>
      </c>
      <c r="BN40" s="33">
        <f>Assum_WC!$C$7+Assum_WC!$C$13-Assum_WC!$C$17</f>
        <v>73.95</v>
      </c>
      <c r="BO40" s="33">
        <f>Assum_WC!$C$7+Assum_WC!$C$13-Assum_WC!$C$17</f>
        <v>73.95</v>
      </c>
      <c r="BP40" s="33">
        <f>Assum_WC!$C$7+Assum_WC!$C$13-Assum_WC!$C$17</f>
        <v>73.95</v>
      </c>
      <c r="BQ40" s="33">
        <f>Assum_WC!$C$7+Assum_WC!$C$13-Assum_WC!$C$17</f>
        <v>73.95</v>
      </c>
      <c r="BR40" s="33">
        <f>Assum_WC!$C$7+Assum_WC!$C$13-Assum_WC!$C$17</f>
        <v>73.95</v>
      </c>
      <c r="BS40" s="33">
        <f>Assum_WC!$C$7+Assum_WC!$C$13-Assum_WC!$C$17</f>
        <v>73.95</v>
      </c>
      <c r="BT40" s="33">
        <f>Assum_WC!$C$7+Assum_WC!$C$13-Assum_WC!$C$17</f>
        <v>73.95</v>
      </c>
      <c r="BU40" s="33">
        <f>Assum_WC!$C$7+Assum_WC!$C$13-Assum_WC!$C$17</f>
        <v>73.95</v>
      </c>
      <c r="BV40" s="33">
        <f>Assum_WC!$C$7+Assum_WC!$C$13-Assum_WC!$C$17</f>
        <v>73.95</v>
      </c>
      <c r="BW40" s="33">
        <f>Assum_WC!$C$7+Assum_WC!$C$13-Assum_WC!$C$17</f>
        <v>73.95</v>
      </c>
      <c r="BX40" s="33">
        <f>Assum_WC!$C$7+Assum_WC!$C$13-Assum_WC!$C$17</f>
        <v>73.95</v>
      </c>
      <c r="BY40" s="33">
        <f>Assum_WC!$C$7+Assum_WC!$C$13-Assum_WC!$C$17</f>
        <v>73.95</v>
      </c>
      <c r="BZ40" s="33">
        <f>Assum_WC!$C$7+Assum_WC!$C$13-Assum_WC!$C$17</f>
        <v>73.95</v>
      </c>
      <c r="CA40" s="33">
        <f>Assum_WC!$C$7+Assum_WC!$C$13-Assum_WC!$C$17</f>
        <v>73.95</v>
      </c>
      <c r="CB40" s="33">
        <f>Assum_WC!$C$7+Assum_WC!$C$13-Assum_WC!$C$17</f>
        <v>73.95</v>
      </c>
      <c r="CC40" s="33">
        <f>Assum_WC!$C$7+Assum_WC!$C$13-Assum_WC!$C$17</f>
        <v>73.95</v>
      </c>
      <c r="CD40" s="33">
        <f>Assum_WC!$C$7+Assum_WC!$C$13-Assum_WC!$C$17</f>
        <v>73.95</v>
      </c>
      <c r="CE40" s="33">
        <f>Assum_WC!$C$7+Assum_WC!$C$13-Assum_WC!$C$17</f>
        <v>73.95</v>
      </c>
      <c r="CF40" s="33">
        <f>Assum_WC!$C$7+Assum_WC!$C$13-Assum_WC!$C$17</f>
        <v>73.95</v>
      </c>
      <c r="CG40" s="33">
        <f>Assum_WC!$C$7+Assum_WC!$C$13-Assum_WC!$C$17</f>
        <v>73.95</v>
      </c>
      <c r="CH40" s="33">
        <f>Assum_WC!$C$7+Assum_WC!$C$13-Assum_WC!$C$17</f>
        <v>73.95</v>
      </c>
      <c r="CI40" s="33">
        <f>Assum_WC!$C$7+Assum_WC!$C$13-Assum_WC!$C$17</f>
        <v>73.95</v>
      </c>
      <c r="CJ40" s="33">
        <f>Assum_WC!$C$7+Assum_WC!$C$13-Assum_WC!$C$17</f>
        <v>73.95</v>
      </c>
      <c r="CK40" s="33">
        <f>Assum_WC!$C$7+Assum_WC!$C$13-Assum_WC!$C$17</f>
        <v>73.95</v>
      </c>
      <c r="CL40" s="33">
        <f>Assum_WC!$C$7+Assum_WC!$C$13-Assum_WC!$C$17</f>
        <v>73.95</v>
      </c>
      <c r="CM40" s="33">
        <f>Assum_WC!$C$7+Assum_WC!$C$13-Assum_WC!$C$17</f>
        <v>73.95</v>
      </c>
      <c r="CN40" s="33">
        <f>Assum_WC!$C$7+Assum_WC!$C$13-Assum_WC!$C$17</f>
        <v>73.95</v>
      </c>
      <c r="CO40" s="33">
        <f>Assum_WC!$C$7+Assum_WC!$C$13-Assum_WC!$C$17</f>
        <v>73.95</v>
      </c>
      <c r="CP40" s="33">
        <f>Assum_WC!$C$7+Assum_WC!$C$13-Assum_WC!$C$17</f>
        <v>73.95</v>
      </c>
      <c r="CQ40" s="33">
        <f>Assum_WC!$C$7+Assum_WC!$C$13-Assum_WC!$C$17</f>
        <v>73.95</v>
      </c>
      <c r="CR40" s="33">
        <f>Assum_WC!$C$7+Assum_WC!$C$13-Assum_WC!$C$17</f>
        <v>73.95</v>
      </c>
      <c r="CS40" s="33">
        <f>Assum_WC!$C$7+Assum_WC!$C$13-Assum_WC!$C$17</f>
        <v>73.95</v>
      </c>
      <c r="CT40" s="33">
        <f>Assum_WC!$C$7+Assum_WC!$C$13-Assum_WC!$C$17</f>
        <v>73.95</v>
      </c>
      <c r="CU40" s="33">
        <f>Assum_WC!$C$7+Assum_WC!$C$13-Assum_WC!$C$17</f>
        <v>73.95</v>
      </c>
      <c r="CV40" s="33">
        <f>Assum_WC!$C$7+Assum_WC!$C$13-Assum_WC!$C$17</f>
        <v>73.95</v>
      </c>
      <c r="CW40" s="33">
        <f>Assum_WC!$C$7+Assum_WC!$C$13-Assum_WC!$C$17</f>
        <v>73.95</v>
      </c>
      <c r="CX40" s="33">
        <f>Assum_WC!$C$7+Assum_WC!$C$13-Assum_WC!$C$17</f>
        <v>73.95</v>
      </c>
      <c r="CY40" s="33">
        <f>Assum_WC!$C$7+Assum_WC!$C$13-Assum_WC!$C$17</f>
        <v>73.95</v>
      </c>
      <c r="CZ40" s="33">
        <f>Assum_WC!$C$7+Assum_WC!$C$13-Assum_WC!$C$17</f>
        <v>73.95</v>
      </c>
      <c r="DA40" s="33">
        <f>Assum_WC!$C$7+Assum_WC!$C$13-Assum_WC!$C$17</f>
        <v>73.95</v>
      </c>
      <c r="DB40" s="33">
        <f>Assum_WC!$C$7+Assum_WC!$C$13-Assum_WC!$C$17</f>
        <v>73.95</v>
      </c>
      <c r="DC40" s="33">
        <f>Assum_WC!$C$7+Assum_WC!$C$13-Assum_WC!$C$17</f>
        <v>73.95</v>
      </c>
      <c r="DD40" s="33">
        <f>Assum_WC!$C$7+Assum_WC!$C$13-Assum_WC!$C$17</f>
        <v>73.95</v>
      </c>
      <c r="DE40" s="33">
        <f>Assum_WC!$C$7+Assum_WC!$C$13-Assum_WC!$C$17</f>
        <v>73.95</v>
      </c>
      <c r="DF40" s="33">
        <f>Assum_WC!$C$7+Assum_WC!$C$13-Assum_WC!$C$17</f>
        <v>73.95</v>
      </c>
      <c r="DG40" s="33">
        <f>Assum_WC!$C$7+Assum_WC!$C$13-Assum_WC!$C$17</f>
        <v>73.95</v>
      </c>
      <c r="DH40" s="33">
        <f>Assum_WC!$C$7+Assum_WC!$C$13-Assum_WC!$C$17</f>
        <v>73.95</v>
      </c>
      <c r="DI40" s="33">
        <f>Assum_WC!$C$7+Assum_WC!$C$13-Assum_WC!$C$17</f>
        <v>73.95</v>
      </c>
      <c r="DJ40" s="33">
        <f>Assum_WC!$C$7+Assum_WC!$C$13-Assum_WC!$C$17</f>
        <v>73.95</v>
      </c>
      <c r="DK40" s="33">
        <f>Assum_WC!$C$7+Assum_WC!$C$13-Assum_WC!$C$17</f>
        <v>73.95</v>
      </c>
      <c r="DL40" s="33">
        <f>Assum_WC!$C$7+Assum_WC!$C$13-Assum_WC!$C$17</f>
        <v>73.95</v>
      </c>
      <c r="DM40" s="33">
        <f>Assum_WC!$C$7+Assum_WC!$C$13-Assum_WC!$C$17</f>
        <v>73.95</v>
      </c>
      <c r="DN40" s="33">
        <f>Assum_WC!$C$7+Assum_WC!$C$13-Assum_WC!$C$17</f>
        <v>73.95</v>
      </c>
      <c r="DO40" s="33">
        <f>Assum_WC!$C$7+Assum_WC!$C$13-Assum_WC!$C$17</f>
        <v>73.95</v>
      </c>
      <c r="DP40" s="33">
        <f>Assum_WC!$C$7+Assum_WC!$C$13-Assum_WC!$C$17</f>
        <v>73.95</v>
      </c>
      <c r="DQ40" s="33">
        <f>Assum_WC!$C$7+Assum_WC!$C$13-Assum_WC!$C$17</f>
        <v>73.95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"/>
  <sheetViews>
    <sheetView zoomScaleNormal="100" workbookViewId="0"/>
  </sheetViews>
  <sheetFormatPr defaultColWidth="8.7109375" defaultRowHeight="15"/>
  <cols>
    <col min="1" max="1" width="45" customWidth="1"/>
    <col min="2" max="2" width="15" customWidth="1"/>
    <col min="3" max="3" width="20" customWidth="1"/>
    <col min="4" max="4" width="12" customWidth="1"/>
  </cols>
  <sheetData>
    <row r="1" spans="1:4" ht="17.25" customHeight="1">
      <c r="A1" s="4" t="s">
        <v>597</v>
      </c>
    </row>
    <row r="3" spans="1:4" ht="15" customHeight="1">
      <c r="A3" s="14" t="s">
        <v>598</v>
      </c>
      <c r="B3" s="14" t="s">
        <v>599</v>
      </c>
      <c r="C3" s="14" t="s">
        <v>600</v>
      </c>
      <c r="D3" s="14" t="s">
        <v>601</v>
      </c>
    </row>
    <row r="4" spans="1:4" ht="15" customHeight="1">
      <c r="A4" t="s">
        <v>602</v>
      </c>
      <c r="B4" s="34">
        <f>SUMPRODUCT(ABS(BS!B41:DQ41))</f>
        <v>0</v>
      </c>
      <c r="C4" t="str">
        <f>IF(B4&lt;1,"PASS","FAIL")</f>
        <v>PASS</v>
      </c>
    </row>
    <row r="5" spans="1:4" ht="15" customHeight="1">
      <c r="A5" t="s">
        <v>603</v>
      </c>
      <c r="B5" s="34">
        <f>Assum_Volume!B58</f>
        <v>12</v>
      </c>
      <c r="C5" t="str">
        <f>IF(ABS(B5-12)&lt;0.01,"PASS","FAIL")</f>
        <v>PASS</v>
      </c>
    </row>
    <row r="6" spans="1:4" ht="15" customHeight="1">
      <c r="A6" t="s">
        <v>604</v>
      </c>
      <c r="B6" s="34">
        <f>Assum_Volume!C8+Assum_Volume!C9</f>
        <v>1</v>
      </c>
      <c r="C6" t="str">
        <f>IF(ABS(B6-1)&lt;0.001,"PASS","FAIL")</f>
        <v>PASS</v>
      </c>
    </row>
    <row r="7" spans="1:4" ht="15" customHeight="1">
      <c r="A7" t="s">
        <v>605</v>
      </c>
      <c r="B7" s="34">
        <f>Assum_Volume!C12+Assum_Volume!C13</f>
        <v>1</v>
      </c>
      <c r="C7" t="str">
        <f>IF(ABS(B7-1)&lt;0.001,"PASS","FAIL")</f>
        <v>PASS</v>
      </c>
    </row>
    <row r="8" spans="1:4" ht="15" customHeight="1">
      <c r="A8" t="s">
        <v>606</v>
      </c>
      <c r="B8" s="34">
        <f>Assum_Volume!C16+Assum_Volume!C17</f>
        <v>1</v>
      </c>
      <c r="C8" t="str">
        <f>IF(ABS(B8-1)&lt;0.001,"PASS","FAIL")</f>
        <v>PASS</v>
      </c>
    </row>
    <row r="9" spans="1:4" ht="15" customHeight="1">
      <c r="A9" t="s">
        <v>607</v>
      </c>
      <c r="B9" s="34">
        <f>MIN(CF!B25:DT25)</f>
        <v>10280.819489496622</v>
      </c>
      <c r="C9" t="str">
        <f>IF(B9&gt;=0,"PASS","FAIL")</f>
        <v>PASS</v>
      </c>
    </row>
    <row r="10" spans="1:4" ht="15" customHeight="1">
      <c r="A10" t="s">
        <v>608</v>
      </c>
      <c r="B10" s="34">
        <f>MIN(Calc_Debt!B20:DT20)</f>
        <v>0</v>
      </c>
      <c r="C10" t="str">
        <f>IF(B10&gt;=0,"PASS","FAIL")</f>
        <v>PASS</v>
      </c>
    </row>
    <row r="11" spans="1:4" ht="15" customHeight="1">
      <c r="A11" t="s">
        <v>609</v>
      </c>
      <c r="B11" s="34">
        <f>MIN(Calc_Volume!B14:DT14)</f>
        <v>53333.333333333343</v>
      </c>
      <c r="C11" t="str">
        <f>IF(B11&gt;=0,"PASS","FAIL")</f>
        <v>PASS</v>
      </c>
    </row>
    <row r="12" spans="1:4" ht="15" customHeight="1">
      <c r="A12" t="s">
        <v>610</v>
      </c>
      <c r="B12" s="34">
        <f>MIN(IS!B20:DT20)</f>
        <v>0.75205616229014849</v>
      </c>
      <c r="C12" t="str">
        <f>IF(B12&gt;0,"PASS","FAIL")</f>
        <v>PASS</v>
      </c>
    </row>
    <row r="13" spans="1:4" ht="15" customHeight="1">
      <c r="A13" t="s">
        <v>611</v>
      </c>
      <c r="B13" s="34">
        <f>BS!B18-BS!B38</f>
        <v>0</v>
      </c>
      <c r="C13" t="str">
        <f>IF(ABS(B13)&lt;1,"PASS","FAIL")</f>
        <v>PASS</v>
      </c>
    </row>
    <row r="14" spans="1:4" ht="15" customHeight="1">
      <c r="A14" t="s">
        <v>612</v>
      </c>
      <c r="B14" s="34">
        <f>BS!BI18-BS!BI38</f>
        <v>0</v>
      </c>
      <c r="C14" t="str">
        <f>IF(ABS(B14)&lt;1,"PASS","FAIL")</f>
        <v>PASS</v>
      </c>
    </row>
    <row r="15" spans="1:4" ht="15" customHeight="1">
      <c r="A15" t="s">
        <v>613</v>
      </c>
      <c r="B15" s="34">
        <f>BS!DQ18-BS!DQ38</f>
        <v>0</v>
      </c>
      <c r="C15" t="str">
        <f>IF(ABS(B15)&lt;1,"PASS","FAIL")</f>
        <v>PASS</v>
      </c>
    </row>
    <row r="16" spans="1:4" ht="15" customHeight="1">
      <c r="A16" t="s">
        <v>614</v>
      </c>
      <c r="B16" s="34">
        <f>SUM(IS!B40:DQ40)+SUM(CF!B19:DQ19)-(BS!DQ35-Assum_Finance!C19/1000)</f>
        <v>1.1059455573558807E-9</v>
      </c>
      <c r="C16" t="str">
        <f>IF(ABS(B16)&lt;1,"PASS","FAIL")</f>
        <v>PASS</v>
      </c>
    </row>
    <row r="20" spans="1:3" ht="15" customHeight="1">
      <c r="A20" s="5" t="s">
        <v>615</v>
      </c>
      <c r="B20">
        <f>COUNTIF(C4:C16,"FAIL")</f>
        <v>0</v>
      </c>
      <c r="C20" t="str">
        <f>IF(B20=0,"ALL CHECKS PASS",B20&amp;" CHECK(S) FAILED")</f>
        <v>ALL CHECKS PASS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0"/>
  <sheetViews>
    <sheetView zoomScaleNormal="100" workbookViewId="0"/>
  </sheetViews>
  <sheetFormatPr defaultColWidth="8.7109375" defaultRowHeight="15"/>
  <cols>
    <col min="1" max="1" width="25" customWidth="1"/>
    <col min="2" max="11" width="12" customWidth="1"/>
  </cols>
  <sheetData>
    <row r="1" spans="1:11" ht="17.25" customHeight="1">
      <c r="A1" s="4" t="s">
        <v>616</v>
      </c>
    </row>
    <row r="3" spans="1:11" ht="15" customHeight="1">
      <c r="A3" s="14" t="s">
        <v>617</v>
      </c>
      <c r="B3" s="10" t="s">
        <v>246</v>
      </c>
      <c r="C3" s="10" t="s">
        <v>247</v>
      </c>
      <c r="D3" s="10" t="s">
        <v>248</v>
      </c>
      <c r="E3" s="10" t="s">
        <v>249</v>
      </c>
      <c r="F3" s="10" t="s">
        <v>250</v>
      </c>
      <c r="G3" s="10" t="s">
        <v>251</v>
      </c>
      <c r="H3" s="10" t="s">
        <v>252</v>
      </c>
      <c r="I3" s="10" t="s">
        <v>253</v>
      </c>
      <c r="J3" s="10" t="s">
        <v>254</v>
      </c>
      <c r="K3" s="10" t="s">
        <v>255</v>
      </c>
    </row>
    <row r="4" spans="1:11" ht="15" customHeight="1">
      <c r="A4" t="s">
        <v>618</v>
      </c>
      <c r="B4" s="22">
        <f>SUM(Calc_Volume!B14:M14)</f>
        <v>800000.00000000012</v>
      </c>
      <c r="C4" s="22">
        <f>SUM(Calc_Volume!N14:Y14)</f>
        <v>864000</v>
      </c>
      <c r="D4" s="22">
        <f>SUM(Calc_Volume!Z14:AK14)</f>
        <v>933120</v>
      </c>
      <c r="E4" s="22">
        <f>SUM(Calc_Volume!AL14:AW14)</f>
        <v>989107.20000000007</v>
      </c>
      <c r="F4" s="22">
        <f>SUM(Calc_Volume!AX14:BI14)</f>
        <v>1048453.6320000002</v>
      </c>
      <c r="G4" s="22">
        <f>SUM(Calc_Volume!BJ14:BU14)</f>
        <v>1090391.7772800003</v>
      </c>
      <c r="H4" s="22">
        <f>SUM(Calc_Volume!BV14:CG14)</f>
        <v>1134007.4483712001</v>
      </c>
      <c r="I4" s="22">
        <f>SUM(Calc_Volume!CH14:CS14)</f>
        <v>1179367.746306048</v>
      </c>
      <c r="J4" s="22">
        <f>SUM(Calc_Volume!CT14:DE14)</f>
        <v>1226542.4561582902</v>
      </c>
      <c r="K4" s="22">
        <f>SUM(Calc_Volume!DF14:DQ14)</f>
        <v>1275604.1544046216</v>
      </c>
    </row>
    <row r="5" spans="1:11" ht="15" customHeight="1">
      <c r="A5" t="s">
        <v>577</v>
      </c>
      <c r="B5" s="22">
        <f>SUM(Calc_Revenue!B12:M12)</f>
        <v>491518.00000000006</v>
      </c>
      <c r="C5" s="22">
        <f>SUM(Calc_Revenue!N12:Y12)</f>
        <v>544110.42599999998</v>
      </c>
      <c r="D5" s="22">
        <f>SUM(Calc_Revenue!Z12:AK12)</f>
        <v>602330.24158200005</v>
      </c>
      <c r="E5" s="22">
        <f>SUM(Calc_Revenue!AL12:AW12)</f>
        <v>654431.80747884314</v>
      </c>
      <c r="F5" s="22">
        <f>SUM(Calc_Revenue!AX12:BI12)</f>
        <v>711040.15882576304</v>
      </c>
      <c r="G5" s="22">
        <f>SUM(Calc_Revenue!BJ12:BU12)</f>
        <v>757968.80930826324</v>
      </c>
      <c r="H5" s="22">
        <f>SUM(Calc_Revenue!BV12:CG12)</f>
        <v>807994.75072260853</v>
      </c>
      <c r="I5" s="22">
        <f>SUM(Calc_Revenue!CH12:CS12)</f>
        <v>861322.40427030041</v>
      </c>
      <c r="J5" s="22">
        <f>SUM(Calc_Revenue!CT12:DE12)</f>
        <v>918169.68295214011</v>
      </c>
      <c r="K5" s="22">
        <f>SUM(Calc_Revenue!DF12:DQ12)</f>
        <v>978768.88202698133</v>
      </c>
    </row>
    <row r="6" spans="1:11" ht="15" customHeight="1">
      <c r="A6" t="s">
        <v>578</v>
      </c>
      <c r="B6" s="22">
        <f>SUM(Calc_Revenue!B25:M25)</f>
        <v>240126.96000000002</v>
      </c>
      <c r="C6" s="22">
        <f>SUM(Calc_Revenue!N25:Y25)</f>
        <v>271003.08293999999</v>
      </c>
      <c r="D6" s="22">
        <f>SUM(Calc_Revenue!Z25:AK25)</f>
        <v>305597.55409217998</v>
      </c>
      <c r="E6" s="22">
        <f>SUM(Calc_Revenue!AL25:AW25)</f>
        <v>337964.71227540955</v>
      </c>
      <c r="F6" s="22">
        <f>SUM(Calc_Revenue!AX25:BI25)</f>
        <v>373487.60782674386</v>
      </c>
      <c r="G6" s="22">
        <f>SUM(Calc_Revenue!BJ25:BU25)</f>
        <v>404678.29580040061</v>
      </c>
      <c r="H6" s="22">
        <f>SUM(Calc_Revenue!BV25:CG25)</f>
        <v>438189.18941460253</v>
      </c>
      <c r="I6" s="22">
        <f>SUM(Calc_Revenue!CH25:CS25)</f>
        <v>474183.88705099665</v>
      </c>
      <c r="J6" s="22">
        <f>SUM(Calc_Revenue!CT25:DE25)</f>
        <v>512837.20317679411</v>
      </c>
      <c r="K6" s="22">
        <f>SUM(Calc_Revenue!DF25:DQ25)</f>
        <v>554335.92535011133</v>
      </c>
    </row>
    <row r="7" spans="1:11" ht="15" customHeight="1">
      <c r="A7" t="s">
        <v>619</v>
      </c>
      <c r="B7" s="22">
        <f>SUM(Calc_COGS!B28:M28)</f>
        <v>59538</v>
      </c>
      <c r="C7" s="22">
        <f>SUM(Calc_COGS!N28:Y28)</f>
        <v>65908.565999999992</v>
      </c>
      <c r="D7" s="22">
        <f>SUM(Calc_COGS!Z28:AK28)</f>
        <v>72960.782562000008</v>
      </c>
      <c r="E7" s="22">
        <f>SUM(Calc_COGS!AL28:AW28)</f>
        <v>79271.890253613004</v>
      </c>
      <c r="F7" s="22">
        <f>SUM(Calc_COGS!AX28:BI28)</f>
        <v>86128.908760550519</v>
      </c>
      <c r="G7" s="22">
        <f>SUM(Calc_COGS!BJ28:BU28)</f>
        <v>91813.416738746848</v>
      </c>
      <c r="H7" s="22">
        <f>SUM(Calc_COGS!BV28:CG28)</f>
        <v>97873.102243504138</v>
      </c>
      <c r="I7" s="22">
        <f>SUM(Calc_COGS!CH28:CS28)</f>
        <v>104332.7269915754</v>
      </c>
      <c r="J7" s="22">
        <f>SUM(Calc_COGS!CT28:DE28)</f>
        <v>111218.68697301936</v>
      </c>
      <c r="K7" s="22">
        <f>SUM(Calc_COGS!DF28:DQ28)</f>
        <v>118559.12031323863</v>
      </c>
    </row>
    <row r="8" spans="1:11" ht="15" customHeight="1">
      <c r="A8" t="s">
        <v>620</v>
      </c>
      <c r="B8" s="22">
        <f>SUM(IS!B19:M19)</f>
        <v>180588.96000000002</v>
      </c>
      <c r="C8" s="22">
        <f>SUM(IS!N19:Y19)</f>
        <v>205094.51694</v>
      </c>
      <c r="D8" s="22">
        <f>SUM(IS!Z19:AK19)</f>
        <v>232636.77153018003</v>
      </c>
      <c r="E8" s="22">
        <f>SUM(IS!AL19:AW19)</f>
        <v>258692.8220217966</v>
      </c>
      <c r="F8" s="22">
        <f>SUM(IS!AX19:BI19)</f>
        <v>287358.69906619331</v>
      </c>
      <c r="G8" s="22">
        <f>SUM(IS!BJ19:BU19)</f>
        <v>312864.87906165386</v>
      </c>
      <c r="H8" s="22">
        <f>SUM(IS!BV19:CG19)</f>
        <v>340316.08717109839</v>
      </c>
      <c r="I8" s="22">
        <f>SUM(IS!CH19:CS19)</f>
        <v>369851.16005942132</v>
      </c>
      <c r="J8" s="22">
        <f>SUM(IS!CT19:DE19)</f>
        <v>401618.51620377472</v>
      </c>
      <c r="K8" s="22">
        <f>SUM(IS!DF19:DQ19)</f>
        <v>435776.80503687274</v>
      </c>
    </row>
    <row r="9" spans="1:11" ht="15" customHeight="1">
      <c r="A9" t="s">
        <v>582</v>
      </c>
      <c r="B9" s="22">
        <f>SUM(IS!B29:M29)</f>
        <v>63630.900000000031</v>
      </c>
      <c r="C9" s="22">
        <f>SUM(IS!N29:Y29)</f>
        <v>75621.94451999999</v>
      </c>
      <c r="D9" s="22">
        <f>SUM(IS!Z29:AK29)</f>
        <v>89310.63386124</v>
      </c>
      <c r="E9" s="22">
        <f>SUM(IS!AL29:AW29)</f>
        <v>102968.97344449325</v>
      </c>
      <c r="F9" s="22">
        <f>SUM(IS!AX29:BI29)</f>
        <v>118164.73758695327</v>
      </c>
      <c r="G9" s="22">
        <f>SUM(IS!BJ29:BU29)</f>
        <v>132504.1161247839</v>
      </c>
      <c r="H9" s="22">
        <f>SUM(IS!BV29:CG29)</f>
        <v>148051.5138803951</v>
      </c>
      <c r="I9" s="22">
        <f>SUM(IS!CH29:CS29)</f>
        <v>164897.12493153164</v>
      </c>
      <c r="J9" s="22">
        <f>SUM(IS!CT29:DE29)</f>
        <v>183137.51475744441</v>
      </c>
      <c r="K9" s="22">
        <f>SUM(IS!DF29:DQ29)</f>
        <v>202876.05749508465</v>
      </c>
    </row>
    <row r="10" spans="1:11" ht="15" customHeight="1">
      <c r="A10" t="s">
        <v>621</v>
      </c>
      <c r="B10" s="22">
        <f>SUM(IS!B33:M33)</f>
        <v>59122.566666666695</v>
      </c>
      <c r="C10" s="22">
        <f>SUM(IS!N33:Y33)</f>
        <v>71113.611186666647</v>
      </c>
      <c r="D10" s="22">
        <f>SUM(IS!Z33:AK33)</f>
        <v>84802.300527906671</v>
      </c>
      <c r="E10" s="22">
        <f>SUM(IS!AL33:AW33)</f>
        <v>98460.640111159897</v>
      </c>
      <c r="F10" s="22">
        <f>SUM(IS!AX33:BI33)</f>
        <v>113656.40425361991</v>
      </c>
      <c r="G10" s="22">
        <f>SUM(IS!BJ33:BU33)</f>
        <v>127995.78279145058</v>
      </c>
      <c r="H10" s="22">
        <f>SUM(IS!BV33:CG33)</f>
        <v>143543.18054706178</v>
      </c>
      <c r="I10" s="22">
        <f>SUM(IS!CH33:CS33)</f>
        <v>160388.79159819832</v>
      </c>
      <c r="J10" s="22">
        <f>SUM(IS!CT33:DE33)</f>
        <v>178629.18142411107</v>
      </c>
      <c r="K10" s="22">
        <f>SUM(IS!DF33:DQ33)</f>
        <v>198367.72416175134</v>
      </c>
    </row>
    <row r="11" spans="1:11" ht="15" customHeight="1">
      <c r="A11" t="s">
        <v>583</v>
      </c>
      <c r="B11" s="22">
        <f>SUM(IS!B40:M40)</f>
        <v>40287.775833333355</v>
      </c>
      <c r="C11" s="22">
        <f>SUM(IS!N40:Y40)</f>
        <v>48844.006997333337</v>
      </c>
      <c r="D11" s="22">
        <f>SUM(IS!Z40:AK40)</f>
        <v>58588.589536201333</v>
      </c>
      <c r="E11" s="22">
        <f>SUM(IS!AL40:AW40)</f>
        <v>68311.927244478604</v>
      </c>
      <c r="F11" s="22">
        <f>SUM(IS!AX40:BI40)</f>
        <v>79111.462144200632</v>
      </c>
      <c r="G11" s="22">
        <f>SUM(IS!BJ40:BU40)</f>
        <v>89311.527120682062</v>
      </c>
      <c r="H11" s="22">
        <f>SUM(IS!BV40:CG40)</f>
        <v>100357.20554960991</v>
      </c>
      <c r="I11" s="22">
        <f>SUM(IS!CH40:CS40)</f>
        <v>112237.15411873884</v>
      </c>
      <c r="J11" s="22">
        <f>SUM(IS!CT40:DE40)</f>
        <v>125005.42699687772</v>
      </c>
      <c r="K11" s="22">
        <f>SUM(IS!DF40:DQ40)</f>
        <v>138822.40691322592</v>
      </c>
    </row>
    <row r="12" spans="1:11" ht="15" customHeight="1">
      <c r="A12" t="s">
        <v>622</v>
      </c>
      <c r="B12" s="22">
        <f>SUM(Calc_Capex!B14:M14)</f>
        <v>1251.4300522530816</v>
      </c>
      <c r="C12" s="22">
        <f>SUM(Calc_Capex!N14:Y14)</f>
        <v>1276.6893615382776</v>
      </c>
      <c r="D12" s="22">
        <f>SUM(Calc_Capex!Z14:AK14)</f>
        <v>1302.4585137063555</v>
      </c>
      <c r="E12" s="22">
        <f>SUM(Calc_Capex!AL14:AW14)</f>
        <v>1328.7477996074035</v>
      </c>
      <c r="F12" s="22">
        <f>SUM(Calc_Capex!AX14:BI14)</f>
        <v>1355.5677178056922</v>
      </c>
      <c r="G12" s="22">
        <f>SUM(Calc_Capex!BJ14:BU14)</f>
        <v>1382.9289787722432</v>
      </c>
      <c r="H12" s="22">
        <f>SUM(Calc_Capex!BV14:CG14)</f>
        <v>1410.8425091620375</v>
      </c>
      <c r="I12" s="22">
        <f>SUM(Calc_Capex!CH14:CS14)</f>
        <v>1439.3194561775456</v>
      </c>
      <c r="J12" s="22">
        <f>SUM(Calc_Capex!CT14:DE14)</f>
        <v>1468.371192020338</v>
      </c>
      <c r="K12" s="22">
        <f>SUM(Calc_Capex!DF14:DQ14)</f>
        <v>1498.0093184325465</v>
      </c>
    </row>
    <row r="13" spans="1:11" ht="15" customHeight="1">
      <c r="A13" t="s">
        <v>623</v>
      </c>
      <c r="B13" s="22">
        <f>SUM(CF!B10:M10)</f>
        <v>39509.927005570811</v>
      </c>
      <c r="C13" s="22">
        <f>SUM(CF!N10:Y10)</f>
        <v>49334.37068415105</v>
      </c>
      <c r="D13" s="22">
        <f>SUM(CF!Z10:AK10)</f>
        <v>58579.138618419609</v>
      </c>
      <c r="E13" s="22">
        <f>SUM(CF!AL10:AW10)</f>
        <v>68539.860700569436</v>
      </c>
      <c r="F13" s="22">
        <f>SUM(CF!AX10:BI10)</f>
        <v>78909.131866420212</v>
      </c>
      <c r="G13" s="22">
        <f>SUM(CF!BJ10:BU10)</f>
        <v>89621.034469149425</v>
      </c>
      <c r="H13" s="22">
        <f>SUM(CF!BV10:CG10)</f>
        <v>100345.48766248576</v>
      </c>
      <c r="I13" s="22">
        <f>SUM(CF!CH10:CS10)</f>
        <v>111881.24602165057</v>
      </c>
      <c r="J13" s="22">
        <f>SUM(CF!CT10:DE10)</f>
        <v>124280.77746279113</v>
      </c>
      <c r="K13" s="22">
        <f>SUM(CF!DF10:DQ10)</f>
        <v>137702.77094719544</v>
      </c>
    </row>
    <row r="14" spans="1:11" ht="15" customHeight="1">
      <c r="A14" t="s">
        <v>624</v>
      </c>
      <c r="B14" s="22">
        <f>CF!M25</f>
        <v>26571.958048555804</v>
      </c>
      <c r="C14" s="22">
        <f>CF!Y25</f>
        <v>51520.608000806671</v>
      </c>
      <c r="D14" s="22">
        <f>CF!AK25</f>
        <v>81790.42371961083</v>
      </c>
      <c r="E14" s="22">
        <f>CF!AW25</f>
        <v>118105.33715135283</v>
      </c>
      <c r="F14" s="22">
        <f>CF!BI25</f>
        <v>160442.88787085851</v>
      </c>
      <c r="G14" s="22">
        <f>CF!BU25</f>
        <v>209384.9539415343</v>
      </c>
      <c r="H14" s="22">
        <f>CF!CG25</f>
        <v>264605.28830358549</v>
      </c>
      <c r="I14" s="22">
        <f>CF!CS25</f>
        <v>330152.35322156292</v>
      </c>
      <c r="J14" s="22">
        <f>CF!DE25</f>
        <v>402962.58869358269</v>
      </c>
      <c r="K14" s="22">
        <f>CF!DQ25</f>
        <v>483638.38755705522</v>
      </c>
    </row>
    <row r="15" spans="1:11" ht="15" customHeight="1">
      <c r="A15" t="s">
        <v>586</v>
      </c>
      <c r="B15" s="22">
        <f>Calc_Debt!M20</f>
        <v>21428.571428571449</v>
      </c>
      <c r="C15" s="22">
        <f>Calc_Debt!Y20</f>
        <v>17857.142857142899</v>
      </c>
      <c r="D15" s="22">
        <f>Calc_Debt!AK20</f>
        <v>14285.714285714334</v>
      </c>
      <c r="E15" s="22">
        <f>Calc_Debt!AW20</f>
        <v>10714.285714285761</v>
      </c>
      <c r="F15" s="22">
        <f>Calc_Debt!BI20</f>
        <v>7142.8571428571886</v>
      </c>
      <c r="G15" s="22">
        <f>Calc_Debt!BU20</f>
        <v>3571.4285714286161</v>
      </c>
      <c r="H15" s="22">
        <f>Calc_Debt!CG20</f>
        <v>4.3769432522822171E-11</v>
      </c>
      <c r="I15" s="22">
        <f>Calc_Debt!CS20</f>
        <v>0</v>
      </c>
      <c r="J15" s="22">
        <f>Calc_Debt!DE20</f>
        <v>0</v>
      </c>
      <c r="K15" s="22">
        <f>Calc_Debt!DQ20</f>
        <v>0</v>
      </c>
    </row>
    <row r="16" spans="1:11" ht="15" customHeight="1">
      <c r="A16" t="s">
        <v>625</v>
      </c>
      <c r="B16" s="22">
        <f>BS!M36</f>
        <v>72272.665500000003</v>
      </c>
      <c r="C16" s="22">
        <f>BS!Y36</f>
        <v>101579.0696984</v>
      </c>
      <c r="D16" s="22">
        <f>BS!AK36</f>
        <v>136732.22342012078</v>
      </c>
      <c r="E16" s="22">
        <f>BS!AW36</f>
        <v>177719.37976680786</v>
      </c>
      <c r="F16" s="22">
        <f>BS!BI36</f>
        <v>225186.25705332815</v>
      </c>
      <c r="G16" s="22">
        <f>BS!BU36</f>
        <v>278773.17332573741</v>
      </c>
      <c r="H16" s="22">
        <f>BS!CG36</f>
        <v>338987.49665550323</v>
      </c>
      <c r="I16" s="22">
        <f>BS!CS36</f>
        <v>406329.78912674653</v>
      </c>
      <c r="J16" s="22">
        <f>BS!DE36</f>
        <v>481333.04532487318</v>
      </c>
      <c r="K16" s="22">
        <f>BS!DQ36</f>
        <v>564626.48947280867</v>
      </c>
    </row>
    <row r="18" spans="1:11" ht="15" customHeight="1">
      <c r="A18" t="s">
        <v>449</v>
      </c>
      <c r="B18" s="13">
        <f t="shared" ref="B18:K18" si="0">IF(B5&gt;0,B7/B5,0)</f>
        <v>0.12113086397649729</v>
      </c>
      <c r="C18" s="13">
        <f t="shared" si="0"/>
        <v>0.12113086397649729</v>
      </c>
      <c r="D18" s="13">
        <f t="shared" si="0"/>
        <v>0.1211308639764973</v>
      </c>
      <c r="E18" s="13">
        <f t="shared" si="0"/>
        <v>0.12113086397649728</v>
      </c>
      <c r="F18" s="13">
        <f t="shared" si="0"/>
        <v>0.12113086397649728</v>
      </c>
      <c r="G18" s="13">
        <f t="shared" si="0"/>
        <v>0.12113086397649729</v>
      </c>
      <c r="H18" s="13">
        <f t="shared" si="0"/>
        <v>0.1211308639764973</v>
      </c>
      <c r="I18" s="13">
        <f t="shared" si="0"/>
        <v>0.12113086397649733</v>
      </c>
      <c r="J18" s="13">
        <f t="shared" si="0"/>
        <v>0.12113086397649732</v>
      </c>
      <c r="K18" s="13">
        <f t="shared" si="0"/>
        <v>0.12113086397649732</v>
      </c>
    </row>
    <row r="19" spans="1:11" ht="15" customHeight="1">
      <c r="A19" t="s">
        <v>521</v>
      </c>
      <c r="B19" s="13">
        <f t="shared" ref="B19:K19" si="1">IF(B5&gt;0,B8/B5,0)</f>
        <v>0.36741067468536248</v>
      </c>
      <c r="C19" s="13">
        <f t="shared" si="1"/>
        <v>0.37693546592691096</v>
      </c>
      <c r="D19" s="13">
        <f t="shared" si="1"/>
        <v>0.38622794518695824</v>
      </c>
      <c r="E19" s="13">
        <f t="shared" si="1"/>
        <v>0.39529377861139453</v>
      </c>
      <c r="F19" s="13">
        <f t="shared" si="1"/>
        <v>0.40413849414742997</v>
      </c>
      <c r="G19" s="13">
        <f t="shared" si="1"/>
        <v>0.41276748491429388</v>
      </c>
      <c r="H19" s="13">
        <f t="shared" si="1"/>
        <v>0.42118601249172199</v>
      </c>
      <c r="I19" s="13">
        <f t="shared" si="1"/>
        <v>0.42939921012823734</v>
      </c>
      <c r="J19" s="13">
        <f t="shared" si="1"/>
        <v>0.43741208587117902</v>
      </c>
      <c r="K19" s="13">
        <f t="shared" si="1"/>
        <v>0.44522952562039037</v>
      </c>
    </row>
    <row r="20" spans="1:11" ht="15" customHeight="1">
      <c r="A20" t="s">
        <v>527</v>
      </c>
      <c r="B20" s="13">
        <f t="shared" ref="B20:K20" si="2">IF(B5&gt;0,B10/B5,0)</f>
        <v>0.12028565925696859</v>
      </c>
      <c r="C20" s="13">
        <f t="shared" si="2"/>
        <v>0.13069701992195726</v>
      </c>
      <c r="D20" s="13">
        <f t="shared" si="2"/>
        <v>0.14079037490326948</v>
      </c>
      <c r="E20" s="13">
        <f t="shared" si="2"/>
        <v>0.1504521005641111</v>
      </c>
      <c r="F20" s="13">
        <f t="shared" si="2"/>
        <v>0.15984526730714638</v>
      </c>
      <c r="G20" s="13">
        <f t="shared" si="2"/>
        <v>0.16886682040157031</v>
      </c>
      <c r="H20" s="13">
        <f t="shared" si="2"/>
        <v>0.1776536053219254</v>
      </c>
      <c r="I20" s="13">
        <f t="shared" si="2"/>
        <v>0.18621226012816575</v>
      </c>
      <c r="J20" s="13">
        <f t="shared" si="2"/>
        <v>0.19454920451062441</v>
      </c>
      <c r="K20" s="13">
        <f t="shared" si="2"/>
        <v>0.2026706486121031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2025-12-16T13:47:44Z</dcterms:created>
  <dcterms:modified xsi:type="dcterms:W3CDTF">2026-02-23T05:34:51Z</dcterms:modified>
  <cp:category/>
  <cp:contentStatus/>
</cp:coreProperties>
</file>