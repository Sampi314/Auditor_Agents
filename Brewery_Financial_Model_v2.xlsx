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Control" sheetId="1" r:id="rId1"/>
    <sheet name="02_Inputs" sheetId="2" r:id="rId2"/>
    <sheet name="03_Calcs" sheetId="3" r:id="rId3"/>
    <sheet name="04_Outputs" sheetId="4" r:id="rId4"/>
    <sheet name="05_Dashboard" sheetId="5" r:id="rId5"/>
    <sheet name="06_Checks" sheetId="6" r:id="rId6"/>
  </sheets>
  <calcPr calcId="124519" fullCalcOnLoad="1"/>
</workbook>
</file>

<file path=xl/sharedStrings.xml><?xml version="1.0" encoding="utf-8"?>
<sst xmlns="http://schemas.openxmlformats.org/spreadsheetml/2006/main" count="120" uniqueCount="103">
  <si>
    <t>MODEL CONTROL PANEL</t>
  </si>
  <si>
    <t>Scenario Selector</t>
  </si>
  <si>
    <t>Global Rates</t>
  </si>
  <si>
    <t>GST Rate</t>
  </si>
  <si>
    <t>Corp Tax Rate</t>
  </si>
  <si>
    <t>Excise Packaged / LAL</t>
  </si>
  <si>
    <t>Excise Draught / LAL</t>
  </si>
  <si>
    <t>INPUTS</t>
  </si>
  <si>
    <t>SKU Name</t>
  </si>
  <si>
    <t>ABV %</t>
  </si>
  <si>
    <t>Price On-Trade</t>
  </si>
  <si>
    <t>Price Off-Trade</t>
  </si>
  <si>
    <t>Promo On %</t>
  </si>
  <si>
    <t>Promo Off %</t>
  </si>
  <si>
    <t>Base Vol</t>
  </si>
  <si>
    <t>Lager</t>
  </si>
  <si>
    <t>Pale Ale</t>
  </si>
  <si>
    <t>IPA</t>
  </si>
  <si>
    <t>Stout</t>
  </si>
  <si>
    <t>Seasonal</t>
  </si>
  <si>
    <t>On-Trade Split %</t>
  </si>
  <si>
    <t>Brewing Loss %</t>
  </si>
  <si>
    <t>Pack Loss %</t>
  </si>
  <si>
    <t>Labor Count</t>
  </si>
  <si>
    <t>Production</t>
  </si>
  <si>
    <t>S&amp;M</t>
  </si>
  <si>
    <t>G&amp;A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</si>
  <si>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</si>
  <si>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</si>
  <si>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</si>
  <si>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</si>
  <si>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</si>
  <si>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</si>
  <si>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</si>
  <si>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</si>
  <si>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</si>
  <si>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</si>
  <si>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</si>
  <si>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</si>
  <si>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</si>
  <si>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</si>
  <si>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</si>
  <si>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</si>
  <si>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</si>
  <si>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</si>
  <si>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</si>
  <si>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</si>
  <si>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</si>
  <si>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</si>
  <si>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</si>
  <si>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</si>
  <si>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</si>
  <si>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</si>
  <si>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</si>
  <si>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</si>
  <si>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</si>
  <si>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</si>
  <si>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</si>
  <si>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</si>
  <si>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</si>
  <si>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</si>
  <si>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</si>
  <si>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</si>
  <si>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</si>
  <si>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</si>
  <si>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</si>
  <si>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</si>
  <si>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</si>
  <si>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</si>
  <si>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</si>
  <si>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</si>
  <si>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</si>
  <si>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</si>
  <si>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</si>
  <si>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</si>
  <si>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</si>
  <si>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</si>
  <si>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</si>
  <si>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</si>
  <si>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</si>
  <si>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</si>
  <si>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</si>
  <si>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</si>
  <si>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</si>
  <si>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</si>
  <si>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</si>
  <si>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</si>
  <si>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Y2</t>
  </si>
  <si>
    <t>Y3</t>
  </si>
  <si>
    <t>Y4</t>
  </si>
  <si>
    <t>Y5</t>
  </si>
  <si>
    <t>Net Revenue</t>
  </si>
  <si>
    <t>COGS</t>
  </si>
  <si>
    <t>OpEx</t>
  </si>
  <si>
    <t>EBITDA</t>
  </si>
  <si>
    <t>NPAT</t>
  </si>
  <si>
    <t>Closing Cash</t>
  </si>
  <si>
    <t>Total Assets</t>
  </si>
  <si>
    <t>Total Equity</t>
  </si>
  <si>
    <t>AUDIT &amp; COVENANTS</t>
  </si>
  <si>
    <t>Balance Sheet Check (Assets - Equity)</t>
  </si>
  <si>
    <t>Minimum Cash Covenant ($500k)</t>
  </si>
  <si>
    <t>Interest Cover (&gt;4.0x)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</si>
</sst>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#,##0"/>
  </numFmts>
  <fonts count="6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4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5" fontId="2" fillId="5" borderId="1" xfId="0" applyNumberFormat="1" applyFont="1" applyFill="1" applyBorder="1"/>
    <xf numFmtId="0" fontId="5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40.7109375" customWidth="1"/>
  </cols>
  <sheetData>
    <row r="1" spans="1:2">
      <c r="A1" s="1" t="s">
        <v>0</v>
      </c>
    </row>
    <row r="3" spans="1:2">
      <c r="A3" s="2" t="s">
        <v>1</v>
      </c>
      <c r="B3" s="3">
        <v>1</v>
      </c>
    </row>
    <row r="5" spans="1:2">
      <c r="A5" s="2" t="s">
        <v>2</v>
      </c>
    </row>
    <row r="6" spans="1:2">
      <c r="A6" s="4" t="s">
        <v>3</v>
      </c>
      <c r="B6" s="5">
        <v>0.1</v>
      </c>
    </row>
    <row r="7" spans="1:2">
      <c r="A7" s="4" t="s">
        <v>4</v>
      </c>
      <c r="B7" s="5">
        <v>0.3</v>
      </c>
    </row>
    <row r="8" spans="1:2">
      <c r="A8" s="4" t="s">
        <v>5</v>
      </c>
      <c r="B8" s="6">
        <v>60.22</v>
      </c>
    </row>
    <row r="9" spans="1:2">
      <c r="A9" s="4" t="s">
        <v>6</v>
      </c>
      <c r="B9" s="6">
        <v>40.5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1" width="25.7109375" customWidth="1"/>
  </cols>
  <sheetData>
    <row r="1" spans="1:7">
      <c r="A1" s="1" t="s">
        <v>7</v>
      </c>
    </row>
    <row r="5" spans="1:7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</row>
    <row r="6" spans="1:7">
      <c r="A6" s="4" t="s">
        <v>15</v>
      </c>
      <c r="B6" s="3">
        <v>0.042</v>
      </c>
      <c r="C6" s="3">
        <v>520</v>
      </c>
      <c r="D6" s="3">
        <v>450</v>
      </c>
      <c r="E6" s="3">
        <v>0.05</v>
      </c>
      <c r="F6" s="3">
        <v>0.12</v>
      </c>
      <c r="G6" s="3">
        <v>1000</v>
      </c>
    </row>
    <row r="7" spans="1:7">
      <c r="A7" s="4" t="s">
        <v>16</v>
      </c>
      <c r="B7" s="3">
        <v>0.05</v>
      </c>
      <c r="C7" s="3">
        <v>580</v>
      </c>
      <c r="D7" s="3">
        <v>500</v>
      </c>
      <c r="E7" s="3">
        <v>0.06</v>
      </c>
      <c r="F7" s="3">
        <v>0.14</v>
      </c>
      <c r="G7" s="3">
        <v>800</v>
      </c>
    </row>
    <row r="8" spans="1:7">
      <c r="A8" s="4" t="s">
        <v>17</v>
      </c>
      <c r="B8" s="3">
        <v>0.065</v>
      </c>
      <c r="C8" s="3">
        <v>650</v>
      </c>
      <c r="D8" s="3">
        <v>580</v>
      </c>
      <c r="E8" s="3">
        <v>0.08</v>
      </c>
      <c r="F8" s="3">
        <v>0.15</v>
      </c>
      <c r="G8" s="3">
        <v>400</v>
      </c>
    </row>
    <row r="9" spans="1:7">
      <c r="A9" s="4" t="s">
        <v>18</v>
      </c>
      <c r="B9" s="3">
        <v>0.055</v>
      </c>
      <c r="C9" s="3">
        <v>600</v>
      </c>
      <c r="D9" s="3">
        <v>530</v>
      </c>
      <c r="E9" s="3">
        <v>0.05</v>
      </c>
      <c r="F9" s="3">
        <v>0.1</v>
      </c>
      <c r="G9" s="3">
        <v>200</v>
      </c>
    </row>
    <row r="10" spans="1:7">
      <c r="A10" s="4" t="s">
        <v>19</v>
      </c>
      <c r="B10" s="3">
        <v>0.045</v>
      </c>
      <c r="C10" s="3">
        <v>540</v>
      </c>
      <c r="D10" s="3">
        <v>470</v>
      </c>
      <c r="E10" s="3">
        <v>0.1</v>
      </c>
      <c r="F10" s="3">
        <v>0.2</v>
      </c>
      <c r="G10" s="3">
        <v>300</v>
      </c>
    </row>
    <row r="11" spans="1:7">
      <c r="A11" s="4" t="s">
        <v>20</v>
      </c>
      <c r="B11" s="3">
        <v>0.4</v>
      </c>
    </row>
    <row r="12" spans="1:7">
      <c r="A12" s="4" t="s">
        <v>21</v>
      </c>
      <c r="B12" s="5">
        <v>0.05</v>
      </c>
    </row>
    <row r="13" spans="1:7">
      <c r="A13" s="4" t="s">
        <v>22</v>
      </c>
      <c r="B13" s="5">
        <v>0.02</v>
      </c>
    </row>
    <row r="15" spans="1:7">
      <c r="A15" s="2" t="s">
        <v>23</v>
      </c>
    </row>
    <row r="17" spans="1:3">
      <c r="A17" s="4" t="s">
        <v>24</v>
      </c>
      <c r="B17" s="3">
        <v>8</v>
      </c>
      <c r="C17" s="3">
        <v>80</v>
      </c>
    </row>
    <row r="18" spans="1:3">
      <c r="A18" s="4" t="s">
        <v>25</v>
      </c>
      <c r="B18" s="3">
        <v>6</v>
      </c>
      <c r="C18" s="3">
        <v>105</v>
      </c>
    </row>
    <row r="19" spans="1:3">
      <c r="A19" s="4" t="s">
        <v>26</v>
      </c>
      <c r="B19" s="3">
        <v>3</v>
      </c>
      <c r="C19" s="3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BI24"/>
  <sheetViews>
    <sheetView workbookViewId="0"/>
  </sheetViews>
  <sheetFormatPr defaultRowHeight="15"/>
  <sheetData>
    <row r="3" spans="1:61"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  <c r="V3" s="2" t="s">
        <v>47</v>
      </c>
      <c r="W3" s="2" t="s">
        <v>48</v>
      </c>
      <c r="X3" s="2" t="s">
        <v>49</v>
      </c>
      <c r="Y3" s="2" t="s">
        <v>50</v>
      </c>
      <c r="Z3" s="2" t="s">
        <v>51</v>
      </c>
      <c r="AA3" s="2" t="s">
        <v>52</v>
      </c>
      <c r="AB3" s="2" t="s">
        <v>53</v>
      </c>
      <c r="AC3" s="2" t="s">
        <v>54</v>
      </c>
      <c r="AD3" s="2" t="s">
        <v>55</v>
      </c>
      <c r="AE3" s="2" t="s">
        <v>56</v>
      </c>
      <c r="AF3" s="2" t="s">
        <v>57</v>
      </c>
      <c r="AG3" s="2" t="s">
        <v>58</v>
      </c>
      <c r="AH3" s="2" t="s">
        <v>59</v>
      </c>
      <c r="AI3" s="2" t="s">
        <v>60</v>
      </c>
      <c r="AJ3" s="2" t="s">
        <v>61</v>
      </c>
      <c r="AK3" s="2" t="s">
        <v>62</v>
      </c>
      <c r="AL3" s="2" t="s">
        <v>63</v>
      </c>
      <c r="AM3" s="2" t="s">
        <v>64</v>
      </c>
      <c r="AN3" s="2" t="s">
        <v>65</v>
      </c>
      <c r="AO3" s="2" t="s">
        <v>66</v>
      </c>
      <c r="AP3" s="2" t="s">
        <v>67</v>
      </c>
      <c r="AQ3" s="2" t="s">
        <v>68</v>
      </c>
      <c r="AR3" s="2" t="s">
        <v>69</v>
      </c>
      <c r="AS3" s="2" t="s">
        <v>70</v>
      </c>
      <c r="AT3" s="2" t="s">
        <v>71</v>
      </c>
      <c r="AU3" s="2" t="s">
        <v>72</v>
      </c>
      <c r="AV3" s="2" t="s">
        <v>73</v>
      </c>
      <c r="AW3" s="2" t="s">
        <v>74</v>
      </c>
      <c r="AX3" s="2" t="s">
        <v>75</v>
      </c>
      <c r="AY3" s="2" t="s">
        <v>76</v>
      </c>
      <c r="AZ3" s="2" t="s">
        <v>77</v>
      </c>
      <c r="BA3" s="2" t="s">
        <v>78</v>
      </c>
      <c r="BB3" s="2" t="s">
        <v>79</v>
      </c>
      <c r="BC3" s="2" t="s">
        <v>80</v>
      </c>
      <c r="BD3" s="2" t="s">
        <v>81</v>
      </c>
      <c r="BE3" s="2" t="s">
        <v>82</v>
      </c>
      <c r="BF3" s="2" t="s">
        <v>83</v>
      </c>
      <c r="BG3" s="2" t="s">
        <v>84</v>
      </c>
      <c r="BH3" s="2" t="s">
        <v>85</v>
      </c>
      <c r="BI3" s="2" t="s">
        <v>86</v>
      </c>
    </row>
    <row r="5" spans="1:61">
      <c r="A5" s="4" t="s">
        <v>15</v>
      </c>
      <c r="B5" s="7">
        <f>'02_Inputs'!G6 * (1.005^0)</f>
        <v>0</v>
      </c>
      <c r="C5" s="7">
        <f>'02_Inputs'!G6 * (1.005^1)</f>
        <v>0</v>
      </c>
      <c r="D5" s="7">
        <f>'02_Inputs'!G6 * (1.005^2)</f>
        <v>0</v>
      </c>
      <c r="E5" s="7">
        <f>'02_Inputs'!G6 * (1.005^3)</f>
        <v>0</v>
      </c>
      <c r="F5" s="7">
        <f>'02_Inputs'!G6 * (1.005^4)</f>
        <v>0</v>
      </c>
      <c r="G5" s="7">
        <f>'02_Inputs'!G6 * (1.005^5)</f>
        <v>0</v>
      </c>
      <c r="H5" s="7">
        <f>'02_Inputs'!G6 * (1.005^6)</f>
        <v>0</v>
      </c>
      <c r="I5" s="7">
        <f>'02_Inputs'!G6 * (1.005^7)</f>
        <v>0</v>
      </c>
      <c r="J5" s="7">
        <f>'02_Inputs'!G6 * (1.005^8)</f>
        <v>0</v>
      </c>
      <c r="K5" s="7">
        <f>'02_Inputs'!G6 * (1.005^9)</f>
        <v>0</v>
      </c>
      <c r="L5" s="7">
        <f>'02_Inputs'!G6 * (1.005^10)</f>
        <v>0</v>
      </c>
      <c r="M5" s="7">
        <f>'02_Inputs'!G6 * (1.005^11)</f>
        <v>0</v>
      </c>
      <c r="N5" s="7">
        <f>'02_Inputs'!G6 * (1.005^12)</f>
        <v>0</v>
      </c>
      <c r="O5" s="7">
        <f>'02_Inputs'!G6 * (1.005^13)</f>
        <v>0</v>
      </c>
      <c r="P5" s="7">
        <f>'02_Inputs'!G6 * (1.005^14)</f>
        <v>0</v>
      </c>
      <c r="Q5" s="7">
        <f>'02_Inputs'!G6 * (1.005^15)</f>
        <v>0</v>
      </c>
      <c r="R5" s="7">
        <f>'02_Inputs'!G6 * (1.005^16)</f>
        <v>0</v>
      </c>
      <c r="S5" s="7">
        <f>'02_Inputs'!G6 * (1.005^17)</f>
        <v>0</v>
      </c>
      <c r="T5" s="7">
        <f>'02_Inputs'!G6 * (1.005^18)</f>
        <v>0</v>
      </c>
      <c r="U5" s="7">
        <f>'02_Inputs'!G6 * (1.005^19)</f>
        <v>0</v>
      </c>
      <c r="V5" s="7">
        <f>'02_Inputs'!G6 * (1.005^20)</f>
        <v>0</v>
      </c>
      <c r="W5" s="7">
        <f>'02_Inputs'!G6 * (1.005^21)</f>
        <v>0</v>
      </c>
      <c r="X5" s="7">
        <f>'02_Inputs'!G6 * (1.005^22)</f>
        <v>0</v>
      </c>
      <c r="Y5" s="7">
        <f>'02_Inputs'!G6 * (1.005^23)</f>
        <v>0</v>
      </c>
      <c r="Z5" s="7">
        <f>'02_Inputs'!G6 * (1.005^24)</f>
        <v>0</v>
      </c>
      <c r="AA5" s="7">
        <f>'02_Inputs'!G6 * (1.005^25)</f>
        <v>0</v>
      </c>
      <c r="AB5" s="7">
        <f>'02_Inputs'!G6 * (1.005^26)</f>
        <v>0</v>
      </c>
      <c r="AC5" s="7">
        <f>'02_Inputs'!G6 * (1.005^27)</f>
        <v>0</v>
      </c>
      <c r="AD5" s="7">
        <f>'02_Inputs'!G6 * (1.005^28)</f>
        <v>0</v>
      </c>
      <c r="AE5" s="7">
        <f>'02_Inputs'!G6 * (1.005^29)</f>
        <v>0</v>
      </c>
      <c r="AF5" s="7">
        <f>'02_Inputs'!G6 * (1.005^30)</f>
        <v>0</v>
      </c>
      <c r="AG5" s="7">
        <f>'02_Inputs'!G6 * (1.005^31)</f>
        <v>0</v>
      </c>
      <c r="AH5" s="7">
        <f>'02_Inputs'!G6 * (1.005^32)</f>
        <v>0</v>
      </c>
      <c r="AI5" s="7">
        <f>'02_Inputs'!G6 * (1.005^33)</f>
        <v>0</v>
      </c>
      <c r="AJ5" s="7">
        <f>'02_Inputs'!G6 * (1.005^34)</f>
        <v>0</v>
      </c>
      <c r="AK5" s="7">
        <f>'02_Inputs'!G6 * (1.005^35)</f>
        <v>0</v>
      </c>
      <c r="AL5" s="7">
        <f>'02_Inputs'!G6 * (1.005^36)</f>
        <v>0</v>
      </c>
      <c r="AM5" s="7">
        <f>'02_Inputs'!G6 * (1.005^37)</f>
        <v>0</v>
      </c>
      <c r="AN5" s="7">
        <f>'02_Inputs'!G6 * (1.005^38)</f>
        <v>0</v>
      </c>
      <c r="AO5" s="7">
        <f>'02_Inputs'!G6 * (1.005^39)</f>
        <v>0</v>
      </c>
      <c r="AP5" s="7">
        <f>'02_Inputs'!G6 * (1.005^40)</f>
        <v>0</v>
      </c>
      <c r="AQ5" s="7">
        <f>'02_Inputs'!G6 * (1.005^41)</f>
        <v>0</v>
      </c>
      <c r="AR5" s="7">
        <f>'02_Inputs'!G6 * (1.005^42)</f>
        <v>0</v>
      </c>
      <c r="AS5" s="7">
        <f>'02_Inputs'!G6 * (1.005^43)</f>
        <v>0</v>
      </c>
      <c r="AT5" s="7">
        <f>'02_Inputs'!G6 * (1.005^44)</f>
        <v>0</v>
      </c>
      <c r="AU5" s="7">
        <f>'02_Inputs'!G6 * (1.005^45)</f>
        <v>0</v>
      </c>
      <c r="AV5" s="7">
        <f>'02_Inputs'!G6 * (1.005^46)</f>
        <v>0</v>
      </c>
      <c r="AW5" s="7">
        <f>'02_Inputs'!G6 * (1.005^47)</f>
        <v>0</v>
      </c>
      <c r="AX5" s="7">
        <f>'02_Inputs'!G6 * (1.005^48)</f>
        <v>0</v>
      </c>
      <c r="AY5" s="7">
        <f>'02_Inputs'!G6 * (1.005^49)</f>
        <v>0</v>
      </c>
      <c r="AZ5" s="7">
        <f>'02_Inputs'!G6 * (1.005^50)</f>
        <v>0</v>
      </c>
      <c r="BA5" s="7">
        <f>'02_Inputs'!G6 * (1.005^51)</f>
        <v>0</v>
      </c>
      <c r="BB5" s="7">
        <f>'02_Inputs'!G6 * (1.005^52)</f>
        <v>0</v>
      </c>
      <c r="BC5" s="7">
        <f>'02_Inputs'!G6 * (1.005^53)</f>
        <v>0</v>
      </c>
      <c r="BD5" s="7">
        <f>'02_Inputs'!G6 * (1.005^54)</f>
        <v>0</v>
      </c>
      <c r="BE5" s="7">
        <f>'02_Inputs'!G6 * (1.005^55)</f>
        <v>0</v>
      </c>
      <c r="BF5" s="7">
        <f>'02_Inputs'!G6 * (1.005^56)</f>
        <v>0</v>
      </c>
      <c r="BG5" s="7">
        <f>'02_Inputs'!G6 * (1.005^57)</f>
        <v>0</v>
      </c>
      <c r="BH5" s="7">
        <f>'02_Inputs'!G6 * (1.005^58)</f>
        <v>0</v>
      </c>
      <c r="BI5" s="7">
        <f>'02_Inputs'!G6 * (1.005^59)</f>
        <v>0</v>
      </c>
    </row>
    <row r="6" spans="1:61">
      <c r="A6" s="4" t="s">
        <v>16</v>
      </c>
      <c r="B6" s="7">
        <f>'02_Inputs'!G7 * (1.005^0)</f>
        <v>0</v>
      </c>
      <c r="C6" s="7">
        <f>'02_Inputs'!G7 * (1.005^1)</f>
        <v>0</v>
      </c>
      <c r="D6" s="7">
        <f>'02_Inputs'!G7 * (1.005^2)</f>
        <v>0</v>
      </c>
      <c r="E6" s="7">
        <f>'02_Inputs'!G7 * (1.005^3)</f>
        <v>0</v>
      </c>
      <c r="F6" s="7">
        <f>'02_Inputs'!G7 * (1.005^4)</f>
        <v>0</v>
      </c>
      <c r="G6" s="7">
        <f>'02_Inputs'!G7 * (1.005^5)</f>
        <v>0</v>
      </c>
      <c r="H6" s="7">
        <f>'02_Inputs'!G7 * (1.005^6)</f>
        <v>0</v>
      </c>
      <c r="I6" s="7">
        <f>'02_Inputs'!G7 * (1.005^7)</f>
        <v>0</v>
      </c>
      <c r="J6" s="7">
        <f>'02_Inputs'!G7 * (1.005^8)</f>
        <v>0</v>
      </c>
      <c r="K6" s="7">
        <f>'02_Inputs'!G7 * (1.005^9)</f>
        <v>0</v>
      </c>
      <c r="L6" s="7">
        <f>'02_Inputs'!G7 * (1.005^10)</f>
        <v>0</v>
      </c>
      <c r="M6" s="7">
        <f>'02_Inputs'!G7 * (1.005^11)</f>
        <v>0</v>
      </c>
      <c r="N6" s="7">
        <f>'02_Inputs'!G7 * (1.005^12)</f>
        <v>0</v>
      </c>
      <c r="O6" s="7">
        <f>'02_Inputs'!G7 * (1.005^13)</f>
        <v>0</v>
      </c>
      <c r="P6" s="7">
        <f>'02_Inputs'!G7 * (1.005^14)</f>
        <v>0</v>
      </c>
      <c r="Q6" s="7">
        <f>'02_Inputs'!G7 * (1.005^15)</f>
        <v>0</v>
      </c>
      <c r="R6" s="7">
        <f>'02_Inputs'!G7 * (1.005^16)</f>
        <v>0</v>
      </c>
      <c r="S6" s="7">
        <f>'02_Inputs'!G7 * (1.005^17)</f>
        <v>0</v>
      </c>
      <c r="T6" s="7">
        <f>'02_Inputs'!G7 * (1.005^18)</f>
        <v>0</v>
      </c>
      <c r="U6" s="7">
        <f>'02_Inputs'!G7 * (1.005^19)</f>
        <v>0</v>
      </c>
      <c r="V6" s="7">
        <f>'02_Inputs'!G7 * (1.005^20)</f>
        <v>0</v>
      </c>
      <c r="W6" s="7">
        <f>'02_Inputs'!G7 * (1.005^21)</f>
        <v>0</v>
      </c>
      <c r="X6" s="7">
        <f>'02_Inputs'!G7 * (1.005^22)</f>
        <v>0</v>
      </c>
      <c r="Y6" s="7">
        <f>'02_Inputs'!G7 * (1.005^23)</f>
        <v>0</v>
      </c>
      <c r="Z6" s="7">
        <f>'02_Inputs'!G7 * (1.005^24)</f>
        <v>0</v>
      </c>
      <c r="AA6" s="7">
        <f>'02_Inputs'!G7 * (1.005^25)</f>
        <v>0</v>
      </c>
      <c r="AB6" s="7">
        <f>'02_Inputs'!G7 * (1.005^26)</f>
        <v>0</v>
      </c>
      <c r="AC6" s="7">
        <f>'02_Inputs'!G7 * (1.005^27)</f>
        <v>0</v>
      </c>
      <c r="AD6" s="7">
        <f>'02_Inputs'!G7 * (1.005^28)</f>
        <v>0</v>
      </c>
      <c r="AE6" s="7">
        <f>'02_Inputs'!G7 * (1.005^29)</f>
        <v>0</v>
      </c>
      <c r="AF6" s="7">
        <f>'02_Inputs'!G7 * (1.005^30)</f>
        <v>0</v>
      </c>
      <c r="AG6" s="7">
        <f>'02_Inputs'!G7 * (1.005^31)</f>
        <v>0</v>
      </c>
      <c r="AH6" s="7">
        <f>'02_Inputs'!G7 * (1.005^32)</f>
        <v>0</v>
      </c>
      <c r="AI6" s="7">
        <f>'02_Inputs'!G7 * (1.005^33)</f>
        <v>0</v>
      </c>
      <c r="AJ6" s="7">
        <f>'02_Inputs'!G7 * (1.005^34)</f>
        <v>0</v>
      </c>
      <c r="AK6" s="7">
        <f>'02_Inputs'!G7 * (1.005^35)</f>
        <v>0</v>
      </c>
      <c r="AL6" s="7">
        <f>'02_Inputs'!G7 * (1.005^36)</f>
        <v>0</v>
      </c>
      <c r="AM6" s="7">
        <f>'02_Inputs'!G7 * (1.005^37)</f>
        <v>0</v>
      </c>
      <c r="AN6" s="7">
        <f>'02_Inputs'!G7 * (1.005^38)</f>
        <v>0</v>
      </c>
      <c r="AO6" s="7">
        <f>'02_Inputs'!G7 * (1.005^39)</f>
        <v>0</v>
      </c>
      <c r="AP6" s="7">
        <f>'02_Inputs'!G7 * (1.005^40)</f>
        <v>0</v>
      </c>
      <c r="AQ6" s="7">
        <f>'02_Inputs'!G7 * (1.005^41)</f>
        <v>0</v>
      </c>
      <c r="AR6" s="7">
        <f>'02_Inputs'!G7 * (1.005^42)</f>
        <v>0</v>
      </c>
      <c r="AS6" s="7">
        <f>'02_Inputs'!G7 * (1.005^43)</f>
        <v>0</v>
      </c>
      <c r="AT6" s="7">
        <f>'02_Inputs'!G7 * (1.005^44)</f>
        <v>0</v>
      </c>
      <c r="AU6" s="7">
        <f>'02_Inputs'!G7 * (1.005^45)</f>
        <v>0</v>
      </c>
      <c r="AV6" s="7">
        <f>'02_Inputs'!G7 * (1.005^46)</f>
        <v>0</v>
      </c>
      <c r="AW6" s="7">
        <f>'02_Inputs'!G7 * (1.005^47)</f>
        <v>0</v>
      </c>
      <c r="AX6" s="7">
        <f>'02_Inputs'!G7 * (1.005^48)</f>
        <v>0</v>
      </c>
      <c r="AY6" s="7">
        <f>'02_Inputs'!G7 * (1.005^49)</f>
        <v>0</v>
      </c>
      <c r="AZ6" s="7">
        <f>'02_Inputs'!G7 * (1.005^50)</f>
        <v>0</v>
      </c>
      <c r="BA6" s="7">
        <f>'02_Inputs'!G7 * (1.005^51)</f>
        <v>0</v>
      </c>
      <c r="BB6" s="7">
        <f>'02_Inputs'!G7 * (1.005^52)</f>
        <v>0</v>
      </c>
      <c r="BC6" s="7">
        <f>'02_Inputs'!G7 * (1.005^53)</f>
        <v>0</v>
      </c>
      <c r="BD6" s="7">
        <f>'02_Inputs'!G7 * (1.005^54)</f>
        <v>0</v>
      </c>
      <c r="BE6" s="7">
        <f>'02_Inputs'!G7 * (1.005^55)</f>
        <v>0</v>
      </c>
      <c r="BF6" s="7">
        <f>'02_Inputs'!G7 * (1.005^56)</f>
        <v>0</v>
      </c>
      <c r="BG6" s="7">
        <f>'02_Inputs'!G7 * (1.005^57)</f>
        <v>0</v>
      </c>
      <c r="BH6" s="7">
        <f>'02_Inputs'!G7 * (1.005^58)</f>
        <v>0</v>
      </c>
      <c r="BI6" s="7">
        <f>'02_Inputs'!G7 * (1.005^59)</f>
        <v>0</v>
      </c>
    </row>
    <row r="7" spans="1:61">
      <c r="A7" s="4" t="s">
        <v>17</v>
      </c>
      <c r="B7" s="7">
        <f>'02_Inputs'!G8 * (1.005^0)</f>
        <v>0</v>
      </c>
      <c r="C7" s="7">
        <f>'02_Inputs'!G8 * (1.005^1)</f>
        <v>0</v>
      </c>
      <c r="D7" s="7">
        <f>'02_Inputs'!G8 * (1.005^2)</f>
        <v>0</v>
      </c>
      <c r="E7" s="7">
        <f>'02_Inputs'!G8 * (1.005^3)</f>
        <v>0</v>
      </c>
      <c r="F7" s="7">
        <f>'02_Inputs'!G8 * (1.005^4)</f>
        <v>0</v>
      </c>
      <c r="G7" s="7">
        <f>'02_Inputs'!G8 * (1.005^5)</f>
        <v>0</v>
      </c>
      <c r="H7" s="7">
        <f>'02_Inputs'!G8 * (1.005^6)</f>
        <v>0</v>
      </c>
      <c r="I7" s="7">
        <f>'02_Inputs'!G8 * (1.005^7)</f>
        <v>0</v>
      </c>
      <c r="J7" s="7">
        <f>'02_Inputs'!G8 * (1.005^8)</f>
        <v>0</v>
      </c>
      <c r="K7" s="7">
        <f>'02_Inputs'!G8 * (1.005^9)</f>
        <v>0</v>
      </c>
      <c r="L7" s="7">
        <f>'02_Inputs'!G8 * (1.005^10)</f>
        <v>0</v>
      </c>
      <c r="M7" s="7">
        <f>'02_Inputs'!G8 * (1.005^11)</f>
        <v>0</v>
      </c>
      <c r="N7" s="7">
        <f>'02_Inputs'!G8 * (1.005^12)</f>
        <v>0</v>
      </c>
      <c r="O7" s="7">
        <f>'02_Inputs'!G8 * (1.005^13)</f>
        <v>0</v>
      </c>
      <c r="P7" s="7">
        <f>'02_Inputs'!G8 * (1.005^14)</f>
        <v>0</v>
      </c>
      <c r="Q7" s="7">
        <f>'02_Inputs'!G8 * (1.005^15)</f>
        <v>0</v>
      </c>
      <c r="R7" s="7">
        <f>'02_Inputs'!G8 * (1.005^16)</f>
        <v>0</v>
      </c>
      <c r="S7" s="7">
        <f>'02_Inputs'!G8 * (1.005^17)</f>
        <v>0</v>
      </c>
      <c r="T7" s="7">
        <f>'02_Inputs'!G8 * (1.005^18)</f>
        <v>0</v>
      </c>
      <c r="U7" s="7">
        <f>'02_Inputs'!G8 * (1.005^19)</f>
        <v>0</v>
      </c>
      <c r="V7" s="7">
        <f>'02_Inputs'!G8 * (1.005^20)</f>
        <v>0</v>
      </c>
      <c r="W7" s="7">
        <f>'02_Inputs'!G8 * (1.005^21)</f>
        <v>0</v>
      </c>
      <c r="X7" s="7">
        <f>'02_Inputs'!G8 * (1.005^22)</f>
        <v>0</v>
      </c>
      <c r="Y7" s="7">
        <f>'02_Inputs'!G8 * (1.005^23)</f>
        <v>0</v>
      </c>
      <c r="Z7" s="7">
        <f>'02_Inputs'!G8 * (1.005^24)</f>
        <v>0</v>
      </c>
      <c r="AA7" s="7">
        <f>'02_Inputs'!G8 * (1.005^25)</f>
        <v>0</v>
      </c>
      <c r="AB7" s="7">
        <f>'02_Inputs'!G8 * (1.005^26)</f>
        <v>0</v>
      </c>
      <c r="AC7" s="7">
        <f>'02_Inputs'!G8 * (1.005^27)</f>
        <v>0</v>
      </c>
      <c r="AD7" s="7">
        <f>'02_Inputs'!G8 * (1.005^28)</f>
        <v>0</v>
      </c>
      <c r="AE7" s="7">
        <f>'02_Inputs'!G8 * (1.005^29)</f>
        <v>0</v>
      </c>
      <c r="AF7" s="7">
        <f>'02_Inputs'!G8 * (1.005^30)</f>
        <v>0</v>
      </c>
      <c r="AG7" s="7">
        <f>'02_Inputs'!G8 * (1.005^31)</f>
        <v>0</v>
      </c>
      <c r="AH7" s="7">
        <f>'02_Inputs'!G8 * (1.005^32)</f>
        <v>0</v>
      </c>
      <c r="AI7" s="7">
        <f>'02_Inputs'!G8 * (1.005^33)</f>
        <v>0</v>
      </c>
      <c r="AJ7" s="7">
        <f>'02_Inputs'!G8 * (1.005^34)</f>
        <v>0</v>
      </c>
      <c r="AK7" s="7">
        <f>'02_Inputs'!G8 * (1.005^35)</f>
        <v>0</v>
      </c>
      <c r="AL7" s="7">
        <f>'02_Inputs'!G8 * (1.005^36)</f>
        <v>0</v>
      </c>
      <c r="AM7" s="7">
        <f>'02_Inputs'!G8 * (1.005^37)</f>
        <v>0</v>
      </c>
      <c r="AN7" s="7">
        <f>'02_Inputs'!G8 * (1.005^38)</f>
        <v>0</v>
      </c>
      <c r="AO7" s="7">
        <f>'02_Inputs'!G8 * (1.005^39)</f>
        <v>0</v>
      </c>
      <c r="AP7" s="7">
        <f>'02_Inputs'!G8 * (1.005^40)</f>
        <v>0</v>
      </c>
      <c r="AQ7" s="7">
        <f>'02_Inputs'!G8 * (1.005^41)</f>
        <v>0</v>
      </c>
      <c r="AR7" s="7">
        <f>'02_Inputs'!G8 * (1.005^42)</f>
        <v>0</v>
      </c>
      <c r="AS7" s="7">
        <f>'02_Inputs'!G8 * (1.005^43)</f>
        <v>0</v>
      </c>
      <c r="AT7" s="7">
        <f>'02_Inputs'!G8 * (1.005^44)</f>
        <v>0</v>
      </c>
      <c r="AU7" s="7">
        <f>'02_Inputs'!G8 * (1.005^45)</f>
        <v>0</v>
      </c>
      <c r="AV7" s="7">
        <f>'02_Inputs'!G8 * (1.005^46)</f>
        <v>0</v>
      </c>
      <c r="AW7" s="7">
        <f>'02_Inputs'!G8 * (1.005^47)</f>
        <v>0</v>
      </c>
      <c r="AX7" s="7">
        <f>'02_Inputs'!G8 * (1.005^48)</f>
        <v>0</v>
      </c>
      <c r="AY7" s="7">
        <f>'02_Inputs'!G8 * (1.005^49)</f>
        <v>0</v>
      </c>
      <c r="AZ7" s="7">
        <f>'02_Inputs'!G8 * (1.005^50)</f>
        <v>0</v>
      </c>
      <c r="BA7" s="7">
        <f>'02_Inputs'!G8 * (1.005^51)</f>
        <v>0</v>
      </c>
      <c r="BB7" s="7">
        <f>'02_Inputs'!G8 * (1.005^52)</f>
        <v>0</v>
      </c>
      <c r="BC7" s="7">
        <f>'02_Inputs'!G8 * (1.005^53)</f>
        <v>0</v>
      </c>
      <c r="BD7" s="7">
        <f>'02_Inputs'!G8 * (1.005^54)</f>
        <v>0</v>
      </c>
      <c r="BE7" s="7">
        <f>'02_Inputs'!G8 * (1.005^55)</f>
        <v>0</v>
      </c>
      <c r="BF7" s="7">
        <f>'02_Inputs'!G8 * (1.005^56)</f>
        <v>0</v>
      </c>
      <c r="BG7" s="7">
        <f>'02_Inputs'!G8 * (1.005^57)</f>
        <v>0</v>
      </c>
      <c r="BH7" s="7">
        <f>'02_Inputs'!G8 * (1.005^58)</f>
        <v>0</v>
      </c>
      <c r="BI7" s="7">
        <f>'02_Inputs'!G8 * (1.005^59)</f>
        <v>0</v>
      </c>
    </row>
    <row r="8" spans="1:61">
      <c r="A8" s="4" t="s">
        <v>18</v>
      </c>
      <c r="B8" s="7">
        <f>'02_Inputs'!G9 * (1.005^0)</f>
        <v>0</v>
      </c>
      <c r="C8" s="7">
        <f>'02_Inputs'!G9 * (1.005^1)</f>
        <v>0</v>
      </c>
      <c r="D8" s="7">
        <f>'02_Inputs'!G9 * (1.005^2)</f>
        <v>0</v>
      </c>
      <c r="E8" s="7">
        <f>'02_Inputs'!G9 * (1.005^3)</f>
        <v>0</v>
      </c>
      <c r="F8" s="7">
        <f>'02_Inputs'!G9 * (1.005^4)</f>
        <v>0</v>
      </c>
      <c r="G8" s="7">
        <f>'02_Inputs'!G9 * (1.005^5)</f>
        <v>0</v>
      </c>
      <c r="H8" s="7">
        <f>'02_Inputs'!G9 * (1.005^6)</f>
        <v>0</v>
      </c>
      <c r="I8" s="7">
        <f>'02_Inputs'!G9 * (1.005^7)</f>
        <v>0</v>
      </c>
      <c r="J8" s="7">
        <f>'02_Inputs'!G9 * (1.005^8)</f>
        <v>0</v>
      </c>
      <c r="K8" s="7">
        <f>'02_Inputs'!G9 * (1.005^9)</f>
        <v>0</v>
      </c>
      <c r="L8" s="7">
        <f>'02_Inputs'!G9 * (1.005^10)</f>
        <v>0</v>
      </c>
      <c r="M8" s="7">
        <f>'02_Inputs'!G9 * (1.005^11)</f>
        <v>0</v>
      </c>
      <c r="N8" s="7">
        <f>'02_Inputs'!G9 * (1.005^12)</f>
        <v>0</v>
      </c>
      <c r="O8" s="7">
        <f>'02_Inputs'!G9 * (1.005^13)</f>
        <v>0</v>
      </c>
      <c r="P8" s="7">
        <f>'02_Inputs'!G9 * (1.005^14)</f>
        <v>0</v>
      </c>
      <c r="Q8" s="7">
        <f>'02_Inputs'!G9 * (1.005^15)</f>
        <v>0</v>
      </c>
      <c r="R8" s="7">
        <f>'02_Inputs'!G9 * (1.005^16)</f>
        <v>0</v>
      </c>
      <c r="S8" s="7">
        <f>'02_Inputs'!G9 * (1.005^17)</f>
        <v>0</v>
      </c>
      <c r="T8" s="7">
        <f>'02_Inputs'!G9 * (1.005^18)</f>
        <v>0</v>
      </c>
      <c r="U8" s="7">
        <f>'02_Inputs'!G9 * (1.005^19)</f>
        <v>0</v>
      </c>
      <c r="V8" s="7">
        <f>'02_Inputs'!G9 * (1.005^20)</f>
        <v>0</v>
      </c>
      <c r="W8" s="7">
        <f>'02_Inputs'!G9 * (1.005^21)</f>
        <v>0</v>
      </c>
      <c r="X8" s="7">
        <f>'02_Inputs'!G9 * (1.005^22)</f>
        <v>0</v>
      </c>
      <c r="Y8" s="7">
        <f>'02_Inputs'!G9 * (1.005^23)</f>
        <v>0</v>
      </c>
      <c r="Z8" s="7">
        <f>'02_Inputs'!G9 * (1.005^24)</f>
        <v>0</v>
      </c>
      <c r="AA8" s="7">
        <f>'02_Inputs'!G9 * (1.005^25)</f>
        <v>0</v>
      </c>
      <c r="AB8" s="7">
        <f>'02_Inputs'!G9 * (1.005^26)</f>
        <v>0</v>
      </c>
      <c r="AC8" s="7">
        <f>'02_Inputs'!G9 * (1.005^27)</f>
        <v>0</v>
      </c>
      <c r="AD8" s="7">
        <f>'02_Inputs'!G9 * (1.005^28)</f>
        <v>0</v>
      </c>
      <c r="AE8" s="7">
        <f>'02_Inputs'!G9 * (1.005^29)</f>
        <v>0</v>
      </c>
      <c r="AF8" s="7">
        <f>'02_Inputs'!G9 * (1.005^30)</f>
        <v>0</v>
      </c>
      <c r="AG8" s="7">
        <f>'02_Inputs'!G9 * (1.005^31)</f>
        <v>0</v>
      </c>
      <c r="AH8" s="7">
        <f>'02_Inputs'!G9 * (1.005^32)</f>
        <v>0</v>
      </c>
      <c r="AI8" s="7">
        <f>'02_Inputs'!G9 * (1.005^33)</f>
        <v>0</v>
      </c>
      <c r="AJ8" s="7">
        <f>'02_Inputs'!G9 * (1.005^34)</f>
        <v>0</v>
      </c>
      <c r="AK8" s="7">
        <f>'02_Inputs'!G9 * (1.005^35)</f>
        <v>0</v>
      </c>
      <c r="AL8" s="7">
        <f>'02_Inputs'!G9 * (1.005^36)</f>
        <v>0</v>
      </c>
      <c r="AM8" s="7">
        <f>'02_Inputs'!G9 * (1.005^37)</f>
        <v>0</v>
      </c>
      <c r="AN8" s="7">
        <f>'02_Inputs'!G9 * (1.005^38)</f>
        <v>0</v>
      </c>
      <c r="AO8" s="7">
        <f>'02_Inputs'!G9 * (1.005^39)</f>
        <v>0</v>
      </c>
      <c r="AP8" s="7">
        <f>'02_Inputs'!G9 * (1.005^40)</f>
        <v>0</v>
      </c>
      <c r="AQ8" s="7">
        <f>'02_Inputs'!G9 * (1.005^41)</f>
        <v>0</v>
      </c>
      <c r="AR8" s="7">
        <f>'02_Inputs'!G9 * (1.005^42)</f>
        <v>0</v>
      </c>
      <c r="AS8" s="7">
        <f>'02_Inputs'!G9 * (1.005^43)</f>
        <v>0</v>
      </c>
      <c r="AT8" s="7">
        <f>'02_Inputs'!G9 * (1.005^44)</f>
        <v>0</v>
      </c>
      <c r="AU8" s="7">
        <f>'02_Inputs'!G9 * (1.005^45)</f>
        <v>0</v>
      </c>
      <c r="AV8" s="7">
        <f>'02_Inputs'!G9 * (1.005^46)</f>
        <v>0</v>
      </c>
      <c r="AW8" s="7">
        <f>'02_Inputs'!G9 * (1.005^47)</f>
        <v>0</v>
      </c>
      <c r="AX8" s="7">
        <f>'02_Inputs'!G9 * (1.005^48)</f>
        <v>0</v>
      </c>
      <c r="AY8" s="7">
        <f>'02_Inputs'!G9 * (1.005^49)</f>
        <v>0</v>
      </c>
      <c r="AZ8" s="7">
        <f>'02_Inputs'!G9 * (1.005^50)</f>
        <v>0</v>
      </c>
      <c r="BA8" s="7">
        <f>'02_Inputs'!G9 * (1.005^51)</f>
        <v>0</v>
      </c>
      <c r="BB8" s="7">
        <f>'02_Inputs'!G9 * (1.005^52)</f>
        <v>0</v>
      </c>
      <c r="BC8" s="7">
        <f>'02_Inputs'!G9 * (1.005^53)</f>
        <v>0</v>
      </c>
      <c r="BD8" s="7">
        <f>'02_Inputs'!G9 * (1.005^54)</f>
        <v>0</v>
      </c>
      <c r="BE8" s="7">
        <f>'02_Inputs'!G9 * (1.005^55)</f>
        <v>0</v>
      </c>
      <c r="BF8" s="7">
        <f>'02_Inputs'!G9 * (1.005^56)</f>
        <v>0</v>
      </c>
      <c r="BG8" s="7">
        <f>'02_Inputs'!G9 * (1.005^57)</f>
        <v>0</v>
      </c>
      <c r="BH8" s="7">
        <f>'02_Inputs'!G9 * (1.005^58)</f>
        <v>0</v>
      </c>
      <c r="BI8" s="7">
        <f>'02_Inputs'!G9 * (1.005^59)</f>
        <v>0</v>
      </c>
    </row>
    <row r="9" spans="1:61">
      <c r="A9" s="4" t="s">
        <v>19</v>
      </c>
      <c r="B9" s="7">
        <f>'02_Inputs'!G10 * (1.005^0)</f>
        <v>0</v>
      </c>
      <c r="C9" s="7">
        <f>'02_Inputs'!G10 * (1.005^1)</f>
        <v>0</v>
      </c>
      <c r="D9" s="7">
        <f>'02_Inputs'!G10 * (1.005^2)</f>
        <v>0</v>
      </c>
      <c r="E9" s="7">
        <f>'02_Inputs'!G10 * (1.005^3)</f>
        <v>0</v>
      </c>
      <c r="F9" s="7">
        <f>'02_Inputs'!G10 * (1.005^4)</f>
        <v>0</v>
      </c>
      <c r="G9" s="7">
        <f>'02_Inputs'!G10 * (1.005^5)</f>
        <v>0</v>
      </c>
      <c r="H9" s="7">
        <f>'02_Inputs'!G10 * (1.005^6)</f>
        <v>0</v>
      </c>
      <c r="I9" s="7">
        <f>'02_Inputs'!G10 * (1.005^7)</f>
        <v>0</v>
      </c>
      <c r="J9" s="7">
        <f>'02_Inputs'!G10 * (1.005^8)</f>
        <v>0</v>
      </c>
      <c r="K9" s="7">
        <f>'02_Inputs'!G10 * (1.005^9)</f>
        <v>0</v>
      </c>
      <c r="L9" s="7">
        <f>'02_Inputs'!G10 * (1.005^10)</f>
        <v>0</v>
      </c>
      <c r="M9" s="7">
        <f>'02_Inputs'!G10 * (1.005^11)</f>
        <v>0</v>
      </c>
      <c r="N9" s="7">
        <f>'02_Inputs'!G10 * (1.005^12)</f>
        <v>0</v>
      </c>
      <c r="O9" s="7">
        <f>'02_Inputs'!G10 * (1.005^13)</f>
        <v>0</v>
      </c>
      <c r="P9" s="7">
        <f>'02_Inputs'!G10 * (1.005^14)</f>
        <v>0</v>
      </c>
      <c r="Q9" s="7">
        <f>'02_Inputs'!G10 * (1.005^15)</f>
        <v>0</v>
      </c>
      <c r="R9" s="7">
        <f>'02_Inputs'!G10 * (1.005^16)</f>
        <v>0</v>
      </c>
      <c r="S9" s="7">
        <f>'02_Inputs'!G10 * (1.005^17)</f>
        <v>0</v>
      </c>
      <c r="T9" s="7">
        <f>'02_Inputs'!G10 * (1.005^18)</f>
        <v>0</v>
      </c>
      <c r="U9" s="7">
        <f>'02_Inputs'!G10 * (1.005^19)</f>
        <v>0</v>
      </c>
      <c r="V9" s="7">
        <f>'02_Inputs'!G10 * (1.005^20)</f>
        <v>0</v>
      </c>
      <c r="W9" s="7">
        <f>'02_Inputs'!G10 * (1.005^21)</f>
        <v>0</v>
      </c>
      <c r="X9" s="7">
        <f>'02_Inputs'!G10 * (1.005^22)</f>
        <v>0</v>
      </c>
      <c r="Y9" s="7">
        <f>'02_Inputs'!G10 * (1.005^23)</f>
        <v>0</v>
      </c>
      <c r="Z9" s="7">
        <f>'02_Inputs'!G10 * (1.005^24)</f>
        <v>0</v>
      </c>
      <c r="AA9" s="7">
        <f>'02_Inputs'!G10 * (1.005^25)</f>
        <v>0</v>
      </c>
      <c r="AB9" s="7">
        <f>'02_Inputs'!G10 * (1.005^26)</f>
        <v>0</v>
      </c>
      <c r="AC9" s="7">
        <f>'02_Inputs'!G10 * (1.005^27)</f>
        <v>0</v>
      </c>
      <c r="AD9" s="7">
        <f>'02_Inputs'!G10 * (1.005^28)</f>
        <v>0</v>
      </c>
      <c r="AE9" s="7">
        <f>'02_Inputs'!G10 * (1.005^29)</f>
        <v>0</v>
      </c>
      <c r="AF9" s="7">
        <f>'02_Inputs'!G10 * (1.005^30)</f>
        <v>0</v>
      </c>
      <c r="AG9" s="7">
        <f>'02_Inputs'!G10 * (1.005^31)</f>
        <v>0</v>
      </c>
      <c r="AH9" s="7">
        <f>'02_Inputs'!G10 * (1.005^32)</f>
        <v>0</v>
      </c>
      <c r="AI9" s="7">
        <f>'02_Inputs'!G10 * (1.005^33)</f>
        <v>0</v>
      </c>
      <c r="AJ9" s="7">
        <f>'02_Inputs'!G10 * (1.005^34)</f>
        <v>0</v>
      </c>
      <c r="AK9" s="7">
        <f>'02_Inputs'!G10 * (1.005^35)</f>
        <v>0</v>
      </c>
      <c r="AL9" s="7">
        <f>'02_Inputs'!G10 * (1.005^36)</f>
        <v>0</v>
      </c>
      <c r="AM9" s="7">
        <f>'02_Inputs'!G10 * (1.005^37)</f>
        <v>0</v>
      </c>
      <c r="AN9" s="7">
        <f>'02_Inputs'!G10 * (1.005^38)</f>
        <v>0</v>
      </c>
      <c r="AO9" s="7">
        <f>'02_Inputs'!G10 * (1.005^39)</f>
        <v>0</v>
      </c>
      <c r="AP9" s="7">
        <f>'02_Inputs'!G10 * (1.005^40)</f>
        <v>0</v>
      </c>
      <c r="AQ9" s="7">
        <f>'02_Inputs'!G10 * (1.005^41)</f>
        <v>0</v>
      </c>
      <c r="AR9" s="7">
        <f>'02_Inputs'!G10 * (1.005^42)</f>
        <v>0</v>
      </c>
      <c r="AS9" s="7">
        <f>'02_Inputs'!G10 * (1.005^43)</f>
        <v>0</v>
      </c>
      <c r="AT9" s="7">
        <f>'02_Inputs'!G10 * (1.005^44)</f>
        <v>0</v>
      </c>
      <c r="AU9" s="7">
        <f>'02_Inputs'!G10 * (1.005^45)</f>
        <v>0</v>
      </c>
      <c r="AV9" s="7">
        <f>'02_Inputs'!G10 * (1.005^46)</f>
        <v>0</v>
      </c>
      <c r="AW9" s="7">
        <f>'02_Inputs'!G10 * (1.005^47)</f>
        <v>0</v>
      </c>
      <c r="AX9" s="7">
        <f>'02_Inputs'!G10 * (1.005^48)</f>
        <v>0</v>
      </c>
      <c r="AY9" s="7">
        <f>'02_Inputs'!G10 * (1.005^49)</f>
        <v>0</v>
      </c>
      <c r="AZ9" s="7">
        <f>'02_Inputs'!G10 * (1.005^50)</f>
        <v>0</v>
      </c>
      <c r="BA9" s="7">
        <f>'02_Inputs'!G10 * (1.005^51)</f>
        <v>0</v>
      </c>
      <c r="BB9" s="7">
        <f>'02_Inputs'!G10 * (1.005^52)</f>
        <v>0</v>
      </c>
      <c r="BC9" s="7">
        <f>'02_Inputs'!G10 * (1.005^53)</f>
        <v>0</v>
      </c>
      <c r="BD9" s="7">
        <f>'02_Inputs'!G10 * (1.005^54)</f>
        <v>0</v>
      </c>
      <c r="BE9" s="7">
        <f>'02_Inputs'!G10 * (1.005^55)</f>
        <v>0</v>
      </c>
      <c r="BF9" s="7">
        <f>'02_Inputs'!G10 * (1.005^56)</f>
        <v>0</v>
      </c>
      <c r="BG9" s="7">
        <f>'02_Inputs'!G10 * (1.005^57)</f>
        <v>0</v>
      </c>
      <c r="BH9" s="7">
        <f>'02_Inputs'!G10 * (1.005^58)</f>
        <v>0</v>
      </c>
      <c r="BI9" s="7">
        <f>'02_Inputs'!G10 * (1.005^59)</f>
        <v>0</v>
      </c>
    </row>
    <row r="10" spans="1:61">
      <c r="B10" s="7">
        <f>SUM(B5:B9)</f>
        <v>0</v>
      </c>
      <c r="C10" s="7">
        <f>SUM(C5:C9)</f>
        <v>0</v>
      </c>
      <c r="D10" s="7">
        <f>SUM(D5:D9)</f>
        <v>0</v>
      </c>
      <c r="E10" s="7">
        <f>SUM(E5:E9)</f>
        <v>0</v>
      </c>
      <c r="F10" s="7">
        <f>SUM(F5:F9)</f>
        <v>0</v>
      </c>
      <c r="G10" s="7">
        <f>SUM(G5:G9)</f>
        <v>0</v>
      </c>
      <c r="H10" s="7">
        <f>SUM(H5:H9)</f>
        <v>0</v>
      </c>
      <c r="I10" s="7">
        <f>SUM(I5:I9)</f>
        <v>0</v>
      </c>
      <c r="J10" s="7">
        <f>SUM(J5:J9)</f>
        <v>0</v>
      </c>
      <c r="K10" s="7">
        <f>SUM(K5:K9)</f>
        <v>0</v>
      </c>
      <c r="L10" s="7">
        <f>SUM(L5:L9)</f>
        <v>0</v>
      </c>
      <c r="M10" s="7">
        <f>SUM(M5:M9)</f>
        <v>0</v>
      </c>
      <c r="N10" s="7">
        <f>SUM(N5:N9)</f>
        <v>0</v>
      </c>
      <c r="O10" s="7">
        <f>SUM(O5:O9)</f>
        <v>0</v>
      </c>
      <c r="P10" s="7">
        <f>SUM(P5:P9)</f>
        <v>0</v>
      </c>
      <c r="Q10" s="7">
        <f>SUM(Q5:Q9)</f>
        <v>0</v>
      </c>
      <c r="R10" s="7">
        <f>SUM(R5:R9)</f>
        <v>0</v>
      </c>
      <c r="S10" s="7">
        <f>SUM(S5:S9)</f>
        <v>0</v>
      </c>
      <c r="T10" s="7">
        <f>SUM(T5:T9)</f>
        <v>0</v>
      </c>
      <c r="U10" s="7">
        <f>SUM(U5:U9)</f>
        <v>0</v>
      </c>
      <c r="V10" s="7">
        <f>SUM(V5:V9)</f>
        <v>0</v>
      </c>
      <c r="W10" s="7">
        <f>SUM(W5:W9)</f>
        <v>0</v>
      </c>
      <c r="X10" s="7">
        <f>SUM(X5:X9)</f>
        <v>0</v>
      </c>
      <c r="Y10" s="7">
        <f>SUM(Y5:Y9)</f>
        <v>0</v>
      </c>
      <c r="Z10" s="7">
        <f>SUM(Z5:Z9)</f>
        <v>0</v>
      </c>
      <c r="AA10" s="7">
        <f>SUM(AA5:AA9)</f>
        <v>0</v>
      </c>
      <c r="AB10" s="7">
        <f>SUM(AB5:AB9)</f>
        <v>0</v>
      </c>
      <c r="AC10" s="7">
        <f>SUM(AC5:AC9)</f>
        <v>0</v>
      </c>
      <c r="AD10" s="7">
        <f>SUM(AD5:AD9)</f>
        <v>0</v>
      </c>
      <c r="AE10" s="7">
        <f>SUM(AE5:AE9)</f>
        <v>0</v>
      </c>
      <c r="AF10" s="7">
        <f>SUM(AF5:AF9)</f>
        <v>0</v>
      </c>
      <c r="AG10" s="7">
        <f>SUM(AG5:AG9)</f>
        <v>0</v>
      </c>
      <c r="AH10" s="7">
        <f>SUM(AH5:AH9)</f>
        <v>0</v>
      </c>
      <c r="AI10" s="7">
        <f>SUM(AI5:AI9)</f>
        <v>0</v>
      </c>
      <c r="AJ10" s="7">
        <f>SUM(AJ5:AJ9)</f>
        <v>0</v>
      </c>
      <c r="AK10" s="7">
        <f>SUM(AK5:AK9)</f>
        <v>0</v>
      </c>
      <c r="AL10" s="7">
        <f>SUM(AL5:AL9)</f>
        <v>0</v>
      </c>
      <c r="AM10" s="7">
        <f>SUM(AM5:AM9)</f>
        <v>0</v>
      </c>
      <c r="AN10" s="7">
        <f>SUM(AN5:AN9)</f>
        <v>0</v>
      </c>
      <c r="AO10" s="7">
        <f>SUM(AO5:AO9)</f>
        <v>0</v>
      </c>
      <c r="AP10" s="7">
        <f>SUM(AP5:AP9)</f>
        <v>0</v>
      </c>
      <c r="AQ10" s="7">
        <f>SUM(AQ5:AQ9)</f>
        <v>0</v>
      </c>
      <c r="AR10" s="7">
        <f>SUM(AR5:AR9)</f>
        <v>0</v>
      </c>
      <c r="AS10" s="7">
        <f>SUM(AS5:AS9)</f>
        <v>0</v>
      </c>
      <c r="AT10" s="7">
        <f>SUM(AT5:AT9)</f>
        <v>0</v>
      </c>
      <c r="AU10" s="7">
        <f>SUM(AU5:AU9)</f>
        <v>0</v>
      </c>
      <c r="AV10" s="7">
        <f>SUM(AV5:AV9)</f>
        <v>0</v>
      </c>
      <c r="AW10" s="7">
        <f>SUM(AW5:AW9)</f>
        <v>0</v>
      </c>
      <c r="AX10" s="7">
        <f>SUM(AX5:AX9)</f>
        <v>0</v>
      </c>
      <c r="AY10" s="7">
        <f>SUM(AY5:AY9)</f>
        <v>0</v>
      </c>
      <c r="AZ10" s="7">
        <f>SUM(AZ5:AZ9)</f>
        <v>0</v>
      </c>
      <c r="BA10" s="7">
        <f>SUM(BA5:BA9)</f>
        <v>0</v>
      </c>
      <c r="BB10" s="7">
        <f>SUM(BB5:BB9)</f>
        <v>0</v>
      </c>
      <c r="BC10" s="7">
        <f>SUM(BC5:BC9)</f>
        <v>0</v>
      </c>
      <c r="BD10" s="7">
        <f>SUM(BD5:BD9)</f>
        <v>0</v>
      </c>
      <c r="BE10" s="7">
        <f>SUM(BE5:BE9)</f>
        <v>0</v>
      </c>
      <c r="BF10" s="7">
        <f>SUM(BF5:BF9)</f>
        <v>0</v>
      </c>
      <c r="BG10" s="7">
        <f>SUM(BG5:BG9)</f>
        <v>0</v>
      </c>
      <c r="BH10" s="7">
        <f>SUM(BH5:BH9)</f>
        <v>0</v>
      </c>
      <c r="BI10" s="7">
        <f>SUM(BI5:BI9)</f>
        <v>0</v>
      </c>
    </row>
    <row r="11" spans="1:61">
      <c r="B11" s="7">
        <f>B10 / (1-0.07)</f>
        <v>0</v>
      </c>
      <c r="C11" s="7">
        <f>C10 / (1-0.07)</f>
        <v>0</v>
      </c>
      <c r="D11" s="7">
        <f>D10 / (1-0.07)</f>
        <v>0</v>
      </c>
      <c r="E11" s="7">
        <f>E10 / (1-0.07)</f>
        <v>0</v>
      </c>
      <c r="F11" s="7">
        <f>F10 / (1-0.07)</f>
        <v>0</v>
      </c>
      <c r="G11" s="7">
        <f>G10 / (1-0.07)</f>
        <v>0</v>
      </c>
      <c r="H11" s="7">
        <f>H10 / (1-0.07)</f>
        <v>0</v>
      </c>
      <c r="I11" s="7">
        <f>I10 / (1-0.07)</f>
        <v>0</v>
      </c>
      <c r="J11" s="7">
        <f>J10 / (1-0.07)</f>
        <v>0</v>
      </c>
      <c r="K11" s="7">
        <f>K10 / (1-0.07)</f>
        <v>0</v>
      </c>
      <c r="L11" s="7">
        <f>L10 / (1-0.07)</f>
        <v>0</v>
      </c>
      <c r="M11" s="7">
        <f>M10 / (1-0.07)</f>
        <v>0</v>
      </c>
      <c r="N11" s="7">
        <f>N10 / (1-0.07)</f>
        <v>0</v>
      </c>
      <c r="O11" s="7">
        <f>O10 / (1-0.07)</f>
        <v>0</v>
      </c>
      <c r="P11" s="7">
        <f>P10 / (1-0.07)</f>
        <v>0</v>
      </c>
      <c r="Q11" s="7">
        <f>Q10 / (1-0.07)</f>
        <v>0</v>
      </c>
      <c r="R11" s="7">
        <f>R10 / (1-0.07)</f>
        <v>0</v>
      </c>
      <c r="S11" s="7">
        <f>S10 / (1-0.07)</f>
        <v>0</v>
      </c>
      <c r="T11" s="7">
        <f>T10 / (1-0.07)</f>
        <v>0</v>
      </c>
      <c r="U11" s="7">
        <f>U10 / (1-0.07)</f>
        <v>0</v>
      </c>
      <c r="V11" s="7">
        <f>V10 / (1-0.07)</f>
        <v>0</v>
      </c>
      <c r="W11" s="7">
        <f>W10 / (1-0.07)</f>
        <v>0</v>
      </c>
      <c r="X11" s="7">
        <f>X10 / (1-0.07)</f>
        <v>0</v>
      </c>
      <c r="Y11" s="7">
        <f>Y10 / (1-0.07)</f>
        <v>0</v>
      </c>
      <c r="Z11" s="7">
        <f>Z10 / (1-0.07)</f>
        <v>0</v>
      </c>
      <c r="AA11" s="7">
        <f>AA10 / (1-0.07)</f>
        <v>0</v>
      </c>
      <c r="AB11" s="7">
        <f>AB10 / (1-0.07)</f>
        <v>0</v>
      </c>
      <c r="AC11" s="7">
        <f>AC10 / (1-0.07)</f>
        <v>0</v>
      </c>
      <c r="AD11" s="7">
        <f>AD10 / (1-0.07)</f>
        <v>0</v>
      </c>
      <c r="AE11" s="7">
        <f>AE10 / (1-0.07)</f>
        <v>0</v>
      </c>
      <c r="AF11" s="7">
        <f>AF10 / (1-0.07)</f>
        <v>0</v>
      </c>
      <c r="AG11" s="7">
        <f>AG10 / (1-0.07)</f>
        <v>0</v>
      </c>
      <c r="AH11" s="7">
        <f>AH10 / (1-0.07)</f>
        <v>0</v>
      </c>
      <c r="AI11" s="7">
        <f>AI10 / (1-0.07)</f>
        <v>0</v>
      </c>
      <c r="AJ11" s="7">
        <f>AJ10 / (1-0.07)</f>
        <v>0</v>
      </c>
      <c r="AK11" s="7">
        <f>AK10 / (1-0.07)</f>
        <v>0</v>
      </c>
      <c r="AL11" s="7">
        <f>AL10 / (1-0.07)</f>
        <v>0</v>
      </c>
      <c r="AM11" s="7">
        <f>AM10 / (1-0.07)</f>
        <v>0</v>
      </c>
      <c r="AN11" s="7">
        <f>AN10 / (1-0.07)</f>
        <v>0</v>
      </c>
      <c r="AO11" s="7">
        <f>AO10 / (1-0.07)</f>
        <v>0</v>
      </c>
      <c r="AP11" s="7">
        <f>AP10 / (1-0.07)</f>
        <v>0</v>
      </c>
      <c r="AQ11" s="7">
        <f>AQ10 / (1-0.07)</f>
        <v>0</v>
      </c>
      <c r="AR11" s="7">
        <f>AR10 / (1-0.07)</f>
        <v>0</v>
      </c>
      <c r="AS11" s="7">
        <f>AS10 / (1-0.07)</f>
        <v>0</v>
      </c>
      <c r="AT11" s="7">
        <f>AT10 / (1-0.07)</f>
        <v>0</v>
      </c>
      <c r="AU11" s="7">
        <f>AU10 / (1-0.07)</f>
        <v>0</v>
      </c>
      <c r="AV11" s="7">
        <f>AV10 / (1-0.07)</f>
        <v>0</v>
      </c>
      <c r="AW11" s="7">
        <f>AW10 / (1-0.07)</f>
        <v>0</v>
      </c>
      <c r="AX11" s="7">
        <f>AX10 / (1-0.07)</f>
        <v>0</v>
      </c>
      <c r="AY11" s="7">
        <f>AY10 / (1-0.07)</f>
        <v>0</v>
      </c>
      <c r="AZ11" s="7">
        <f>AZ10 / (1-0.07)</f>
        <v>0</v>
      </c>
      <c r="BA11" s="7">
        <f>BA10 / (1-0.07)</f>
        <v>0</v>
      </c>
      <c r="BB11" s="7">
        <f>BB10 / (1-0.07)</f>
        <v>0</v>
      </c>
      <c r="BC11" s="7">
        <f>BC10 / (1-0.07)</f>
        <v>0</v>
      </c>
      <c r="BD11" s="7">
        <f>BD10 / (1-0.07)</f>
        <v>0</v>
      </c>
      <c r="BE11" s="7">
        <f>BE10 / (1-0.07)</f>
        <v>0</v>
      </c>
      <c r="BF11" s="7">
        <f>BF10 / (1-0.07)</f>
        <v>0</v>
      </c>
      <c r="BG11" s="7">
        <f>BG10 / (1-0.07)</f>
        <v>0</v>
      </c>
      <c r="BH11" s="7">
        <f>BH10 / (1-0.07)</f>
        <v>0</v>
      </c>
      <c r="BI11" s="7">
        <f>BI10 / (1-0.07)</f>
        <v>0</v>
      </c>
    </row>
    <row r="13" spans="1:61">
      <c r="B13" s="6">
        <f>(B5 * ('02_Inputs'!$B$11 * '02_Inputs'!C6 + (1-'02_Inputs'!$B$11) * '02_Inputs'!D6)) + (B6 * ('02_Inputs'!$B$11 * '02_Inputs'!C7 + (1-'02_Inputs'!$B$11) * '02_Inputs'!D7)) + (B7 * ('02_Inputs'!$B$11 * '02_Inputs'!C8 + (1-'02_Inputs'!$B$11) * '02_Inputs'!D8)) + (B8 * ('02_Inputs'!$B$11 * '02_Inputs'!C9 + (1-'02_Inputs'!$B$11) * '02_Inputs'!D9)) + (B9 * ('02_Inputs'!$B$11 * '02_Inputs'!C10 + (1-'02_Inputs'!$B$11) * '02_Inputs'!D10))</f>
        <v>0</v>
      </c>
      <c r="C13" s="6">
        <f>(C5 * ('02_Inputs'!$B$11 * '02_Inputs'!C6 + (1-'02_Inputs'!$B$11) * '02_Inputs'!D6)) + (C6 * ('02_Inputs'!$B$11 * '02_Inputs'!C7 + (1-'02_Inputs'!$B$11) * '02_Inputs'!D7)) + (C7 * ('02_Inputs'!$B$11 * '02_Inputs'!C8 + (1-'02_Inputs'!$B$11) * '02_Inputs'!D8)) + (C8 * ('02_Inputs'!$B$11 * '02_Inputs'!C9 + (1-'02_Inputs'!$B$11) * '02_Inputs'!D9)) + (C9 * ('02_Inputs'!$B$11 * '02_Inputs'!C10 + (1-'02_Inputs'!$B$11) * '02_Inputs'!D10))</f>
        <v>0</v>
      </c>
      <c r="D13" s="6">
        <f>(D5 * ('02_Inputs'!$B$11 * '02_Inputs'!C6 + (1-'02_Inputs'!$B$11) * '02_Inputs'!D6)) + (D6 * ('02_Inputs'!$B$11 * '02_Inputs'!C7 + (1-'02_Inputs'!$B$11) * '02_Inputs'!D7)) + (D7 * ('02_Inputs'!$B$11 * '02_Inputs'!C8 + (1-'02_Inputs'!$B$11) * '02_Inputs'!D8)) + (D8 * ('02_Inputs'!$B$11 * '02_Inputs'!C9 + (1-'02_Inputs'!$B$11) * '02_Inputs'!D9)) + (D9 * ('02_Inputs'!$B$11 * '02_Inputs'!C10 + (1-'02_Inputs'!$B$11) * '02_Inputs'!D10))</f>
        <v>0</v>
      </c>
      <c r="E13" s="6">
        <f>(E5 * ('02_Inputs'!$B$11 * '02_Inputs'!C6 + (1-'02_Inputs'!$B$11) * '02_Inputs'!D6)) + (E6 * ('02_Inputs'!$B$11 * '02_Inputs'!C7 + (1-'02_Inputs'!$B$11) * '02_Inputs'!D7)) + (E7 * ('02_Inputs'!$B$11 * '02_Inputs'!C8 + (1-'02_Inputs'!$B$11) * '02_Inputs'!D8)) + (E8 * ('02_Inputs'!$B$11 * '02_Inputs'!C9 + (1-'02_Inputs'!$B$11) * '02_Inputs'!D9)) + (E9 * ('02_Inputs'!$B$11 * '02_Inputs'!C10 + (1-'02_Inputs'!$B$11) * '02_Inputs'!D10))</f>
        <v>0</v>
      </c>
      <c r="F13" s="6">
        <f>(F5 * ('02_Inputs'!$B$11 * '02_Inputs'!C6 + (1-'02_Inputs'!$B$11) * '02_Inputs'!D6)) + (F6 * ('02_Inputs'!$B$11 * '02_Inputs'!C7 + (1-'02_Inputs'!$B$11) * '02_Inputs'!D7)) + (F7 * ('02_Inputs'!$B$11 * '02_Inputs'!C8 + (1-'02_Inputs'!$B$11) * '02_Inputs'!D8)) + (F8 * ('02_Inputs'!$B$11 * '02_Inputs'!C9 + (1-'02_Inputs'!$B$11) * '02_Inputs'!D9)) + (F9 * ('02_Inputs'!$B$11 * '02_Inputs'!C10 + (1-'02_Inputs'!$B$11) * '02_Inputs'!D10))</f>
        <v>0</v>
      </c>
      <c r="G13" s="6">
        <f>(G5 * ('02_Inputs'!$B$11 * '02_Inputs'!C6 + (1-'02_Inputs'!$B$11) * '02_Inputs'!D6)) + (G6 * ('02_Inputs'!$B$11 * '02_Inputs'!C7 + (1-'02_Inputs'!$B$11) * '02_Inputs'!D7)) + (G7 * ('02_Inputs'!$B$11 * '02_Inputs'!C8 + (1-'02_Inputs'!$B$11) * '02_Inputs'!D8)) + (G8 * ('02_Inputs'!$B$11 * '02_Inputs'!C9 + (1-'02_Inputs'!$B$11) * '02_Inputs'!D9)) + (G9 * ('02_Inputs'!$B$11 * '02_Inputs'!C10 + (1-'02_Inputs'!$B$11) * '02_Inputs'!D10))</f>
        <v>0</v>
      </c>
      <c r="H13" s="6">
        <f>(H5 * ('02_Inputs'!$B$11 * '02_Inputs'!C6 + (1-'02_Inputs'!$B$11) * '02_Inputs'!D6)) + (H6 * ('02_Inputs'!$B$11 * '02_Inputs'!C7 + (1-'02_Inputs'!$B$11) * '02_Inputs'!D7)) + (H7 * ('02_Inputs'!$B$11 * '02_Inputs'!C8 + (1-'02_Inputs'!$B$11) * '02_Inputs'!D8)) + (H8 * ('02_Inputs'!$B$11 * '02_Inputs'!C9 + (1-'02_Inputs'!$B$11) * '02_Inputs'!D9)) + (H9 * ('02_Inputs'!$B$11 * '02_Inputs'!C10 + (1-'02_Inputs'!$B$11) * '02_Inputs'!D10))</f>
        <v>0</v>
      </c>
      <c r="I13" s="6">
        <f>(I5 * ('02_Inputs'!$B$11 * '02_Inputs'!C6 + (1-'02_Inputs'!$B$11) * '02_Inputs'!D6)) + (I6 * ('02_Inputs'!$B$11 * '02_Inputs'!C7 + (1-'02_Inputs'!$B$11) * '02_Inputs'!D7)) + (I7 * ('02_Inputs'!$B$11 * '02_Inputs'!C8 + (1-'02_Inputs'!$B$11) * '02_Inputs'!D8)) + (I8 * ('02_Inputs'!$B$11 * '02_Inputs'!C9 + (1-'02_Inputs'!$B$11) * '02_Inputs'!D9)) + (I9 * ('02_Inputs'!$B$11 * '02_Inputs'!C10 + (1-'02_Inputs'!$B$11) * '02_Inputs'!D10))</f>
        <v>0</v>
      </c>
      <c r="J13" s="6">
        <f>(J5 * ('02_Inputs'!$B$11 * '02_Inputs'!C6 + (1-'02_Inputs'!$B$11) * '02_Inputs'!D6)) + (J6 * ('02_Inputs'!$B$11 * '02_Inputs'!C7 + (1-'02_Inputs'!$B$11) * '02_Inputs'!D7)) + (J7 * ('02_Inputs'!$B$11 * '02_Inputs'!C8 + (1-'02_Inputs'!$B$11) * '02_Inputs'!D8)) + (J8 * ('02_Inputs'!$B$11 * '02_Inputs'!C9 + (1-'02_Inputs'!$B$11) * '02_Inputs'!D9)) + (J9 * ('02_Inputs'!$B$11 * '02_Inputs'!C10 + (1-'02_Inputs'!$B$11) * '02_Inputs'!D10))</f>
        <v>0</v>
      </c>
      <c r="K13" s="6">
        <f>(K5 * ('02_Inputs'!$B$11 * '02_Inputs'!C6 + (1-'02_Inputs'!$B$11) * '02_Inputs'!D6)) + (K6 * ('02_Inputs'!$B$11 * '02_Inputs'!C7 + (1-'02_Inputs'!$B$11) * '02_Inputs'!D7)) + (K7 * ('02_Inputs'!$B$11 * '02_Inputs'!C8 + (1-'02_Inputs'!$B$11) * '02_Inputs'!D8)) + (K8 * ('02_Inputs'!$B$11 * '02_Inputs'!C9 + (1-'02_Inputs'!$B$11) * '02_Inputs'!D9)) + (K9 * ('02_Inputs'!$B$11 * '02_Inputs'!C10 + (1-'02_Inputs'!$B$11) * '02_Inputs'!D10))</f>
        <v>0</v>
      </c>
      <c r="L13" s="6">
        <f>(L5 * ('02_Inputs'!$B$11 * '02_Inputs'!C6 + (1-'02_Inputs'!$B$11) * '02_Inputs'!D6)) + (L6 * ('02_Inputs'!$B$11 * '02_Inputs'!C7 + (1-'02_Inputs'!$B$11) * '02_Inputs'!D7)) + (L7 * ('02_Inputs'!$B$11 * '02_Inputs'!C8 + (1-'02_Inputs'!$B$11) * '02_Inputs'!D8)) + (L8 * ('02_Inputs'!$B$11 * '02_Inputs'!C9 + (1-'02_Inputs'!$B$11) * '02_Inputs'!D9)) + (L9 * ('02_Inputs'!$B$11 * '02_Inputs'!C10 + (1-'02_Inputs'!$B$11) * '02_Inputs'!D10))</f>
        <v>0</v>
      </c>
      <c r="M13" s="6">
        <f>(M5 * ('02_Inputs'!$B$11 * '02_Inputs'!C6 + (1-'02_Inputs'!$B$11) * '02_Inputs'!D6)) + (M6 * ('02_Inputs'!$B$11 * '02_Inputs'!C7 + (1-'02_Inputs'!$B$11) * '02_Inputs'!D7)) + (M7 * ('02_Inputs'!$B$11 * '02_Inputs'!C8 + (1-'02_Inputs'!$B$11) * '02_Inputs'!D8)) + (M8 * ('02_Inputs'!$B$11 * '02_Inputs'!C9 + (1-'02_Inputs'!$B$11) * '02_Inputs'!D9)) + (M9 * ('02_Inputs'!$B$11 * '02_Inputs'!C10 + (1-'02_Inputs'!$B$11) * '02_Inputs'!D10))</f>
        <v>0</v>
      </c>
      <c r="N13" s="6">
        <f>(N5 * ('02_Inputs'!$B$11 * '02_Inputs'!C6 + (1-'02_Inputs'!$B$11) * '02_Inputs'!D6)) + (N6 * ('02_Inputs'!$B$11 * '02_Inputs'!C7 + (1-'02_Inputs'!$B$11) * '02_Inputs'!D7)) + (N7 * ('02_Inputs'!$B$11 * '02_Inputs'!C8 + (1-'02_Inputs'!$B$11) * '02_Inputs'!D8)) + (N8 * ('02_Inputs'!$B$11 * '02_Inputs'!C9 + (1-'02_Inputs'!$B$11) * '02_Inputs'!D9)) + (N9 * ('02_Inputs'!$B$11 * '02_Inputs'!C10 + (1-'02_Inputs'!$B$11) * '02_Inputs'!D10))</f>
        <v>0</v>
      </c>
      <c r="O13" s="6">
        <f>(O5 * ('02_Inputs'!$B$11 * '02_Inputs'!C6 + (1-'02_Inputs'!$B$11) * '02_Inputs'!D6)) + (O6 * ('02_Inputs'!$B$11 * '02_Inputs'!C7 + (1-'02_Inputs'!$B$11) * '02_Inputs'!D7)) + (O7 * ('02_Inputs'!$B$11 * '02_Inputs'!C8 + (1-'02_Inputs'!$B$11) * '02_Inputs'!D8)) + (O8 * ('02_Inputs'!$B$11 * '02_Inputs'!C9 + (1-'02_Inputs'!$B$11) * '02_Inputs'!D9)) + (O9 * ('02_Inputs'!$B$11 * '02_Inputs'!C10 + (1-'02_Inputs'!$B$11) * '02_Inputs'!D10))</f>
        <v>0</v>
      </c>
      <c r="P13" s="6">
        <f>(P5 * ('02_Inputs'!$B$11 * '02_Inputs'!C6 + (1-'02_Inputs'!$B$11) * '02_Inputs'!D6)) + (P6 * ('02_Inputs'!$B$11 * '02_Inputs'!C7 + (1-'02_Inputs'!$B$11) * '02_Inputs'!D7)) + (P7 * ('02_Inputs'!$B$11 * '02_Inputs'!C8 + (1-'02_Inputs'!$B$11) * '02_Inputs'!D8)) + (P8 * ('02_Inputs'!$B$11 * '02_Inputs'!C9 + (1-'02_Inputs'!$B$11) * '02_Inputs'!D9)) + (P9 * ('02_Inputs'!$B$11 * '02_Inputs'!C10 + (1-'02_Inputs'!$B$11) * '02_Inputs'!D10))</f>
        <v>0</v>
      </c>
      <c r="Q13" s="6">
        <f>(Q5 * ('02_Inputs'!$B$11 * '02_Inputs'!C6 + (1-'02_Inputs'!$B$11) * '02_Inputs'!D6)) + (Q6 * ('02_Inputs'!$B$11 * '02_Inputs'!C7 + (1-'02_Inputs'!$B$11) * '02_Inputs'!D7)) + (Q7 * ('02_Inputs'!$B$11 * '02_Inputs'!C8 + (1-'02_Inputs'!$B$11) * '02_Inputs'!D8)) + (Q8 * ('02_Inputs'!$B$11 * '02_Inputs'!C9 + (1-'02_Inputs'!$B$11) * '02_Inputs'!D9)) + (Q9 * ('02_Inputs'!$B$11 * '02_Inputs'!C10 + (1-'02_Inputs'!$B$11) * '02_Inputs'!D10))</f>
        <v>0</v>
      </c>
      <c r="R13" s="6">
        <f>(R5 * ('02_Inputs'!$B$11 * '02_Inputs'!C6 + (1-'02_Inputs'!$B$11) * '02_Inputs'!D6)) + (R6 * ('02_Inputs'!$B$11 * '02_Inputs'!C7 + (1-'02_Inputs'!$B$11) * '02_Inputs'!D7)) + (R7 * ('02_Inputs'!$B$11 * '02_Inputs'!C8 + (1-'02_Inputs'!$B$11) * '02_Inputs'!D8)) + (R8 * ('02_Inputs'!$B$11 * '02_Inputs'!C9 + (1-'02_Inputs'!$B$11) * '02_Inputs'!D9)) + (R9 * ('02_Inputs'!$B$11 * '02_Inputs'!C10 + (1-'02_Inputs'!$B$11) * '02_Inputs'!D10))</f>
        <v>0</v>
      </c>
      <c r="S13" s="6">
        <f>(S5 * ('02_Inputs'!$B$11 * '02_Inputs'!C6 + (1-'02_Inputs'!$B$11) * '02_Inputs'!D6)) + (S6 * ('02_Inputs'!$B$11 * '02_Inputs'!C7 + (1-'02_Inputs'!$B$11) * '02_Inputs'!D7)) + (S7 * ('02_Inputs'!$B$11 * '02_Inputs'!C8 + (1-'02_Inputs'!$B$11) * '02_Inputs'!D8)) + (S8 * ('02_Inputs'!$B$11 * '02_Inputs'!C9 + (1-'02_Inputs'!$B$11) * '02_Inputs'!D9)) + (S9 * ('02_Inputs'!$B$11 * '02_Inputs'!C10 + (1-'02_Inputs'!$B$11) * '02_Inputs'!D10))</f>
        <v>0</v>
      </c>
      <c r="T13" s="6">
        <f>(T5 * ('02_Inputs'!$B$11 * '02_Inputs'!C6 + (1-'02_Inputs'!$B$11) * '02_Inputs'!D6)) + (T6 * ('02_Inputs'!$B$11 * '02_Inputs'!C7 + (1-'02_Inputs'!$B$11) * '02_Inputs'!D7)) + (T7 * ('02_Inputs'!$B$11 * '02_Inputs'!C8 + (1-'02_Inputs'!$B$11) * '02_Inputs'!D8)) + (T8 * ('02_Inputs'!$B$11 * '02_Inputs'!C9 + (1-'02_Inputs'!$B$11) * '02_Inputs'!D9)) + (T9 * ('02_Inputs'!$B$11 * '02_Inputs'!C10 + (1-'02_Inputs'!$B$11) * '02_Inputs'!D10))</f>
        <v>0</v>
      </c>
      <c r="U13" s="6">
        <f>(U5 * ('02_Inputs'!$B$11 * '02_Inputs'!C6 + (1-'02_Inputs'!$B$11) * '02_Inputs'!D6)) + (U6 * ('02_Inputs'!$B$11 * '02_Inputs'!C7 + (1-'02_Inputs'!$B$11) * '02_Inputs'!D7)) + (U7 * ('02_Inputs'!$B$11 * '02_Inputs'!C8 + (1-'02_Inputs'!$B$11) * '02_Inputs'!D8)) + (U8 * ('02_Inputs'!$B$11 * '02_Inputs'!C9 + (1-'02_Inputs'!$B$11) * '02_Inputs'!D9)) + (U9 * ('02_Inputs'!$B$11 * '02_Inputs'!C10 + (1-'02_Inputs'!$B$11) * '02_Inputs'!D10))</f>
        <v>0</v>
      </c>
      <c r="V13" s="6">
        <f>(V5 * ('02_Inputs'!$B$11 * '02_Inputs'!C6 + (1-'02_Inputs'!$B$11) * '02_Inputs'!D6)) + (V6 * ('02_Inputs'!$B$11 * '02_Inputs'!C7 + (1-'02_Inputs'!$B$11) * '02_Inputs'!D7)) + (V7 * ('02_Inputs'!$B$11 * '02_Inputs'!C8 + (1-'02_Inputs'!$B$11) * '02_Inputs'!D8)) + (V8 * ('02_Inputs'!$B$11 * '02_Inputs'!C9 + (1-'02_Inputs'!$B$11) * '02_Inputs'!D9)) + (V9 * ('02_Inputs'!$B$11 * '02_Inputs'!C10 + (1-'02_Inputs'!$B$11) * '02_Inputs'!D10))</f>
        <v>0</v>
      </c>
      <c r="W13" s="6">
        <f>(W5 * ('02_Inputs'!$B$11 * '02_Inputs'!C6 + (1-'02_Inputs'!$B$11) * '02_Inputs'!D6)) + (W6 * ('02_Inputs'!$B$11 * '02_Inputs'!C7 + (1-'02_Inputs'!$B$11) * '02_Inputs'!D7)) + (W7 * ('02_Inputs'!$B$11 * '02_Inputs'!C8 + (1-'02_Inputs'!$B$11) * '02_Inputs'!D8)) + (W8 * ('02_Inputs'!$B$11 * '02_Inputs'!C9 + (1-'02_Inputs'!$B$11) * '02_Inputs'!D9)) + (W9 * ('02_Inputs'!$B$11 * '02_Inputs'!C10 + (1-'02_Inputs'!$B$11) * '02_Inputs'!D10))</f>
        <v>0</v>
      </c>
      <c r="X13" s="6">
        <f>(X5 * ('02_Inputs'!$B$11 * '02_Inputs'!C6 + (1-'02_Inputs'!$B$11) * '02_Inputs'!D6)) + (X6 * ('02_Inputs'!$B$11 * '02_Inputs'!C7 + (1-'02_Inputs'!$B$11) * '02_Inputs'!D7)) + (X7 * ('02_Inputs'!$B$11 * '02_Inputs'!C8 + (1-'02_Inputs'!$B$11) * '02_Inputs'!D8)) + (X8 * ('02_Inputs'!$B$11 * '02_Inputs'!C9 + (1-'02_Inputs'!$B$11) * '02_Inputs'!D9)) + (X9 * ('02_Inputs'!$B$11 * '02_Inputs'!C10 + (1-'02_Inputs'!$B$11) * '02_Inputs'!D10))</f>
        <v>0</v>
      </c>
      <c r="Y13" s="6">
        <f>(Y5 * ('02_Inputs'!$B$11 * '02_Inputs'!C6 + (1-'02_Inputs'!$B$11) * '02_Inputs'!D6)) + (Y6 * ('02_Inputs'!$B$11 * '02_Inputs'!C7 + (1-'02_Inputs'!$B$11) * '02_Inputs'!D7)) + (Y7 * ('02_Inputs'!$B$11 * '02_Inputs'!C8 + (1-'02_Inputs'!$B$11) * '02_Inputs'!D8)) + (Y8 * ('02_Inputs'!$B$11 * '02_Inputs'!C9 + (1-'02_Inputs'!$B$11) * '02_Inputs'!D9)) + (Y9 * ('02_Inputs'!$B$11 * '02_Inputs'!C10 + (1-'02_Inputs'!$B$11) * '02_Inputs'!D10))</f>
        <v>0</v>
      </c>
      <c r="Z13" s="6">
        <f>(Z5 * ('02_Inputs'!$B$11 * '02_Inputs'!C6 + (1-'02_Inputs'!$B$11) * '02_Inputs'!D6)) + (Z6 * ('02_Inputs'!$B$11 * '02_Inputs'!C7 + (1-'02_Inputs'!$B$11) * '02_Inputs'!D7)) + (Z7 * ('02_Inputs'!$B$11 * '02_Inputs'!C8 + (1-'02_Inputs'!$B$11) * '02_Inputs'!D8)) + (Z8 * ('02_Inputs'!$B$11 * '02_Inputs'!C9 + (1-'02_Inputs'!$B$11) * '02_Inputs'!D9)) + (Z9 * ('02_Inputs'!$B$11 * '02_Inputs'!C10 + (1-'02_Inputs'!$B$11) * '02_Inputs'!D10))</f>
        <v>0</v>
      </c>
      <c r="AA13" s="6">
        <f>(AA5 * ('02_Inputs'!$B$11 * '02_Inputs'!C6 + (1-'02_Inputs'!$B$11) * '02_Inputs'!D6)) + (AA6 * ('02_Inputs'!$B$11 * '02_Inputs'!C7 + (1-'02_Inputs'!$B$11) * '02_Inputs'!D7)) + (AA7 * ('02_Inputs'!$B$11 * '02_Inputs'!C8 + (1-'02_Inputs'!$B$11) * '02_Inputs'!D8)) + (AA8 * ('02_Inputs'!$B$11 * '02_Inputs'!C9 + (1-'02_Inputs'!$B$11) * '02_Inputs'!D9)) + (AA9 * ('02_Inputs'!$B$11 * '02_Inputs'!C10 + (1-'02_Inputs'!$B$11) * '02_Inputs'!D10))</f>
        <v>0</v>
      </c>
      <c r="AB13" s="6">
        <f>(AB5 * ('02_Inputs'!$B$11 * '02_Inputs'!C6 + (1-'02_Inputs'!$B$11) * '02_Inputs'!D6)) + (AB6 * ('02_Inputs'!$B$11 * '02_Inputs'!C7 + (1-'02_Inputs'!$B$11) * '02_Inputs'!D7)) + (AB7 * ('02_Inputs'!$B$11 * '02_Inputs'!C8 + (1-'02_Inputs'!$B$11) * '02_Inputs'!D8)) + (AB8 * ('02_Inputs'!$B$11 * '02_Inputs'!C9 + (1-'02_Inputs'!$B$11) * '02_Inputs'!D9)) + (AB9 * ('02_Inputs'!$B$11 * '02_Inputs'!C10 + (1-'02_Inputs'!$B$11) * '02_Inputs'!D10))</f>
        <v>0</v>
      </c>
      <c r="AC13" s="6">
        <f>(AC5 * ('02_Inputs'!$B$11 * '02_Inputs'!C6 + (1-'02_Inputs'!$B$11) * '02_Inputs'!D6)) + (AC6 * ('02_Inputs'!$B$11 * '02_Inputs'!C7 + (1-'02_Inputs'!$B$11) * '02_Inputs'!D7)) + (AC7 * ('02_Inputs'!$B$11 * '02_Inputs'!C8 + (1-'02_Inputs'!$B$11) * '02_Inputs'!D8)) + (AC8 * ('02_Inputs'!$B$11 * '02_Inputs'!C9 + (1-'02_Inputs'!$B$11) * '02_Inputs'!D9)) + (AC9 * ('02_Inputs'!$B$11 * '02_Inputs'!C10 + (1-'02_Inputs'!$B$11) * '02_Inputs'!D10))</f>
        <v>0</v>
      </c>
      <c r="AD13" s="6">
        <f>(AD5 * ('02_Inputs'!$B$11 * '02_Inputs'!C6 + (1-'02_Inputs'!$B$11) * '02_Inputs'!D6)) + (AD6 * ('02_Inputs'!$B$11 * '02_Inputs'!C7 + (1-'02_Inputs'!$B$11) * '02_Inputs'!D7)) + (AD7 * ('02_Inputs'!$B$11 * '02_Inputs'!C8 + (1-'02_Inputs'!$B$11) * '02_Inputs'!D8)) + (AD8 * ('02_Inputs'!$B$11 * '02_Inputs'!C9 + (1-'02_Inputs'!$B$11) * '02_Inputs'!D9)) + (AD9 * ('02_Inputs'!$B$11 * '02_Inputs'!C10 + (1-'02_Inputs'!$B$11) * '02_Inputs'!D10))</f>
        <v>0</v>
      </c>
      <c r="AE13" s="6">
        <f>(AE5 * ('02_Inputs'!$B$11 * '02_Inputs'!C6 + (1-'02_Inputs'!$B$11) * '02_Inputs'!D6)) + (AE6 * ('02_Inputs'!$B$11 * '02_Inputs'!C7 + (1-'02_Inputs'!$B$11) * '02_Inputs'!D7)) + (AE7 * ('02_Inputs'!$B$11 * '02_Inputs'!C8 + (1-'02_Inputs'!$B$11) * '02_Inputs'!D8)) + (AE8 * ('02_Inputs'!$B$11 * '02_Inputs'!C9 + (1-'02_Inputs'!$B$11) * '02_Inputs'!D9)) + (AE9 * ('02_Inputs'!$B$11 * '02_Inputs'!C10 + (1-'02_Inputs'!$B$11) * '02_Inputs'!D10))</f>
        <v>0</v>
      </c>
      <c r="AF13" s="6">
        <f>(AF5 * ('02_Inputs'!$B$11 * '02_Inputs'!C6 + (1-'02_Inputs'!$B$11) * '02_Inputs'!D6)) + (AF6 * ('02_Inputs'!$B$11 * '02_Inputs'!C7 + (1-'02_Inputs'!$B$11) * '02_Inputs'!D7)) + (AF7 * ('02_Inputs'!$B$11 * '02_Inputs'!C8 + (1-'02_Inputs'!$B$11) * '02_Inputs'!D8)) + (AF8 * ('02_Inputs'!$B$11 * '02_Inputs'!C9 + (1-'02_Inputs'!$B$11) * '02_Inputs'!D9)) + (AF9 * ('02_Inputs'!$B$11 * '02_Inputs'!C10 + (1-'02_Inputs'!$B$11) * '02_Inputs'!D10))</f>
        <v>0</v>
      </c>
      <c r="AG13" s="6">
        <f>(AG5 * ('02_Inputs'!$B$11 * '02_Inputs'!C6 + (1-'02_Inputs'!$B$11) * '02_Inputs'!D6)) + (AG6 * ('02_Inputs'!$B$11 * '02_Inputs'!C7 + (1-'02_Inputs'!$B$11) * '02_Inputs'!D7)) + (AG7 * ('02_Inputs'!$B$11 * '02_Inputs'!C8 + (1-'02_Inputs'!$B$11) * '02_Inputs'!D8)) + (AG8 * ('02_Inputs'!$B$11 * '02_Inputs'!C9 + (1-'02_Inputs'!$B$11) * '02_Inputs'!D9)) + (AG9 * ('02_Inputs'!$B$11 * '02_Inputs'!C10 + (1-'02_Inputs'!$B$11) * '02_Inputs'!D10))</f>
        <v>0</v>
      </c>
      <c r="AH13" s="6">
        <f>(AH5 * ('02_Inputs'!$B$11 * '02_Inputs'!C6 + (1-'02_Inputs'!$B$11) * '02_Inputs'!D6)) + (AH6 * ('02_Inputs'!$B$11 * '02_Inputs'!C7 + (1-'02_Inputs'!$B$11) * '02_Inputs'!D7)) + (AH7 * ('02_Inputs'!$B$11 * '02_Inputs'!C8 + (1-'02_Inputs'!$B$11) * '02_Inputs'!D8)) + (AH8 * ('02_Inputs'!$B$11 * '02_Inputs'!C9 + (1-'02_Inputs'!$B$11) * '02_Inputs'!D9)) + (AH9 * ('02_Inputs'!$B$11 * '02_Inputs'!C10 + (1-'02_Inputs'!$B$11) * '02_Inputs'!D10))</f>
        <v>0</v>
      </c>
      <c r="AI13" s="6">
        <f>(AI5 * ('02_Inputs'!$B$11 * '02_Inputs'!C6 + (1-'02_Inputs'!$B$11) * '02_Inputs'!D6)) + (AI6 * ('02_Inputs'!$B$11 * '02_Inputs'!C7 + (1-'02_Inputs'!$B$11) * '02_Inputs'!D7)) + (AI7 * ('02_Inputs'!$B$11 * '02_Inputs'!C8 + (1-'02_Inputs'!$B$11) * '02_Inputs'!D8)) + (AI8 * ('02_Inputs'!$B$11 * '02_Inputs'!C9 + (1-'02_Inputs'!$B$11) * '02_Inputs'!D9)) + (AI9 * ('02_Inputs'!$B$11 * '02_Inputs'!C10 + (1-'02_Inputs'!$B$11) * '02_Inputs'!D10))</f>
        <v>0</v>
      </c>
      <c r="AJ13" s="6">
        <f>(AJ5 * ('02_Inputs'!$B$11 * '02_Inputs'!C6 + (1-'02_Inputs'!$B$11) * '02_Inputs'!D6)) + (AJ6 * ('02_Inputs'!$B$11 * '02_Inputs'!C7 + (1-'02_Inputs'!$B$11) * '02_Inputs'!D7)) + (AJ7 * ('02_Inputs'!$B$11 * '02_Inputs'!C8 + (1-'02_Inputs'!$B$11) * '02_Inputs'!D8)) + (AJ8 * ('02_Inputs'!$B$11 * '02_Inputs'!C9 + (1-'02_Inputs'!$B$11) * '02_Inputs'!D9)) + (AJ9 * ('02_Inputs'!$B$11 * '02_Inputs'!C10 + (1-'02_Inputs'!$B$11) * '02_Inputs'!D10))</f>
        <v>0</v>
      </c>
      <c r="AK13" s="6">
        <f>(AK5 * ('02_Inputs'!$B$11 * '02_Inputs'!C6 + (1-'02_Inputs'!$B$11) * '02_Inputs'!D6)) + (AK6 * ('02_Inputs'!$B$11 * '02_Inputs'!C7 + (1-'02_Inputs'!$B$11) * '02_Inputs'!D7)) + (AK7 * ('02_Inputs'!$B$11 * '02_Inputs'!C8 + (1-'02_Inputs'!$B$11) * '02_Inputs'!D8)) + (AK8 * ('02_Inputs'!$B$11 * '02_Inputs'!C9 + (1-'02_Inputs'!$B$11) * '02_Inputs'!D9)) + (AK9 * ('02_Inputs'!$B$11 * '02_Inputs'!C10 + (1-'02_Inputs'!$B$11) * '02_Inputs'!D10))</f>
        <v>0</v>
      </c>
      <c r="AL13" s="6">
        <f>(AL5 * ('02_Inputs'!$B$11 * '02_Inputs'!C6 + (1-'02_Inputs'!$B$11) * '02_Inputs'!D6)) + (AL6 * ('02_Inputs'!$B$11 * '02_Inputs'!C7 + (1-'02_Inputs'!$B$11) * '02_Inputs'!D7)) + (AL7 * ('02_Inputs'!$B$11 * '02_Inputs'!C8 + (1-'02_Inputs'!$B$11) * '02_Inputs'!D8)) + (AL8 * ('02_Inputs'!$B$11 * '02_Inputs'!C9 + (1-'02_Inputs'!$B$11) * '02_Inputs'!D9)) + (AL9 * ('02_Inputs'!$B$11 * '02_Inputs'!C10 + (1-'02_Inputs'!$B$11) * '02_Inputs'!D10))</f>
        <v>0</v>
      </c>
      <c r="AM13" s="6">
        <f>(AM5 * ('02_Inputs'!$B$11 * '02_Inputs'!C6 + (1-'02_Inputs'!$B$11) * '02_Inputs'!D6)) + (AM6 * ('02_Inputs'!$B$11 * '02_Inputs'!C7 + (1-'02_Inputs'!$B$11) * '02_Inputs'!D7)) + (AM7 * ('02_Inputs'!$B$11 * '02_Inputs'!C8 + (1-'02_Inputs'!$B$11) * '02_Inputs'!D8)) + (AM8 * ('02_Inputs'!$B$11 * '02_Inputs'!C9 + (1-'02_Inputs'!$B$11) * '02_Inputs'!D9)) + (AM9 * ('02_Inputs'!$B$11 * '02_Inputs'!C10 + (1-'02_Inputs'!$B$11) * '02_Inputs'!D10))</f>
        <v>0</v>
      </c>
      <c r="AN13" s="6">
        <f>(AN5 * ('02_Inputs'!$B$11 * '02_Inputs'!C6 + (1-'02_Inputs'!$B$11) * '02_Inputs'!D6)) + (AN6 * ('02_Inputs'!$B$11 * '02_Inputs'!C7 + (1-'02_Inputs'!$B$11) * '02_Inputs'!D7)) + (AN7 * ('02_Inputs'!$B$11 * '02_Inputs'!C8 + (1-'02_Inputs'!$B$11) * '02_Inputs'!D8)) + (AN8 * ('02_Inputs'!$B$11 * '02_Inputs'!C9 + (1-'02_Inputs'!$B$11) * '02_Inputs'!D9)) + (AN9 * ('02_Inputs'!$B$11 * '02_Inputs'!C10 + (1-'02_Inputs'!$B$11) * '02_Inputs'!D10))</f>
        <v>0</v>
      </c>
      <c r="AO13" s="6">
        <f>(AO5 * ('02_Inputs'!$B$11 * '02_Inputs'!C6 + (1-'02_Inputs'!$B$11) * '02_Inputs'!D6)) + (AO6 * ('02_Inputs'!$B$11 * '02_Inputs'!C7 + (1-'02_Inputs'!$B$11) * '02_Inputs'!D7)) + (AO7 * ('02_Inputs'!$B$11 * '02_Inputs'!C8 + (1-'02_Inputs'!$B$11) * '02_Inputs'!D8)) + (AO8 * ('02_Inputs'!$B$11 * '02_Inputs'!C9 + (1-'02_Inputs'!$B$11) * '02_Inputs'!D9)) + (AO9 * ('02_Inputs'!$B$11 * '02_Inputs'!C10 + (1-'02_Inputs'!$B$11) * '02_Inputs'!D10))</f>
        <v>0</v>
      </c>
      <c r="AP13" s="6">
        <f>(AP5 * ('02_Inputs'!$B$11 * '02_Inputs'!C6 + (1-'02_Inputs'!$B$11) * '02_Inputs'!D6)) + (AP6 * ('02_Inputs'!$B$11 * '02_Inputs'!C7 + (1-'02_Inputs'!$B$11) * '02_Inputs'!D7)) + (AP7 * ('02_Inputs'!$B$11 * '02_Inputs'!C8 + (1-'02_Inputs'!$B$11) * '02_Inputs'!D8)) + (AP8 * ('02_Inputs'!$B$11 * '02_Inputs'!C9 + (1-'02_Inputs'!$B$11) * '02_Inputs'!D9)) + (AP9 * ('02_Inputs'!$B$11 * '02_Inputs'!C10 + (1-'02_Inputs'!$B$11) * '02_Inputs'!D10))</f>
        <v>0</v>
      </c>
      <c r="AQ13" s="6">
        <f>(AQ5 * ('02_Inputs'!$B$11 * '02_Inputs'!C6 + (1-'02_Inputs'!$B$11) * '02_Inputs'!D6)) + (AQ6 * ('02_Inputs'!$B$11 * '02_Inputs'!C7 + (1-'02_Inputs'!$B$11) * '02_Inputs'!D7)) + (AQ7 * ('02_Inputs'!$B$11 * '02_Inputs'!C8 + (1-'02_Inputs'!$B$11) * '02_Inputs'!D8)) + (AQ8 * ('02_Inputs'!$B$11 * '02_Inputs'!C9 + (1-'02_Inputs'!$B$11) * '02_Inputs'!D9)) + (AQ9 * ('02_Inputs'!$B$11 * '02_Inputs'!C10 + (1-'02_Inputs'!$B$11) * '02_Inputs'!D10))</f>
        <v>0</v>
      </c>
      <c r="AR13" s="6">
        <f>(AR5 * ('02_Inputs'!$B$11 * '02_Inputs'!C6 + (1-'02_Inputs'!$B$11) * '02_Inputs'!D6)) + (AR6 * ('02_Inputs'!$B$11 * '02_Inputs'!C7 + (1-'02_Inputs'!$B$11) * '02_Inputs'!D7)) + (AR7 * ('02_Inputs'!$B$11 * '02_Inputs'!C8 + (1-'02_Inputs'!$B$11) * '02_Inputs'!D8)) + (AR8 * ('02_Inputs'!$B$11 * '02_Inputs'!C9 + (1-'02_Inputs'!$B$11) * '02_Inputs'!D9)) + (AR9 * ('02_Inputs'!$B$11 * '02_Inputs'!C10 + (1-'02_Inputs'!$B$11) * '02_Inputs'!D10))</f>
        <v>0</v>
      </c>
      <c r="AS13" s="6">
        <f>(AS5 * ('02_Inputs'!$B$11 * '02_Inputs'!C6 + (1-'02_Inputs'!$B$11) * '02_Inputs'!D6)) + (AS6 * ('02_Inputs'!$B$11 * '02_Inputs'!C7 + (1-'02_Inputs'!$B$11) * '02_Inputs'!D7)) + (AS7 * ('02_Inputs'!$B$11 * '02_Inputs'!C8 + (1-'02_Inputs'!$B$11) * '02_Inputs'!D8)) + (AS8 * ('02_Inputs'!$B$11 * '02_Inputs'!C9 + (1-'02_Inputs'!$B$11) * '02_Inputs'!D9)) + (AS9 * ('02_Inputs'!$B$11 * '02_Inputs'!C10 + (1-'02_Inputs'!$B$11) * '02_Inputs'!D10))</f>
        <v>0</v>
      </c>
      <c r="AT13" s="6">
        <f>(AT5 * ('02_Inputs'!$B$11 * '02_Inputs'!C6 + (1-'02_Inputs'!$B$11) * '02_Inputs'!D6)) + (AT6 * ('02_Inputs'!$B$11 * '02_Inputs'!C7 + (1-'02_Inputs'!$B$11) * '02_Inputs'!D7)) + (AT7 * ('02_Inputs'!$B$11 * '02_Inputs'!C8 + (1-'02_Inputs'!$B$11) * '02_Inputs'!D8)) + (AT8 * ('02_Inputs'!$B$11 * '02_Inputs'!C9 + (1-'02_Inputs'!$B$11) * '02_Inputs'!D9)) + (AT9 * ('02_Inputs'!$B$11 * '02_Inputs'!C10 + (1-'02_Inputs'!$B$11) * '02_Inputs'!D10))</f>
        <v>0</v>
      </c>
      <c r="AU13" s="6">
        <f>(AU5 * ('02_Inputs'!$B$11 * '02_Inputs'!C6 + (1-'02_Inputs'!$B$11) * '02_Inputs'!D6)) + (AU6 * ('02_Inputs'!$B$11 * '02_Inputs'!C7 + (1-'02_Inputs'!$B$11) * '02_Inputs'!D7)) + (AU7 * ('02_Inputs'!$B$11 * '02_Inputs'!C8 + (1-'02_Inputs'!$B$11) * '02_Inputs'!D8)) + (AU8 * ('02_Inputs'!$B$11 * '02_Inputs'!C9 + (1-'02_Inputs'!$B$11) * '02_Inputs'!D9)) + (AU9 * ('02_Inputs'!$B$11 * '02_Inputs'!C10 + (1-'02_Inputs'!$B$11) * '02_Inputs'!D10))</f>
        <v>0</v>
      </c>
      <c r="AV13" s="6">
        <f>(AV5 * ('02_Inputs'!$B$11 * '02_Inputs'!C6 + (1-'02_Inputs'!$B$11) * '02_Inputs'!D6)) + (AV6 * ('02_Inputs'!$B$11 * '02_Inputs'!C7 + (1-'02_Inputs'!$B$11) * '02_Inputs'!D7)) + (AV7 * ('02_Inputs'!$B$11 * '02_Inputs'!C8 + (1-'02_Inputs'!$B$11) * '02_Inputs'!D8)) + (AV8 * ('02_Inputs'!$B$11 * '02_Inputs'!C9 + (1-'02_Inputs'!$B$11) * '02_Inputs'!D9)) + (AV9 * ('02_Inputs'!$B$11 * '02_Inputs'!C10 + (1-'02_Inputs'!$B$11) * '02_Inputs'!D10))</f>
        <v>0</v>
      </c>
      <c r="AW13" s="6">
        <f>(AW5 * ('02_Inputs'!$B$11 * '02_Inputs'!C6 + (1-'02_Inputs'!$B$11) * '02_Inputs'!D6)) + (AW6 * ('02_Inputs'!$B$11 * '02_Inputs'!C7 + (1-'02_Inputs'!$B$11) * '02_Inputs'!D7)) + (AW7 * ('02_Inputs'!$B$11 * '02_Inputs'!C8 + (1-'02_Inputs'!$B$11) * '02_Inputs'!D8)) + (AW8 * ('02_Inputs'!$B$11 * '02_Inputs'!C9 + (1-'02_Inputs'!$B$11) * '02_Inputs'!D9)) + (AW9 * ('02_Inputs'!$B$11 * '02_Inputs'!C10 + (1-'02_Inputs'!$B$11) * '02_Inputs'!D10))</f>
        <v>0</v>
      </c>
      <c r="AX13" s="6">
        <f>(AX5 * ('02_Inputs'!$B$11 * '02_Inputs'!C6 + (1-'02_Inputs'!$B$11) * '02_Inputs'!D6)) + (AX6 * ('02_Inputs'!$B$11 * '02_Inputs'!C7 + (1-'02_Inputs'!$B$11) * '02_Inputs'!D7)) + (AX7 * ('02_Inputs'!$B$11 * '02_Inputs'!C8 + (1-'02_Inputs'!$B$11) * '02_Inputs'!D8)) + (AX8 * ('02_Inputs'!$B$11 * '02_Inputs'!C9 + (1-'02_Inputs'!$B$11) * '02_Inputs'!D9)) + (AX9 * ('02_Inputs'!$B$11 * '02_Inputs'!C10 + (1-'02_Inputs'!$B$11) * '02_Inputs'!D10))</f>
        <v>0</v>
      </c>
      <c r="AY13" s="6">
        <f>(AY5 * ('02_Inputs'!$B$11 * '02_Inputs'!C6 + (1-'02_Inputs'!$B$11) * '02_Inputs'!D6)) + (AY6 * ('02_Inputs'!$B$11 * '02_Inputs'!C7 + (1-'02_Inputs'!$B$11) * '02_Inputs'!D7)) + (AY7 * ('02_Inputs'!$B$11 * '02_Inputs'!C8 + (1-'02_Inputs'!$B$11) * '02_Inputs'!D8)) + (AY8 * ('02_Inputs'!$B$11 * '02_Inputs'!C9 + (1-'02_Inputs'!$B$11) * '02_Inputs'!D9)) + (AY9 * ('02_Inputs'!$B$11 * '02_Inputs'!C10 + (1-'02_Inputs'!$B$11) * '02_Inputs'!D10))</f>
        <v>0</v>
      </c>
      <c r="AZ13" s="6">
        <f>(AZ5 * ('02_Inputs'!$B$11 * '02_Inputs'!C6 + (1-'02_Inputs'!$B$11) * '02_Inputs'!D6)) + (AZ6 * ('02_Inputs'!$B$11 * '02_Inputs'!C7 + (1-'02_Inputs'!$B$11) * '02_Inputs'!D7)) + (AZ7 * ('02_Inputs'!$B$11 * '02_Inputs'!C8 + (1-'02_Inputs'!$B$11) * '02_Inputs'!D8)) + (AZ8 * ('02_Inputs'!$B$11 * '02_Inputs'!C9 + (1-'02_Inputs'!$B$11) * '02_Inputs'!D9)) + (AZ9 * ('02_Inputs'!$B$11 * '02_Inputs'!C10 + (1-'02_Inputs'!$B$11) * '02_Inputs'!D10))</f>
        <v>0</v>
      </c>
      <c r="BA13" s="6">
        <f>(BA5 * ('02_Inputs'!$B$11 * '02_Inputs'!C6 + (1-'02_Inputs'!$B$11) * '02_Inputs'!D6)) + (BA6 * ('02_Inputs'!$B$11 * '02_Inputs'!C7 + (1-'02_Inputs'!$B$11) * '02_Inputs'!D7)) + (BA7 * ('02_Inputs'!$B$11 * '02_Inputs'!C8 + (1-'02_Inputs'!$B$11) * '02_Inputs'!D8)) + (BA8 * ('02_Inputs'!$B$11 * '02_Inputs'!C9 + (1-'02_Inputs'!$B$11) * '02_Inputs'!D9)) + (BA9 * ('02_Inputs'!$B$11 * '02_Inputs'!C10 + (1-'02_Inputs'!$B$11) * '02_Inputs'!D10))</f>
        <v>0</v>
      </c>
      <c r="BB13" s="6">
        <f>(BB5 * ('02_Inputs'!$B$11 * '02_Inputs'!C6 + (1-'02_Inputs'!$B$11) * '02_Inputs'!D6)) + (BB6 * ('02_Inputs'!$B$11 * '02_Inputs'!C7 + (1-'02_Inputs'!$B$11) * '02_Inputs'!D7)) + (BB7 * ('02_Inputs'!$B$11 * '02_Inputs'!C8 + (1-'02_Inputs'!$B$11) * '02_Inputs'!D8)) + (BB8 * ('02_Inputs'!$B$11 * '02_Inputs'!C9 + (1-'02_Inputs'!$B$11) * '02_Inputs'!D9)) + (BB9 * ('02_Inputs'!$B$11 * '02_Inputs'!C10 + (1-'02_Inputs'!$B$11) * '02_Inputs'!D10))</f>
        <v>0</v>
      </c>
      <c r="BC13" s="6">
        <f>(BC5 * ('02_Inputs'!$B$11 * '02_Inputs'!C6 + (1-'02_Inputs'!$B$11) * '02_Inputs'!D6)) + (BC6 * ('02_Inputs'!$B$11 * '02_Inputs'!C7 + (1-'02_Inputs'!$B$11) * '02_Inputs'!D7)) + (BC7 * ('02_Inputs'!$B$11 * '02_Inputs'!C8 + (1-'02_Inputs'!$B$11) * '02_Inputs'!D8)) + (BC8 * ('02_Inputs'!$B$11 * '02_Inputs'!C9 + (1-'02_Inputs'!$B$11) * '02_Inputs'!D9)) + (BC9 * ('02_Inputs'!$B$11 * '02_Inputs'!C10 + (1-'02_Inputs'!$B$11) * '02_Inputs'!D10))</f>
        <v>0</v>
      </c>
      <c r="BD13" s="6">
        <f>(BD5 * ('02_Inputs'!$B$11 * '02_Inputs'!C6 + (1-'02_Inputs'!$B$11) * '02_Inputs'!D6)) + (BD6 * ('02_Inputs'!$B$11 * '02_Inputs'!C7 + (1-'02_Inputs'!$B$11) * '02_Inputs'!D7)) + (BD7 * ('02_Inputs'!$B$11 * '02_Inputs'!C8 + (1-'02_Inputs'!$B$11) * '02_Inputs'!D8)) + (BD8 * ('02_Inputs'!$B$11 * '02_Inputs'!C9 + (1-'02_Inputs'!$B$11) * '02_Inputs'!D9)) + (BD9 * ('02_Inputs'!$B$11 * '02_Inputs'!C10 + (1-'02_Inputs'!$B$11) * '02_Inputs'!D10))</f>
        <v>0</v>
      </c>
      <c r="BE13" s="6">
        <f>(BE5 * ('02_Inputs'!$B$11 * '02_Inputs'!C6 + (1-'02_Inputs'!$B$11) * '02_Inputs'!D6)) + (BE6 * ('02_Inputs'!$B$11 * '02_Inputs'!C7 + (1-'02_Inputs'!$B$11) * '02_Inputs'!D7)) + (BE7 * ('02_Inputs'!$B$11 * '02_Inputs'!C8 + (1-'02_Inputs'!$B$11) * '02_Inputs'!D8)) + (BE8 * ('02_Inputs'!$B$11 * '02_Inputs'!C9 + (1-'02_Inputs'!$B$11) * '02_Inputs'!D9)) + (BE9 * ('02_Inputs'!$B$11 * '02_Inputs'!C10 + (1-'02_Inputs'!$B$11) * '02_Inputs'!D10))</f>
        <v>0</v>
      </c>
      <c r="BF13" s="6">
        <f>(BF5 * ('02_Inputs'!$B$11 * '02_Inputs'!C6 + (1-'02_Inputs'!$B$11) * '02_Inputs'!D6)) + (BF6 * ('02_Inputs'!$B$11 * '02_Inputs'!C7 + (1-'02_Inputs'!$B$11) * '02_Inputs'!D7)) + (BF7 * ('02_Inputs'!$B$11 * '02_Inputs'!C8 + (1-'02_Inputs'!$B$11) * '02_Inputs'!D8)) + (BF8 * ('02_Inputs'!$B$11 * '02_Inputs'!C9 + (1-'02_Inputs'!$B$11) * '02_Inputs'!D9)) + (BF9 * ('02_Inputs'!$B$11 * '02_Inputs'!C10 + (1-'02_Inputs'!$B$11) * '02_Inputs'!D10))</f>
        <v>0</v>
      </c>
      <c r="BG13" s="6">
        <f>(BG5 * ('02_Inputs'!$B$11 * '02_Inputs'!C6 + (1-'02_Inputs'!$B$11) * '02_Inputs'!D6)) + (BG6 * ('02_Inputs'!$B$11 * '02_Inputs'!C7 + (1-'02_Inputs'!$B$11) * '02_Inputs'!D7)) + (BG7 * ('02_Inputs'!$B$11 * '02_Inputs'!C8 + (1-'02_Inputs'!$B$11) * '02_Inputs'!D8)) + (BG8 * ('02_Inputs'!$B$11 * '02_Inputs'!C9 + (1-'02_Inputs'!$B$11) * '02_Inputs'!D9)) + (BG9 * ('02_Inputs'!$B$11 * '02_Inputs'!C10 + (1-'02_Inputs'!$B$11) * '02_Inputs'!D10))</f>
        <v>0</v>
      </c>
      <c r="BH13" s="6">
        <f>(BH5 * ('02_Inputs'!$B$11 * '02_Inputs'!C6 + (1-'02_Inputs'!$B$11) * '02_Inputs'!D6)) + (BH6 * ('02_Inputs'!$B$11 * '02_Inputs'!C7 + (1-'02_Inputs'!$B$11) * '02_Inputs'!D7)) + (BH7 * ('02_Inputs'!$B$11 * '02_Inputs'!C8 + (1-'02_Inputs'!$B$11) * '02_Inputs'!D8)) + (BH8 * ('02_Inputs'!$B$11 * '02_Inputs'!C9 + (1-'02_Inputs'!$B$11) * '02_Inputs'!D9)) + (BH9 * ('02_Inputs'!$B$11 * '02_Inputs'!C10 + (1-'02_Inputs'!$B$11) * '02_Inputs'!D10))</f>
        <v>0</v>
      </c>
      <c r="BI13" s="6">
        <f>(BI5 * ('02_Inputs'!$B$11 * '02_Inputs'!C6 + (1-'02_Inputs'!$B$11) * '02_Inputs'!D6)) + (BI6 * ('02_Inputs'!$B$11 * '02_Inputs'!C7 + (1-'02_Inputs'!$B$11) * '02_Inputs'!D7)) + (BI7 * ('02_Inputs'!$B$11 * '02_Inputs'!C8 + (1-'02_Inputs'!$B$11) * '02_Inputs'!D8)) + (BI8 * ('02_Inputs'!$B$11 * '02_Inputs'!C9 + (1-'02_Inputs'!$B$11) * '02_Inputs'!D9)) + (BI9 * ('02_Inputs'!$B$11 * '02_Inputs'!C10 + (1-'02_Inputs'!$B$11) * '02_Inputs'!D10))</f>
        <v>0</v>
      </c>
    </row>
    <row r="14" spans="1:61">
      <c r="B14" s="6">
        <f>-(B5 * 100 * (0.042-0.0115) * ('02_Inputs'!$B$11 * '01_Control'!$B$9 + (1-'02_Inputs'!$B$11) * '01_Control'!$B$8)) + (B6 * 100 * (0.05-0.0115) * ('02_Inputs'!$B$11 * '01_Control'!$B$9 + (1-'02_Inputs'!$B$11) * '01_Control'!$B$8)) + (B7 * 100 * (0.065-0.0115) * ('02_Inputs'!$B$11 * '01_Control'!$B$9 + (1-'02_Inputs'!$B$11) * '01_Control'!$B$8)) + (B8 * 100 * (0.055-0.0115) * ('02_Inputs'!$B$11 * '01_Control'!$B$9 + (1-'02_Inputs'!$B$11) * '01_Control'!$B$8)) + (B9 * 100 * (0.045-0.0115) * ('02_Inputs'!$B$11 * '01_Control'!$B$9 + (1-'02_Inputs'!$B$11) * '01_Control'!$B$8))</f>
        <v>0</v>
      </c>
      <c r="C14" s="6">
        <f>-(C5 * 100 * (0.042-0.0115) * ('02_Inputs'!$B$11 * '01_Control'!$B$9 + (1-'02_Inputs'!$B$11) * '01_Control'!$B$8)) + (C6 * 100 * (0.05-0.0115) * ('02_Inputs'!$B$11 * '01_Control'!$B$9 + (1-'02_Inputs'!$B$11) * '01_Control'!$B$8)) + (C7 * 100 * (0.065-0.0115) * ('02_Inputs'!$B$11 * '01_Control'!$B$9 + (1-'02_Inputs'!$B$11) * '01_Control'!$B$8)) + (C8 * 100 * (0.055-0.0115) * ('02_Inputs'!$B$11 * '01_Control'!$B$9 + (1-'02_Inputs'!$B$11) * '01_Control'!$B$8)) + (C9 * 100 * (0.045-0.0115) * ('02_Inputs'!$B$11 * '01_Control'!$B$9 + (1-'02_Inputs'!$B$11) * '01_Control'!$B$8))</f>
        <v>0</v>
      </c>
      <c r="D14" s="6">
        <f>-(D5 * 100 * (0.042-0.0115) * ('02_Inputs'!$B$11 * '01_Control'!$B$9 + (1-'02_Inputs'!$B$11) * '01_Control'!$B$8)) + (D6 * 100 * (0.05-0.0115) * ('02_Inputs'!$B$11 * '01_Control'!$B$9 + (1-'02_Inputs'!$B$11) * '01_Control'!$B$8)) + (D7 * 100 * (0.065-0.0115) * ('02_Inputs'!$B$11 * '01_Control'!$B$9 + (1-'02_Inputs'!$B$11) * '01_Control'!$B$8)) + (D8 * 100 * (0.055-0.0115) * ('02_Inputs'!$B$11 * '01_Control'!$B$9 + (1-'02_Inputs'!$B$11) * '01_Control'!$B$8)) + (D9 * 100 * (0.045-0.0115) * ('02_Inputs'!$B$11 * '01_Control'!$B$9 + (1-'02_Inputs'!$B$11) * '01_Control'!$B$8))</f>
        <v>0</v>
      </c>
      <c r="E14" s="6">
        <f>-(E5 * 100 * (0.042-0.0115) * ('02_Inputs'!$B$11 * '01_Control'!$B$9 + (1-'02_Inputs'!$B$11) * '01_Control'!$B$8)) + (E6 * 100 * (0.05-0.0115) * ('02_Inputs'!$B$11 * '01_Control'!$B$9 + (1-'02_Inputs'!$B$11) * '01_Control'!$B$8)) + (E7 * 100 * (0.065-0.0115) * ('02_Inputs'!$B$11 * '01_Control'!$B$9 + (1-'02_Inputs'!$B$11) * '01_Control'!$B$8)) + (E8 * 100 * (0.055-0.0115) * ('02_Inputs'!$B$11 * '01_Control'!$B$9 + (1-'02_Inputs'!$B$11) * '01_Control'!$B$8)) + (E9 * 100 * (0.045-0.0115) * ('02_Inputs'!$B$11 * '01_Control'!$B$9 + (1-'02_Inputs'!$B$11) * '01_Control'!$B$8))</f>
        <v>0</v>
      </c>
      <c r="F14" s="6">
        <f>-(F5 * 100 * (0.042-0.0115) * ('02_Inputs'!$B$11 * '01_Control'!$B$9 + (1-'02_Inputs'!$B$11) * '01_Control'!$B$8)) + (F6 * 100 * (0.05-0.0115) * ('02_Inputs'!$B$11 * '01_Control'!$B$9 + (1-'02_Inputs'!$B$11) * '01_Control'!$B$8)) + (F7 * 100 * (0.065-0.0115) * ('02_Inputs'!$B$11 * '01_Control'!$B$9 + (1-'02_Inputs'!$B$11) * '01_Control'!$B$8)) + (F8 * 100 * (0.055-0.0115) * ('02_Inputs'!$B$11 * '01_Control'!$B$9 + (1-'02_Inputs'!$B$11) * '01_Control'!$B$8)) + (F9 * 100 * (0.045-0.0115) * ('02_Inputs'!$B$11 * '01_Control'!$B$9 + (1-'02_Inputs'!$B$11) * '01_Control'!$B$8))</f>
        <v>0</v>
      </c>
      <c r="G14" s="6">
        <f>-(G5 * 100 * (0.042-0.0115) * ('02_Inputs'!$B$11 * '01_Control'!$B$9 + (1-'02_Inputs'!$B$11) * '01_Control'!$B$8)) + (G6 * 100 * (0.05-0.0115) * ('02_Inputs'!$B$11 * '01_Control'!$B$9 + (1-'02_Inputs'!$B$11) * '01_Control'!$B$8)) + (G7 * 100 * (0.065-0.0115) * ('02_Inputs'!$B$11 * '01_Control'!$B$9 + (1-'02_Inputs'!$B$11) * '01_Control'!$B$8)) + (G8 * 100 * (0.055-0.0115) * ('02_Inputs'!$B$11 * '01_Control'!$B$9 + (1-'02_Inputs'!$B$11) * '01_Control'!$B$8)) + (G9 * 100 * (0.045-0.0115) * ('02_Inputs'!$B$11 * '01_Control'!$B$9 + (1-'02_Inputs'!$B$11) * '01_Control'!$B$8))</f>
        <v>0</v>
      </c>
      <c r="H14" s="6">
        <f>-(H5 * 100 * (0.042-0.0115) * ('02_Inputs'!$B$11 * '01_Control'!$B$9 + (1-'02_Inputs'!$B$11) * '01_Control'!$B$8)) + (H6 * 100 * (0.05-0.0115) * ('02_Inputs'!$B$11 * '01_Control'!$B$9 + (1-'02_Inputs'!$B$11) * '01_Control'!$B$8)) + (H7 * 100 * (0.065-0.0115) * ('02_Inputs'!$B$11 * '01_Control'!$B$9 + (1-'02_Inputs'!$B$11) * '01_Control'!$B$8)) + (H8 * 100 * (0.055-0.0115) * ('02_Inputs'!$B$11 * '01_Control'!$B$9 + (1-'02_Inputs'!$B$11) * '01_Control'!$B$8)) + (H9 * 100 * (0.045-0.0115) * ('02_Inputs'!$B$11 * '01_Control'!$B$9 + (1-'02_Inputs'!$B$11) * '01_Control'!$B$8))</f>
        <v>0</v>
      </c>
      <c r="I14" s="6">
        <f>-(I5 * 100 * (0.042-0.0115) * ('02_Inputs'!$B$11 * '01_Control'!$B$9 + (1-'02_Inputs'!$B$11) * '01_Control'!$B$8)) + (I6 * 100 * (0.05-0.0115) * ('02_Inputs'!$B$11 * '01_Control'!$B$9 + (1-'02_Inputs'!$B$11) * '01_Control'!$B$8)) + (I7 * 100 * (0.065-0.0115) * ('02_Inputs'!$B$11 * '01_Control'!$B$9 + (1-'02_Inputs'!$B$11) * '01_Control'!$B$8)) + (I8 * 100 * (0.055-0.0115) * ('02_Inputs'!$B$11 * '01_Control'!$B$9 + (1-'02_Inputs'!$B$11) * '01_Control'!$B$8)) + (I9 * 100 * (0.045-0.0115) * ('02_Inputs'!$B$11 * '01_Control'!$B$9 + (1-'02_Inputs'!$B$11) * '01_Control'!$B$8))</f>
        <v>0</v>
      </c>
      <c r="J14" s="6">
        <f>-(J5 * 100 * (0.042-0.0115) * ('02_Inputs'!$B$11 * '01_Control'!$B$9 + (1-'02_Inputs'!$B$11) * '01_Control'!$B$8)) + (J6 * 100 * (0.05-0.0115) * ('02_Inputs'!$B$11 * '01_Control'!$B$9 + (1-'02_Inputs'!$B$11) * '01_Control'!$B$8)) + (J7 * 100 * (0.065-0.0115) * ('02_Inputs'!$B$11 * '01_Control'!$B$9 + (1-'02_Inputs'!$B$11) * '01_Control'!$B$8)) + (J8 * 100 * (0.055-0.0115) * ('02_Inputs'!$B$11 * '01_Control'!$B$9 + (1-'02_Inputs'!$B$11) * '01_Control'!$B$8)) + (J9 * 100 * (0.045-0.0115) * ('02_Inputs'!$B$11 * '01_Control'!$B$9 + (1-'02_Inputs'!$B$11) * '01_Control'!$B$8))</f>
        <v>0</v>
      </c>
      <c r="K14" s="6">
        <f>-(K5 * 100 * (0.042-0.0115) * ('02_Inputs'!$B$11 * '01_Control'!$B$9 + (1-'02_Inputs'!$B$11) * '01_Control'!$B$8)) + (K6 * 100 * (0.05-0.0115) * ('02_Inputs'!$B$11 * '01_Control'!$B$9 + (1-'02_Inputs'!$B$11) * '01_Control'!$B$8)) + (K7 * 100 * (0.065-0.0115) * ('02_Inputs'!$B$11 * '01_Control'!$B$9 + (1-'02_Inputs'!$B$11) * '01_Control'!$B$8)) + (K8 * 100 * (0.055-0.0115) * ('02_Inputs'!$B$11 * '01_Control'!$B$9 + (1-'02_Inputs'!$B$11) * '01_Control'!$B$8)) + (K9 * 100 * (0.045-0.0115) * ('02_Inputs'!$B$11 * '01_Control'!$B$9 + (1-'02_Inputs'!$B$11) * '01_Control'!$B$8))</f>
        <v>0</v>
      </c>
      <c r="L14" s="6">
        <f>-(L5 * 100 * (0.042-0.0115) * ('02_Inputs'!$B$11 * '01_Control'!$B$9 + (1-'02_Inputs'!$B$11) * '01_Control'!$B$8)) + (L6 * 100 * (0.05-0.0115) * ('02_Inputs'!$B$11 * '01_Control'!$B$9 + (1-'02_Inputs'!$B$11) * '01_Control'!$B$8)) + (L7 * 100 * (0.065-0.0115) * ('02_Inputs'!$B$11 * '01_Control'!$B$9 + (1-'02_Inputs'!$B$11) * '01_Control'!$B$8)) + (L8 * 100 * (0.055-0.0115) * ('02_Inputs'!$B$11 * '01_Control'!$B$9 + (1-'02_Inputs'!$B$11) * '01_Control'!$B$8)) + (L9 * 100 * (0.045-0.0115) * ('02_Inputs'!$B$11 * '01_Control'!$B$9 + (1-'02_Inputs'!$B$11) * '01_Control'!$B$8))</f>
        <v>0</v>
      </c>
      <c r="M14" s="6">
        <f>-(M5 * 100 * (0.042-0.0115) * ('02_Inputs'!$B$11 * '01_Control'!$B$9 + (1-'02_Inputs'!$B$11) * '01_Control'!$B$8)) + (M6 * 100 * (0.05-0.0115) * ('02_Inputs'!$B$11 * '01_Control'!$B$9 + (1-'02_Inputs'!$B$11) * '01_Control'!$B$8)) + (M7 * 100 * (0.065-0.0115) * ('02_Inputs'!$B$11 * '01_Control'!$B$9 + (1-'02_Inputs'!$B$11) * '01_Control'!$B$8)) + (M8 * 100 * (0.055-0.0115) * ('02_Inputs'!$B$11 * '01_Control'!$B$9 + (1-'02_Inputs'!$B$11) * '01_Control'!$B$8)) + (M9 * 100 * (0.045-0.0115) * ('02_Inputs'!$B$11 * '01_Control'!$B$9 + (1-'02_Inputs'!$B$11) * '01_Control'!$B$8))</f>
        <v>0</v>
      </c>
      <c r="N14" s="6">
        <f>-(N5 * 100 * (0.042-0.0115) * ('02_Inputs'!$B$11 * '01_Control'!$B$9 + (1-'02_Inputs'!$B$11) * '01_Control'!$B$8)) + (N6 * 100 * (0.05-0.0115) * ('02_Inputs'!$B$11 * '01_Control'!$B$9 + (1-'02_Inputs'!$B$11) * '01_Control'!$B$8)) + (N7 * 100 * (0.065-0.0115) * ('02_Inputs'!$B$11 * '01_Control'!$B$9 + (1-'02_Inputs'!$B$11) * '01_Control'!$B$8)) + (N8 * 100 * (0.055-0.0115) * ('02_Inputs'!$B$11 * '01_Control'!$B$9 + (1-'02_Inputs'!$B$11) * '01_Control'!$B$8)) + (N9 * 100 * (0.045-0.0115) * ('02_Inputs'!$B$11 * '01_Control'!$B$9 + (1-'02_Inputs'!$B$11) * '01_Control'!$B$8))</f>
        <v>0</v>
      </c>
      <c r="O14" s="6">
        <f>-(O5 * 100 * (0.042-0.0115) * ('02_Inputs'!$B$11 * '01_Control'!$B$9 + (1-'02_Inputs'!$B$11) * '01_Control'!$B$8)) + (O6 * 100 * (0.05-0.0115) * ('02_Inputs'!$B$11 * '01_Control'!$B$9 + (1-'02_Inputs'!$B$11) * '01_Control'!$B$8)) + (O7 * 100 * (0.065-0.0115) * ('02_Inputs'!$B$11 * '01_Control'!$B$9 + (1-'02_Inputs'!$B$11) * '01_Control'!$B$8)) + (O8 * 100 * (0.055-0.0115) * ('02_Inputs'!$B$11 * '01_Control'!$B$9 + (1-'02_Inputs'!$B$11) * '01_Control'!$B$8)) + (O9 * 100 * (0.045-0.0115) * ('02_Inputs'!$B$11 * '01_Control'!$B$9 + (1-'02_Inputs'!$B$11) * '01_Control'!$B$8))</f>
        <v>0</v>
      </c>
      <c r="P14" s="6">
        <f>-(P5 * 100 * (0.042-0.0115) * ('02_Inputs'!$B$11 * '01_Control'!$B$9 + (1-'02_Inputs'!$B$11) * '01_Control'!$B$8)) + (P6 * 100 * (0.05-0.0115) * ('02_Inputs'!$B$11 * '01_Control'!$B$9 + (1-'02_Inputs'!$B$11) * '01_Control'!$B$8)) + (P7 * 100 * (0.065-0.0115) * ('02_Inputs'!$B$11 * '01_Control'!$B$9 + (1-'02_Inputs'!$B$11) * '01_Control'!$B$8)) + (P8 * 100 * (0.055-0.0115) * ('02_Inputs'!$B$11 * '01_Control'!$B$9 + (1-'02_Inputs'!$B$11) * '01_Control'!$B$8)) + (P9 * 100 * (0.045-0.0115) * ('02_Inputs'!$B$11 * '01_Control'!$B$9 + (1-'02_Inputs'!$B$11) * '01_Control'!$B$8))</f>
        <v>0</v>
      </c>
      <c r="Q14" s="6">
        <f>-(Q5 * 100 * (0.042-0.0115) * ('02_Inputs'!$B$11 * '01_Control'!$B$9 + (1-'02_Inputs'!$B$11) * '01_Control'!$B$8)) + (Q6 * 100 * (0.05-0.0115) * ('02_Inputs'!$B$11 * '01_Control'!$B$9 + (1-'02_Inputs'!$B$11) * '01_Control'!$B$8)) + (Q7 * 100 * (0.065-0.0115) * ('02_Inputs'!$B$11 * '01_Control'!$B$9 + (1-'02_Inputs'!$B$11) * '01_Control'!$B$8)) + (Q8 * 100 * (0.055-0.0115) * ('02_Inputs'!$B$11 * '01_Control'!$B$9 + (1-'02_Inputs'!$B$11) * '01_Control'!$B$8)) + (Q9 * 100 * (0.045-0.0115) * ('02_Inputs'!$B$11 * '01_Control'!$B$9 + (1-'02_Inputs'!$B$11) * '01_Control'!$B$8))</f>
        <v>0</v>
      </c>
      <c r="R14" s="6">
        <f>-(R5 * 100 * (0.042-0.0115) * ('02_Inputs'!$B$11 * '01_Control'!$B$9 + (1-'02_Inputs'!$B$11) * '01_Control'!$B$8)) + (R6 * 100 * (0.05-0.0115) * ('02_Inputs'!$B$11 * '01_Control'!$B$9 + (1-'02_Inputs'!$B$11) * '01_Control'!$B$8)) + (R7 * 100 * (0.065-0.0115) * ('02_Inputs'!$B$11 * '01_Control'!$B$9 + (1-'02_Inputs'!$B$11) * '01_Control'!$B$8)) + (R8 * 100 * (0.055-0.0115) * ('02_Inputs'!$B$11 * '01_Control'!$B$9 + (1-'02_Inputs'!$B$11) * '01_Control'!$B$8)) + (R9 * 100 * (0.045-0.0115) * ('02_Inputs'!$B$11 * '01_Control'!$B$9 + (1-'02_Inputs'!$B$11) * '01_Control'!$B$8))</f>
        <v>0</v>
      </c>
      <c r="S14" s="6">
        <f>-(S5 * 100 * (0.042-0.0115) * ('02_Inputs'!$B$11 * '01_Control'!$B$9 + (1-'02_Inputs'!$B$11) * '01_Control'!$B$8)) + (S6 * 100 * (0.05-0.0115) * ('02_Inputs'!$B$11 * '01_Control'!$B$9 + (1-'02_Inputs'!$B$11) * '01_Control'!$B$8)) + (S7 * 100 * (0.065-0.0115) * ('02_Inputs'!$B$11 * '01_Control'!$B$9 + (1-'02_Inputs'!$B$11) * '01_Control'!$B$8)) + (S8 * 100 * (0.055-0.0115) * ('02_Inputs'!$B$11 * '01_Control'!$B$9 + (1-'02_Inputs'!$B$11) * '01_Control'!$B$8)) + (S9 * 100 * (0.045-0.0115) * ('02_Inputs'!$B$11 * '01_Control'!$B$9 + (1-'02_Inputs'!$B$11) * '01_Control'!$B$8))</f>
        <v>0</v>
      </c>
      <c r="T14" s="6">
        <f>-(T5 * 100 * (0.042-0.0115) * ('02_Inputs'!$B$11 * '01_Control'!$B$9 + (1-'02_Inputs'!$B$11) * '01_Control'!$B$8)) + (T6 * 100 * (0.05-0.0115) * ('02_Inputs'!$B$11 * '01_Control'!$B$9 + (1-'02_Inputs'!$B$11) * '01_Control'!$B$8)) + (T7 * 100 * (0.065-0.0115) * ('02_Inputs'!$B$11 * '01_Control'!$B$9 + (1-'02_Inputs'!$B$11) * '01_Control'!$B$8)) + (T8 * 100 * (0.055-0.0115) * ('02_Inputs'!$B$11 * '01_Control'!$B$9 + (1-'02_Inputs'!$B$11) * '01_Control'!$B$8)) + (T9 * 100 * (0.045-0.0115) * ('02_Inputs'!$B$11 * '01_Control'!$B$9 + (1-'02_Inputs'!$B$11) * '01_Control'!$B$8))</f>
        <v>0</v>
      </c>
      <c r="U14" s="6">
        <f>-(U5 * 100 * (0.042-0.0115) * ('02_Inputs'!$B$11 * '01_Control'!$B$9 + (1-'02_Inputs'!$B$11) * '01_Control'!$B$8)) + (U6 * 100 * (0.05-0.0115) * ('02_Inputs'!$B$11 * '01_Control'!$B$9 + (1-'02_Inputs'!$B$11) * '01_Control'!$B$8)) + (U7 * 100 * (0.065-0.0115) * ('02_Inputs'!$B$11 * '01_Control'!$B$9 + (1-'02_Inputs'!$B$11) * '01_Control'!$B$8)) + (U8 * 100 * (0.055-0.0115) * ('02_Inputs'!$B$11 * '01_Control'!$B$9 + (1-'02_Inputs'!$B$11) * '01_Control'!$B$8)) + (U9 * 100 * (0.045-0.0115) * ('02_Inputs'!$B$11 * '01_Control'!$B$9 + (1-'02_Inputs'!$B$11) * '01_Control'!$B$8))</f>
        <v>0</v>
      </c>
      <c r="V14" s="6">
        <f>-(V5 * 100 * (0.042-0.0115) * ('02_Inputs'!$B$11 * '01_Control'!$B$9 + (1-'02_Inputs'!$B$11) * '01_Control'!$B$8)) + (V6 * 100 * (0.05-0.0115) * ('02_Inputs'!$B$11 * '01_Control'!$B$9 + (1-'02_Inputs'!$B$11) * '01_Control'!$B$8)) + (V7 * 100 * (0.065-0.0115) * ('02_Inputs'!$B$11 * '01_Control'!$B$9 + (1-'02_Inputs'!$B$11) * '01_Control'!$B$8)) + (V8 * 100 * (0.055-0.0115) * ('02_Inputs'!$B$11 * '01_Control'!$B$9 + (1-'02_Inputs'!$B$11) * '01_Control'!$B$8)) + (V9 * 100 * (0.045-0.0115) * ('02_Inputs'!$B$11 * '01_Control'!$B$9 + (1-'02_Inputs'!$B$11) * '01_Control'!$B$8))</f>
        <v>0</v>
      </c>
      <c r="W14" s="6">
        <f>-(W5 * 100 * (0.042-0.0115) * ('02_Inputs'!$B$11 * '01_Control'!$B$9 + (1-'02_Inputs'!$B$11) * '01_Control'!$B$8)) + (W6 * 100 * (0.05-0.0115) * ('02_Inputs'!$B$11 * '01_Control'!$B$9 + (1-'02_Inputs'!$B$11) * '01_Control'!$B$8)) + (W7 * 100 * (0.065-0.0115) * ('02_Inputs'!$B$11 * '01_Control'!$B$9 + (1-'02_Inputs'!$B$11) * '01_Control'!$B$8)) + (W8 * 100 * (0.055-0.0115) * ('02_Inputs'!$B$11 * '01_Control'!$B$9 + (1-'02_Inputs'!$B$11) * '01_Control'!$B$8)) + (W9 * 100 * (0.045-0.0115) * ('02_Inputs'!$B$11 * '01_Control'!$B$9 + (1-'02_Inputs'!$B$11) * '01_Control'!$B$8))</f>
        <v>0</v>
      </c>
      <c r="X14" s="6">
        <f>-(X5 * 100 * (0.042-0.0115) * ('02_Inputs'!$B$11 * '01_Control'!$B$9 + (1-'02_Inputs'!$B$11) * '01_Control'!$B$8)) + (X6 * 100 * (0.05-0.0115) * ('02_Inputs'!$B$11 * '01_Control'!$B$9 + (1-'02_Inputs'!$B$11) * '01_Control'!$B$8)) + (X7 * 100 * (0.065-0.0115) * ('02_Inputs'!$B$11 * '01_Control'!$B$9 + (1-'02_Inputs'!$B$11) * '01_Control'!$B$8)) + (X8 * 100 * (0.055-0.0115) * ('02_Inputs'!$B$11 * '01_Control'!$B$9 + (1-'02_Inputs'!$B$11) * '01_Control'!$B$8)) + (X9 * 100 * (0.045-0.0115) * ('02_Inputs'!$B$11 * '01_Control'!$B$9 + (1-'02_Inputs'!$B$11) * '01_Control'!$B$8))</f>
        <v>0</v>
      </c>
      <c r="Y14" s="6">
        <f>-(Y5 * 100 * (0.042-0.0115) * ('02_Inputs'!$B$11 * '01_Control'!$B$9 + (1-'02_Inputs'!$B$11) * '01_Control'!$B$8)) + (Y6 * 100 * (0.05-0.0115) * ('02_Inputs'!$B$11 * '01_Control'!$B$9 + (1-'02_Inputs'!$B$11) * '01_Control'!$B$8)) + (Y7 * 100 * (0.065-0.0115) * ('02_Inputs'!$B$11 * '01_Control'!$B$9 + (1-'02_Inputs'!$B$11) * '01_Control'!$B$8)) + (Y8 * 100 * (0.055-0.0115) * ('02_Inputs'!$B$11 * '01_Control'!$B$9 + (1-'02_Inputs'!$B$11) * '01_Control'!$B$8)) + (Y9 * 100 * (0.045-0.0115) * ('02_Inputs'!$B$11 * '01_Control'!$B$9 + (1-'02_Inputs'!$B$11) * '01_Control'!$B$8))</f>
        <v>0</v>
      </c>
      <c r="Z14" s="6">
        <f>-(Z5 * 100 * (0.042-0.0115) * ('02_Inputs'!$B$11 * '01_Control'!$B$9 + (1-'02_Inputs'!$B$11) * '01_Control'!$B$8)) + (Z6 * 100 * (0.05-0.0115) * ('02_Inputs'!$B$11 * '01_Control'!$B$9 + (1-'02_Inputs'!$B$11) * '01_Control'!$B$8)) + (Z7 * 100 * (0.065-0.0115) * ('02_Inputs'!$B$11 * '01_Control'!$B$9 + (1-'02_Inputs'!$B$11) * '01_Control'!$B$8)) + (Z8 * 100 * (0.055-0.0115) * ('02_Inputs'!$B$11 * '01_Control'!$B$9 + (1-'02_Inputs'!$B$11) * '01_Control'!$B$8)) + (Z9 * 100 * (0.045-0.0115) * ('02_Inputs'!$B$11 * '01_Control'!$B$9 + (1-'02_Inputs'!$B$11) * '01_Control'!$B$8))</f>
        <v>0</v>
      </c>
      <c r="AA14" s="6">
        <f>-(AA5 * 100 * (0.042-0.0115) * ('02_Inputs'!$B$11 * '01_Control'!$B$9 + (1-'02_Inputs'!$B$11) * '01_Control'!$B$8)) + (AA6 * 100 * (0.05-0.0115) * ('02_Inputs'!$B$11 * '01_Control'!$B$9 + (1-'02_Inputs'!$B$11) * '01_Control'!$B$8)) + (AA7 * 100 * (0.065-0.0115) * ('02_Inputs'!$B$11 * '01_Control'!$B$9 + (1-'02_Inputs'!$B$11) * '01_Control'!$B$8)) + (AA8 * 100 * (0.055-0.0115) * ('02_Inputs'!$B$11 * '01_Control'!$B$9 + (1-'02_Inputs'!$B$11) * '01_Control'!$B$8)) + (AA9 * 100 * (0.045-0.0115) * ('02_Inputs'!$B$11 * '01_Control'!$B$9 + (1-'02_Inputs'!$B$11) * '01_Control'!$B$8))</f>
        <v>0</v>
      </c>
      <c r="AB14" s="6">
        <f>-(AB5 * 100 * (0.042-0.0115) * ('02_Inputs'!$B$11 * '01_Control'!$B$9 + (1-'02_Inputs'!$B$11) * '01_Control'!$B$8)) + (AB6 * 100 * (0.05-0.0115) * ('02_Inputs'!$B$11 * '01_Control'!$B$9 + (1-'02_Inputs'!$B$11) * '01_Control'!$B$8)) + (AB7 * 100 * (0.065-0.0115) * ('02_Inputs'!$B$11 * '01_Control'!$B$9 + (1-'02_Inputs'!$B$11) * '01_Control'!$B$8)) + (AB8 * 100 * (0.055-0.0115) * ('02_Inputs'!$B$11 * '01_Control'!$B$9 + (1-'02_Inputs'!$B$11) * '01_Control'!$B$8)) + (AB9 * 100 * (0.045-0.0115) * ('02_Inputs'!$B$11 * '01_Control'!$B$9 + (1-'02_Inputs'!$B$11) * '01_Control'!$B$8))</f>
        <v>0</v>
      </c>
      <c r="AC14" s="6">
        <f>-(AC5 * 100 * (0.042-0.0115) * ('02_Inputs'!$B$11 * '01_Control'!$B$9 + (1-'02_Inputs'!$B$11) * '01_Control'!$B$8)) + (AC6 * 100 * (0.05-0.0115) * ('02_Inputs'!$B$11 * '01_Control'!$B$9 + (1-'02_Inputs'!$B$11) * '01_Control'!$B$8)) + (AC7 * 100 * (0.065-0.0115) * ('02_Inputs'!$B$11 * '01_Control'!$B$9 + (1-'02_Inputs'!$B$11) * '01_Control'!$B$8)) + (AC8 * 100 * (0.055-0.0115) * ('02_Inputs'!$B$11 * '01_Control'!$B$9 + (1-'02_Inputs'!$B$11) * '01_Control'!$B$8)) + (AC9 * 100 * (0.045-0.0115) * ('02_Inputs'!$B$11 * '01_Control'!$B$9 + (1-'02_Inputs'!$B$11) * '01_Control'!$B$8))</f>
        <v>0</v>
      </c>
      <c r="AD14" s="6">
        <f>-(AD5 * 100 * (0.042-0.0115) * ('02_Inputs'!$B$11 * '01_Control'!$B$9 + (1-'02_Inputs'!$B$11) * '01_Control'!$B$8)) + (AD6 * 100 * (0.05-0.0115) * ('02_Inputs'!$B$11 * '01_Control'!$B$9 + (1-'02_Inputs'!$B$11) * '01_Control'!$B$8)) + (AD7 * 100 * (0.065-0.0115) * ('02_Inputs'!$B$11 * '01_Control'!$B$9 + (1-'02_Inputs'!$B$11) * '01_Control'!$B$8)) + (AD8 * 100 * (0.055-0.0115) * ('02_Inputs'!$B$11 * '01_Control'!$B$9 + (1-'02_Inputs'!$B$11) * '01_Control'!$B$8)) + (AD9 * 100 * (0.045-0.0115) * ('02_Inputs'!$B$11 * '01_Control'!$B$9 + (1-'02_Inputs'!$B$11) * '01_Control'!$B$8))</f>
        <v>0</v>
      </c>
      <c r="AE14" s="6">
        <f>-(AE5 * 100 * (0.042-0.0115) * ('02_Inputs'!$B$11 * '01_Control'!$B$9 + (1-'02_Inputs'!$B$11) * '01_Control'!$B$8)) + (AE6 * 100 * (0.05-0.0115) * ('02_Inputs'!$B$11 * '01_Control'!$B$9 + (1-'02_Inputs'!$B$11) * '01_Control'!$B$8)) + (AE7 * 100 * (0.065-0.0115) * ('02_Inputs'!$B$11 * '01_Control'!$B$9 + (1-'02_Inputs'!$B$11) * '01_Control'!$B$8)) + (AE8 * 100 * (0.055-0.0115) * ('02_Inputs'!$B$11 * '01_Control'!$B$9 + (1-'02_Inputs'!$B$11) * '01_Control'!$B$8)) + (AE9 * 100 * (0.045-0.0115) * ('02_Inputs'!$B$11 * '01_Control'!$B$9 + (1-'02_Inputs'!$B$11) * '01_Control'!$B$8))</f>
        <v>0</v>
      </c>
      <c r="AF14" s="6">
        <f>-(AF5 * 100 * (0.042-0.0115) * ('02_Inputs'!$B$11 * '01_Control'!$B$9 + (1-'02_Inputs'!$B$11) * '01_Control'!$B$8)) + (AF6 * 100 * (0.05-0.0115) * ('02_Inputs'!$B$11 * '01_Control'!$B$9 + (1-'02_Inputs'!$B$11) * '01_Control'!$B$8)) + (AF7 * 100 * (0.065-0.0115) * ('02_Inputs'!$B$11 * '01_Control'!$B$9 + (1-'02_Inputs'!$B$11) * '01_Control'!$B$8)) + (AF8 * 100 * (0.055-0.0115) * ('02_Inputs'!$B$11 * '01_Control'!$B$9 + (1-'02_Inputs'!$B$11) * '01_Control'!$B$8)) + (AF9 * 100 * (0.045-0.0115) * ('02_Inputs'!$B$11 * '01_Control'!$B$9 + (1-'02_Inputs'!$B$11) * '01_Control'!$B$8))</f>
        <v>0</v>
      </c>
      <c r="AG14" s="6">
        <f>-(AG5 * 100 * (0.042-0.0115) * ('02_Inputs'!$B$11 * '01_Control'!$B$9 + (1-'02_Inputs'!$B$11) * '01_Control'!$B$8)) + (AG6 * 100 * (0.05-0.0115) * ('02_Inputs'!$B$11 * '01_Control'!$B$9 + (1-'02_Inputs'!$B$11) * '01_Control'!$B$8)) + (AG7 * 100 * (0.065-0.0115) * ('02_Inputs'!$B$11 * '01_Control'!$B$9 + (1-'02_Inputs'!$B$11) * '01_Control'!$B$8)) + (AG8 * 100 * (0.055-0.0115) * ('02_Inputs'!$B$11 * '01_Control'!$B$9 + (1-'02_Inputs'!$B$11) * '01_Control'!$B$8)) + (AG9 * 100 * (0.045-0.0115) * ('02_Inputs'!$B$11 * '01_Control'!$B$9 + (1-'02_Inputs'!$B$11) * '01_Control'!$B$8))</f>
        <v>0</v>
      </c>
      <c r="AH14" s="6">
        <f>-(AH5 * 100 * (0.042-0.0115) * ('02_Inputs'!$B$11 * '01_Control'!$B$9 + (1-'02_Inputs'!$B$11) * '01_Control'!$B$8)) + (AH6 * 100 * (0.05-0.0115) * ('02_Inputs'!$B$11 * '01_Control'!$B$9 + (1-'02_Inputs'!$B$11) * '01_Control'!$B$8)) + (AH7 * 100 * (0.065-0.0115) * ('02_Inputs'!$B$11 * '01_Control'!$B$9 + (1-'02_Inputs'!$B$11) * '01_Control'!$B$8)) + (AH8 * 100 * (0.055-0.0115) * ('02_Inputs'!$B$11 * '01_Control'!$B$9 + (1-'02_Inputs'!$B$11) * '01_Control'!$B$8)) + (AH9 * 100 * (0.045-0.0115) * ('02_Inputs'!$B$11 * '01_Control'!$B$9 + (1-'02_Inputs'!$B$11) * '01_Control'!$B$8))</f>
        <v>0</v>
      </c>
      <c r="AI14" s="6">
        <f>-(AI5 * 100 * (0.042-0.0115) * ('02_Inputs'!$B$11 * '01_Control'!$B$9 + (1-'02_Inputs'!$B$11) * '01_Control'!$B$8)) + (AI6 * 100 * (0.05-0.0115) * ('02_Inputs'!$B$11 * '01_Control'!$B$9 + (1-'02_Inputs'!$B$11) * '01_Control'!$B$8)) + (AI7 * 100 * (0.065-0.0115) * ('02_Inputs'!$B$11 * '01_Control'!$B$9 + (1-'02_Inputs'!$B$11) * '01_Control'!$B$8)) + (AI8 * 100 * (0.055-0.0115) * ('02_Inputs'!$B$11 * '01_Control'!$B$9 + (1-'02_Inputs'!$B$11) * '01_Control'!$B$8)) + (AI9 * 100 * (0.045-0.0115) * ('02_Inputs'!$B$11 * '01_Control'!$B$9 + (1-'02_Inputs'!$B$11) * '01_Control'!$B$8))</f>
        <v>0</v>
      </c>
      <c r="AJ14" s="6">
        <f>-(AJ5 * 100 * (0.042-0.0115) * ('02_Inputs'!$B$11 * '01_Control'!$B$9 + (1-'02_Inputs'!$B$11) * '01_Control'!$B$8)) + (AJ6 * 100 * (0.05-0.0115) * ('02_Inputs'!$B$11 * '01_Control'!$B$9 + (1-'02_Inputs'!$B$11) * '01_Control'!$B$8)) + (AJ7 * 100 * (0.065-0.0115) * ('02_Inputs'!$B$11 * '01_Control'!$B$9 + (1-'02_Inputs'!$B$11) * '01_Control'!$B$8)) + (AJ8 * 100 * (0.055-0.0115) * ('02_Inputs'!$B$11 * '01_Control'!$B$9 + (1-'02_Inputs'!$B$11) * '01_Control'!$B$8)) + (AJ9 * 100 * (0.045-0.0115) * ('02_Inputs'!$B$11 * '01_Control'!$B$9 + (1-'02_Inputs'!$B$11) * '01_Control'!$B$8))</f>
        <v>0</v>
      </c>
      <c r="AK14" s="6">
        <f>-(AK5 * 100 * (0.042-0.0115) * ('02_Inputs'!$B$11 * '01_Control'!$B$9 + (1-'02_Inputs'!$B$11) * '01_Control'!$B$8)) + (AK6 * 100 * (0.05-0.0115) * ('02_Inputs'!$B$11 * '01_Control'!$B$9 + (1-'02_Inputs'!$B$11) * '01_Control'!$B$8)) + (AK7 * 100 * (0.065-0.0115) * ('02_Inputs'!$B$11 * '01_Control'!$B$9 + (1-'02_Inputs'!$B$11) * '01_Control'!$B$8)) + (AK8 * 100 * (0.055-0.0115) * ('02_Inputs'!$B$11 * '01_Control'!$B$9 + (1-'02_Inputs'!$B$11) * '01_Control'!$B$8)) + (AK9 * 100 * (0.045-0.0115) * ('02_Inputs'!$B$11 * '01_Control'!$B$9 + (1-'02_Inputs'!$B$11) * '01_Control'!$B$8))</f>
        <v>0</v>
      </c>
      <c r="AL14" s="6">
        <f>-(AL5 * 100 * (0.042-0.0115) * ('02_Inputs'!$B$11 * '01_Control'!$B$9 + (1-'02_Inputs'!$B$11) * '01_Control'!$B$8)) + (AL6 * 100 * (0.05-0.0115) * ('02_Inputs'!$B$11 * '01_Control'!$B$9 + (1-'02_Inputs'!$B$11) * '01_Control'!$B$8)) + (AL7 * 100 * (0.065-0.0115) * ('02_Inputs'!$B$11 * '01_Control'!$B$9 + (1-'02_Inputs'!$B$11) * '01_Control'!$B$8)) + (AL8 * 100 * (0.055-0.0115) * ('02_Inputs'!$B$11 * '01_Control'!$B$9 + (1-'02_Inputs'!$B$11) * '01_Control'!$B$8)) + (AL9 * 100 * (0.045-0.0115) * ('02_Inputs'!$B$11 * '01_Control'!$B$9 + (1-'02_Inputs'!$B$11) * '01_Control'!$B$8))</f>
        <v>0</v>
      </c>
      <c r="AM14" s="6">
        <f>-(AM5 * 100 * (0.042-0.0115) * ('02_Inputs'!$B$11 * '01_Control'!$B$9 + (1-'02_Inputs'!$B$11) * '01_Control'!$B$8)) + (AM6 * 100 * (0.05-0.0115) * ('02_Inputs'!$B$11 * '01_Control'!$B$9 + (1-'02_Inputs'!$B$11) * '01_Control'!$B$8)) + (AM7 * 100 * (0.065-0.0115) * ('02_Inputs'!$B$11 * '01_Control'!$B$9 + (1-'02_Inputs'!$B$11) * '01_Control'!$B$8)) + (AM8 * 100 * (0.055-0.0115) * ('02_Inputs'!$B$11 * '01_Control'!$B$9 + (1-'02_Inputs'!$B$11) * '01_Control'!$B$8)) + (AM9 * 100 * (0.045-0.0115) * ('02_Inputs'!$B$11 * '01_Control'!$B$9 + (1-'02_Inputs'!$B$11) * '01_Control'!$B$8))</f>
        <v>0</v>
      </c>
      <c r="AN14" s="6">
        <f>-(AN5 * 100 * (0.042-0.0115) * ('02_Inputs'!$B$11 * '01_Control'!$B$9 + (1-'02_Inputs'!$B$11) * '01_Control'!$B$8)) + (AN6 * 100 * (0.05-0.0115) * ('02_Inputs'!$B$11 * '01_Control'!$B$9 + (1-'02_Inputs'!$B$11) * '01_Control'!$B$8)) + (AN7 * 100 * (0.065-0.0115) * ('02_Inputs'!$B$11 * '01_Control'!$B$9 + (1-'02_Inputs'!$B$11) * '01_Control'!$B$8)) + (AN8 * 100 * (0.055-0.0115) * ('02_Inputs'!$B$11 * '01_Control'!$B$9 + (1-'02_Inputs'!$B$11) * '01_Control'!$B$8)) + (AN9 * 100 * (0.045-0.0115) * ('02_Inputs'!$B$11 * '01_Control'!$B$9 + (1-'02_Inputs'!$B$11) * '01_Control'!$B$8))</f>
        <v>0</v>
      </c>
      <c r="AO14" s="6">
        <f>-(AO5 * 100 * (0.042-0.0115) * ('02_Inputs'!$B$11 * '01_Control'!$B$9 + (1-'02_Inputs'!$B$11) * '01_Control'!$B$8)) + (AO6 * 100 * (0.05-0.0115) * ('02_Inputs'!$B$11 * '01_Control'!$B$9 + (1-'02_Inputs'!$B$11) * '01_Control'!$B$8)) + (AO7 * 100 * (0.065-0.0115) * ('02_Inputs'!$B$11 * '01_Control'!$B$9 + (1-'02_Inputs'!$B$11) * '01_Control'!$B$8)) + (AO8 * 100 * (0.055-0.0115) * ('02_Inputs'!$B$11 * '01_Control'!$B$9 + (1-'02_Inputs'!$B$11) * '01_Control'!$B$8)) + (AO9 * 100 * (0.045-0.0115) * ('02_Inputs'!$B$11 * '01_Control'!$B$9 + (1-'02_Inputs'!$B$11) * '01_Control'!$B$8))</f>
        <v>0</v>
      </c>
      <c r="AP14" s="6">
        <f>-(AP5 * 100 * (0.042-0.0115) * ('02_Inputs'!$B$11 * '01_Control'!$B$9 + (1-'02_Inputs'!$B$11) * '01_Control'!$B$8)) + (AP6 * 100 * (0.05-0.0115) * ('02_Inputs'!$B$11 * '01_Control'!$B$9 + (1-'02_Inputs'!$B$11) * '01_Control'!$B$8)) + (AP7 * 100 * (0.065-0.0115) * ('02_Inputs'!$B$11 * '01_Control'!$B$9 + (1-'02_Inputs'!$B$11) * '01_Control'!$B$8)) + (AP8 * 100 * (0.055-0.0115) * ('02_Inputs'!$B$11 * '01_Control'!$B$9 + (1-'02_Inputs'!$B$11) * '01_Control'!$B$8)) + (AP9 * 100 * (0.045-0.0115) * ('02_Inputs'!$B$11 * '01_Control'!$B$9 + (1-'02_Inputs'!$B$11) * '01_Control'!$B$8))</f>
        <v>0</v>
      </c>
      <c r="AQ14" s="6">
        <f>-(AQ5 * 100 * (0.042-0.0115) * ('02_Inputs'!$B$11 * '01_Control'!$B$9 + (1-'02_Inputs'!$B$11) * '01_Control'!$B$8)) + (AQ6 * 100 * (0.05-0.0115) * ('02_Inputs'!$B$11 * '01_Control'!$B$9 + (1-'02_Inputs'!$B$11) * '01_Control'!$B$8)) + (AQ7 * 100 * (0.065-0.0115) * ('02_Inputs'!$B$11 * '01_Control'!$B$9 + (1-'02_Inputs'!$B$11) * '01_Control'!$B$8)) + (AQ8 * 100 * (0.055-0.0115) * ('02_Inputs'!$B$11 * '01_Control'!$B$9 + (1-'02_Inputs'!$B$11) * '01_Control'!$B$8)) + (AQ9 * 100 * (0.045-0.0115) * ('02_Inputs'!$B$11 * '01_Control'!$B$9 + (1-'02_Inputs'!$B$11) * '01_Control'!$B$8))</f>
        <v>0</v>
      </c>
      <c r="AR14" s="6">
        <f>-(AR5 * 100 * (0.042-0.0115) * ('02_Inputs'!$B$11 * '01_Control'!$B$9 + (1-'02_Inputs'!$B$11) * '01_Control'!$B$8)) + (AR6 * 100 * (0.05-0.0115) * ('02_Inputs'!$B$11 * '01_Control'!$B$9 + (1-'02_Inputs'!$B$11) * '01_Control'!$B$8)) + (AR7 * 100 * (0.065-0.0115) * ('02_Inputs'!$B$11 * '01_Control'!$B$9 + (1-'02_Inputs'!$B$11) * '01_Control'!$B$8)) + (AR8 * 100 * (0.055-0.0115) * ('02_Inputs'!$B$11 * '01_Control'!$B$9 + (1-'02_Inputs'!$B$11) * '01_Control'!$B$8)) + (AR9 * 100 * (0.045-0.0115) * ('02_Inputs'!$B$11 * '01_Control'!$B$9 + (1-'02_Inputs'!$B$11) * '01_Control'!$B$8))</f>
        <v>0</v>
      </c>
      <c r="AS14" s="6">
        <f>-(AS5 * 100 * (0.042-0.0115) * ('02_Inputs'!$B$11 * '01_Control'!$B$9 + (1-'02_Inputs'!$B$11) * '01_Control'!$B$8)) + (AS6 * 100 * (0.05-0.0115) * ('02_Inputs'!$B$11 * '01_Control'!$B$9 + (1-'02_Inputs'!$B$11) * '01_Control'!$B$8)) + (AS7 * 100 * (0.065-0.0115) * ('02_Inputs'!$B$11 * '01_Control'!$B$9 + (1-'02_Inputs'!$B$11) * '01_Control'!$B$8)) + (AS8 * 100 * (0.055-0.0115) * ('02_Inputs'!$B$11 * '01_Control'!$B$9 + (1-'02_Inputs'!$B$11) * '01_Control'!$B$8)) + (AS9 * 100 * (0.045-0.0115) * ('02_Inputs'!$B$11 * '01_Control'!$B$9 + (1-'02_Inputs'!$B$11) * '01_Control'!$B$8))</f>
        <v>0</v>
      </c>
      <c r="AT14" s="6">
        <f>-(AT5 * 100 * (0.042-0.0115) * ('02_Inputs'!$B$11 * '01_Control'!$B$9 + (1-'02_Inputs'!$B$11) * '01_Control'!$B$8)) + (AT6 * 100 * (0.05-0.0115) * ('02_Inputs'!$B$11 * '01_Control'!$B$9 + (1-'02_Inputs'!$B$11) * '01_Control'!$B$8)) + (AT7 * 100 * (0.065-0.0115) * ('02_Inputs'!$B$11 * '01_Control'!$B$9 + (1-'02_Inputs'!$B$11) * '01_Control'!$B$8)) + (AT8 * 100 * (0.055-0.0115) * ('02_Inputs'!$B$11 * '01_Control'!$B$9 + (1-'02_Inputs'!$B$11) * '01_Control'!$B$8)) + (AT9 * 100 * (0.045-0.0115) * ('02_Inputs'!$B$11 * '01_Control'!$B$9 + (1-'02_Inputs'!$B$11) * '01_Control'!$B$8))</f>
        <v>0</v>
      </c>
      <c r="AU14" s="6">
        <f>-(AU5 * 100 * (0.042-0.0115) * ('02_Inputs'!$B$11 * '01_Control'!$B$9 + (1-'02_Inputs'!$B$11) * '01_Control'!$B$8)) + (AU6 * 100 * (0.05-0.0115) * ('02_Inputs'!$B$11 * '01_Control'!$B$9 + (1-'02_Inputs'!$B$11) * '01_Control'!$B$8)) + (AU7 * 100 * (0.065-0.0115) * ('02_Inputs'!$B$11 * '01_Control'!$B$9 + (1-'02_Inputs'!$B$11) * '01_Control'!$B$8)) + (AU8 * 100 * (0.055-0.0115) * ('02_Inputs'!$B$11 * '01_Control'!$B$9 + (1-'02_Inputs'!$B$11) * '01_Control'!$B$8)) + (AU9 * 100 * (0.045-0.0115) * ('02_Inputs'!$B$11 * '01_Control'!$B$9 + (1-'02_Inputs'!$B$11) * '01_Control'!$B$8))</f>
        <v>0</v>
      </c>
      <c r="AV14" s="6">
        <f>-(AV5 * 100 * (0.042-0.0115) * ('02_Inputs'!$B$11 * '01_Control'!$B$9 + (1-'02_Inputs'!$B$11) * '01_Control'!$B$8)) + (AV6 * 100 * (0.05-0.0115) * ('02_Inputs'!$B$11 * '01_Control'!$B$9 + (1-'02_Inputs'!$B$11) * '01_Control'!$B$8)) + (AV7 * 100 * (0.065-0.0115) * ('02_Inputs'!$B$11 * '01_Control'!$B$9 + (1-'02_Inputs'!$B$11) * '01_Control'!$B$8)) + (AV8 * 100 * (0.055-0.0115) * ('02_Inputs'!$B$11 * '01_Control'!$B$9 + (1-'02_Inputs'!$B$11) * '01_Control'!$B$8)) + (AV9 * 100 * (0.045-0.0115) * ('02_Inputs'!$B$11 * '01_Control'!$B$9 + (1-'02_Inputs'!$B$11) * '01_Control'!$B$8))</f>
        <v>0</v>
      </c>
      <c r="AW14" s="6">
        <f>-(AW5 * 100 * (0.042-0.0115) * ('02_Inputs'!$B$11 * '01_Control'!$B$9 + (1-'02_Inputs'!$B$11) * '01_Control'!$B$8)) + (AW6 * 100 * (0.05-0.0115) * ('02_Inputs'!$B$11 * '01_Control'!$B$9 + (1-'02_Inputs'!$B$11) * '01_Control'!$B$8)) + (AW7 * 100 * (0.065-0.0115) * ('02_Inputs'!$B$11 * '01_Control'!$B$9 + (1-'02_Inputs'!$B$11) * '01_Control'!$B$8)) + (AW8 * 100 * (0.055-0.0115) * ('02_Inputs'!$B$11 * '01_Control'!$B$9 + (1-'02_Inputs'!$B$11) * '01_Control'!$B$8)) + (AW9 * 100 * (0.045-0.0115) * ('02_Inputs'!$B$11 * '01_Control'!$B$9 + (1-'02_Inputs'!$B$11) * '01_Control'!$B$8))</f>
        <v>0</v>
      </c>
      <c r="AX14" s="6">
        <f>-(AX5 * 100 * (0.042-0.0115) * ('02_Inputs'!$B$11 * '01_Control'!$B$9 + (1-'02_Inputs'!$B$11) * '01_Control'!$B$8)) + (AX6 * 100 * (0.05-0.0115) * ('02_Inputs'!$B$11 * '01_Control'!$B$9 + (1-'02_Inputs'!$B$11) * '01_Control'!$B$8)) + (AX7 * 100 * (0.065-0.0115) * ('02_Inputs'!$B$11 * '01_Control'!$B$9 + (1-'02_Inputs'!$B$11) * '01_Control'!$B$8)) + (AX8 * 100 * (0.055-0.0115) * ('02_Inputs'!$B$11 * '01_Control'!$B$9 + (1-'02_Inputs'!$B$11) * '01_Control'!$B$8)) + (AX9 * 100 * (0.045-0.0115) * ('02_Inputs'!$B$11 * '01_Control'!$B$9 + (1-'02_Inputs'!$B$11) * '01_Control'!$B$8))</f>
        <v>0</v>
      </c>
      <c r="AY14" s="6">
        <f>-(AY5 * 100 * (0.042-0.0115) * ('02_Inputs'!$B$11 * '01_Control'!$B$9 + (1-'02_Inputs'!$B$11) * '01_Control'!$B$8)) + (AY6 * 100 * (0.05-0.0115) * ('02_Inputs'!$B$11 * '01_Control'!$B$9 + (1-'02_Inputs'!$B$11) * '01_Control'!$B$8)) + (AY7 * 100 * (0.065-0.0115) * ('02_Inputs'!$B$11 * '01_Control'!$B$9 + (1-'02_Inputs'!$B$11) * '01_Control'!$B$8)) + (AY8 * 100 * (0.055-0.0115) * ('02_Inputs'!$B$11 * '01_Control'!$B$9 + (1-'02_Inputs'!$B$11) * '01_Control'!$B$8)) + (AY9 * 100 * (0.045-0.0115) * ('02_Inputs'!$B$11 * '01_Control'!$B$9 + (1-'02_Inputs'!$B$11) * '01_Control'!$B$8))</f>
        <v>0</v>
      </c>
      <c r="AZ14" s="6">
        <f>-(AZ5 * 100 * (0.042-0.0115) * ('02_Inputs'!$B$11 * '01_Control'!$B$9 + (1-'02_Inputs'!$B$11) * '01_Control'!$B$8)) + (AZ6 * 100 * (0.05-0.0115) * ('02_Inputs'!$B$11 * '01_Control'!$B$9 + (1-'02_Inputs'!$B$11) * '01_Control'!$B$8)) + (AZ7 * 100 * (0.065-0.0115) * ('02_Inputs'!$B$11 * '01_Control'!$B$9 + (1-'02_Inputs'!$B$11) * '01_Control'!$B$8)) + (AZ8 * 100 * (0.055-0.0115) * ('02_Inputs'!$B$11 * '01_Control'!$B$9 + (1-'02_Inputs'!$B$11) * '01_Control'!$B$8)) + (AZ9 * 100 * (0.045-0.0115) * ('02_Inputs'!$B$11 * '01_Control'!$B$9 + (1-'02_Inputs'!$B$11) * '01_Control'!$B$8))</f>
        <v>0</v>
      </c>
      <c r="BA14" s="6">
        <f>-(BA5 * 100 * (0.042-0.0115) * ('02_Inputs'!$B$11 * '01_Control'!$B$9 + (1-'02_Inputs'!$B$11) * '01_Control'!$B$8)) + (BA6 * 100 * (0.05-0.0115) * ('02_Inputs'!$B$11 * '01_Control'!$B$9 + (1-'02_Inputs'!$B$11) * '01_Control'!$B$8)) + (BA7 * 100 * (0.065-0.0115) * ('02_Inputs'!$B$11 * '01_Control'!$B$9 + (1-'02_Inputs'!$B$11) * '01_Control'!$B$8)) + (BA8 * 100 * (0.055-0.0115) * ('02_Inputs'!$B$11 * '01_Control'!$B$9 + (1-'02_Inputs'!$B$11) * '01_Control'!$B$8)) + (BA9 * 100 * (0.045-0.0115) * ('02_Inputs'!$B$11 * '01_Control'!$B$9 + (1-'02_Inputs'!$B$11) * '01_Control'!$B$8))</f>
        <v>0</v>
      </c>
      <c r="BB14" s="6">
        <f>-(BB5 * 100 * (0.042-0.0115) * ('02_Inputs'!$B$11 * '01_Control'!$B$9 + (1-'02_Inputs'!$B$11) * '01_Control'!$B$8)) + (BB6 * 100 * (0.05-0.0115) * ('02_Inputs'!$B$11 * '01_Control'!$B$9 + (1-'02_Inputs'!$B$11) * '01_Control'!$B$8)) + (BB7 * 100 * (0.065-0.0115) * ('02_Inputs'!$B$11 * '01_Control'!$B$9 + (1-'02_Inputs'!$B$11) * '01_Control'!$B$8)) + (BB8 * 100 * (0.055-0.0115) * ('02_Inputs'!$B$11 * '01_Control'!$B$9 + (1-'02_Inputs'!$B$11) * '01_Control'!$B$8)) + (BB9 * 100 * (0.045-0.0115) * ('02_Inputs'!$B$11 * '01_Control'!$B$9 + (1-'02_Inputs'!$B$11) * '01_Control'!$B$8))</f>
        <v>0</v>
      </c>
      <c r="BC14" s="6">
        <f>-(BC5 * 100 * (0.042-0.0115) * ('02_Inputs'!$B$11 * '01_Control'!$B$9 + (1-'02_Inputs'!$B$11) * '01_Control'!$B$8)) + (BC6 * 100 * (0.05-0.0115) * ('02_Inputs'!$B$11 * '01_Control'!$B$9 + (1-'02_Inputs'!$B$11) * '01_Control'!$B$8)) + (BC7 * 100 * (0.065-0.0115) * ('02_Inputs'!$B$11 * '01_Control'!$B$9 + (1-'02_Inputs'!$B$11) * '01_Control'!$B$8)) + (BC8 * 100 * (0.055-0.0115) * ('02_Inputs'!$B$11 * '01_Control'!$B$9 + (1-'02_Inputs'!$B$11) * '01_Control'!$B$8)) + (BC9 * 100 * (0.045-0.0115) * ('02_Inputs'!$B$11 * '01_Control'!$B$9 + (1-'02_Inputs'!$B$11) * '01_Control'!$B$8))</f>
        <v>0</v>
      </c>
      <c r="BD14" s="6">
        <f>-(BD5 * 100 * (0.042-0.0115) * ('02_Inputs'!$B$11 * '01_Control'!$B$9 + (1-'02_Inputs'!$B$11) * '01_Control'!$B$8)) + (BD6 * 100 * (0.05-0.0115) * ('02_Inputs'!$B$11 * '01_Control'!$B$9 + (1-'02_Inputs'!$B$11) * '01_Control'!$B$8)) + (BD7 * 100 * (0.065-0.0115) * ('02_Inputs'!$B$11 * '01_Control'!$B$9 + (1-'02_Inputs'!$B$11) * '01_Control'!$B$8)) + (BD8 * 100 * (0.055-0.0115) * ('02_Inputs'!$B$11 * '01_Control'!$B$9 + (1-'02_Inputs'!$B$11) * '01_Control'!$B$8)) + (BD9 * 100 * (0.045-0.0115) * ('02_Inputs'!$B$11 * '01_Control'!$B$9 + (1-'02_Inputs'!$B$11) * '01_Control'!$B$8))</f>
        <v>0</v>
      </c>
      <c r="BE14" s="6">
        <f>-(BE5 * 100 * (0.042-0.0115) * ('02_Inputs'!$B$11 * '01_Control'!$B$9 + (1-'02_Inputs'!$B$11) * '01_Control'!$B$8)) + (BE6 * 100 * (0.05-0.0115) * ('02_Inputs'!$B$11 * '01_Control'!$B$9 + (1-'02_Inputs'!$B$11) * '01_Control'!$B$8)) + (BE7 * 100 * (0.065-0.0115) * ('02_Inputs'!$B$11 * '01_Control'!$B$9 + (1-'02_Inputs'!$B$11) * '01_Control'!$B$8)) + (BE8 * 100 * (0.055-0.0115) * ('02_Inputs'!$B$11 * '01_Control'!$B$9 + (1-'02_Inputs'!$B$11) * '01_Control'!$B$8)) + (BE9 * 100 * (0.045-0.0115) * ('02_Inputs'!$B$11 * '01_Control'!$B$9 + (1-'02_Inputs'!$B$11) * '01_Control'!$B$8))</f>
        <v>0</v>
      </c>
      <c r="BF14" s="6">
        <f>-(BF5 * 100 * (0.042-0.0115) * ('02_Inputs'!$B$11 * '01_Control'!$B$9 + (1-'02_Inputs'!$B$11) * '01_Control'!$B$8)) + (BF6 * 100 * (0.05-0.0115) * ('02_Inputs'!$B$11 * '01_Control'!$B$9 + (1-'02_Inputs'!$B$11) * '01_Control'!$B$8)) + (BF7 * 100 * (0.065-0.0115) * ('02_Inputs'!$B$11 * '01_Control'!$B$9 + (1-'02_Inputs'!$B$11) * '01_Control'!$B$8)) + (BF8 * 100 * (0.055-0.0115) * ('02_Inputs'!$B$11 * '01_Control'!$B$9 + (1-'02_Inputs'!$B$11) * '01_Control'!$B$8)) + (BF9 * 100 * (0.045-0.0115) * ('02_Inputs'!$B$11 * '01_Control'!$B$9 + (1-'02_Inputs'!$B$11) * '01_Control'!$B$8))</f>
        <v>0</v>
      </c>
      <c r="BG14" s="6">
        <f>-(BG5 * 100 * (0.042-0.0115) * ('02_Inputs'!$B$11 * '01_Control'!$B$9 + (1-'02_Inputs'!$B$11) * '01_Control'!$B$8)) + (BG6 * 100 * (0.05-0.0115) * ('02_Inputs'!$B$11 * '01_Control'!$B$9 + (1-'02_Inputs'!$B$11) * '01_Control'!$B$8)) + (BG7 * 100 * (0.065-0.0115) * ('02_Inputs'!$B$11 * '01_Control'!$B$9 + (1-'02_Inputs'!$B$11) * '01_Control'!$B$8)) + (BG8 * 100 * (0.055-0.0115) * ('02_Inputs'!$B$11 * '01_Control'!$B$9 + (1-'02_Inputs'!$B$11) * '01_Control'!$B$8)) + (BG9 * 100 * (0.045-0.0115) * ('02_Inputs'!$B$11 * '01_Control'!$B$9 + (1-'02_Inputs'!$B$11) * '01_Control'!$B$8))</f>
        <v>0</v>
      </c>
      <c r="BH14" s="6">
        <f>-(BH5 * 100 * (0.042-0.0115) * ('02_Inputs'!$B$11 * '01_Control'!$B$9 + (1-'02_Inputs'!$B$11) * '01_Control'!$B$8)) + (BH6 * 100 * (0.05-0.0115) * ('02_Inputs'!$B$11 * '01_Control'!$B$9 + (1-'02_Inputs'!$B$11) * '01_Control'!$B$8)) + (BH7 * 100 * (0.065-0.0115) * ('02_Inputs'!$B$11 * '01_Control'!$B$9 + (1-'02_Inputs'!$B$11) * '01_Control'!$B$8)) + (BH8 * 100 * (0.055-0.0115) * ('02_Inputs'!$B$11 * '01_Control'!$B$9 + (1-'02_Inputs'!$B$11) * '01_Control'!$B$8)) + (BH9 * 100 * (0.045-0.0115) * ('02_Inputs'!$B$11 * '01_Control'!$B$9 + (1-'02_Inputs'!$B$11) * '01_Control'!$B$8))</f>
        <v>0</v>
      </c>
      <c r="BI14" s="6">
        <f>-(BI5 * 100 * (0.042-0.0115) * ('02_Inputs'!$B$11 * '01_Control'!$B$9 + (1-'02_Inputs'!$B$11) * '01_Control'!$B$8)) + (BI6 * 100 * (0.05-0.0115) * ('02_Inputs'!$B$11 * '01_Control'!$B$9 + (1-'02_Inputs'!$B$11) * '01_Control'!$B$8)) + (BI7 * 100 * (0.065-0.0115) * ('02_Inputs'!$B$11 * '01_Control'!$B$9 + (1-'02_Inputs'!$B$11) * '01_Control'!$B$8)) + (BI8 * 100 * (0.055-0.0115) * ('02_Inputs'!$B$11 * '01_Control'!$B$9 + (1-'02_Inputs'!$B$11) * '01_Control'!$B$8)) + (BI9 * 100 * (0.045-0.0115) * ('02_Inputs'!$B$11 * '01_Control'!$B$9 + (1-'02_Inputs'!$B$11) * '01_Control'!$B$8))</f>
        <v>0</v>
      </c>
    </row>
    <row r="16" spans="1:61">
      <c r="B16" s="6">
        <f>B13 + B14</f>
        <v>0</v>
      </c>
      <c r="C16" s="6">
        <f>C13 + C14</f>
        <v>0</v>
      </c>
      <c r="D16" s="6">
        <f>D13 + D14</f>
        <v>0</v>
      </c>
      <c r="E16" s="6">
        <f>E13 + E14</f>
        <v>0</v>
      </c>
      <c r="F16" s="6">
        <f>F13 + F14</f>
        <v>0</v>
      </c>
      <c r="G16" s="6">
        <f>G13 + G14</f>
        <v>0</v>
      </c>
      <c r="H16" s="6">
        <f>H13 + H14</f>
        <v>0</v>
      </c>
      <c r="I16" s="6">
        <f>I13 + I14</f>
        <v>0</v>
      </c>
      <c r="J16" s="6">
        <f>J13 + J14</f>
        <v>0</v>
      </c>
      <c r="K16" s="6">
        <f>K13 + K14</f>
        <v>0</v>
      </c>
      <c r="L16" s="6">
        <f>L13 + L14</f>
        <v>0</v>
      </c>
      <c r="M16" s="6">
        <f>M13 + M14</f>
        <v>0</v>
      </c>
      <c r="N16" s="6">
        <f>N13 + N14</f>
        <v>0</v>
      </c>
      <c r="O16" s="6">
        <f>O13 + O14</f>
        <v>0</v>
      </c>
      <c r="P16" s="6">
        <f>P13 + P14</f>
        <v>0</v>
      </c>
      <c r="Q16" s="6">
        <f>Q13 + Q14</f>
        <v>0</v>
      </c>
      <c r="R16" s="6">
        <f>R13 + R14</f>
        <v>0</v>
      </c>
      <c r="S16" s="6">
        <f>S13 + S14</f>
        <v>0</v>
      </c>
      <c r="T16" s="6">
        <f>T13 + T14</f>
        <v>0</v>
      </c>
      <c r="U16" s="6">
        <f>U13 + U14</f>
        <v>0</v>
      </c>
      <c r="V16" s="6">
        <f>V13 + V14</f>
        <v>0</v>
      </c>
      <c r="W16" s="6">
        <f>W13 + W14</f>
        <v>0</v>
      </c>
      <c r="X16" s="6">
        <f>X13 + X14</f>
        <v>0</v>
      </c>
      <c r="Y16" s="6">
        <f>Y13 + Y14</f>
        <v>0</v>
      </c>
      <c r="Z16" s="6">
        <f>Z13 + Z14</f>
        <v>0</v>
      </c>
      <c r="AA16" s="6">
        <f>AA13 + AA14</f>
        <v>0</v>
      </c>
      <c r="AB16" s="6">
        <f>AB13 + AB14</f>
        <v>0</v>
      </c>
      <c r="AC16" s="6">
        <f>AC13 + AC14</f>
        <v>0</v>
      </c>
      <c r="AD16" s="6">
        <f>AD13 + AD14</f>
        <v>0</v>
      </c>
      <c r="AE16" s="6">
        <f>AE13 + AE14</f>
        <v>0</v>
      </c>
      <c r="AF16" s="6">
        <f>AF13 + AF14</f>
        <v>0</v>
      </c>
      <c r="AG16" s="6">
        <f>AG13 + AG14</f>
        <v>0</v>
      </c>
      <c r="AH16" s="6">
        <f>AH13 + AH14</f>
        <v>0</v>
      </c>
      <c r="AI16" s="6">
        <f>AI13 + AI14</f>
        <v>0</v>
      </c>
      <c r="AJ16" s="6">
        <f>AJ13 + AJ14</f>
        <v>0</v>
      </c>
      <c r="AK16" s="6">
        <f>AK13 + AK14</f>
        <v>0</v>
      </c>
      <c r="AL16" s="6">
        <f>AL13 + AL14</f>
        <v>0</v>
      </c>
      <c r="AM16" s="6">
        <f>AM13 + AM14</f>
        <v>0</v>
      </c>
      <c r="AN16" s="6">
        <f>AN13 + AN14</f>
        <v>0</v>
      </c>
      <c r="AO16" s="6">
        <f>AO13 + AO14</f>
        <v>0</v>
      </c>
      <c r="AP16" s="6">
        <f>AP13 + AP14</f>
        <v>0</v>
      </c>
      <c r="AQ16" s="6">
        <f>AQ13 + AQ14</f>
        <v>0</v>
      </c>
      <c r="AR16" s="6">
        <f>AR13 + AR14</f>
        <v>0</v>
      </c>
      <c r="AS16" s="6">
        <f>AS13 + AS14</f>
        <v>0</v>
      </c>
      <c r="AT16" s="6">
        <f>AT13 + AT14</f>
        <v>0</v>
      </c>
      <c r="AU16" s="6">
        <f>AU13 + AU14</f>
        <v>0</v>
      </c>
      <c r="AV16" s="6">
        <f>AV13 + AV14</f>
        <v>0</v>
      </c>
      <c r="AW16" s="6">
        <f>AW13 + AW14</f>
        <v>0</v>
      </c>
      <c r="AX16" s="6">
        <f>AX13 + AX14</f>
        <v>0</v>
      </c>
      <c r="AY16" s="6">
        <f>AY13 + AY14</f>
        <v>0</v>
      </c>
      <c r="AZ16" s="6">
        <f>AZ13 + AZ14</f>
        <v>0</v>
      </c>
      <c r="BA16" s="6">
        <f>BA13 + BA14</f>
        <v>0</v>
      </c>
      <c r="BB16" s="6">
        <f>BB13 + BB14</f>
        <v>0</v>
      </c>
      <c r="BC16" s="6">
        <f>BC13 + BC14</f>
        <v>0</v>
      </c>
      <c r="BD16" s="6">
        <f>BD13 + BD14</f>
        <v>0</v>
      </c>
      <c r="BE16" s="6">
        <f>BE13 + BE14</f>
        <v>0</v>
      </c>
      <c r="BF16" s="6">
        <f>BF13 + BF14</f>
        <v>0</v>
      </c>
      <c r="BG16" s="6">
        <f>BG13 + BG14</f>
        <v>0</v>
      </c>
      <c r="BH16" s="6">
        <f>BH13 + BH14</f>
        <v>0</v>
      </c>
      <c r="BI16" s="6">
        <f>BI13 + BI14</f>
        <v>0</v>
      </c>
    </row>
    <row r="18" spans="2:61">
      <c r="B18" s="6">
        <f>B11 * 155</f>
        <v>0</v>
      </c>
      <c r="C18" s="6">
        <f>C11 * 155</f>
        <v>0</v>
      </c>
      <c r="D18" s="6">
        <f>D11 * 155</f>
        <v>0</v>
      </c>
      <c r="E18" s="6">
        <f>E11 * 155</f>
        <v>0</v>
      </c>
      <c r="F18" s="6">
        <f>F11 * 155</f>
        <v>0</v>
      </c>
      <c r="G18" s="6">
        <f>G11 * 155</f>
        <v>0</v>
      </c>
      <c r="H18" s="6">
        <f>H11 * 155</f>
        <v>0</v>
      </c>
      <c r="I18" s="6">
        <f>I11 * 155</f>
        <v>0</v>
      </c>
      <c r="J18" s="6">
        <f>J11 * 155</f>
        <v>0</v>
      </c>
      <c r="K18" s="6">
        <f>K11 * 155</f>
        <v>0</v>
      </c>
      <c r="L18" s="6">
        <f>L11 * 155</f>
        <v>0</v>
      </c>
      <c r="M18" s="6">
        <f>M11 * 155</f>
        <v>0</v>
      </c>
      <c r="N18" s="6">
        <f>N11 * 155</f>
        <v>0</v>
      </c>
      <c r="O18" s="6">
        <f>O11 * 155</f>
        <v>0</v>
      </c>
      <c r="P18" s="6">
        <f>P11 * 155</f>
        <v>0</v>
      </c>
      <c r="Q18" s="6">
        <f>Q11 * 155</f>
        <v>0</v>
      </c>
      <c r="R18" s="6">
        <f>R11 * 155</f>
        <v>0</v>
      </c>
      <c r="S18" s="6">
        <f>S11 * 155</f>
        <v>0</v>
      </c>
      <c r="T18" s="6">
        <f>T11 * 155</f>
        <v>0</v>
      </c>
      <c r="U18" s="6">
        <f>U11 * 155</f>
        <v>0</v>
      </c>
      <c r="V18" s="6">
        <f>V11 * 155</f>
        <v>0</v>
      </c>
      <c r="W18" s="6">
        <f>W11 * 155</f>
        <v>0</v>
      </c>
      <c r="X18" s="6">
        <f>X11 * 155</f>
        <v>0</v>
      </c>
      <c r="Y18" s="6">
        <f>Y11 * 155</f>
        <v>0</v>
      </c>
      <c r="Z18" s="6">
        <f>Z11 * 155</f>
        <v>0</v>
      </c>
      <c r="AA18" s="6">
        <f>AA11 * 155</f>
        <v>0</v>
      </c>
      <c r="AB18" s="6">
        <f>AB11 * 155</f>
        <v>0</v>
      </c>
      <c r="AC18" s="6">
        <f>AC11 * 155</f>
        <v>0</v>
      </c>
      <c r="AD18" s="6">
        <f>AD11 * 155</f>
        <v>0</v>
      </c>
      <c r="AE18" s="6">
        <f>AE11 * 155</f>
        <v>0</v>
      </c>
      <c r="AF18" s="6">
        <f>AF11 * 155</f>
        <v>0</v>
      </c>
      <c r="AG18" s="6">
        <f>AG11 * 155</f>
        <v>0</v>
      </c>
      <c r="AH18" s="6">
        <f>AH11 * 155</f>
        <v>0</v>
      </c>
      <c r="AI18" s="6">
        <f>AI11 * 155</f>
        <v>0</v>
      </c>
      <c r="AJ18" s="6">
        <f>AJ11 * 155</f>
        <v>0</v>
      </c>
      <c r="AK18" s="6">
        <f>AK11 * 155</f>
        <v>0</v>
      </c>
      <c r="AL18" s="6">
        <f>AL11 * 155</f>
        <v>0</v>
      </c>
      <c r="AM18" s="6">
        <f>AM11 * 155</f>
        <v>0</v>
      </c>
      <c r="AN18" s="6">
        <f>AN11 * 155</f>
        <v>0</v>
      </c>
      <c r="AO18" s="6">
        <f>AO11 * 155</f>
        <v>0</v>
      </c>
      <c r="AP18" s="6">
        <f>AP11 * 155</f>
        <v>0</v>
      </c>
      <c r="AQ18" s="6">
        <f>AQ11 * 155</f>
        <v>0</v>
      </c>
      <c r="AR18" s="6">
        <f>AR11 * 155</f>
        <v>0</v>
      </c>
      <c r="AS18" s="6">
        <f>AS11 * 155</f>
        <v>0</v>
      </c>
      <c r="AT18" s="6">
        <f>AT11 * 155</f>
        <v>0</v>
      </c>
      <c r="AU18" s="6">
        <f>AU11 * 155</f>
        <v>0</v>
      </c>
      <c r="AV18" s="6">
        <f>AV11 * 155</f>
        <v>0</v>
      </c>
      <c r="AW18" s="6">
        <f>AW11 * 155</f>
        <v>0</v>
      </c>
      <c r="AX18" s="6">
        <f>AX11 * 155</f>
        <v>0</v>
      </c>
      <c r="AY18" s="6">
        <f>AY11 * 155</f>
        <v>0</v>
      </c>
      <c r="AZ18" s="6">
        <f>AZ11 * 155</f>
        <v>0</v>
      </c>
      <c r="BA18" s="6">
        <f>BA11 * 155</f>
        <v>0</v>
      </c>
      <c r="BB18" s="6">
        <f>BB11 * 155</f>
        <v>0</v>
      </c>
      <c r="BC18" s="6">
        <f>BC11 * 155</f>
        <v>0</v>
      </c>
      <c r="BD18" s="6">
        <f>BD11 * 155</f>
        <v>0</v>
      </c>
      <c r="BE18" s="6">
        <f>BE11 * 155</f>
        <v>0</v>
      </c>
      <c r="BF18" s="6">
        <f>BF11 * 155</f>
        <v>0</v>
      </c>
      <c r="BG18" s="6">
        <f>BG11 * 155</f>
        <v>0</v>
      </c>
      <c r="BH18" s="6">
        <f>BH11 * 155</f>
        <v>0</v>
      </c>
      <c r="BI18" s="6">
        <f>BI11 * 155</f>
        <v>0</v>
      </c>
    </row>
    <row r="20" spans="2:61">
      <c r="B20" s="6">
        <f>SUMPRODUCT('02_Inputs'!$B$17:$B$19, '02_Inputs'!$C$17:$C$19) * 1000 / 12 + B16*0.12</f>
        <v>0</v>
      </c>
      <c r="C20" s="6">
        <f>SUMPRODUCT('02_Inputs'!$B$17:$B$19, '02_Inputs'!$C$17:$C$19) * 1000 / 12 + C16*0.12</f>
        <v>0</v>
      </c>
      <c r="D20" s="6">
        <f>SUMPRODUCT('02_Inputs'!$B$17:$B$19, '02_Inputs'!$C$17:$C$19) * 1000 / 12 + D16*0.12</f>
        <v>0</v>
      </c>
      <c r="E20" s="6">
        <f>SUMPRODUCT('02_Inputs'!$B$17:$B$19, '02_Inputs'!$C$17:$C$19) * 1000 / 12 + E16*0.12</f>
        <v>0</v>
      </c>
      <c r="F20" s="6">
        <f>SUMPRODUCT('02_Inputs'!$B$17:$B$19, '02_Inputs'!$C$17:$C$19) * 1000 / 12 + F16*0.12</f>
        <v>0</v>
      </c>
      <c r="G20" s="6">
        <f>SUMPRODUCT('02_Inputs'!$B$17:$B$19, '02_Inputs'!$C$17:$C$19) * 1000 / 12 + G16*0.12</f>
        <v>0</v>
      </c>
      <c r="H20" s="6">
        <f>SUMPRODUCT('02_Inputs'!$B$17:$B$19, '02_Inputs'!$C$17:$C$19) * 1000 / 12 + H16*0.12</f>
        <v>0</v>
      </c>
      <c r="I20" s="6">
        <f>SUMPRODUCT('02_Inputs'!$B$17:$B$19, '02_Inputs'!$C$17:$C$19) * 1000 / 12 + I16*0.12</f>
        <v>0</v>
      </c>
      <c r="J20" s="6">
        <f>SUMPRODUCT('02_Inputs'!$B$17:$B$19, '02_Inputs'!$C$17:$C$19) * 1000 / 12 + J16*0.12</f>
        <v>0</v>
      </c>
      <c r="K20" s="6">
        <f>SUMPRODUCT('02_Inputs'!$B$17:$B$19, '02_Inputs'!$C$17:$C$19) * 1000 / 12 + K16*0.12</f>
        <v>0</v>
      </c>
      <c r="L20" s="6">
        <f>SUMPRODUCT('02_Inputs'!$B$17:$B$19, '02_Inputs'!$C$17:$C$19) * 1000 / 12 + L16*0.12</f>
        <v>0</v>
      </c>
      <c r="M20" s="6">
        <f>SUMPRODUCT('02_Inputs'!$B$17:$B$19, '02_Inputs'!$C$17:$C$19) * 1000 / 12 + M16*0.12</f>
        <v>0</v>
      </c>
      <c r="N20" s="6">
        <f>SUMPRODUCT('02_Inputs'!$B$17:$B$19, '02_Inputs'!$C$17:$C$19) * 1000 / 12 + N16*0.12</f>
        <v>0</v>
      </c>
      <c r="O20" s="6">
        <f>SUMPRODUCT('02_Inputs'!$B$17:$B$19, '02_Inputs'!$C$17:$C$19) * 1000 / 12 + O16*0.12</f>
        <v>0</v>
      </c>
      <c r="P20" s="6">
        <f>SUMPRODUCT('02_Inputs'!$B$17:$B$19, '02_Inputs'!$C$17:$C$19) * 1000 / 12 + P16*0.12</f>
        <v>0</v>
      </c>
      <c r="Q20" s="6">
        <f>SUMPRODUCT('02_Inputs'!$B$17:$B$19, '02_Inputs'!$C$17:$C$19) * 1000 / 12 + Q16*0.12</f>
        <v>0</v>
      </c>
      <c r="R20" s="6">
        <f>SUMPRODUCT('02_Inputs'!$B$17:$B$19, '02_Inputs'!$C$17:$C$19) * 1000 / 12 + R16*0.12</f>
        <v>0</v>
      </c>
      <c r="S20" s="6">
        <f>SUMPRODUCT('02_Inputs'!$B$17:$B$19, '02_Inputs'!$C$17:$C$19) * 1000 / 12 + S16*0.12</f>
        <v>0</v>
      </c>
      <c r="T20" s="6">
        <f>SUMPRODUCT('02_Inputs'!$B$17:$B$19, '02_Inputs'!$C$17:$C$19) * 1000 / 12 + T16*0.12</f>
        <v>0</v>
      </c>
      <c r="U20" s="6">
        <f>SUMPRODUCT('02_Inputs'!$B$17:$B$19, '02_Inputs'!$C$17:$C$19) * 1000 / 12 + U16*0.12</f>
        <v>0</v>
      </c>
      <c r="V20" s="6">
        <f>SUMPRODUCT('02_Inputs'!$B$17:$B$19, '02_Inputs'!$C$17:$C$19) * 1000 / 12 + V16*0.12</f>
        <v>0</v>
      </c>
      <c r="W20" s="6">
        <f>SUMPRODUCT('02_Inputs'!$B$17:$B$19, '02_Inputs'!$C$17:$C$19) * 1000 / 12 + W16*0.12</f>
        <v>0</v>
      </c>
      <c r="X20" s="6">
        <f>SUMPRODUCT('02_Inputs'!$B$17:$B$19, '02_Inputs'!$C$17:$C$19) * 1000 / 12 + X16*0.12</f>
        <v>0</v>
      </c>
      <c r="Y20" s="6">
        <f>SUMPRODUCT('02_Inputs'!$B$17:$B$19, '02_Inputs'!$C$17:$C$19) * 1000 / 12 + Y16*0.12</f>
        <v>0</v>
      </c>
      <c r="Z20" s="6">
        <f>SUMPRODUCT('02_Inputs'!$B$17:$B$19, '02_Inputs'!$C$17:$C$19) * 1000 / 12 + Z16*0.12</f>
        <v>0</v>
      </c>
      <c r="AA20" s="6">
        <f>SUMPRODUCT('02_Inputs'!$B$17:$B$19, '02_Inputs'!$C$17:$C$19) * 1000 / 12 + AA16*0.12</f>
        <v>0</v>
      </c>
      <c r="AB20" s="6">
        <f>SUMPRODUCT('02_Inputs'!$B$17:$B$19, '02_Inputs'!$C$17:$C$19) * 1000 / 12 + AB16*0.12</f>
        <v>0</v>
      </c>
      <c r="AC20" s="6">
        <f>SUMPRODUCT('02_Inputs'!$B$17:$B$19, '02_Inputs'!$C$17:$C$19) * 1000 / 12 + AC16*0.12</f>
        <v>0</v>
      </c>
      <c r="AD20" s="6">
        <f>SUMPRODUCT('02_Inputs'!$B$17:$B$19, '02_Inputs'!$C$17:$C$19) * 1000 / 12 + AD16*0.12</f>
        <v>0</v>
      </c>
      <c r="AE20" s="6">
        <f>SUMPRODUCT('02_Inputs'!$B$17:$B$19, '02_Inputs'!$C$17:$C$19) * 1000 / 12 + AE16*0.12</f>
        <v>0</v>
      </c>
      <c r="AF20" s="6">
        <f>SUMPRODUCT('02_Inputs'!$B$17:$B$19, '02_Inputs'!$C$17:$C$19) * 1000 / 12 + AF16*0.12</f>
        <v>0</v>
      </c>
      <c r="AG20" s="6">
        <f>SUMPRODUCT('02_Inputs'!$B$17:$B$19, '02_Inputs'!$C$17:$C$19) * 1000 / 12 + AG16*0.12</f>
        <v>0</v>
      </c>
      <c r="AH20" s="6">
        <f>SUMPRODUCT('02_Inputs'!$B$17:$B$19, '02_Inputs'!$C$17:$C$19) * 1000 / 12 + AH16*0.12</f>
        <v>0</v>
      </c>
      <c r="AI20" s="6">
        <f>SUMPRODUCT('02_Inputs'!$B$17:$B$19, '02_Inputs'!$C$17:$C$19) * 1000 / 12 + AI16*0.12</f>
        <v>0</v>
      </c>
      <c r="AJ20" s="6">
        <f>SUMPRODUCT('02_Inputs'!$B$17:$B$19, '02_Inputs'!$C$17:$C$19) * 1000 / 12 + AJ16*0.12</f>
        <v>0</v>
      </c>
      <c r="AK20" s="6">
        <f>SUMPRODUCT('02_Inputs'!$B$17:$B$19, '02_Inputs'!$C$17:$C$19) * 1000 / 12 + AK16*0.12</f>
        <v>0</v>
      </c>
      <c r="AL20" s="6">
        <f>SUMPRODUCT('02_Inputs'!$B$17:$B$19, '02_Inputs'!$C$17:$C$19) * 1000 / 12 + AL16*0.12</f>
        <v>0</v>
      </c>
      <c r="AM20" s="6">
        <f>SUMPRODUCT('02_Inputs'!$B$17:$B$19, '02_Inputs'!$C$17:$C$19) * 1000 / 12 + AM16*0.12</f>
        <v>0</v>
      </c>
      <c r="AN20" s="6">
        <f>SUMPRODUCT('02_Inputs'!$B$17:$B$19, '02_Inputs'!$C$17:$C$19) * 1000 / 12 + AN16*0.12</f>
        <v>0</v>
      </c>
      <c r="AO20" s="6">
        <f>SUMPRODUCT('02_Inputs'!$B$17:$B$19, '02_Inputs'!$C$17:$C$19) * 1000 / 12 + AO16*0.12</f>
        <v>0</v>
      </c>
      <c r="AP20" s="6">
        <f>SUMPRODUCT('02_Inputs'!$B$17:$B$19, '02_Inputs'!$C$17:$C$19) * 1000 / 12 + AP16*0.12</f>
        <v>0</v>
      </c>
      <c r="AQ20" s="6">
        <f>SUMPRODUCT('02_Inputs'!$B$17:$B$19, '02_Inputs'!$C$17:$C$19) * 1000 / 12 + AQ16*0.12</f>
        <v>0</v>
      </c>
      <c r="AR20" s="6">
        <f>SUMPRODUCT('02_Inputs'!$B$17:$B$19, '02_Inputs'!$C$17:$C$19) * 1000 / 12 + AR16*0.12</f>
        <v>0</v>
      </c>
      <c r="AS20" s="6">
        <f>SUMPRODUCT('02_Inputs'!$B$17:$B$19, '02_Inputs'!$C$17:$C$19) * 1000 / 12 + AS16*0.12</f>
        <v>0</v>
      </c>
      <c r="AT20" s="6">
        <f>SUMPRODUCT('02_Inputs'!$B$17:$B$19, '02_Inputs'!$C$17:$C$19) * 1000 / 12 + AT16*0.12</f>
        <v>0</v>
      </c>
      <c r="AU20" s="6">
        <f>SUMPRODUCT('02_Inputs'!$B$17:$B$19, '02_Inputs'!$C$17:$C$19) * 1000 / 12 + AU16*0.12</f>
        <v>0</v>
      </c>
      <c r="AV20" s="6">
        <f>SUMPRODUCT('02_Inputs'!$B$17:$B$19, '02_Inputs'!$C$17:$C$19) * 1000 / 12 + AV16*0.12</f>
        <v>0</v>
      </c>
      <c r="AW20" s="6">
        <f>SUMPRODUCT('02_Inputs'!$B$17:$B$19, '02_Inputs'!$C$17:$C$19) * 1000 / 12 + AW16*0.12</f>
        <v>0</v>
      </c>
      <c r="AX20" s="6">
        <f>SUMPRODUCT('02_Inputs'!$B$17:$B$19, '02_Inputs'!$C$17:$C$19) * 1000 / 12 + AX16*0.12</f>
        <v>0</v>
      </c>
      <c r="AY20" s="6">
        <f>SUMPRODUCT('02_Inputs'!$B$17:$B$19, '02_Inputs'!$C$17:$C$19) * 1000 / 12 + AY16*0.12</f>
        <v>0</v>
      </c>
      <c r="AZ20" s="6">
        <f>SUMPRODUCT('02_Inputs'!$B$17:$B$19, '02_Inputs'!$C$17:$C$19) * 1000 / 12 + AZ16*0.12</f>
        <v>0</v>
      </c>
      <c r="BA20" s="6">
        <f>SUMPRODUCT('02_Inputs'!$B$17:$B$19, '02_Inputs'!$C$17:$C$19) * 1000 / 12 + BA16*0.12</f>
        <v>0</v>
      </c>
      <c r="BB20" s="6">
        <f>SUMPRODUCT('02_Inputs'!$B$17:$B$19, '02_Inputs'!$C$17:$C$19) * 1000 / 12 + BB16*0.12</f>
        <v>0</v>
      </c>
      <c r="BC20" s="6">
        <f>SUMPRODUCT('02_Inputs'!$B$17:$B$19, '02_Inputs'!$C$17:$C$19) * 1000 / 12 + BC16*0.12</f>
        <v>0</v>
      </c>
      <c r="BD20" s="6">
        <f>SUMPRODUCT('02_Inputs'!$B$17:$B$19, '02_Inputs'!$C$17:$C$19) * 1000 / 12 + BD16*0.12</f>
        <v>0</v>
      </c>
      <c r="BE20" s="6">
        <f>SUMPRODUCT('02_Inputs'!$B$17:$B$19, '02_Inputs'!$C$17:$C$19) * 1000 / 12 + BE16*0.12</f>
        <v>0</v>
      </c>
      <c r="BF20" s="6">
        <f>SUMPRODUCT('02_Inputs'!$B$17:$B$19, '02_Inputs'!$C$17:$C$19) * 1000 / 12 + BF16*0.12</f>
        <v>0</v>
      </c>
      <c r="BG20" s="6">
        <f>SUMPRODUCT('02_Inputs'!$B$17:$B$19, '02_Inputs'!$C$17:$C$19) * 1000 / 12 + BG16*0.12</f>
        <v>0</v>
      </c>
      <c r="BH20" s="6">
        <f>SUMPRODUCT('02_Inputs'!$B$17:$B$19, '02_Inputs'!$C$17:$C$19) * 1000 / 12 + BH16*0.12</f>
        <v>0</v>
      </c>
      <c r="BI20" s="6">
        <f>SUMPRODUCT('02_Inputs'!$B$17:$B$19, '02_Inputs'!$C$17:$C$19) * 1000 / 12 + BI16*0.12</f>
        <v>0</v>
      </c>
    </row>
    <row r="22" spans="2:61">
      <c r="B22" s="6">
        <v>35000</v>
      </c>
      <c r="C22" s="6">
        <v>35000</v>
      </c>
      <c r="D22" s="6">
        <v>35000</v>
      </c>
      <c r="E22" s="6">
        <v>35000</v>
      </c>
      <c r="F22" s="6">
        <v>35000</v>
      </c>
      <c r="G22" s="6">
        <v>35000</v>
      </c>
      <c r="H22" s="6">
        <v>35000</v>
      </c>
      <c r="I22" s="6">
        <v>35000</v>
      </c>
      <c r="J22" s="6">
        <v>35000</v>
      </c>
      <c r="K22" s="6">
        <v>35000</v>
      </c>
      <c r="L22" s="6">
        <v>35000</v>
      </c>
      <c r="M22" s="6">
        <v>35000</v>
      </c>
      <c r="N22" s="6">
        <v>35000</v>
      </c>
      <c r="O22" s="6">
        <v>35000</v>
      </c>
      <c r="P22" s="6">
        <v>35000</v>
      </c>
      <c r="Q22" s="6">
        <v>35000</v>
      </c>
      <c r="R22" s="6">
        <v>35000</v>
      </c>
      <c r="S22" s="6">
        <v>35000</v>
      </c>
      <c r="T22" s="6">
        <v>35000</v>
      </c>
      <c r="U22" s="6">
        <v>35000</v>
      </c>
      <c r="V22" s="6">
        <v>35000</v>
      </c>
      <c r="W22" s="6">
        <v>35000</v>
      </c>
      <c r="X22" s="6">
        <v>35000</v>
      </c>
      <c r="Y22" s="6">
        <v>35000</v>
      </c>
      <c r="Z22" s="6">
        <v>35000</v>
      </c>
      <c r="AA22" s="6">
        <v>35000</v>
      </c>
      <c r="AB22" s="6">
        <v>35000</v>
      </c>
      <c r="AC22" s="6">
        <v>35000</v>
      </c>
      <c r="AD22" s="6">
        <v>35000</v>
      </c>
      <c r="AE22" s="6">
        <v>35000</v>
      </c>
      <c r="AF22" s="6">
        <v>35000</v>
      </c>
      <c r="AG22" s="6">
        <v>35000</v>
      </c>
      <c r="AH22" s="6">
        <v>35000</v>
      </c>
      <c r="AI22" s="6">
        <v>35000</v>
      </c>
      <c r="AJ22" s="6">
        <v>35000</v>
      </c>
      <c r="AK22" s="6">
        <v>35000</v>
      </c>
      <c r="AL22" s="6">
        <v>35000</v>
      </c>
      <c r="AM22" s="6">
        <v>35000</v>
      </c>
      <c r="AN22" s="6">
        <v>35000</v>
      </c>
      <c r="AO22" s="6">
        <v>35000</v>
      </c>
      <c r="AP22" s="6">
        <v>35000</v>
      </c>
      <c r="AQ22" s="6">
        <v>35000</v>
      </c>
      <c r="AR22" s="6">
        <v>35000</v>
      </c>
      <c r="AS22" s="6">
        <v>35000</v>
      </c>
      <c r="AT22" s="6">
        <v>35000</v>
      </c>
      <c r="AU22" s="6">
        <v>35000</v>
      </c>
      <c r="AV22" s="6">
        <v>35000</v>
      </c>
      <c r="AW22" s="6">
        <v>35000</v>
      </c>
      <c r="AX22" s="6">
        <v>35000</v>
      </c>
      <c r="AY22" s="6">
        <v>35000</v>
      </c>
      <c r="AZ22" s="6">
        <v>35000</v>
      </c>
      <c r="BA22" s="6">
        <v>35000</v>
      </c>
      <c r="BB22" s="6">
        <v>35000</v>
      </c>
      <c r="BC22" s="6">
        <v>35000</v>
      </c>
      <c r="BD22" s="6">
        <v>35000</v>
      </c>
      <c r="BE22" s="6">
        <v>35000</v>
      </c>
      <c r="BF22" s="6">
        <v>35000</v>
      </c>
      <c r="BG22" s="6">
        <v>35000</v>
      </c>
      <c r="BH22" s="6">
        <v>35000</v>
      </c>
      <c r="BI22" s="6">
        <v>35000</v>
      </c>
    </row>
    <row r="24" spans="2:61">
      <c r="B24" s="6">
        <f>B13 * 1.2</f>
        <v>0</v>
      </c>
      <c r="C24" s="6">
        <f>C13 * 1.2</f>
        <v>0</v>
      </c>
      <c r="D24" s="6">
        <f>D13 * 1.2</f>
        <v>0</v>
      </c>
      <c r="E24" s="6">
        <f>E13 * 1.2</f>
        <v>0</v>
      </c>
      <c r="F24" s="6">
        <f>F13 * 1.2</f>
        <v>0</v>
      </c>
      <c r="G24" s="6">
        <f>G13 * 1.2</f>
        <v>0</v>
      </c>
      <c r="H24" s="6">
        <f>H13 * 1.2</f>
        <v>0</v>
      </c>
      <c r="I24" s="6">
        <f>I13 * 1.2</f>
        <v>0</v>
      </c>
      <c r="J24" s="6">
        <f>J13 * 1.2</f>
        <v>0</v>
      </c>
      <c r="K24" s="6">
        <f>K13 * 1.2</f>
        <v>0</v>
      </c>
      <c r="L24" s="6">
        <f>L13 * 1.2</f>
        <v>0</v>
      </c>
      <c r="M24" s="6">
        <f>M13 * 1.2</f>
        <v>0</v>
      </c>
      <c r="N24" s="6">
        <f>N13 * 1.2</f>
        <v>0</v>
      </c>
      <c r="O24" s="6">
        <f>O13 * 1.2</f>
        <v>0</v>
      </c>
      <c r="P24" s="6">
        <f>P13 * 1.2</f>
        <v>0</v>
      </c>
      <c r="Q24" s="6">
        <f>Q13 * 1.2</f>
        <v>0</v>
      </c>
      <c r="R24" s="6">
        <f>R13 * 1.2</f>
        <v>0</v>
      </c>
      <c r="S24" s="6">
        <f>S13 * 1.2</f>
        <v>0</v>
      </c>
      <c r="T24" s="6">
        <f>T13 * 1.2</f>
        <v>0</v>
      </c>
      <c r="U24" s="6">
        <f>U13 * 1.2</f>
        <v>0</v>
      </c>
      <c r="V24" s="6">
        <f>V13 * 1.2</f>
        <v>0</v>
      </c>
      <c r="W24" s="6">
        <f>W13 * 1.2</f>
        <v>0</v>
      </c>
      <c r="X24" s="6">
        <f>X13 * 1.2</f>
        <v>0</v>
      </c>
      <c r="Y24" s="6">
        <f>Y13 * 1.2</f>
        <v>0</v>
      </c>
      <c r="Z24" s="6">
        <f>Z13 * 1.2</f>
        <v>0</v>
      </c>
      <c r="AA24" s="6">
        <f>AA13 * 1.2</f>
        <v>0</v>
      </c>
      <c r="AB24" s="6">
        <f>AB13 * 1.2</f>
        <v>0</v>
      </c>
      <c r="AC24" s="6">
        <f>AC13 * 1.2</f>
        <v>0</v>
      </c>
      <c r="AD24" s="6">
        <f>AD13 * 1.2</f>
        <v>0</v>
      </c>
      <c r="AE24" s="6">
        <f>AE13 * 1.2</f>
        <v>0</v>
      </c>
      <c r="AF24" s="6">
        <f>AF13 * 1.2</f>
        <v>0</v>
      </c>
      <c r="AG24" s="6">
        <f>AG13 * 1.2</f>
        <v>0</v>
      </c>
      <c r="AH24" s="6">
        <f>AH13 * 1.2</f>
        <v>0</v>
      </c>
      <c r="AI24" s="6">
        <f>AI13 * 1.2</f>
        <v>0</v>
      </c>
      <c r="AJ24" s="6">
        <f>AJ13 * 1.2</f>
        <v>0</v>
      </c>
      <c r="AK24" s="6">
        <f>AK13 * 1.2</f>
        <v>0</v>
      </c>
      <c r="AL24" s="6">
        <f>AL13 * 1.2</f>
        <v>0</v>
      </c>
      <c r="AM24" s="6">
        <f>AM13 * 1.2</f>
        <v>0</v>
      </c>
      <c r="AN24" s="6">
        <f>AN13 * 1.2</f>
        <v>0</v>
      </c>
      <c r="AO24" s="6">
        <f>AO13 * 1.2</f>
        <v>0</v>
      </c>
      <c r="AP24" s="6">
        <f>AP13 * 1.2</f>
        <v>0</v>
      </c>
      <c r="AQ24" s="6">
        <f>AQ13 * 1.2</f>
        <v>0</v>
      </c>
      <c r="AR24" s="6">
        <f>AR13 * 1.2</f>
        <v>0</v>
      </c>
      <c r="AS24" s="6">
        <f>AS13 * 1.2</f>
        <v>0</v>
      </c>
      <c r="AT24" s="6">
        <f>AT13 * 1.2</f>
        <v>0</v>
      </c>
      <c r="AU24" s="6">
        <f>AU13 * 1.2</f>
        <v>0</v>
      </c>
      <c r="AV24" s="6">
        <f>AV13 * 1.2</f>
        <v>0</v>
      </c>
      <c r="AW24" s="6">
        <f>AW13 * 1.2</f>
        <v>0</v>
      </c>
      <c r="AX24" s="6">
        <f>AX13 * 1.2</f>
        <v>0</v>
      </c>
      <c r="AY24" s="6">
        <f>AY13 * 1.2</f>
        <v>0</v>
      </c>
      <c r="AZ24" s="6">
        <f>AZ13 * 1.2</f>
        <v>0</v>
      </c>
      <c r="BA24" s="6">
        <f>BA13 * 1.2</f>
        <v>0</v>
      </c>
      <c r="BB24" s="6">
        <f>BB13 * 1.2</f>
        <v>0</v>
      </c>
      <c r="BC24" s="6">
        <f>BC13 * 1.2</f>
        <v>0</v>
      </c>
      <c r="BD24" s="6">
        <f>BD13 * 1.2</f>
        <v>0</v>
      </c>
      <c r="BE24" s="6">
        <f>BE13 * 1.2</f>
        <v>0</v>
      </c>
      <c r="BF24" s="6">
        <f>BF13 * 1.2</f>
        <v>0</v>
      </c>
      <c r="BG24" s="6">
        <f>BG13 * 1.2</f>
        <v>0</v>
      </c>
      <c r="BH24" s="6">
        <f>BH13 * 1.2</f>
        <v>0</v>
      </c>
      <c r="BI24" s="6">
        <f>BI13 * 1.2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Q37"/>
  <sheetViews>
    <sheetView workbookViewId="0"/>
  </sheetViews>
  <sheetFormatPr defaultRowHeight="15"/>
  <sheetData>
    <row r="3" spans="1:17"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87</v>
      </c>
      <c r="O3" s="2" t="s">
        <v>88</v>
      </c>
      <c r="P3" s="2" t="s">
        <v>89</v>
      </c>
      <c r="Q3" s="2" t="s">
        <v>90</v>
      </c>
    </row>
    <row r="6" spans="1:17">
      <c r="A6" s="4" t="s">
        <v>91</v>
      </c>
      <c r="B6" s="6">
        <f>'03_Calcs'!B16</f>
        <v>0</v>
      </c>
      <c r="C6" s="6">
        <f>'03_Calcs'!C16</f>
        <v>0</v>
      </c>
      <c r="D6" s="6">
        <f>'03_Calcs'!D16</f>
        <v>0</v>
      </c>
      <c r="E6" s="6">
        <f>'03_Calcs'!E16</f>
        <v>0</v>
      </c>
      <c r="F6" s="6">
        <f>'03_Calcs'!F16</f>
        <v>0</v>
      </c>
      <c r="G6" s="6">
        <f>'03_Calcs'!G16</f>
        <v>0</v>
      </c>
      <c r="H6" s="6">
        <f>'03_Calcs'!H16</f>
        <v>0</v>
      </c>
      <c r="I6" s="6">
        <f>'03_Calcs'!I16</f>
        <v>0</v>
      </c>
      <c r="J6" s="6">
        <f>'03_Calcs'!J16</f>
        <v>0</v>
      </c>
      <c r="K6" s="6">
        <f>'03_Calcs'!K16</f>
        <v>0</v>
      </c>
      <c r="L6" s="6">
        <f>'03_Calcs'!L16</f>
        <v>0</v>
      </c>
      <c r="M6" s="6">
        <f>'03_Calcs'!M16</f>
        <v>0</v>
      </c>
      <c r="N6" s="6">
        <f>SUM('03_Calcs'!N16:Y16)</f>
        <v>0</v>
      </c>
      <c r="O6" s="6">
        <f>SUM('03_Calcs'!Z16:AK16)</f>
        <v>0</v>
      </c>
      <c r="P6" s="6">
        <f>SUM('03_Calcs'!AL16:AW16)</f>
        <v>0</v>
      </c>
      <c r="Q6" s="6">
        <f>SUM('03_Calcs'!AX16:BI16)</f>
        <v>0</v>
      </c>
    </row>
    <row r="7" spans="1:17">
      <c r="A7" s="4" t="s">
        <v>92</v>
      </c>
      <c r="B7" s="6">
        <f>-'03_Calcs'!B18</f>
        <v>0</v>
      </c>
      <c r="C7" s="6">
        <f>-'03_Calcs'!C18</f>
        <v>0</v>
      </c>
      <c r="D7" s="6">
        <f>-'03_Calcs'!D18</f>
        <v>0</v>
      </c>
      <c r="E7" s="6">
        <f>-'03_Calcs'!E18</f>
        <v>0</v>
      </c>
      <c r="F7" s="6">
        <f>-'03_Calcs'!F18</f>
        <v>0</v>
      </c>
      <c r="G7" s="6">
        <f>-'03_Calcs'!G18</f>
        <v>0</v>
      </c>
      <c r="H7" s="6">
        <f>-'03_Calcs'!H18</f>
        <v>0</v>
      </c>
      <c r="I7" s="6">
        <f>-'03_Calcs'!I18</f>
        <v>0</v>
      </c>
      <c r="J7" s="6">
        <f>-'03_Calcs'!J18</f>
        <v>0</v>
      </c>
      <c r="K7" s="6">
        <f>-'03_Calcs'!K18</f>
        <v>0</v>
      </c>
      <c r="L7" s="6">
        <f>-'03_Calcs'!L18</f>
        <v>0</v>
      </c>
      <c r="M7" s="6">
        <f>-'03_Calcs'!M18</f>
        <v>0</v>
      </c>
      <c r="N7" s="6">
        <f>-SUM('03_Calcs'!N18:Y18)</f>
        <v>0</v>
      </c>
      <c r="O7" s="6">
        <f>-SUM('03_Calcs'!Z18:AK18)</f>
        <v>0</v>
      </c>
      <c r="P7" s="6">
        <f>-SUM('03_Calcs'!AL18:AW18)</f>
        <v>0</v>
      </c>
      <c r="Q7" s="6">
        <f>-SUM('03_Calcs'!AX18:BI18)</f>
        <v>0</v>
      </c>
    </row>
    <row r="8" spans="1:17">
      <c r="A8" s="4" t="s">
        <v>93</v>
      </c>
      <c r="B8" s="6">
        <f>-'03_Calcs'!B20</f>
        <v>0</v>
      </c>
      <c r="C8" s="6">
        <f>-'03_Calcs'!C20</f>
        <v>0</v>
      </c>
      <c r="D8" s="6">
        <f>-'03_Calcs'!D20</f>
        <v>0</v>
      </c>
      <c r="E8" s="6">
        <f>-'03_Calcs'!E20</f>
        <v>0</v>
      </c>
      <c r="F8" s="6">
        <f>-'03_Calcs'!F20</f>
        <v>0</v>
      </c>
      <c r="G8" s="6">
        <f>-'03_Calcs'!G20</f>
        <v>0</v>
      </c>
      <c r="H8" s="6">
        <f>-'03_Calcs'!H20</f>
        <v>0</v>
      </c>
      <c r="I8" s="6">
        <f>-'03_Calcs'!I20</f>
        <v>0</v>
      </c>
      <c r="J8" s="6">
        <f>-'03_Calcs'!J20</f>
        <v>0</v>
      </c>
      <c r="K8" s="6">
        <f>-'03_Calcs'!K20</f>
        <v>0</v>
      </c>
      <c r="L8" s="6">
        <f>-'03_Calcs'!L20</f>
        <v>0</v>
      </c>
      <c r="M8" s="6">
        <f>-'03_Calcs'!M20</f>
        <v>0</v>
      </c>
      <c r="N8" s="6">
        <f>-SUM('03_Calcs'!N20:Y20)</f>
        <v>0</v>
      </c>
      <c r="O8" s="6">
        <f>-SUM('03_Calcs'!Z20:AK20)</f>
        <v>0</v>
      </c>
      <c r="P8" s="6">
        <f>-SUM('03_Calcs'!AL20:AW20)</f>
        <v>0</v>
      </c>
      <c r="Q8" s="6">
        <f>-SUM('03_Calcs'!AX20:BI20)</f>
        <v>0</v>
      </c>
    </row>
    <row r="9" spans="1:17">
      <c r="A9" s="2" t="s">
        <v>94</v>
      </c>
      <c r="B9" s="6">
        <f>SUM(B6:B8)</f>
        <v>0</v>
      </c>
      <c r="C9" s="6">
        <f>SUM(C6:C8)</f>
        <v>0</v>
      </c>
      <c r="D9" s="6">
        <f>SUM(D6:D8)</f>
        <v>0</v>
      </c>
      <c r="E9" s="6">
        <f>SUM(E6:E8)</f>
        <v>0</v>
      </c>
      <c r="F9" s="6">
        <f>SUM(F6:F8)</f>
        <v>0</v>
      </c>
      <c r="G9" s="6">
        <f>SUM(G6:G8)</f>
        <v>0</v>
      </c>
      <c r="H9" s="6">
        <f>SUM(H6:H8)</f>
        <v>0</v>
      </c>
      <c r="I9" s="6">
        <f>SUM(I6:I8)</f>
        <v>0</v>
      </c>
      <c r="J9" s="6">
        <f>SUM(J6:J8)</f>
        <v>0</v>
      </c>
      <c r="K9" s="6">
        <f>SUM(K6:K8)</f>
        <v>0</v>
      </c>
      <c r="L9" s="6">
        <f>SUM(L6:L8)</f>
        <v>0</v>
      </c>
      <c r="M9" s="6">
        <f>SUM(M6:M8)</f>
        <v>0</v>
      </c>
      <c r="N9" s="6">
        <f>SUM(N6:N8)</f>
        <v>0</v>
      </c>
      <c r="O9" s="6">
        <f>SUM(O6:O8)</f>
        <v>0</v>
      </c>
      <c r="P9" s="6">
        <f>SUM(P6:P8)</f>
        <v>0</v>
      </c>
      <c r="Q9" s="6">
        <f>SUM(Q6:Q8)</f>
        <v>0</v>
      </c>
    </row>
    <row r="13" spans="1:17">
      <c r="A13" s="8" t="s">
        <v>95</v>
      </c>
      <c r="B13" s="8">
        <f>B9 * 0.7</f>
        <v>0</v>
      </c>
      <c r="C13" s="8">
        <f>C9 * 0.7</f>
        <v>0</v>
      </c>
      <c r="D13" s="8">
        <f>D9 * 0.7</f>
        <v>0</v>
      </c>
      <c r="E13" s="8">
        <f>E9 * 0.7</f>
        <v>0</v>
      </c>
      <c r="F13" s="8">
        <f>F9 * 0.7</f>
        <v>0</v>
      </c>
      <c r="G13" s="8">
        <f>G9 * 0.7</f>
        <v>0</v>
      </c>
      <c r="H13" s="8">
        <f>H9 * 0.7</f>
        <v>0</v>
      </c>
      <c r="I13" s="8">
        <f>I9 * 0.7</f>
        <v>0</v>
      </c>
      <c r="J13" s="8">
        <f>J9 * 0.7</f>
        <v>0</v>
      </c>
      <c r="K13" s="8">
        <f>K9 * 0.7</f>
        <v>0</v>
      </c>
      <c r="L13" s="8">
        <f>L9 * 0.7</f>
        <v>0</v>
      </c>
      <c r="M13" s="8">
        <f>M9 * 0.7</f>
        <v>0</v>
      </c>
      <c r="N13" s="8">
        <f>N9 * 0.7</f>
        <v>0</v>
      </c>
      <c r="O13" s="8">
        <f>O9 * 0.7</f>
        <v>0</v>
      </c>
      <c r="P13" s="8">
        <f>P9 * 0.7</f>
        <v>0</v>
      </c>
      <c r="Q13" s="8">
        <f>Q9 * 0.7</f>
        <v>0</v>
      </c>
    </row>
    <row r="20" spans="1:17">
      <c r="B20" s="6">
        <v>800000</v>
      </c>
      <c r="C20" s="6">
        <f>B21</f>
        <v>0</v>
      </c>
      <c r="D20" s="6">
        <f>C21</f>
        <v>0</v>
      </c>
      <c r="E20" s="6">
        <f>D21</f>
        <v>0</v>
      </c>
      <c r="F20" s="6">
        <f>E21</f>
        <v>0</v>
      </c>
      <c r="G20" s="6">
        <f>F21</f>
        <v>0</v>
      </c>
      <c r="H20" s="6">
        <f>G21</f>
        <v>0</v>
      </c>
      <c r="I20" s="6">
        <f>H21</f>
        <v>0</v>
      </c>
      <c r="J20" s="6">
        <f>I21</f>
        <v>0</v>
      </c>
      <c r="K20" s="6">
        <f>J21</f>
        <v>0</v>
      </c>
      <c r="L20" s="6">
        <f>K21</f>
        <v>0</v>
      </c>
      <c r="M20" s="6">
        <f>L21</f>
        <v>0</v>
      </c>
      <c r="N20" s="6">
        <f>M21</f>
        <v>0</v>
      </c>
      <c r="O20" s="6">
        <f>N21</f>
        <v>0</v>
      </c>
      <c r="P20" s="6">
        <f>O21</f>
        <v>0</v>
      </c>
      <c r="Q20" s="6">
        <f>P21</f>
        <v>0</v>
      </c>
    </row>
    <row r="21" spans="1:17">
      <c r="A21" s="8" t="s">
        <v>96</v>
      </c>
      <c r="B21" s="8">
        <f>B9*0.8 + B20</f>
        <v>0</v>
      </c>
      <c r="C21" s="8">
        <f>C9*0.8 + C20</f>
        <v>0</v>
      </c>
      <c r="D21" s="8">
        <f>D9*0.8 + D20</f>
        <v>0</v>
      </c>
      <c r="E21" s="8">
        <f>E9*0.8 + E20</f>
        <v>0</v>
      </c>
      <c r="F21" s="8">
        <f>F9*0.8 + F20</f>
        <v>0</v>
      </c>
      <c r="G21" s="8">
        <f>G9*0.8 + G20</f>
        <v>0</v>
      </c>
      <c r="H21" s="8">
        <f>H9*0.8 + H20</f>
        <v>0</v>
      </c>
      <c r="I21" s="8">
        <f>I9*0.8 + I20</f>
        <v>0</v>
      </c>
      <c r="J21" s="8">
        <f>J9*0.8 + J20</f>
        <v>0</v>
      </c>
      <c r="K21" s="8">
        <f>K9*0.8 + K20</f>
        <v>0</v>
      </c>
      <c r="L21" s="8">
        <f>L9*0.8 + L20</f>
        <v>0</v>
      </c>
      <c r="M21" s="8">
        <f>M9*0.8 + M20</f>
        <v>0</v>
      </c>
      <c r="N21" s="8">
        <f>N9*0.8 + N20</f>
        <v>0</v>
      </c>
      <c r="O21" s="8">
        <f>O9*0.8 + O20</f>
        <v>0</v>
      </c>
      <c r="P21" s="8">
        <f>P9*0.8 + P20</f>
        <v>0</v>
      </c>
      <c r="Q21" s="8">
        <f>Q9*0.8 + Q20</f>
        <v>0</v>
      </c>
    </row>
    <row r="33" spans="1:17">
      <c r="A33" s="2" t="s">
        <v>97</v>
      </c>
      <c r="B33" s="6">
        <f>B21 + 2000000 + '03_Calcs'!B24</f>
        <v>0</v>
      </c>
      <c r="C33" s="6">
        <f>C21 + 2000000 + '03_Calcs'!C24</f>
        <v>0</v>
      </c>
      <c r="D33" s="6">
        <f>D21 + 2000000 + '03_Calcs'!D24</f>
        <v>0</v>
      </c>
      <c r="E33" s="6">
        <f>E21 + 2000000 + '03_Calcs'!E24</f>
        <v>0</v>
      </c>
      <c r="F33" s="6">
        <f>F21 + 2000000 + '03_Calcs'!F24</f>
        <v>0</v>
      </c>
      <c r="G33" s="6">
        <f>G21 + 2000000 + '03_Calcs'!G24</f>
        <v>0</v>
      </c>
      <c r="H33" s="6">
        <f>H21 + 2000000 + '03_Calcs'!H24</f>
        <v>0</v>
      </c>
      <c r="I33" s="6">
        <f>I21 + 2000000 + '03_Calcs'!I24</f>
        <v>0</v>
      </c>
      <c r="J33" s="6">
        <f>J21 + 2000000 + '03_Calcs'!J24</f>
        <v>0</v>
      </c>
      <c r="K33" s="6">
        <f>K21 + 2000000 + '03_Calcs'!K24</f>
        <v>0</v>
      </c>
      <c r="L33" s="6">
        <f>L21 + 2000000 + '03_Calcs'!L24</f>
        <v>0</v>
      </c>
      <c r="M33" s="6">
        <f>M21 + 2000000 + '03_Calcs'!M24</f>
        <v>0</v>
      </c>
      <c r="N33" s="6">
        <f>N21 + 2000000 + '03_Calcs'!EP24</f>
        <v>0</v>
      </c>
      <c r="O33" s="6">
        <f>O21 + 2000000 + '03_Calcs'!FB24</f>
        <v>0</v>
      </c>
      <c r="P33" s="6">
        <f>P21 + 2000000 + '03_Calcs'!FN24</f>
        <v>0</v>
      </c>
      <c r="Q33" s="6">
        <f>Q21 + 2000000 + '03_Calcs'!FZ24</f>
        <v>0</v>
      </c>
    </row>
    <row r="36" spans="1:17">
      <c r="B36" s="6">
        <v>2800000</v>
      </c>
      <c r="C36" s="6">
        <f>B37</f>
        <v>0</v>
      </c>
      <c r="D36" s="6">
        <f>C37</f>
        <v>0</v>
      </c>
      <c r="E36" s="6">
        <f>D37</f>
        <v>0</v>
      </c>
      <c r="F36" s="6">
        <f>E37</f>
        <v>0</v>
      </c>
      <c r="G36" s="6">
        <f>F37</f>
        <v>0</v>
      </c>
      <c r="H36" s="6">
        <f>G37</f>
        <v>0</v>
      </c>
      <c r="I36" s="6">
        <f>H37</f>
        <v>0</v>
      </c>
      <c r="J36" s="6">
        <f>I37</f>
        <v>0</v>
      </c>
      <c r="K36" s="6">
        <f>J37</f>
        <v>0</v>
      </c>
      <c r="L36" s="6">
        <f>K37</f>
        <v>0</v>
      </c>
      <c r="M36" s="6">
        <f>L37</f>
        <v>0</v>
      </c>
      <c r="N36" s="6">
        <f>M37</f>
        <v>0</v>
      </c>
      <c r="O36" s="6">
        <f>N37</f>
        <v>0</v>
      </c>
      <c r="P36" s="6">
        <f>O37</f>
        <v>0</v>
      </c>
      <c r="Q36" s="6">
        <f>P37</f>
        <v>0</v>
      </c>
    </row>
    <row r="37" spans="1:17">
      <c r="A37" s="2" t="s">
        <v>98</v>
      </c>
      <c r="B37" s="6">
        <f>B36 + B13</f>
        <v>0</v>
      </c>
      <c r="C37" s="6">
        <f>C36 + C13</f>
        <v>0</v>
      </c>
      <c r="D37" s="6">
        <f>D36 + D13</f>
        <v>0</v>
      </c>
      <c r="E37" s="6">
        <f>E36 + E13</f>
        <v>0</v>
      </c>
      <c r="F37" s="6">
        <f>F36 + F13</f>
        <v>0</v>
      </c>
      <c r="G37" s="6">
        <f>G36 + G13</f>
        <v>0</v>
      </c>
      <c r="H37" s="6">
        <f>H36 + H13</f>
        <v>0</v>
      </c>
      <c r="I37" s="6">
        <f>I36 + I13</f>
        <v>0</v>
      </c>
      <c r="J37" s="6">
        <f>J36 + J13</f>
        <v>0</v>
      </c>
      <c r="K37" s="6">
        <f>K36 + K13</f>
        <v>0</v>
      </c>
      <c r="L37" s="6">
        <f>L36 + L13</f>
        <v>0</v>
      </c>
      <c r="M37" s="6">
        <f>M36 + M13</f>
        <v>0</v>
      </c>
      <c r="N37" s="6">
        <f>N36 + N13</f>
        <v>0</v>
      </c>
      <c r="O37" s="6">
        <f>O36 + O13</f>
        <v>0</v>
      </c>
      <c r="P37" s="6">
        <f>P36 + P13</f>
        <v>0</v>
      </c>
      <c r="Q37" s="6">
        <f>Q36 + Q13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40.7109375" customWidth="1"/>
  </cols>
  <sheetData>
    <row r="1" spans="1:2">
      <c r="A1" s="1" t="s">
        <v>99</v>
      </c>
    </row>
    <row r="4" spans="1:2">
      <c r="A4" s="4" t="s">
        <v>100</v>
      </c>
      <c r="B4" s="9">
        <f>IF(ABS(Q33-Q37)&lt;100, 'PASS', 'FAIL')</f>
        <v>0</v>
      </c>
    </row>
    <row r="5" spans="1:2">
      <c r="A5" s="4" t="s">
        <v>101</v>
      </c>
      <c r="B5" s="9">
        <f>IF(MIN('04_Outputs'!B21:Q21)&gt;500000, 'PASS', 'FAIL')</f>
        <v>0</v>
      </c>
    </row>
    <row r="6" spans="1:2">
      <c r="A6" s="4" t="s">
        <v>102</v>
      </c>
      <c r="B6" s="9">
        <f>IF(AVERAGE('04_Outputs'!B9:M9)/10000 &gt; 4, 'PASS', 'FAIL')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01_Control</vt:lpstr>
      <vt:lpstr>02_Inputs</vt:lpstr>
      <vt:lpstr>03_Calcs</vt:lpstr>
      <vt:lpstr>04_Outputs</vt:lpstr>
      <vt:lpstr>05_Dashboard</vt:lpstr>
      <vt:lpstr>06_Checks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2026-02-19T05:07:54Z</dcterms:created>
  <dcterms:modified xsi:type="dcterms:W3CDTF">2026-02-19T05:07:54Z</dcterms:modified>
</cp:coreProperties>
</file>