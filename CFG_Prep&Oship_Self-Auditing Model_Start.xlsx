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codeName="ThisWorkbook"/>
  <xr:revisionPtr revIDLastSave="0" documentId="11_E53C926B2098B0BBF4CDE8D691323713CD40C358" xr6:coauthVersionLast="47" xr6:coauthVersionMax="47" xr10:uidLastSave="{00000000-0000-0000-0000-000000000000}"/>
  <bookViews>
    <workbookView xWindow="24540" yWindow="-120" windowWidth="26625" windowHeight="12195" tabRatio="761" xr2:uid="{00000000-000D-0000-FFFF-FFFF00000000}"/>
  </bookViews>
  <sheets>
    <sheet name=" " sheetId="71" r:id="rId1"/>
    <sheet name="QCF" sheetId="67" r:id="rId2"/>
    <sheet name="Inputs" sheetId="1" r:id="rId3"/>
    <sheet name="Cons" sheetId="65" r:id="rId4"/>
    <sheet name="Ops" sheetId="66" r:id="rId5"/>
    <sheet name="Debt" sheetId="68" r:id="rId6"/>
    <sheet name="Timing" sheetId="64" r:id="rId7"/>
    <sheet name="L&amp;N" sheetId="3" r:id="rId8"/>
  </sheets>
  <definedNames>
    <definedName name="COD">Inputs!$E$14</definedName>
    <definedName name="Days_Year">'L&amp;N'!$E$30</definedName>
    <definedName name="Million">'L&amp;N'!$E$35</definedName>
    <definedName name="Model_Start">Inputs!$E$6</definedName>
    <definedName name="Months_Qtr">'L&amp;N'!$E$33</definedName>
    <definedName name="Months_Yr">'L&amp;N'!$E$31</definedName>
    <definedName name="Name_Course">'L&amp;N'!$E$26</definedName>
    <definedName name="Name_Model">'L&amp;N'!$E$27</definedName>
    <definedName name="_xlnm.Print_Area" localSheetId="2">Inputs!$C$4:$N$24</definedName>
    <definedName name="_xlnm.Print_Area" localSheetId="7">'L&amp;N'!$A$1:$J$34</definedName>
    <definedName name="Qtrs_Yr">'L&amp;N'!$E$32</definedName>
  </definedNames>
  <calcPr calcId="125725" calcMode="autoNoTable" iterateCount="20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1" l="1"/>
  <c r="H62" i="1"/>
  <c r="G62" i="1"/>
  <c r="I31" i="1"/>
  <c r="H31" i="1"/>
  <c r="G31" i="1"/>
  <c r="J40" i="66" l="1"/>
  <c r="BI26" i="66"/>
  <c r="BH26" i="66"/>
  <c r="BG26" i="66"/>
  <c r="BF26" i="66"/>
  <c r="BE26" i="66"/>
  <c r="BD26" i="66"/>
  <c r="BC26" i="66"/>
  <c r="BB26" i="66"/>
  <c r="BA26" i="66"/>
  <c r="AZ26" i="66"/>
  <c r="AY26" i="66"/>
  <c r="AX26" i="66"/>
  <c r="AW26" i="66"/>
  <c r="AV26" i="66"/>
  <c r="AU26" i="66"/>
  <c r="AT26" i="66"/>
  <c r="AS26" i="66"/>
  <c r="AR26" i="66"/>
  <c r="AQ26" i="66"/>
  <c r="AP26" i="66"/>
  <c r="AO26" i="66"/>
  <c r="AN26" i="66"/>
  <c r="AM26" i="66"/>
  <c r="AL26" i="66"/>
  <c r="AK26" i="66"/>
  <c r="AJ26" i="66"/>
  <c r="AI26" i="66"/>
  <c r="AH26" i="66"/>
  <c r="AG26" i="66"/>
  <c r="AF26" i="66"/>
  <c r="AE26" i="66"/>
  <c r="AD26" i="66"/>
  <c r="AC26" i="66"/>
  <c r="AB26" i="66"/>
  <c r="AA26" i="66"/>
  <c r="Z26" i="66"/>
  <c r="Y26" i="66"/>
  <c r="X26" i="66"/>
  <c r="W26" i="66"/>
  <c r="V26" i="66"/>
  <c r="U26" i="66"/>
  <c r="T26" i="66"/>
  <c r="S26" i="66"/>
  <c r="R26" i="66"/>
  <c r="Q26" i="66"/>
  <c r="P26" i="66"/>
  <c r="O26" i="66"/>
  <c r="N26" i="66"/>
  <c r="M26" i="66"/>
  <c r="L26" i="66"/>
  <c r="K26" i="66"/>
  <c r="J26" i="66"/>
  <c r="F62" i="1"/>
  <c r="F31" i="1"/>
  <c r="AJ15" i="66"/>
  <c r="AK15" i="66" s="1"/>
  <c r="AL15" i="66" s="1"/>
  <c r="AM15" i="66" s="1"/>
  <c r="AN15" i="66" s="1"/>
  <c r="AO15" i="66" s="1"/>
  <c r="AP15" i="66" s="1"/>
  <c r="AQ15" i="66" s="1"/>
  <c r="AR15" i="66" s="1"/>
  <c r="AS15" i="66" s="1"/>
  <c r="AT15" i="66" s="1"/>
  <c r="AU15" i="66" s="1"/>
  <c r="AV15" i="66" s="1"/>
  <c r="AW15" i="66" s="1"/>
  <c r="AX15" i="66" s="1"/>
  <c r="AY15" i="66" s="1"/>
  <c r="AZ15" i="66" s="1"/>
  <c r="BA15" i="66" s="1"/>
  <c r="BB15" i="66" s="1"/>
  <c r="BC15" i="66" s="1"/>
  <c r="BD15" i="66" s="1"/>
  <c r="BE15" i="66" s="1"/>
  <c r="BF15" i="66" s="1"/>
  <c r="BG15" i="66" s="1"/>
  <c r="BH15" i="66" s="1"/>
  <c r="BI15" i="66" s="1"/>
  <c r="AI15" i="66"/>
  <c r="AH15" i="66"/>
  <c r="BI25" i="66"/>
  <c r="BH25" i="66"/>
  <c r="BG25" i="66"/>
  <c r="BF25" i="66"/>
  <c r="BE25" i="66"/>
  <c r="BD25" i="66"/>
  <c r="BC25" i="66"/>
  <c r="BB25" i="66"/>
  <c r="BA25" i="66"/>
  <c r="AZ25" i="66"/>
  <c r="AY25" i="66"/>
  <c r="AX25" i="66"/>
  <c r="AW25" i="66"/>
  <c r="AV25" i="66"/>
  <c r="AU25" i="66"/>
  <c r="AT25" i="66"/>
  <c r="AS25" i="66"/>
  <c r="AR25" i="66"/>
  <c r="AQ25" i="66"/>
  <c r="AP25" i="66"/>
  <c r="AO25" i="66"/>
  <c r="AN25" i="66"/>
  <c r="AM25" i="66"/>
  <c r="AL25" i="66"/>
  <c r="AK25" i="66"/>
  <c r="AJ25" i="66"/>
  <c r="AI25" i="66"/>
  <c r="AH25" i="66"/>
  <c r="AG25" i="66"/>
  <c r="AF25" i="66"/>
  <c r="AE25" i="66"/>
  <c r="AD25" i="66"/>
  <c r="AC25" i="66"/>
  <c r="AB25" i="66"/>
  <c r="AA25" i="66"/>
  <c r="Z25" i="66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K25" i="66"/>
  <c r="J25" i="66"/>
  <c r="BI24" i="66"/>
  <c r="BH24" i="66"/>
  <c r="BG24" i="66"/>
  <c r="BF24" i="66"/>
  <c r="BE24" i="66"/>
  <c r="BD24" i="66"/>
  <c r="BC24" i="66"/>
  <c r="BB24" i="66"/>
  <c r="BA24" i="66"/>
  <c r="AZ24" i="66"/>
  <c r="AY24" i="66"/>
  <c r="AX24" i="66"/>
  <c r="AW24" i="66"/>
  <c r="AV24" i="66"/>
  <c r="AU24" i="66"/>
  <c r="AT24" i="66"/>
  <c r="AS24" i="66"/>
  <c r="AR24" i="66"/>
  <c r="AQ24" i="66"/>
  <c r="AP24" i="66"/>
  <c r="AO24" i="66"/>
  <c r="AN24" i="66"/>
  <c r="AM24" i="66"/>
  <c r="AL24" i="66"/>
  <c r="AK24" i="66"/>
  <c r="AJ24" i="66"/>
  <c r="AI24" i="66"/>
  <c r="AH24" i="66"/>
  <c r="AG24" i="66"/>
  <c r="AF24" i="66"/>
  <c r="AE24" i="66"/>
  <c r="AD24" i="66"/>
  <c r="AC24" i="66"/>
  <c r="AB24" i="66"/>
  <c r="AA24" i="66"/>
  <c r="Z24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BI23" i="66"/>
  <c r="BH23" i="66"/>
  <c r="BG23" i="66"/>
  <c r="BF23" i="66"/>
  <c r="BE23" i="66"/>
  <c r="BD23" i="66"/>
  <c r="BC23" i="66"/>
  <c r="BB23" i="66"/>
  <c r="BA23" i="66"/>
  <c r="AZ23" i="66"/>
  <c r="AY23" i="66"/>
  <c r="AX23" i="66"/>
  <c r="AW23" i="66"/>
  <c r="AV23" i="66"/>
  <c r="AU23" i="66"/>
  <c r="AT23" i="66"/>
  <c r="AS23" i="66"/>
  <c r="AR23" i="66"/>
  <c r="AQ23" i="66"/>
  <c r="AP23" i="66"/>
  <c r="AO23" i="66"/>
  <c r="AN23" i="66"/>
  <c r="AM23" i="66"/>
  <c r="AL23" i="66"/>
  <c r="AK23" i="66"/>
  <c r="AJ23" i="66"/>
  <c r="AI23" i="66"/>
  <c r="AH23" i="66"/>
  <c r="AG23" i="66"/>
  <c r="AF23" i="66"/>
  <c r="AE23" i="66"/>
  <c r="AD23" i="66"/>
  <c r="AC23" i="66"/>
  <c r="AB23" i="66"/>
  <c r="AA23" i="66"/>
  <c r="Z23" i="66"/>
  <c r="Y23" i="66"/>
  <c r="X23" i="66"/>
  <c r="W23" i="66"/>
  <c r="V23" i="66"/>
  <c r="U23" i="66"/>
  <c r="T23" i="66"/>
  <c r="S23" i="66"/>
  <c r="R23" i="66"/>
  <c r="Q23" i="66"/>
  <c r="P23" i="66"/>
  <c r="O23" i="66"/>
  <c r="N23" i="66"/>
  <c r="M23" i="66"/>
  <c r="L23" i="66"/>
  <c r="K23" i="66"/>
  <c r="J23" i="66"/>
  <c r="BI32" i="66"/>
  <c r="BH32" i="66"/>
  <c r="BG32" i="66"/>
  <c r="BF32" i="66"/>
  <c r="BE32" i="66"/>
  <c r="BD32" i="66"/>
  <c r="BC32" i="66"/>
  <c r="BB32" i="66"/>
  <c r="BA32" i="66"/>
  <c r="AZ32" i="66"/>
  <c r="AY32" i="66"/>
  <c r="AX32" i="66"/>
  <c r="AW32" i="66"/>
  <c r="AV32" i="66"/>
  <c r="AU32" i="66"/>
  <c r="AT32" i="66"/>
  <c r="AS32" i="66"/>
  <c r="AR32" i="66"/>
  <c r="AQ32" i="66"/>
  <c r="AP32" i="66"/>
  <c r="AO32" i="66"/>
  <c r="AN32" i="66"/>
  <c r="AM32" i="66"/>
  <c r="AL32" i="66"/>
  <c r="AK32" i="66"/>
  <c r="AJ32" i="66"/>
  <c r="AI32" i="66"/>
  <c r="AH32" i="66"/>
  <c r="AG32" i="66"/>
  <c r="AF32" i="66"/>
  <c r="AE32" i="66"/>
  <c r="AD32" i="66"/>
  <c r="AC32" i="66"/>
  <c r="AB32" i="66"/>
  <c r="AA32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BI31" i="66"/>
  <c r="BH31" i="66"/>
  <c r="BG31" i="66"/>
  <c r="BF31" i="66"/>
  <c r="BE31" i="66"/>
  <c r="BD31" i="66"/>
  <c r="BC31" i="66"/>
  <c r="BB31" i="66"/>
  <c r="BA31" i="66"/>
  <c r="AZ31" i="66"/>
  <c r="AY31" i="66"/>
  <c r="AX31" i="66"/>
  <c r="AW31" i="66"/>
  <c r="AV31" i="66"/>
  <c r="AU31" i="66"/>
  <c r="AT31" i="66"/>
  <c r="AS31" i="66"/>
  <c r="AR31" i="66"/>
  <c r="AQ31" i="66"/>
  <c r="AP31" i="66"/>
  <c r="AO31" i="66"/>
  <c r="AN31" i="66"/>
  <c r="AM31" i="66"/>
  <c r="AL31" i="66"/>
  <c r="AK31" i="66"/>
  <c r="AJ31" i="66"/>
  <c r="AI31" i="66"/>
  <c r="AH31" i="66"/>
  <c r="AG31" i="66"/>
  <c r="AF31" i="66"/>
  <c r="AE31" i="66"/>
  <c r="AD31" i="66"/>
  <c r="AC31" i="66"/>
  <c r="AB31" i="66"/>
  <c r="AA31" i="66"/>
  <c r="Z31" i="66"/>
  <c r="Y31" i="66"/>
  <c r="X31" i="66"/>
  <c r="W31" i="66"/>
  <c r="V31" i="66"/>
  <c r="U31" i="66"/>
  <c r="T31" i="66"/>
  <c r="S31" i="66"/>
  <c r="R31" i="66"/>
  <c r="Q31" i="66"/>
  <c r="P31" i="66"/>
  <c r="O31" i="66"/>
  <c r="N31" i="66"/>
  <c r="M31" i="66"/>
  <c r="L31" i="66"/>
  <c r="K31" i="66"/>
  <c r="J31" i="66"/>
  <c r="H8" i="71" l="1"/>
  <c r="H7" i="71"/>
  <c r="A2" i="67"/>
  <c r="A2" i="1"/>
  <c r="A2" i="65"/>
  <c r="A2" i="66"/>
  <c r="A2" i="68"/>
  <c r="A2" i="64"/>
  <c r="A2" i="3"/>
  <c r="I57" i="66" l="1"/>
  <c r="J46" i="67"/>
  <c r="E58" i="1"/>
  <c r="E34" i="68" s="1"/>
  <c r="E23" i="1"/>
  <c r="F28" i="1"/>
  <c r="G28" i="1" s="1"/>
  <c r="H28" i="1" s="1"/>
  <c r="I28" i="1" s="1"/>
  <c r="J28" i="1" s="1"/>
  <c r="K28" i="1" s="1"/>
  <c r="L28" i="1" s="1"/>
  <c r="M28" i="1" s="1"/>
  <c r="N28" i="1" s="1"/>
  <c r="F42" i="1"/>
  <c r="G42" i="1" s="1"/>
  <c r="H42" i="1" s="1"/>
  <c r="I42" i="1" s="1"/>
  <c r="J42" i="1" s="1"/>
  <c r="K42" i="1" s="1"/>
  <c r="L42" i="1" s="1"/>
  <c r="M42" i="1" s="1"/>
  <c r="N42" i="1" s="1"/>
  <c r="F36" i="1"/>
  <c r="G36" i="1" s="1"/>
  <c r="H36" i="1" s="1"/>
  <c r="I36" i="1" s="1"/>
  <c r="J36" i="1" s="1"/>
  <c r="K36" i="1" s="1"/>
  <c r="L36" i="1" s="1"/>
  <c r="M36" i="1" s="1"/>
  <c r="N36" i="1" s="1"/>
  <c r="C25" i="66" l="1"/>
  <c r="C24" i="66"/>
  <c r="F27" i="1"/>
  <c r="G27" i="1" s="1"/>
  <c r="H27" i="1" s="1"/>
  <c r="I27" i="1" s="1"/>
  <c r="J27" i="1" s="1"/>
  <c r="K27" i="1" s="1"/>
  <c r="L27" i="1" s="1"/>
  <c r="M27" i="1" s="1"/>
  <c r="N27" i="1" s="1"/>
  <c r="J49" i="66" l="1"/>
  <c r="A4" i="67"/>
  <c r="A5" i="67"/>
  <c r="A6" i="67"/>
  <c r="A7" i="67"/>
  <c r="J19" i="68"/>
  <c r="J45" i="68" s="1"/>
  <c r="C12" i="68"/>
  <c r="C11" i="68"/>
  <c r="C10" i="68"/>
  <c r="C9" i="68"/>
  <c r="A7" i="68"/>
  <c r="A6" i="68"/>
  <c r="A5" i="68"/>
  <c r="A4" i="68"/>
  <c r="C25" i="67"/>
  <c r="C24" i="67"/>
  <c r="C31" i="66"/>
  <c r="C38" i="66" s="1"/>
  <c r="C32" i="66"/>
  <c r="C39" i="66" s="1"/>
  <c r="C30" i="66"/>
  <c r="C37" i="66" s="1"/>
  <c r="C23" i="66"/>
  <c r="C11" i="66" l="1"/>
  <c r="C10" i="66"/>
  <c r="C9" i="66"/>
  <c r="A7" i="66"/>
  <c r="A6" i="66"/>
  <c r="A5" i="66"/>
  <c r="A4" i="66"/>
  <c r="C12" i="65"/>
  <c r="E44" i="65"/>
  <c r="E40" i="65"/>
  <c r="J35" i="65"/>
  <c r="E19" i="65"/>
  <c r="C16" i="65"/>
  <c r="C19" i="65" s="1"/>
  <c r="C11" i="65"/>
  <c r="C10" i="65"/>
  <c r="C9" i="65"/>
  <c r="A4" i="65"/>
  <c r="A5" i="65"/>
  <c r="A6" i="65"/>
  <c r="A7" i="65"/>
  <c r="I5" i="64"/>
  <c r="E9" i="1"/>
  <c r="E6" i="64" s="1"/>
  <c r="I5" i="68" l="1"/>
  <c r="I5" i="67"/>
  <c r="I5" i="65"/>
  <c r="J4" i="64"/>
  <c r="I5" i="66"/>
  <c r="J4" i="67" l="1"/>
  <c r="J4" i="68"/>
  <c r="J5" i="64"/>
  <c r="J4" i="66"/>
  <c r="J4" i="65"/>
  <c r="G22" i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E11" i="1"/>
  <c r="E37" i="65" s="1"/>
  <c r="J5" i="67" l="1"/>
  <c r="J10" i="67" s="1"/>
  <c r="J5" i="68"/>
  <c r="J14" i="64"/>
  <c r="J5" i="66"/>
  <c r="J5" i="65"/>
  <c r="J37" i="65" s="1"/>
  <c r="J20" i="68" s="1"/>
  <c r="K4" i="64"/>
  <c r="J13" i="64"/>
  <c r="F6" i="64"/>
  <c r="J6" i="64" s="1"/>
  <c r="E14" i="1"/>
  <c r="G55" i="1" s="1"/>
  <c r="J6" i="67" l="1"/>
  <c r="J6" i="68"/>
  <c r="J12" i="68"/>
  <c r="K4" i="67"/>
  <c r="K4" i="68"/>
  <c r="J11" i="68"/>
  <c r="J6" i="66"/>
  <c r="J6" i="65"/>
  <c r="J40" i="65" s="1"/>
  <c r="J11" i="66"/>
  <c r="J11" i="65"/>
  <c r="J43" i="65" s="1"/>
  <c r="J12" i="65"/>
  <c r="K5" i="64"/>
  <c r="K6" i="64" s="1"/>
  <c r="K4" i="66"/>
  <c r="K4" i="65"/>
  <c r="E7" i="64"/>
  <c r="J10" i="64"/>
  <c r="E16" i="1"/>
  <c r="E16" i="68"/>
  <c r="J25" i="68" l="1"/>
  <c r="K6" i="67"/>
  <c r="K6" i="68"/>
  <c r="K6" i="66"/>
  <c r="K5" i="67"/>
  <c r="K10" i="67" s="1"/>
  <c r="K5" i="68"/>
  <c r="J10" i="65"/>
  <c r="K5" i="66"/>
  <c r="K14" i="64"/>
  <c r="K5" i="65"/>
  <c r="K37" i="65" s="1"/>
  <c r="K20" i="68" s="1"/>
  <c r="L4" i="64"/>
  <c r="K13" i="64"/>
  <c r="J44" i="65"/>
  <c r="J45" i="65" s="1"/>
  <c r="F7" i="64"/>
  <c r="K7" i="64" s="1"/>
  <c r="H55" i="1"/>
  <c r="F16" i="68" s="1"/>
  <c r="J16" i="68" s="1"/>
  <c r="K16" i="68" l="1"/>
  <c r="K7" i="67"/>
  <c r="K7" i="68"/>
  <c r="K7" i="66"/>
  <c r="K6" i="65"/>
  <c r="K44" i="65" s="1"/>
  <c r="J46" i="65"/>
  <c r="J48" i="65" s="1"/>
  <c r="J24" i="65" s="1"/>
  <c r="L4" i="67"/>
  <c r="K12" i="68"/>
  <c r="L4" i="68"/>
  <c r="K11" i="68"/>
  <c r="K10" i="64"/>
  <c r="K7" i="65"/>
  <c r="K11" i="66"/>
  <c r="K18" i="66" s="1"/>
  <c r="K11" i="65"/>
  <c r="K43" i="65" s="1"/>
  <c r="J7" i="64"/>
  <c r="L4" i="66"/>
  <c r="L4" i="65"/>
  <c r="L5" i="64"/>
  <c r="L7" i="64" s="1"/>
  <c r="K12" i="65"/>
  <c r="J16" i="65"/>
  <c r="J19" i="65" s="1"/>
  <c r="J23" i="65" s="1"/>
  <c r="K25" i="68" l="1"/>
  <c r="K45" i="65"/>
  <c r="K46" i="65" s="1"/>
  <c r="L7" i="67"/>
  <c r="L7" i="66"/>
  <c r="L7" i="68"/>
  <c r="L6" i="64"/>
  <c r="J7" i="67"/>
  <c r="J7" i="68"/>
  <c r="J11" i="64"/>
  <c r="J12" i="64" s="1"/>
  <c r="J25" i="67"/>
  <c r="L5" i="67"/>
  <c r="L10" i="67" s="1"/>
  <c r="L5" i="68"/>
  <c r="L16" i="68" s="1"/>
  <c r="K10" i="65"/>
  <c r="K11" i="64"/>
  <c r="K12" i="64" s="1"/>
  <c r="L5" i="66"/>
  <c r="L14" i="64"/>
  <c r="L5" i="65"/>
  <c r="L37" i="65" s="1"/>
  <c r="L20" i="68" s="1"/>
  <c r="L13" i="64"/>
  <c r="M4" i="64"/>
  <c r="J7" i="66"/>
  <c r="J7" i="65"/>
  <c r="BI30" i="66" l="1"/>
  <c r="BE30" i="66"/>
  <c r="BA30" i="66"/>
  <c r="AW30" i="66"/>
  <c r="AS30" i="66"/>
  <c r="AO30" i="66"/>
  <c r="AK30" i="66"/>
  <c r="AG30" i="66"/>
  <c r="AC30" i="66"/>
  <c r="Y30" i="66"/>
  <c r="U30" i="66"/>
  <c r="Q30" i="66"/>
  <c r="M30" i="66"/>
  <c r="BH30" i="66"/>
  <c r="BD30" i="66"/>
  <c r="AZ30" i="66"/>
  <c r="AV30" i="66"/>
  <c r="AR30" i="66"/>
  <c r="AN30" i="66"/>
  <c r="AJ30" i="66"/>
  <c r="AF30" i="66"/>
  <c r="AB30" i="66"/>
  <c r="X30" i="66"/>
  <c r="T30" i="66"/>
  <c r="P30" i="66"/>
  <c r="L30" i="66"/>
  <c r="BG30" i="66"/>
  <c r="BC30" i="66"/>
  <c r="AY30" i="66"/>
  <c r="AU30" i="66"/>
  <c r="AQ30" i="66"/>
  <c r="AM30" i="66"/>
  <c r="AI30" i="66"/>
  <c r="AE30" i="66"/>
  <c r="AA30" i="66"/>
  <c r="W30" i="66"/>
  <c r="S30" i="66"/>
  <c r="O30" i="66"/>
  <c r="K30" i="66"/>
  <c r="BF30" i="66"/>
  <c r="BB30" i="66"/>
  <c r="AX30" i="66"/>
  <c r="AT30" i="66"/>
  <c r="AP30" i="66"/>
  <c r="AL30" i="66"/>
  <c r="AH30" i="66"/>
  <c r="AD30" i="66"/>
  <c r="Z30" i="66"/>
  <c r="V30" i="66"/>
  <c r="R30" i="66"/>
  <c r="N30" i="66"/>
  <c r="J30" i="66"/>
  <c r="J18" i="66"/>
  <c r="L6" i="67"/>
  <c r="L6" i="66"/>
  <c r="L6" i="68"/>
  <c r="L12" i="68"/>
  <c r="J10" i="68"/>
  <c r="M4" i="67"/>
  <c r="K10" i="68"/>
  <c r="M4" i="68"/>
  <c r="L11" i="68"/>
  <c r="K16" i="65"/>
  <c r="K19" i="65" s="1"/>
  <c r="K23" i="65" s="1"/>
  <c r="L11" i="66"/>
  <c r="L18" i="66" s="1"/>
  <c r="L11" i="65"/>
  <c r="L43" i="65" s="1"/>
  <c r="L12" i="65"/>
  <c r="L6" i="65"/>
  <c r="L10" i="64"/>
  <c r="K10" i="66"/>
  <c r="M4" i="66"/>
  <c r="M4" i="65"/>
  <c r="M5" i="64"/>
  <c r="M6" i="64" s="1"/>
  <c r="J10" i="66"/>
  <c r="L7" i="65"/>
  <c r="L11" i="64"/>
  <c r="J43" i="66" l="1"/>
  <c r="J15" i="66"/>
  <c r="K15" i="66"/>
  <c r="K19" i="66" s="1"/>
  <c r="L25" i="68"/>
  <c r="J26" i="68"/>
  <c r="J27" i="68" s="1"/>
  <c r="J28" i="68" s="1"/>
  <c r="J30" i="68" s="1"/>
  <c r="K26" i="68"/>
  <c r="K27" i="68" s="1"/>
  <c r="K28" i="68" s="1"/>
  <c r="M6" i="67"/>
  <c r="M6" i="68"/>
  <c r="M6" i="66"/>
  <c r="M7" i="64"/>
  <c r="K35" i="66"/>
  <c r="K39" i="66" s="1"/>
  <c r="M5" i="67"/>
  <c r="M10" i="67" s="1"/>
  <c r="M5" i="68"/>
  <c r="M16" i="68" s="1"/>
  <c r="K24" i="67"/>
  <c r="L10" i="65"/>
  <c r="L12" i="64"/>
  <c r="M5" i="66"/>
  <c r="M14" i="64"/>
  <c r="M5" i="65"/>
  <c r="M37" i="65" s="1"/>
  <c r="M20" i="68" s="1"/>
  <c r="M13" i="64"/>
  <c r="N4" i="64"/>
  <c r="L44" i="65"/>
  <c r="L45" i="65" s="1"/>
  <c r="K43" i="66" l="1"/>
  <c r="J19" i="66"/>
  <c r="J35" i="66"/>
  <c r="M7" i="66"/>
  <c r="M7" i="68"/>
  <c r="M7" i="67"/>
  <c r="M7" i="65"/>
  <c r="J41" i="68"/>
  <c r="K37" i="66"/>
  <c r="K38" i="66"/>
  <c r="K17" i="67"/>
  <c r="J37" i="67"/>
  <c r="M12" i="68"/>
  <c r="M11" i="64"/>
  <c r="N4" i="67"/>
  <c r="L10" i="68"/>
  <c r="M11" i="68"/>
  <c r="N4" i="68"/>
  <c r="L46" i="65"/>
  <c r="M11" i="66"/>
  <c r="M18" i="66" s="1"/>
  <c r="M11" i="65"/>
  <c r="M43" i="65" s="1"/>
  <c r="M12" i="65"/>
  <c r="M6" i="65"/>
  <c r="M10" i="64"/>
  <c r="L10" i="66"/>
  <c r="N4" i="66"/>
  <c r="N4" i="65"/>
  <c r="N5" i="64"/>
  <c r="N7" i="64" s="1"/>
  <c r="L16" i="65"/>
  <c r="L19" i="65" s="1"/>
  <c r="L23" i="65" s="1"/>
  <c r="J39" i="66" l="1"/>
  <c r="J37" i="66"/>
  <c r="J38" i="66"/>
  <c r="L15" i="66"/>
  <c r="M25" i="68"/>
  <c r="L26" i="68"/>
  <c r="L27" i="68" s="1"/>
  <c r="L28" i="68" s="1"/>
  <c r="N7" i="67"/>
  <c r="N7" i="68"/>
  <c r="N7" i="66"/>
  <c r="N6" i="64"/>
  <c r="L35" i="66"/>
  <c r="L39" i="66" s="1"/>
  <c r="M12" i="64"/>
  <c r="M10" i="68" s="1"/>
  <c r="N5" i="67"/>
  <c r="N10" i="67" s="1"/>
  <c r="N5" i="68"/>
  <c r="N16" i="68" s="1"/>
  <c r="J17" i="67"/>
  <c r="K14" i="67"/>
  <c r="M10" i="65"/>
  <c r="N14" i="64"/>
  <c r="N5" i="66"/>
  <c r="N5" i="65"/>
  <c r="N37" i="65" s="1"/>
  <c r="N20" i="68" s="1"/>
  <c r="O4" i="64"/>
  <c r="N13" i="64"/>
  <c r="J24" i="67"/>
  <c r="M44" i="65"/>
  <c r="M45" i="65" s="1"/>
  <c r="L19" i="66" l="1"/>
  <c r="L43" i="66"/>
  <c r="L17" i="67" s="1"/>
  <c r="M26" i="68"/>
  <c r="M27" i="68" s="1"/>
  <c r="M28" i="68" s="1"/>
  <c r="N6" i="67"/>
  <c r="N6" i="68"/>
  <c r="N6" i="66"/>
  <c r="N7" i="65"/>
  <c r="L38" i="66"/>
  <c r="L37" i="66"/>
  <c r="M10" i="66"/>
  <c r="N11" i="64"/>
  <c r="O4" i="67"/>
  <c r="N12" i="68"/>
  <c r="N11" i="68"/>
  <c r="J26" i="67"/>
  <c r="O4" i="68"/>
  <c r="M46" i="65"/>
  <c r="O4" i="66"/>
  <c r="O4" i="65"/>
  <c r="O5" i="64"/>
  <c r="O6" i="64" s="1"/>
  <c r="N6" i="65"/>
  <c r="N10" i="64"/>
  <c r="N11" i="66"/>
  <c r="N18" i="66" s="1"/>
  <c r="N11" i="65"/>
  <c r="N43" i="65" s="1"/>
  <c r="N12" i="65"/>
  <c r="M16" i="65"/>
  <c r="M19" i="65" s="1"/>
  <c r="M23" i="65" s="1"/>
  <c r="J25" i="65"/>
  <c r="M15" i="66" l="1"/>
  <c r="M35" i="66" s="1"/>
  <c r="M39" i="66" s="1"/>
  <c r="N25" i="68"/>
  <c r="O6" i="67"/>
  <c r="O6" i="66"/>
  <c r="O6" i="68"/>
  <c r="O7" i="64"/>
  <c r="J28" i="65"/>
  <c r="N12" i="64"/>
  <c r="N10" i="68" s="1"/>
  <c r="O5" i="67"/>
  <c r="O10" i="67" s="1"/>
  <c r="K40" i="66"/>
  <c r="K44" i="66" s="1"/>
  <c r="O5" i="68"/>
  <c r="O16" i="68" s="1"/>
  <c r="J14" i="67"/>
  <c r="O5" i="66"/>
  <c r="O14" i="64"/>
  <c r="O5" i="65"/>
  <c r="O37" i="65" s="1"/>
  <c r="O20" i="68" s="1"/>
  <c r="O13" i="64"/>
  <c r="P4" i="64"/>
  <c r="N10" i="65"/>
  <c r="N44" i="65"/>
  <c r="N45" i="65" s="1"/>
  <c r="M43" i="66" l="1"/>
  <c r="M17" i="67" s="1"/>
  <c r="M19" i="66"/>
  <c r="M14" i="67" s="1"/>
  <c r="N26" i="68"/>
  <c r="N27" i="68" s="1"/>
  <c r="N28" i="68" s="1"/>
  <c r="O7" i="67"/>
  <c r="O7" i="68"/>
  <c r="O7" i="66"/>
  <c r="K45" i="66"/>
  <c r="J29" i="65"/>
  <c r="M38" i="66"/>
  <c r="M37" i="66"/>
  <c r="N46" i="65"/>
  <c r="N10" i="66"/>
  <c r="K18" i="67"/>
  <c r="K19" i="67" s="1"/>
  <c r="K21" i="67" s="1"/>
  <c r="O12" i="68"/>
  <c r="P4" i="67"/>
  <c r="O11" i="68"/>
  <c r="P4" i="68"/>
  <c r="O7" i="65"/>
  <c r="O11" i="64"/>
  <c r="O6" i="65"/>
  <c r="O10" i="64"/>
  <c r="O11" i="66"/>
  <c r="O11" i="65"/>
  <c r="O43" i="65" s="1"/>
  <c r="O12" i="65"/>
  <c r="N16" i="65"/>
  <c r="N19" i="65" s="1"/>
  <c r="N23" i="65" s="1"/>
  <c r="P4" i="66"/>
  <c r="P4" i="65"/>
  <c r="P5" i="64"/>
  <c r="P6" i="64" s="1"/>
  <c r="O18" i="66" l="1"/>
  <c r="N15" i="66"/>
  <c r="O25" i="68"/>
  <c r="P6" i="68"/>
  <c r="P6" i="67"/>
  <c r="P6" i="66"/>
  <c r="P7" i="64"/>
  <c r="P5" i="68"/>
  <c r="P16" i="68" s="1"/>
  <c r="P5" i="67"/>
  <c r="P10" i="67" s="1"/>
  <c r="L14" i="67"/>
  <c r="L24" i="67"/>
  <c r="O12" i="64"/>
  <c r="O10" i="65"/>
  <c r="P5" i="66"/>
  <c r="P14" i="64"/>
  <c r="P5" i="65"/>
  <c r="P37" i="65" s="1"/>
  <c r="P20" i="68" s="1"/>
  <c r="P13" i="64"/>
  <c r="Q4" i="64"/>
  <c r="O44" i="65"/>
  <c r="O45" i="65" s="1"/>
  <c r="N43" i="66" l="1"/>
  <c r="N17" i="67" s="1"/>
  <c r="N19" i="66"/>
  <c r="N35" i="66"/>
  <c r="N39" i="66" s="1"/>
  <c r="P7" i="67"/>
  <c r="P7" i="66"/>
  <c r="P7" i="68"/>
  <c r="N37" i="66"/>
  <c r="O46" i="65"/>
  <c r="P11" i="64"/>
  <c r="Q4" i="67"/>
  <c r="P12" i="68"/>
  <c r="O10" i="68"/>
  <c r="P7" i="65"/>
  <c r="M40" i="66"/>
  <c r="M44" i="66" s="1"/>
  <c r="P11" i="68"/>
  <c r="Q4" i="68"/>
  <c r="J36" i="65"/>
  <c r="J29" i="67"/>
  <c r="J44" i="66"/>
  <c r="J31" i="65"/>
  <c r="J53" i="66" s="1"/>
  <c r="P11" i="66"/>
  <c r="P18" i="66" s="1"/>
  <c r="P11" i="65"/>
  <c r="P43" i="65" s="1"/>
  <c r="P12" i="65"/>
  <c r="O10" i="66"/>
  <c r="Q4" i="66"/>
  <c r="Q4" i="65"/>
  <c r="Q5" i="64"/>
  <c r="Q6" i="64" s="1"/>
  <c r="O16" i="65"/>
  <c r="O19" i="65" s="1"/>
  <c r="O23" i="65" s="1"/>
  <c r="P6" i="65"/>
  <c r="P10" i="64"/>
  <c r="O43" i="66" l="1"/>
  <c r="O15" i="66"/>
  <c r="O35" i="66" s="1"/>
  <c r="O39" i="66" s="1"/>
  <c r="N38" i="66"/>
  <c r="P25" i="68"/>
  <c r="O26" i="68"/>
  <c r="O27" i="68" s="1"/>
  <c r="O28" i="68" s="1"/>
  <c r="Q6" i="67"/>
  <c r="Q6" i="68"/>
  <c r="Q6" i="66"/>
  <c r="Q7" i="64"/>
  <c r="P12" i="64"/>
  <c r="P10" i="68" s="1"/>
  <c r="Q5" i="68"/>
  <c r="Q16" i="68" s="1"/>
  <c r="Q5" i="67"/>
  <c r="Q10" i="67" s="1"/>
  <c r="J38" i="65"/>
  <c r="K35" i="65" s="1"/>
  <c r="K40" i="65" s="1"/>
  <c r="M45" i="66"/>
  <c r="M18" i="67"/>
  <c r="M19" i="67" s="1"/>
  <c r="M21" i="67" s="1"/>
  <c r="J32" i="65"/>
  <c r="J30" i="67"/>
  <c r="L40" i="66"/>
  <c r="J18" i="67"/>
  <c r="J45" i="66"/>
  <c r="M24" i="67"/>
  <c r="P44" i="65"/>
  <c r="P45" i="65" s="1"/>
  <c r="P10" i="65"/>
  <c r="Q5" i="66"/>
  <c r="Q14" i="64"/>
  <c r="Q5" i="65"/>
  <c r="Q13" i="64"/>
  <c r="R4" i="64"/>
  <c r="O19" i="66" l="1"/>
  <c r="P26" i="68"/>
  <c r="P27" i="68" s="1"/>
  <c r="P28" i="68" s="1"/>
  <c r="Q7" i="68"/>
  <c r="Q7" i="66"/>
  <c r="Q7" i="67"/>
  <c r="O38" i="66"/>
  <c r="O37" i="66"/>
  <c r="P10" i="66"/>
  <c r="J31" i="67"/>
  <c r="Q12" i="68"/>
  <c r="J19" i="67"/>
  <c r="J21" i="67" s="1"/>
  <c r="R4" i="67"/>
  <c r="K48" i="65"/>
  <c r="K24" i="65" s="1"/>
  <c r="R4" i="68"/>
  <c r="N14" i="67"/>
  <c r="O17" i="67"/>
  <c r="Q11" i="68"/>
  <c r="L44" i="66"/>
  <c r="Q6" i="65"/>
  <c r="Q44" i="65" s="1"/>
  <c r="Q10" i="64"/>
  <c r="Q10" i="65" s="1"/>
  <c r="P46" i="65"/>
  <c r="Q11" i="66"/>
  <c r="Q18" i="66" s="1"/>
  <c r="Q11" i="65"/>
  <c r="Q43" i="65" s="1"/>
  <c r="Q12" i="65"/>
  <c r="R4" i="66"/>
  <c r="R4" i="65"/>
  <c r="R5" i="64"/>
  <c r="R7" i="64" s="1"/>
  <c r="P16" i="65"/>
  <c r="P19" i="65" s="1"/>
  <c r="P23" i="65" s="1"/>
  <c r="Q7" i="65"/>
  <c r="Q11" i="64"/>
  <c r="P43" i="66" l="1"/>
  <c r="P15" i="66"/>
  <c r="P19" i="66" s="1"/>
  <c r="Q25" i="68"/>
  <c r="Q45" i="65"/>
  <c r="Q46" i="65" s="1"/>
  <c r="R7" i="67"/>
  <c r="R7" i="68"/>
  <c r="R7" i="66"/>
  <c r="R6" i="64"/>
  <c r="R5" i="67"/>
  <c r="R10" i="67" s="1"/>
  <c r="K25" i="67"/>
  <c r="K25" i="65"/>
  <c r="P24" i="67"/>
  <c r="R5" i="68"/>
  <c r="R16" i="68" s="1"/>
  <c r="L18" i="67"/>
  <c r="L45" i="66"/>
  <c r="N24" i="67"/>
  <c r="R14" i="64"/>
  <c r="R5" i="66"/>
  <c r="R5" i="65"/>
  <c r="R37" i="65" s="1"/>
  <c r="R20" i="68" s="1"/>
  <c r="R13" i="64"/>
  <c r="S4" i="64"/>
  <c r="Q16" i="65"/>
  <c r="Q19" i="65" s="1"/>
  <c r="Q23" i="65" s="1"/>
  <c r="Q12" i="64"/>
  <c r="P35" i="66" l="1"/>
  <c r="P39" i="66" s="1"/>
  <c r="R6" i="67"/>
  <c r="R6" i="68"/>
  <c r="R6" i="66"/>
  <c r="K28" i="65"/>
  <c r="R7" i="65"/>
  <c r="P38" i="66"/>
  <c r="O24" i="67"/>
  <c r="R11" i="64"/>
  <c r="R6" i="65"/>
  <c r="R10" i="64"/>
  <c r="R12" i="68"/>
  <c r="Q10" i="68"/>
  <c r="S4" i="67"/>
  <c r="K26" i="67"/>
  <c r="J33" i="67"/>
  <c r="J39" i="68" s="1"/>
  <c r="R11" i="68"/>
  <c r="S4" i="68"/>
  <c r="N40" i="66"/>
  <c r="P17" i="67"/>
  <c r="L19" i="67"/>
  <c r="L21" i="67" s="1"/>
  <c r="S4" i="66"/>
  <c r="S4" i="65"/>
  <c r="S5" i="64"/>
  <c r="S6" i="64" s="1"/>
  <c r="Q10" i="66"/>
  <c r="R11" i="66"/>
  <c r="R18" i="66" s="1"/>
  <c r="R11" i="65"/>
  <c r="R43" i="65" s="1"/>
  <c r="R12" i="65"/>
  <c r="P37" i="66" l="1"/>
  <c r="Q15" i="66"/>
  <c r="Q19" i="66" s="1"/>
  <c r="R25" i="68"/>
  <c r="Q26" i="68"/>
  <c r="Q27" i="68" s="1"/>
  <c r="Q28" i="68" s="1"/>
  <c r="S6" i="67"/>
  <c r="S6" i="66"/>
  <c r="S6" i="68"/>
  <c r="S7" i="64"/>
  <c r="K29" i="65"/>
  <c r="Q35" i="66"/>
  <c r="Q39" i="66" s="1"/>
  <c r="R12" i="64"/>
  <c r="R10" i="65"/>
  <c r="P14" i="67"/>
  <c r="R44" i="65"/>
  <c r="R45" i="65" s="1"/>
  <c r="S5" i="67"/>
  <c r="S10" i="67" s="1"/>
  <c r="S5" i="68"/>
  <c r="S16" i="68" s="1"/>
  <c r="O14" i="67"/>
  <c r="N44" i="66"/>
  <c r="Q24" i="67"/>
  <c r="S5" i="66"/>
  <c r="S14" i="64"/>
  <c r="S5" i="65"/>
  <c r="S37" i="65" s="1"/>
  <c r="S20" i="68" s="1"/>
  <c r="T4" i="64"/>
  <c r="S13" i="64"/>
  <c r="Q43" i="66" l="1"/>
  <c r="Q17" i="67" s="1"/>
  <c r="S7" i="67"/>
  <c r="S7" i="68"/>
  <c r="S7" i="66"/>
  <c r="S6" i="65"/>
  <c r="S44" i="65" s="1"/>
  <c r="Q38" i="66"/>
  <c r="Q37" i="66"/>
  <c r="R10" i="68"/>
  <c r="S10" i="64"/>
  <c r="S10" i="65" s="1"/>
  <c r="R46" i="65"/>
  <c r="R10" i="66"/>
  <c r="R16" i="65"/>
  <c r="R19" i="65" s="1"/>
  <c r="R23" i="65" s="1"/>
  <c r="P40" i="66"/>
  <c r="P44" i="66" s="1"/>
  <c r="T4" i="67"/>
  <c r="S12" i="68"/>
  <c r="K29" i="67"/>
  <c r="K36" i="65"/>
  <c r="K38" i="65" s="1"/>
  <c r="L35" i="65" s="1"/>
  <c r="L40" i="65" s="1"/>
  <c r="K31" i="65"/>
  <c r="K53" i="66" s="1"/>
  <c r="S11" i="68"/>
  <c r="N18" i="67"/>
  <c r="N45" i="66"/>
  <c r="T4" i="68"/>
  <c r="T4" i="66"/>
  <c r="T4" i="65"/>
  <c r="T5" i="64"/>
  <c r="T7" i="64" s="1"/>
  <c r="S12" i="65"/>
  <c r="S11" i="64"/>
  <c r="S7" i="65"/>
  <c r="S11" i="66"/>
  <c r="S18" i="66" s="1"/>
  <c r="S11" i="65"/>
  <c r="S43" i="65" s="1"/>
  <c r="R43" i="66" l="1"/>
  <c r="R15" i="66"/>
  <c r="R19" i="66" s="1"/>
  <c r="S25" i="68"/>
  <c r="S45" i="65"/>
  <c r="S46" i="65" s="1"/>
  <c r="R26" i="68"/>
  <c r="R27" i="68" s="1"/>
  <c r="R28" i="68" s="1"/>
  <c r="T7" i="67"/>
  <c r="T7" i="68"/>
  <c r="T7" i="66"/>
  <c r="T6" i="64"/>
  <c r="P45" i="66"/>
  <c r="P18" i="67"/>
  <c r="P19" i="67" s="1"/>
  <c r="P21" i="67" s="1"/>
  <c r="R24" i="67"/>
  <c r="K30" i="67"/>
  <c r="K31" i="67" s="1"/>
  <c r="K32" i="65"/>
  <c r="T5" i="67"/>
  <c r="T10" i="67" s="1"/>
  <c r="L48" i="65"/>
  <c r="L24" i="65" s="1"/>
  <c r="O40" i="66"/>
  <c r="O44" i="66" s="1"/>
  <c r="T5" i="68"/>
  <c r="T16" i="68" s="1"/>
  <c r="N19" i="67"/>
  <c r="N21" i="67" s="1"/>
  <c r="T5" i="66"/>
  <c r="T14" i="64"/>
  <c r="T5" i="65"/>
  <c r="T37" i="65" s="1"/>
  <c r="T20" i="68" s="1"/>
  <c r="U4" i="64"/>
  <c r="T13" i="64"/>
  <c r="S16" i="65"/>
  <c r="S19" i="65" s="1"/>
  <c r="S23" i="65" s="1"/>
  <c r="S12" i="64"/>
  <c r="R35" i="66" l="1"/>
  <c r="R39" i="66" s="1"/>
  <c r="T6" i="66"/>
  <c r="T6" i="67"/>
  <c r="T6" i="68"/>
  <c r="L25" i="67"/>
  <c r="L26" i="67" s="1"/>
  <c r="R37" i="66"/>
  <c r="R38" i="66"/>
  <c r="R17" i="67"/>
  <c r="L25" i="65"/>
  <c r="S10" i="68"/>
  <c r="U4" i="67"/>
  <c r="T12" i="68"/>
  <c r="K33" i="67"/>
  <c r="K39" i="68" s="1"/>
  <c r="U4" i="68"/>
  <c r="R14" i="67"/>
  <c r="O45" i="66"/>
  <c r="O18" i="67"/>
  <c r="T11" i="68"/>
  <c r="T7" i="65"/>
  <c r="T11" i="64"/>
  <c r="T11" i="66"/>
  <c r="T18" i="66" s="1"/>
  <c r="T11" i="65"/>
  <c r="T43" i="65" s="1"/>
  <c r="S10" i="66"/>
  <c r="U4" i="66"/>
  <c r="U4" i="65"/>
  <c r="U5" i="64"/>
  <c r="U6" i="64" s="1"/>
  <c r="T12" i="65"/>
  <c r="T10" i="64"/>
  <c r="T6" i="65"/>
  <c r="S24" i="67"/>
  <c r="S15" i="66" l="1"/>
  <c r="S19" i="66" s="1"/>
  <c r="T25" i="68"/>
  <c r="S26" i="68"/>
  <c r="S27" i="68" s="1"/>
  <c r="S28" i="68" s="1"/>
  <c r="U6" i="67"/>
  <c r="U6" i="68"/>
  <c r="U6" i="66"/>
  <c r="U7" i="64"/>
  <c r="L28" i="65"/>
  <c r="T12" i="64"/>
  <c r="U5" i="67"/>
  <c r="U10" i="67" s="1"/>
  <c r="U5" i="68"/>
  <c r="U16" i="68" s="1"/>
  <c r="Q14" i="67"/>
  <c r="O19" i="67"/>
  <c r="O21" i="67" s="1"/>
  <c r="U5" i="66"/>
  <c r="U14" i="64"/>
  <c r="U5" i="65"/>
  <c r="U37" i="65" s="1"/>
  <c r="U20" i="68" s="1"/>
  <c r="U13" i="64"/>
  <c r="V4" i="64"/>
  <c r="T44" i="65"/>
  <c r="T45" i="65" s="1"/>
  <c r="T10" i="65"/>
  <c r="S43" i="66" l="1"/>
  <c r="S17" i="67" s="1"/>
  <c r="S35" i="66"/>
  <c r="S39" i="66" s="1"/>
  <c r="U7" i="66"/>
  <c r="U7" i="67"/>
  <c r="U7" i="68"/>
  <c r="L29" i="65"/>
  <c r="L31" i="65" s="1"/>
  <c r="L53" i="66" s="1"/>
  <c r="L29" i="67"/>
  <c r="T10" i="68"/>
  <c r="T10" i="66"/>
  <c r="L36" i="65"/>
  <c r="L38" i="65" s="1"/>
  <c r="M35" i="65" s="1"/>
  <c r="M40" i="65" s="1"/>
  <c r="U12" i="68"/>
  <c r="V4" i="67"/>
  <c r="R40" i="66"/>
  <c r="R44" i="66" s="1"/>
  <c r="U11" i="68"/>
  <c r="V4" i="68"/>
  <c r="U11" i="64"/>
  <c r="U7" i="65"/>
  <c r="U11" i="66"/>
  <c r="U18" i="66" s="1"/>
  <c r="U11" i="65"/>
  <c r="U43" i="65" s="1"/>
  <c r="U12" i="65"/>
  <c r="U10" i="64"/>
  <c r="U6" i="65"/>
  <c r="T16" i="65"/>
  <c r="T19" i="65" s="1"/>
  <c r="T23" i="65" s="1"/>
  <c r="T46" i="65"/>
  <c r="V4" i="66"/>
  <c r="V4" i="65"/>
  <c r="V5" i="64"/>
  <c r="V7" i="64" s="1"/>
  <c r="S38" i="66" l="1"/>
  <c r="S37" i="66"/>
  <c r="T43" i="66"/>
  <c r="T15" i="66"/>
  <c r="T19" i="66" s="1"/>
  <c r="U25" i="68"/>
  <c r="T26" i="68"/>
  <c r="T27" i="68" s="1"/>
  <c r="T28" i="68" s="1"/>
  <c r="V7" i="67"/>
  <c r="V7" i="68"/>
  <c r="V7" i="66"/>
  <c r="V6" i="64"/>
  <c r="R18" i="67"/>
  <c r="R19" i="67" s="1"/>
  <c r="R21" i="67" s="1"/>
  <c r="L32" i="65"/>
  <c r="R45" i="66"/>
  <c r="L30" i="67"/>
  <c r="L31" i="67" s="1"/>
  <c r="L33" i="67" s="1"/>
  <c r="L39" i="68" s="1"/>
  <c r="V5" i="67"/>
  <c r="V10" i="67" s="1"/>
  <c r="M48" i="65"/>
  <c r="M24" i="65" s="1"/>
  <c r="S14" i="67"/>
  <c r="V5" i="68"/>
  <c r="V16" i="68" s="1"/>
  <c r="Q40" i="66"/>
  <c r="T24" i="67"/>
  <c r="V14" i="64"/>
  <c r="V5" i="66"/>
  <c r="V5" i="65"/>
  <c r="V37" i="65" s="1"/>
  <c r="V20" i="68" s="1"/>
  <c r="V13" i="64"/>
  <c r="W4" i="64"/>
  <c r="U44" i="65"/>
  <c r="U45" i="65" s="1"/>
  <c r="U10" i="65"/>
  <c r="U12" i="64"/>
  <c r="T35" i="66" l="1"/>
  <c r="V6" i="67"/>
  <c r="V6" i="68"/>
  <c r="V6" i="66"/>
  <c r="T17" i="67"/>
  <c r="U10" i="68"/>
  <c r="W4" i="67"/>
  <c r="V12" i="68"/>
  <c r="M25" i="67"/>
  <c r="M25" i="65"/>
  <c r="V11" i="68"/>
  <c r="Q44" i="66"/>
  <c r="W4" i="68"/>
  <c r="T14" i="67"/>
  <c r="U10" i="66"/>
  <c r="U46" i="65"/>
  <c r="W4" i="66"/>
  <c r="W4" i="65"/>
  <c r="W5" i="64"/>
  <c r="W6" i="64" s="1"/>
  <c r="V12" i="65"/>
  <c r="U16" i="65"/>
  <c r="U19" i="65" s="1"/>
  <c r="U23" i="65" s="1"/>
  <c r="V11" i="64"/>
  <c r="V7" i="65"/>
  <c r="V11" i="66"/>
  <c r="V18" i="66" s="1"/>
  <c r="V11" i="65"/>
  <c r="V43" i="65" s="1"/>
  <c r="V10" i="64"/>
  <c r="V6" i="65"/>
  <c r="U15" i="66" l="1"/>
  <c r="U19" i="66" s="1"/>
  <c r="T39" i="66"/>
  <c r="T37" i="66"/>
  <c r="T38" i="66"/>
  <c r="V25" i="68"/>
  <c r="U26" i="68"/>
  <c r="U27" i="68" s="1"/>
  <c r="U28" i="68" s="1"/>
  <c r="W6" i="67"/>
  <c r="W6" i="68"/>
  <c r="W6" i="66"/>
  <c r="W7" i="64"/>
  <c r="M28" i="65"/>
  <c r="M36" i="65" s="1"/>
  <c r="S40" i="66"/>
  <c r="S44" i="66" s="1"/>
  <c r="W5" i="67"/>
  <c r="W10" i="67" s="1"/>
  <c r="M26" i="67"/>
  <c r="W5" i="68"/>
  <c r="W16" i="68" s="1"/>
  <c r="Q45" i="66"/>
  <c r="Q18" i="67"/>
  <c r="V10" i="65"/>
  <c r="V12" i="64"/>
  <c r="U24" i="67"/>
  <c r="W5" i="66"/>
  <c r="W14" i="64"/>
  <c r="W5" i="65"/>
  <c r="W37" i="65" s="1"/>
  <c r="W20" i="68" s="1"/>
  <c r="W13" i="64"/>
  <c r="X4" i="64"/>
  <c r="V44" i="65"/>
  <c r="V45" i="65" s="1"/>
  <c r="U43" i="66" l="1"/>
  <c r="U35" i="66"/>
  <c r="U39" i="66" s="1"/>
  <c r="W7" i="67"/>
  <c r="W7" i="68"/>
  <c r="W7" i="66"/>
  <c r="S45" i="66"/>
  <c r="M29" i="65"/>
  <c r="M31" i="65" s="1"/>
  <c r="M53" i="66" s="1"/>
  <c r="U37" i="66"/>
  <c r="U17" i="67"/>
  <c r="S18" i="67"/>
  <c r="S19" i="67" s="1"/>
  <c r="S21" i="67" s="1"/>
  <c r="M29" i="67"/>
  <c r="W12" i="68"/>
  <c r="V10" i="68"/>
  <c r="X4" i="67"/>
  <c r="M38" i="65"/>
  <c r="N35" i="65" s="1"/>
  <c r="N40" i="65" s="1"/>
  <c r="V46" i="65"/>
  <c r="X4" i="68"/>
  <c r="W11" i="68"/>
  <c r="Q19" i="67"/>
  <c r="Q21" i="67" s="1"/>
  <c r="T40" i="66"/>
  <c r="T44" i="66" s="1"/>
  <c r="W7" i="65"/>
  <c r="W11" i="64"/>
  <c r="X4" i="66"/>
  <c r="X4" i="65"/>
  <c r="X5" i="64"/>
  <c r="X6" i="64" s="1"/>
  <c r="W11" i="66"/>
  <c r="W18" i="66" s="1"/>
  <c r="W11" i="65"/>
  <c r="W43" i="65" s="1"/>
  <c r="W12" i="65"/>
  <c r="W10" i="64"/>
  <c r="W6" i="65"/>
  <c r="V10" i="66"/>
  <c r="V16" i="65"/>
  <c r="V19" i="65" s="1"/>
  <c r="V23" i="65" s="1"/>
  <c r="U38" i="66" l="1"/>
  <c r="V15" i="66"/>
  <c r="V19" i="66" s="1"/>
  <c r="W25" i="68"/>
  <c r="V26" i="68"/>
  <c r="V27" i="68" s="1"/>
  <c r="V28" i="68" s="1"/>
  <c r="X6" i="68"/>
  <c r="X6" i="66"/>
  <c r="X6" i="67"/>
  <c r="X7" i="64"/>
  <c r="M30" i="67"/>
  <c r="M31" i="67" s="1"/>
  <c r="M33" i="67" s="1"/>
  <c r="M39" i="68" s="1"/>
  <c r="M32" i="65"/>
  <c r="X5" i="67"/>
  <c r="X10" i="67" s="1"/>
  <c r="N48" i="65"/>
  <c r="N24" i="65" s="1"/>
  <c r="W12" i="64"/>
  <c r="X5" i="68"/>
  <c r="X16" i="68" s="1"/>
  <c r="T18" i="67"/>
  <c r="T19" i="67" s="1"/>
  <c r="T21" i="67" s="1"/>
  <c r="T45" i="66"/>
  <c r="U14" i="67"/>
  <c r="V24" i="67"/>
  <c r="W44" i="65"/>
  <c r="W45" i="65" s="1"/>
  <c r="W10" i="65"/>
  <c r="X5" i="66"/>
  <c r="X14" i="64"/>
  <c r="X5" i="65"/>
  <c r="X37" i="65" s="1"/>
  <c r="X20" i="68" s="1"/>
  <c r="Y4" i="64"/>
  <c r="X13" i="64"/>
  <c r="V35" i="66" l="1"/>
  <c r="V39" i="66" s="1"/>
  <c r="V43" i="66"/>
  <c r="V17" i="67" s="1"/>
  <c r="X7" i="67"/>
  <c r="X7" i="68"/>
  <c r="X7" i="66"/>
  <c r="V38" i="66"/>
  <c r="V37" i="66"/>
  <c r="X10" i="64"/>
  <c r="X6" i="65"/>
  <c r="Y4" i="67"/>
  <c r="X12" i="68"/>
  <c r="W10" i="68"/>
  <c r="W10" i="66"/>
  <c r="N25" i="67"/>
  <c r="N26" i="67" s="1"/>
  <c r="N25" i="65"/>
  <c r="W46" i="65"/>
  <c r="Y4" i="68"/>
  <c r="X11" i="68"/>
  <c r="Y4" i="66"/>
  <c r="Y4" i="65"/>
  <c r="Y5" i="64"/>
  <c r="Y6" i="64" s="1"/>
  <c r="X11" i="64"/>
  <c r="X7" i="65"/>
  <c r="W16" i="65"/>
  <c r="W19" i="65" s="1"/>
  <c r="W23" i="65" s="1"/>
  <c r="X11" i="66"/>
  <c r="X18" i="66" s="1"/>
  <c r="X11" i="65"/>
  <c r="X43" i="65" s="1"/>
  <c r="X12" i="65"/>
  <c r="W43" i="66" l="1"/>
  <c r="W17" i="67" s="1"/>
  <c r="W15" i="66"/>
  <c r="W19" i="66" s="1"/>
  <c r="X25" i="68"/>
  <c r="W26" i="68"/>
  <c r="W27" i="68" s="1"/>
  <c r="W28" i="68" s="1"/>
  <c r="Y6" i="67"/>
  <c r="Y6" i="68"/>
  <c r="Y6" i="66"/>
  <c r="Y7" i="64"/>
  <c r="N28" i="65"/>
  <c r="N29" i="65" s="1"/>
  <c r="X44" i="65"/>
  <c r="X45" i="65" s="1"/>
  <c r="X10" i="65"/>
  <c r="Y5" i="67"/>
  <c r="Y10" i="67" s="1"/>
  <c r="Y5" i="68"/>
  <c r="Y16" i="68" s="1"/>
  <c r="V14" i="67"/>
  <c r="U40" i="66"/>
  <c r="U44" i="66" s="1"/>
  <c r="W24" i="67"/>
  <c r="Y5" i="66"/>
  <c r="Y14" i="64"/>
  <c r="Y5" i="65"/>
  <c r="Y37" i="65" s="1"/>
  <c r="Y20" i="68" s="1"/>
  <c r="Z4" i="64"/>
  <c r="Y13" i="64"/>
  <c r="X12" i="64"/>
  <c r="W35" i="66" l="1"/>
  <c r="W39" i="66" s="1"/>
  <c r="Y7" i="68"/>
  <c r="Y7" i="66"/>
  <c r="Y7" i="67"/>
  <c r="W38" i="66"/>
  <c r="W37" i="66"/>
  <c r="X16" i="65"/>
  <c r="X46" i="65"/>
  <c r="W14" i="67"/>
  <c r="Z4" i="67"/>
  <c r="X10" i="68"/>
  <c r="Y12" i="68"/>
  <c r="Y11" i="68"/>
  <c r="Z4" i="68"/>
  <c r="U45" i="66"/>
  <c r="U18" i="67"/>
  <c r="U19" i="67" s="1"/>
  <c r="U21" i="67" s="1"/>
  <c r="Y7" i="65"/>
  <c r="Y11" i="64"/>
  <c r="Y12" i="64" s="1"/>
  <c r="Y11" i="66"/>
  <c r="Y18" i="66" s="1"/>
  <c r="Y11" i="65"/>
  <c r="Y43" i="65" s="1"/>
  <c r="Z4" i="66"/>
  <c r="Z4" i="65"/>
  <c r="Z5" i="64"/>
  <c r="Z6" i="64" s="1"/>
  <c r="Y12" i="65"/>
  <c r="Y10" i="64"/>
  <c r="Y6" i="65"/>
  <c r="X10" i="66"/>
  <c r="X15" i="66" l="1"/>
  <c r="X19" i="66" s="1"/>
  <c r="Y25" i="68"/>
  <c r="X26" i="68"/>
  <c r="X27" i="68" s="1"/>
  <c r="X28" i="68" s="1"/>
  <c r="Z7" i="64"/>
  <c r="Z7" i="66" s="1"/>
  <c r="Z6" i="67"/>
  <c r="Z6" i="68"/>
  <c r="Z6" i="66"/>
  <c r="X19" i="65"/>
  <c r="X23" i="65" s="1"/>
  <c r="N31" i="65"/>
  <c r="N53" i="66" s="1"/>
  <c r="Z5" i="67"/>
  <c r="Z10" i="67" s="1"/>
  <c r="N29" i="67"/>
  <c r="N36" i="65"/>
  <c r="N38" i="65" s="1"/>
  <c r="O35" i="65" s="1"/>
  <c r="O40" i="65" s="1"/>
  <c r="Y10" i="68"/>
  <c r="V40" i="66"/>
  <c r="V44" i="66" s="1"/>
  <c r="Z5" i="68"/>
  <c r="Z16" i="68" s="1"/>
  <c r="Y10" i="66"/>
  <c r="Y44" i="65"/>
  <c r="Y45" i="65" s="1"/>
  <c r="Y10" i="65"/>
  <c r="Z14" i="64"/>
  <c r="Z5" i="66"/>
  <c r="Z5" i="65"/>
  <c r="Z37" i="65" s="1"/>
  <c r="Z20" i="68" s="1"/>
  <c r="Z13" i="64"/>
  <c r="AA4" i="64"/>
  <c r="X43" i="66" l="1"/>
  <c r="X17" i="67" s="1"/>
  <c r="X35" i="66"/>
  <c r="X39" i="66" s="1"/>
  <c r="Y43" i="66"/>
  <c r="Y15" i="66"/>
  <c r="Y19" i="66" s="1"/>
  <c r="Y26" i="68"/>
  <c r="Y27" i="68" s="1"/>
  <c r="Y28" i="68" s="1"/>
  <c r="Z7" i="67"/>
  <c r="Z7" i="68"/>
  <c r="X24" i="67"/>
  <c r="Z10" i="64"/>
  <c r="Z10" i="65" s="1"/>
  <c r="V18" i="67"/>
  <c r="V19" i="67" s="1"/>
  <c r="V21" i="67" s="1"/>
  <c r="N32" i="65"/>
  <c r="X38" i="66"/>
  <c r="X37" i="66"/>
  <c r="O48" i="65"/>
  <c r="O24" i="65" s="1"/>
  <c r="V45" i="66"/>
  <c r="N30" i="67"/>
  <c r="N31" i="67" s="1"/>
  <c r="N33" i="67" s="1"/>
  <c r="N39" i="68" s="1"/>
  <c r="AA4" i="67"/>
  <c r="Z12" i="68"/>
  <c r="AA4" i="68"/>
  <c r="Z6" i="65"/>
  <c r="Z11" i="68"/>
  <c r="Z11" i="66"/>
  <c r="Z18" i="66" s="1"/>
  <c r="Z11" i="65"/>
  <c r="Z43" i="65" s="1"/>
  <c r="Z11" i="64"/>
  <c r="Z7" i="65"/>
  <c r="AA4" i="66"/>
  <c r="AA4" i="65"/>
  <c r="AA5" i="64"/>
  <c r="AA6" i="64" s="1"/>
  <c r="Z12" i="65"/>
  <c r="Y16" i="65"/>
  <c r="Y19" i="65" s="1"/>
  <c r="Y23" i="65" s="1"/>
  <c r="Y46" i="65"/>
  <c r="Y35" i="66" l="1"/>
  <c r="Z25" i="68"/>
  <c r="AA6" i="67"/>
  <c r="AA6" i="68"/>
  <c r="AA6" i="66"/>
  <c r="AA7" i="64"/>
  <c r="O25" i="67"/>
  <c r="O26" i="67" s="1"/>
  <c r="O25" i="65"/>
  <c r="W40" i="66"/>
  <c r="W44" i="66" s="1"/>
  <c r="Y17" i="67"/>
  <c r="Z44" i="65"/>
  <c r="Z45" i="65" s="1"/>
  <c r="AA5" i="68"/>
  <c r="AA16" i="68" s="1"/>
  <c r="AA5" i="67"/>
  <c r="AA10" i="67" s="1"/>
  <c r="X14" i="67"/>
  <c r="Z16" i="65"/>
  <c r="Z19" i="65" s="1"/>
  <c r="Z23" i="65" s="1"/>
  <c r="Y24" i="67"/>
  <c r="AA5" i="66"/>
  <c r="AA14" i="64"/>
  <c r="AA5" i="65"/>
  <c r="AA37" i="65" s="1"/>
  <c r="AA20" i="68" s="1"/>
  <c r="AA13" i="64"/>
  <c r="AB4" i="64"/>
  <c r="Z12" i="64"/>
  <c r="Y39" i="66" l="1"/>
  <c r="Y37" i="66"/>
  <c r="Y38" i="66"/>
  <c r="AA7" i="67"/>
  <c r="AA7" i="68"/>
  <c r="AA7" i="66"/>
  <c r="O28" i="65"/>
  <c r="W45" i="66"/>
  <c r="W18" i="67"/>
  <c r="W19" i="67" s="1"/>
  <c r="W21" i="67" s="1"/>
  <c r="Z46" i="65"/>
  <c r="Z10" i="68"/>
  <c r="AA12" i="68"/>
  <c r="AA10" i="64"/>
  <c r="AA10" i="65" s="1"/>
  <c r="AB4" i="67"/>
  <c r="AB4" i="68"/>
  <c r="AA11" i="68"/>
  <c r="Y14" i="67"/>
  <c r="AA6" i="65"/>
  <c r="AA11" i="66"/>
  <c r="AA11" i="65"/>
  <c r="AA43" i="65" s="1"/>
  <c r="AA12" i="65"/>
  <c r="AB4" i="66"/>
  <c r="AB4" i="65"/>
  <c r="AB5" i="64"/>
  <c r="AB6" i="64" s="1"/>
  <c r="Z24" i="67"/>
  <c r="Z10" i="66"/>
  <c r="AA11" i="64"/>
  <c r="AA7" i="65"/>
  <c r="AA18" i="66" l="1"/>
  <c r="Z15" i="66"/>
  <c r="Z19" i="66" s="1"/>
  <c r="AA25" i="68"/>
  <c r="Z26" i="68"/>
  <c r="Z27" i="68" s="1"/>
  <c r="Z28" i="68" s="1"/>
  <c r="AB6" i="68"/>
  <c r="AB6" i="66"/>
  <c r="AB6" i="67"/>
  <c r="AB7" i="64"/>
  <c r="O29" i="65"/>
  <c r="O31" i="65" s="1"/>
  <c r="O53" i="66" s="1"/>
  <c r="AA44" i="65"/>
  <c r="AA45" i="65" s="1"/>
  <c r="X40" i="66"/>
  <c r="X44" i="66" s="1"/>
  <c r="AB5" i="67"/>
  <c r="AB10" i="67" s="1"/>
  <c r="O29" i="67"/>
  <c r="O36" i="65"/>
  <c r="AB5" i="68"/>
  <c r="AB16" i="68" s="1"/>
  <c r="AB5" i="66"/>
  <c r="AB14" i="64"/>
  <c r="AB5" i="65"/>
  <c r="AB37" i="65" s="1"/>
  <c r="AB20" i="68" s="1"/>
  <c r="AB13" i="64"/>
  <c r="AC4" i="64"/>
  <c r="AA12" i="64"/>
  <c r="AA16" i="65"/>
  <c r="AA19" i="65" s="1"/>
  <c r="AA23" i="65" s="1"/>
  <c r="Z35" i="66" l="1"/>
  <c r="Z39" i="66" s="1"/>
  <c r="Z43" i="66"/>
  <c r="Z17" i="67" s="1"/>
  <c r="AB7" i="67"/>
  <c r="AB7" i="66"/>
  <c r="AB7" i="68"/>
  <c r="X45" i="66"/>
  <c r="Z37" i="66"/>
  <c r="Z38" i="66"/>
  <c r="AA46" i="65"/>
  <c r="X18" i="67"/>
  <c r="X19" i="67" s="1"/>
  <c r="X21" i="67" s="1"/>
  <c r="Y40" i="66"/>
  <c r="Y44" i="66" s="1"/>
  <c r="O30" i="67"/>
  <c r="O31" i="67" s="1"/>
  <c r="O33" i="67" s="1"/>
  <c r="O39" i="68" s="1"/>
  <c r="AC4" i="67"/>
  <c r="AA10" i="68"/>
  <c r="AB12" i="68"/>
  <c r="O32" i="65"/>
  <c r="O38" i="65"/>
  <c r="P35" i="65" s="1"/>
  <c r="P40" i="65" s="1"/>
  <c r="AB11" i="68"/>
  <c r="AC4" i="68"/>
  <c r="AA10" i="66"/>
  <c r="AB11" i="66"/>
  <c r="AB11" i="65"/>
  <c r="AB43" i="65" s="1"/>
  <c r="AB12" i="65"/>
  <c r="AB10" i="64"/>
  <c r="AB6" i="65"/>
  <c r="AA24" i="67"/>
  <c r="AC4" i="66"/>
  <c r="AC4" i="65"/>
  <c r="AC5" i="64"/>
  <c r="AC7" i="64" s="1"/>
  <c r="AB11" i="64"/>
  <c r="AB7" i="65"/>
  <c r="AA43" i="66" l="1"/>
  <c r="AA17" i="67" s="1"/>
  <c r="AB18" i="66"/>
  <c r="AA15" i="66"/>
  <c r="AA19" i="66" s="1"/>
  <c r="AB25" i="68"/>
  <c r="AA26" i="68"/>
  <c r="AA27" i="68" s="1"/>
  <c r="AA28" i="68" s="1"/>
  <c r="AC7" i="66"/>
  <c r="AC7" i="68"/>
  <c r="AC7" i="67"/>
  <c r="AC6" i="64"/>
  <c r="Y18" i="67"/>
  <c r="Y19" i="67" s="1"/>
  <c r="Y21" i="67" s="1"/>
  <c r="Y45" i="66"/>
  <c r="AC5" i="67"/>
  <c r="AC10" i="67" s="1"/>
  <c r="P48" i="65"/>
  <c r="P24" i="65" s="1"/>
  <c r="AC5" i="68"/>
  <c r="AC16" i="68" s="1"/>
  <c r="Z14" i="67"/>
  <c r="AC5" i="66"/>
  <c r="AC14" i="64"/>
  <c r="AC5" i="65"/>
  <c r="AC37" i="65" s="1"/>
  <c r="AC20" i="68" s="1"/>
  <c r="AC13" i="64"/>
  <c r="AD4" i="64"/>
  <c r="AB44" i="65"/>
  <c r="AB45" i="65" s="1"/>
  <c r="AB10" i="65"/>
  <c r="AB12" i="64"/>
  <c r="AA35" i="66" l="1"/>
  <c r="AA39" i="66" s="1"/>
  <c r="AC6" i="67"/>
  <c r="AC6" i="68"/>
  <c r="AC6" i="66"/>
  <c r="AA37" i="66"/>
  <c r="AA38" i="66"/>
  <c r="AB10" i="68"/>
  <c r="AD4" i="67"/>
  <c r="AC12" i="68"/>
  <c r="P25" i="67"/>
  <c r="P26" i="67" s="1"/>
  <c r="P25" i="65"/>
  <c r="AC11" i="68"/>
  <c r="AD4" i="68"/>
  <c r="AC11" i="64"/>
  <c r="AC7" i="65"/>
  <c r="AC11" i="66"/>
  <c r="AC18" i="66" s="1"/>
  <c r="AC11" i="65"/>
  <c r="AC43" i="65" s="1"/>
  <c r="AC12" i="65"/>
  <c r="AC10" i="64"/>
  <c r="AC6" i="65"/>
  <c r="AB10" i="66"/>
  <c r="AB16" i="65"/>
  <c r="AB19" i="65" s="1"/>
  <c r="AB23" i="65" s="1"/>
  <c r="AB46" i="65"/>
  <c r="AD4" i="66"/>
  <c r="AD4" i="65"/>
  <c r="AD5" i="64"/>
  <c r="AD6" i="64" s="1"/>
  <c r="AB43" i="66" l="1"/>
  <c r="AB15" i="66"/>
  <c r="AB19" i="66" s="1"/>
  <c r="AC25" i="68"/>
  <c r="AB26" i="68"/>
  <c r="AB27" i="68" s="1"/>
  <c r="AB28" i="68" s="1"/>
  <c r="AD6" i="67"/>
  <c r="AD6" i="68"/>
  <c r="AD6" i="66"/>
  <c r="AD7" i="64"/>
  <c r="P28" i="65"/>
  <c r="AD5" i="67"/>
  <c r="AD10" i="67" s="1"/>
  <c r="Z40" i="66"/>
  <c r="Z44" i="66" s="1"/>
  <c r="AD5" i="68"/>
  <c r="AD16" i="68" s="1"/>
  <c r="AA14" i="67"/>
  <c r="AD14" i="64"/>
  <c r="AD5" i="66"/>
  <c r="AD5" i="65"/>
  <c r="AD37" i="65" s="1"/>
  <c r="AD20" i="68" s="1"/>
  <c r="AE4" i="64"/>
  <c r="AD13" i="64"/>
  <c r="AC12" i="64"/>
  <c r="AB24" i="67"/>
  <c r="AC44" i="65"/>
  <c r="AC45" i="65" s="1"/>
  <c r="AC10" i="65"/>
  <c r="AB35" i="66" l="1"/>
  <c r="AB39" i="66" s="1"/>
  <c r="AD7" i="67"/>
  <c r="AD7" i="68"/>
  <c r="AD7" i="66"/>
  <c r="Z18" i="67"/>
  <c r="Z19" i="67" s="1"/>
  <c r="Z21" i="67" s="1"/>
  <c r="P29" i="65"/>
  <c r="AB37" i="66"/>
  <c r="AB38" i="66"/>
  <c r="Z45" i="66"/>
  <c r="AC46" i="65"/>
  <c r="AE4" i="67"/>
  <c r="AC10" i="68"/>
  <c r="AD12" i="68"/>
  <c r="AD11" i="68"/>
  <c r="AB17" i="67"/>
  <c r="AE4" i="68"/>
  <c r="AC16" i="65"/>
  <c r="AC19" i="65" s="1"/>
  <c r="AC23" i="65" s="1"/>
  <c r="AC10" i="66"/>
  <c r="AD11" i="66"/>
  <c r="AD18" i="66" s="1"/>
  <c r="AD11" i="65"/>
  <c r="AD43" i="65" s="1"/>
  <c r="AD12" i="65"/>
  <c r="AD11" i="64"/>
  <c r="AD7" i="65"/>
  <c r="AE4" i="66"/>
  <c r="AE4" i="65"/>
  <c r="AE5" i="64"/>
  <c r="AE6" i="64" s="1"/>
  <c r="AD10" i="64"/>
  <c r="AD6" i="65"/>
  <c r="AC15" i="66" l="1"/>
  <c r="AC19" i="66" s="1"/>
  <c r="AD25" i="68"/>
  <c r="AC26" i="68"/>
  <c r="AC27" i="68" s="1"/>
  <c r="AC28" i="68" s="1"/>
  <c r="AE6" i="67"/>
  <c r="AE6" i="66"/>
  <c r="AE6" i="68"/>
  <c r="AE7" i="64"/>
  <c r="AA40" i="66"/>
  <c r="AA44" i="66" s="1"/>
  <c r="AE5" i="67"/>
  <c r="AE10" i="67" s="1"/>
  <c r="P31" i="65"/>
  <c r="P53" i="66" s="1"/>
  <c r="P36" i="65"/>
  <c r="P29" i="67"/>
  <c r="AE5" i="68"/>
  <c r="AE16" i="68" s="1"/>
  <c r="AB14" i="67"/>
  <c r="AD44" i="65"/>
  <c r="AD45" i="65" s="1"/>
  <c r="AD10" i="65"/>
  <c r="AE5" i="66"/>
  <c r="AE14" i="64"/>
  <c r="AE5" i="65"/>
  <c r="AE37" i="65" s="1"/>
  <c r="AE20" i="68" s="1"/>
  <c r="AE13" i="64"/>
  <c r="AF4" i="64"/>
  <c r="AD12" i="64"/>
  <c r="AC24" i="67"/>
  <c r="AC43" i="66" l="1"/>
  <c r="AC35" i="66"/>
  <c r="AC39" i="66" s="1"/>
  <c r="AE7" i="67"/>
  <c r="AE7" i="68"/>
  <c r="AE7" i="66"/>
  <c r="AE7" i="65"/>
  <c r="AA45" i="66"/>
  <c r="AC37" i="66"/>
  <c r="AE11" i="64"/>
  <c r="AA18" i="67"/>
  <c r="AA19" i="67" s="1"/>
  <c r="AA21" i="67" s="1"/>
  <c r="P30" i="67"/>
  <c r="P31" i="67" s="1"/>
  <c r="P33" i="67" s="1"/>
  <c r="P39" i="68" s="1"/>
  <c r="AD10" i="68"/>
  <c r="AE12" i="68"/>
  <c r="AF4" i="67"/>
  <c r="P32" i="65"/>
  <c r="P38" i="65"/>
  <c r="Q35" i="65" s="1"/>
  <c r="Q40" i="65" s="1"/>
  <c r="AF4" i="68"/>
  <c r="AE11" i="68"/>
  <c r="AC17" i="67"/>
  <c r="AF4" i="66"/>
  <c r="AF4" i="65"/>
  <c r="AF5" i="64"/>
  <c r="AF6" i="64" s="1"/>
  <c r="AD16" i="65"/>
  <c r="AD19" i="65" s="1"/>
  <c r="AD23" i="65" s="1"/>
  <c r="AD46" i="65"/>
  <c r="AD10" i="66"/>
  <c r="AE11" i="66"/>
  <c r="AE18" i="66" s="1"/>
  <c r="AE11" i="65"/>
  <c r="AE43" i="65" s="1"/>
  <c r="AE12" i="65"/>
  <c r="AE10" i="64"/>
  <c r="AE6" i="65"/>
  <c r="AD43" i="66" l="1"/>
  <c r="AC38" i="66"/>
  <c r="AD15" i="66"/>
  <c r="AD19" i="66" s="1"/>
  <c r="AE25" i="68"/>
  <c r="AD26" i="68"/>
  <c r="AD27" i="68" s="1"/>
  <c r="AD28" i="68" s="1"/>
  <c r="AF6" i="68"/>
  <c r="AF6" i="66"/>
  <c r="AF6" i="67"/>
  <c r="AF7" i="64"/>
  <c r="AE12" i="64"/>
  <c r="AF5" i="67"/>
  <c r="AF10" i="67" s="1"/>
  <c r="AB40" i="66"/>
  <c r="AB44" i="66" s="1"/>
  <c r="Q48" i="65"/>
  <c r="Q24" i="65" s="1"/>
  <c r="AF5" i="68"/>
  <c r="AF16" i="68" s="1"/>
  <c r="AC14" i="67"/>
  <c r="AE10" i="65"/>
  <c r="AF5" i="66"/>
  <c r="AF14" i="64"/>
  <c r="AF5" i="65"/>
  <c r="AF37" i="65" s="1"/>
  <c r="AF20" i="68" s="1"/>
  <c r="AG4" i="64"/>
  <c r="AF13" i="64"/>
  <c r="AE44" i="65"/>
  <c r="AE45" i="65" s="1"/>
  <c r="AD24" i="67"/>
  <c r="AD35" i="66" l="1"/>
  <c r="AD39" i="66" s="1"/>
  <c r="AF7" i="67"/>
  <c r="AF7" i="66"/>
  <c r="AF7" i="68"/>
  <c r="AB45" i="66"/>
  <c r="AD38" i="66"/>
  <c r="AE10" i="68"/>
  <c r="AE10" i="66"/>
  <c r="AE46" i="65"/>
  <c r="AB18" i="67"/>
  <c r="AB19" i="67" s="1"/>
  <c r="AB21" i="67" s="1"/>
  <c r="AG4" i="67"/>
  <c r="AF12" i="68"/>
  <c r="Q25" i="67"/>
  <c r="Q26" i="67" s="1"/>
  <c r="Q25" i="65"/>
  <c r="AG4" i="68"/>
  <c r="AF11" i="68"/>
  <c r="AD17" i="67"/>
  <c r="AG4" i="66"/>
  <c r="AG4" i="65"/>
  <c r="AG5" i="64"/>
  <c r="AG6" i="64" s="1"/>
  <c r="AF12" i="65"/>
  <c r="AF11" i="64"/>
  <c r="AF7" i="65"/>
  <c r="AE16" i="65"/>
  <c r="AE19" i="65" s="1"/>
  <c r="AE23" i="65" s="1"/>
  <c r="AF10" i="64"/>
  <c r="AF6" i="65"/>
  <c r="AF11" i="66"/>
  <c r="AF18" i="66" s="1"/>
  <c r="AF11" i="65"/>
  <c r="AF43" i="65" s="1"/>
  <c r="AD37" i="66" l="1"/>
  <c r="AE43" i="66"/>
  <c r="AE15" i="66"/>
  <c r="AE19" i="66" s="1"/>
  <c r="AF25" i="68"/>
  <c r="AE26" i="68"/>
  <c r="AE27" i="68" s="1"/>
  <c r="AE28" i="68" s="1"/>
  <c r="AG6" i="67"/>
  <c r="AG6" i="68"/>
  <c r="AG6" i="66"/>
  <c r="AG7" i="64"/>
  <c r="Q28" i="65"/>
  <c r="Q29" i="65" s="1"/>
  <c r="AG5" i="67"/>
  <c r="AG10" i="67" s="1"/>
  <c r="AC40" i="66"/>
  <c r="AC44" i="66" s="1"/>
  <c r="AD14" i="67"/>
  <c r="AG5" i="68"/>
  <c r="AG16" i="68" s="1"/>
  <c r="AF12" i="64"/>
  <c r="AG5" i="66"/>
  <c r="AG14" i="64"/>
  <c r="AG5" i="65"/>
  <c r="AG37" i="65" s="1"/>
  <c r="AG20" i="68" s="1"/>
  <c r="AG13" i="64"/>
  <c r="AH4" i="64"/>
  <c r="AF44" i="65"/>
  <c r="AF45" i="65" s="1"/>
  <c r="AF10" i="65"/>
  <c r="AE24" i="67"/>
  <c r="AE35" i="66" l="1"/>
  <c r="AE39" i="66" s="1"/>
  <c r="AG7" i="68"/>
  <c r="AG7" i="67"/>
  <c r="AG7" i="66"/>
  <c r="AC18" i="67"/>
  <c r="AC19" i="67" s="1"/>
  <c r="AC21" i="67" s="1"/>
  <c r="AE37" i="66"/>
  <c r="AE38" i="66"/>
  <c r="AF46" i="65"/>
  <c r="AE17" i="67"/>
  <c r="AC45" i="66"/>
  <c r="AH4" i="67"/>
  <c r="AF10" i="68"/>
  <c r="AG12" i="68"/>
  <c r="AH4" i="68"/>
  <c r="AG11" i="68"/>
  <c r="AE14" i="67"/>
  <c r="AG11" i="64"/>
  <c r="AG7" i="65"/>
  <c r="AF16" i="65"/>
  <c r="AF19" i="65" s="1"/>
  <c r="AF23" i="65" s="1"/>
  <c r="AH4" i="66"/>
  <c r="AH4" i="65"/>
  <c r="AH5" i="64"/>
  <c r="AH7" i="64" s="1"/>
  <c r="AF10" i="66"/>
  <c r="AG11" i="66"/>
  <c r="AG18" i="66" s="1"/>
  <c r="AG11" i="65"/>
  <c r="AG43" i="65" s="1"/>
  <c r="AG12" i="65"/>
  <c r="AG10" i="64"/>
  <c r="AG6" i="65"/>
  <c r="AF43" i="66" l="1"/>
  <c r="AF15" i="66"/>
  <c r="AF19" i="66" s="1"/>
  <c r="AG25" i="68"/>
  <c r="AF26" i="68"/>
  <c r="AF27" i="68" s="1"/>
  <c r="AF28" i="68" s="1"/>
  <c r="AH7" i="67"/>
  <c r="AH7" i="68"/>
  <c r="AH7" i="66"/>
  <c r="AH6" i="64"/>
  <c r="AD40" i="66"/>
  <c r="AD44" i="66" s="1"/>
  <c r="AH5" i="67"/>
  <c r="AH10" i="67" s="1"/>
  <c r="Q31" i="65"/>
  <c r="Q53" i="66" s="1"/>
  <c r="Q29" i="67"/>
  <c r="Q36" i="65"/>
  <c r="AF24" i="67"/>
  <c r="AH5" i="68"/>
  <c r="AH16" i="68" s="1"/>
  <c r="AG12" i="64"/>
  <c r="AG44" i="65"/>
  <c r="AG45" i="65" s="1"/>
  <c r="AG10" i="65"/>
  <c r="AH14" i="64"/>
  <c r="AH5" i="66"/>
  <c r="AH5" i="65"/>
  <c r="AH37" i="65" s="1"/>
  <c r="AH20" i="68" s="1"/>
  <c r="AI4" i="64"/>
  <c r="AH13" i="64"/>
  <c r="AF35" i="66" l="1"/>
  <c r="AF39" i="66" s="1"/>
  <c r="AH6" i="67"/>
  <c r="AH6" i="68"/>
  <c r="AH6" i="66"/>
  <c r="AD45" i="66"/>
  <c r="AF38" i="66"/>
  <c r="AF37" i="66"/>
  <c r="AD18" i="67"/>
  <c r="AD19" i="67" s="1"/>
  <c r="AD21" i="67" s="1"/>
  <c r="AG46" i="65"/>
  <c r="AE40" i="66"/>
  <c r="AE44" i="66" s="1"/>
  <c r="Q30" i="67"/>
  <c r="Q31" i="67" s="1"/>
  <c r="Q33" i="67" s="1"/>
  <c r="Q39" i="68" s="1"/>
  <c r="AI4" i="67"/>
  <c r="AG10" i="68"/>
  <c r="AH12" i="68"/>
  <c r="Q32" i="65"/>
  <c r="Q37" i="65"/>
  <c r="AI4" i="68"/>
  <c r="AH11" i="68"/>
  <c r="AF17" i="67"/>
  <c r="AH6" i="65"/>
  <c r="AH44" i="65" s="1"/>
  <c r="AH10" i="64"/>
  <c r="AH10" i="65" s="1"/>
  <c r="AI4" i="66"/>
  <c r="AI4" i="65"/>
  <c r="AI5" i="64"/>
  <c r="AI6" i="64" s="1"/>
  <c r="AG16" i="65"/>
  <c r="AG19" i="65" s="1"/>
  <c r="AG23" i="65" s="1"/>
  <c r="AG10" i="66"/>
  <c r="AH11" i="66"/>
  <c r="AH18" i="66" s="1"/>
  <c r="AH11" i="65"/>
  <c r="AH43" i="65" s="1"/>
  <c r="AH12" i="65"/>
  <c r="AH11" i="64"/>
  <c r="AH7" i="65"/>
  <c r="AG43" i="66" l="1"/>
  <c r="AG15" i="66"/>
  <c r="AG19" i="66" s="1"/>
  <c r="AH25" i="68"/>
  <c r="AH45" i="65"/>
  <c r="AH46" i="65" s="1"/>
  <c r="AG26" i="68"/>
  <c r="AG27" i="68" s="1"/>
  <c r="AG28" i="68" s="1"/>
  <c r="AI6" i="67"/>
  <c r="AI6" i="66"/>
  <c r="AI6" i="68"/>
  <c r="AI7" i="64"/>
  <c r="AE18" i="67"/>
  <c r="AE19" i="67" s="1"/>
  <c r="AE21" i="67" s="1"/>
  <c r="AE45" i="66"/>
  <c r="AI5" i="67"/>
  <c r="AI10" i="67" s="1"/>
  <c r="Q20" i="68"/>
  <c r="Q38" i="65"/>
  <c r="R35" i="65" s="1"/>
  <c r="R40" i="65" s="1"/>
  <c r="AI5" i="68"/>
  <c r="AI16" i="68" s="1"/>
  <c r="AF14" i="67"/>
  <c r="AH16" i="65"/>
  <c r="AH19" i="65" s="1"/>
  <c r="AH23" i="65" s="1"/>
  <c r="AG24" i="67"/>
  <c r="AH12" i="64"/>
  <c r="AI5" i="66"/>
  <c r="AI14" i="64"/>
  <c r="AI5" i="65"/>
  <c r="AI37" i="65" s="1"/>
  <c r="AI20" i="68" s="1"/>
  <c r="AJ4" i="64"/>
  <c r="AI13" i="64"/>
  <c r="AG35" i="66" l="1"/>
  <c r="AG39" i="66" s="1"/>
  <c r="AI7" i="67"/>
  <c r="AI7" i="68"/>
  <c r="AI7" i="66"/>
  <c r="AI10" i="64"/>
  <c r="AI10" i="65" s="1"/>
  <c r="AG37" i="66"/>
  <c r="AI6" i="65"/>
  <c r="AI44" i="65" s="1"/>
  <c r="AJ4" i="67"/>
  <c r="AI12" i="68"/>
  <c r="AH10" i="68"/>
  <c r="R48" i="65"/>
  <c r="R24" i="65" s="1"/>
  <c r="AG14" i="67"/>
  <c r="AJ4" i="68"/>
  <c r="AI11" i="68"/>
  <c r="AG17" i="67"/>
  <c r="AI11" i="64"/>
  <c r="AI7" i="65"/>
  <c r="AH24" i="67"/>
  <c r="AI11" i="66"/>
  <c r="AI18" i="66" s="1"/>
  <c r="AI11" i="65"/>
  <c r="AI43" i="65" s="1"/>
  <c r="AH10" i="66"/>
  <c r="AJ4" i="66"/>
  <c r="AJ4" i="65"/>
  <c r="AJ5" i="64"/>
  <c r="AJ6" i="64" s="1"/>
  <c r="AI12" i="65"/>
  <c r="AH43" i="66" l="1"/>
  <c r="AG38" i="66"/>
  <c r="AH19" i="66"/>
  <c r="AI25" i="68"/>
  <c r="AI45" i="65"/>
  <c r="AI46" i="65" s="1"/>
  <c r="AH26" i="68"/>
  <c r="AH27" i="68" s="1"/>
  <c r="AH28" i="68" s="1"/>
  <c r="AJ6" i="66"/>
  <c r="AJ6" i="67"/>
  <c r="AJ6" i="68"/>
  <c r="AJ7" i="64"/>
  <c r="AF40" i="66"/>
  <c r="AF44" i="66" s="1"/>
  <c r="AJ5" i="67"/>
  <c r="AJ10" i="67" s="1"/>
  <c r="R25" i="67"/>
  <c r="R26" i="67" s="1"/>
  <c r="R25" i="65"/>
  <c r="AJ5" i="68"/>
  <c r="AJ16" i="68" s="1"/>
  <c r="AJ5" i="66"/>
  <c r="AJ14" i="64"/>
  <c r="AJ5" i="65"/>
  <c r="AJ37" i="65" s="1"/>
  <c r="AK4" i="64"/>
  <c r="AJ13" i="64"/>
  <c r="AI12" i="64"/>
  <c r="AI16" i="65"/>
  <c r="AI19" i="65" s="1"/>
  <c r="AI23" i="65" s="1"/>
  <c r="AH35" i="66" l="1"/>
  <c r="AH39" i="66" s="1"/>
  <c r="AJ7" i="67"/>
  <c r="AJ7" i="68"/>
  <c r="AJ7" i="66"/>
  <c r="R28" i="65"/>
  <c r="AF18" i="67"/>
  <c r="AF19" i="67" s="1"/>
  <c r="AF21" i="67" s="1"/>
  <c r="AH37" i="66"/>
  <c r="AH38" i="66"/>
  <c r="AF45" i="66"/>
  <c r="AI10" i="68"/>
  <c r="AJ20" i="68"/>
  <c r="AK4" i="67"/>
  <c r="AJ12" i="68"/>
  <c r="AJ11" i="68"/>
  <c r="AK4" i="68"/>
  <c r="AH17" i="67"/>
  <c r="AK4" i="66"/>
  <c r="AK4" i="65"/>
  <c r="AK5" i="64"/>
  <c r="AK6" i="64" s="1"/>
  <c r="AJ12" i="65"/>
  <c r="AJ10" i="64"/>
  <c r="AJ6" i="65"/>
  <c r="AI24" i="67"/>
  <c r="AI10" i="66"/>
  <c r="AJ11" i="66"/>
  <c r="AJ11" i="65"/>
  <c r="AJ43" i="65" s="1"/>
  <c r="AJ11" i="64"/>
  <c r="AJ7" i="65"/>
  <c r="AI43" i="66" l="1"/>
  <c r="AI17" i="67" s="1"/>
  <c r="AJ18" i="66"/>
  <c r="AI19" i="66"/>
  <c r="AJ25" i="68"/>
  <c r="AI26" i="68"/>
  <c r="AI27" i="68" s="1"/>
  <c r="AI28" i="68" s="1"/>
  <c r="AK6" i="67"/>
  <c r="AK6" i="68"/>
  <c r="AK6" i="66"/>
  <c r="AK7" i="64"/>
  <c r="R29" i="65"/>
  <c r="AG40" i="66"/>
  <c r="AG44" i="66" s="1"/>
  <c r="AK5" i="67"/>
  <c r="AK10" i="67" s="1"/>
  <c r="AK5" i="68"/>
  <c r="AK16" i="68" s="1"/>
  <c r="AH14" i="67"/>
  <c r="AJ12" i="64"/>
  <c r="AJ44" i="65"/>
  <c r="AJ45" i="65" s="1"/>
  <c r="AJ10" i="65"/>
  <c r="AK5" i="66"/>
  <c r="AK14" i="64"/>
  <c r="AK5" i="65"/>
  <c r="AK37" i="65" s="1"/>
  <c r="AK13" i="64"/>
  <c r="AL4" i="64"/>
  <c r="AI35" i="66" l="1"/>
  <c r="AI39" i="66" s="1"/>
  <c r="AK7" i="66"/>
  <c r="AK7" i="67"/>
  <c r="AK7" i="68"/>
  <c r="AG18" i="67"/>
  <c r="AG19" i="67" s="1"/>
  <c r="AG21" i="67" s="1"/>
  <c r="AI38" i="66"/>
  <c r="AI37" i="66"/>
  <c r="AG45" i="66"/>
  <c r="AK12" i="68"/>
  <c r="AL4" i="67"/>
  <c r="AK20" i="68"/>
  <c r="AJ10" i="68"/>
  <c r="AL4" i="68"/>
  <c r="AK11" i="68"/>
  <c r="AK11" i="66"/>
  <c r="AK18" i="66" s="1"/>
  <c r="AK11" i="65"/>
  <c r="AK43" i="65" s="1"/>
  <c r="AK12" i="65"/>
  <c r="AK10" i="64"/>
  <c r="AK6" i="65"/>
  <c r="AJ10" i="66"/>
  <c r="AK11" i="64"/>
  <c r="AK7" i="65"/>
  <c r="AL4" i="66"/>
  <c r="AL4" i="65"/>
  <c r="AL5" i="64"/>
  <c r="AL7" i="64" s="1"/>
  <c r="AJ16" i="65"/>
  <c r="AJ19" i="65" s="1"/>
  <c r="AJ23" i="65" s="1"/>
  <c r="AJ46" i="65"/>
  <c r="AJ43" i="66" l="1"/>
  <c r="AJ19" i="66"/>
  <c r="AK25" i="68"/>
  <c r="AJ26" i="68"/>
  <c r="AJ27" i="68" s="1"/>
  <c r="AJ28" i="68" s="1"/>
  <c r="AL7" i="67"/>
  <c r="AL7" i="68"/>
  <c r="AL7" i="66"/>
  <c r="AL6" i="64"/>
  <c r="AH40" i="66"/>
  <c r="AH44" i="66" s="1"/>
  <c r="AL5" i="67"/>
  <c r="AL10" i="67" s="1"/>
  <c r="R31" i="65"/>
  <c r="R53" i="66" s="1"/>
  <c r="R36" i="65"/>
  <c r="R29" i="67"/>
  <c r="AI14" i="67"/>
  <c r="AL5" i="68"/>
  <c r="AL16" i="68" s="1"/>
  <c r="AK44" i="65"/>
  <c r="AK45" i="65" s="1"/>
  <c r="AK10" i="65"/>
  <c r="AJ24" i="67"/>
  <c r="AL14" i="64"/>
  <c r="AL5" i="66"/>
  <c r="AL5" i="65"/>
  <c r="AL37" i="65" s="1"/>
  <c r="AL13" i="64"/>
  <c r="AM4" i="64"/>
  <c r="AK12" i="64"/>
  <c r="AJ35" i="66" l="1"/>
  <c r="AJ39" i="66" s="1"/>
  <c r="AL6" i="67"/>
  <c r="AL6" i="68"/>
  <c r="AL6" i="66"/>
  <c r="AH18" i="67"/>
  <c r="AH19" i="67" s="1"/>
  <c r="AH21" i="67" s="1"/>
  <c r="AJ37" i="66"/>
  <c r="AJ38" i="66"/>
  <c r="AH45" i="66"/>
  <c r="AJ17" i="67"/>
  <c r="R30" i="67"/>
  <c r="R31" i="67" s="1"/>
  <c r="R33" i="67" s="1"/>
  <c r="R39" i="68" s="1"/>
  <c r="AM4" i="67"/>
  <c r="AL20" i="68"/>
  <c r="AL12" i="68"/>
  <c r="AL11" i="64"/>
  <c r="AL12" i="64" s="1"/>
  <c r="AK10" i="68"/>
  <c r="R32" i="65"/>
  <c r="R38" i="65"/>
  <c r="S35" i="65" s="1"/>
  <c r="S40" i="65" s="1"/>
  <c r="AL11" i="68"/>
  <c r="AL7" i="65"/>
  <c r="AM4" i="68"/>
  <c r="AK46" i="65"/>
  <c r="AK10" i="66"/>
  <c r="AL11" i="66"/>
  <c r="AL18" i="66" s="1"/>
  <c r="AL11" i="65"/>
  <c r="AL43" i="65" s="1"/>
  <c r="AL10" i="64"/>
  <c r="AL6" i="65"/>
  <c r="AK16" i="65"/>
  <c r="AK19" i="65" s="1"/>
  <c r="AK23" i="65" s="1"/>
  <c r="AM4" i="66"/>
  <c r="AM4" i="65"/>
  <c r="AM5" i="64"/>
  <c r="AM6" i="64" s="1"/>
  <c r="AL12" i="65"/>
  <c r="AK43" i="66" l="1"/>
  <c r="AK19" i="66"/>
  <c r="AL25" i="68"/>
  <c r="AK26" i="68"/>
  <c r="AK27" i="68" s="1"/>
  <c r="AK28" i="68" s="1"/>
  <c r="AM6" i="67"/>
  <c r="AM6" i="68"/>
  <c r="AM6" i="66"/>
  <c r="AM7" i="64"/>
  <c r="AI40" i="66"/>
  <c r="AI44" i="66" s="1"/>
  <c r="AM5" i="67"/>
  <c r="AM10" i="67" s="1"/>
  <c r="AL10" i="68"/>
  <c r="S48" i="65"/>
  <c r="S24" i="65" s="1"/>
  <c r="AM5" i="68"/>
  <c r="AM16" i="68" s="1"/>
  <c r="AJ14" i="67"/>
  <c r="AL44" i="65"/>
  <c r="AL45" i="65" s="1"/>
  <c r="AL10" i="65"/>
  <c r="AM5" i="66"/>
  <c r="AM14" i="64"/>
  <c r="AM5" i="65"/>
  <c r="AM37" i="65" s="1"/>
  <c r="AN4" i="64"/>
  <c r="AM13" i="64"/>
  <c r="AL10" i="66"/>
  <c r="AK24" i="67"/>
  <c r="AL43" i="66" l="1"/>
  <c r="AK35" i="66"/>
  <c r="AK39" i="66" s="1"/>
  <c r="AL19" i="66"/>
  <c r="AL26" i="68"/>
  <c r="AL27" i="68" s="1"/>
  <c r="AL28" i="68" s="1"/>
  <c r="AM7" i="67"/>
  <c r="AM7" i="68"/>
  <c r="AM7" i="66"/>
  <c r="AI45" i="66"/>
  <c r="AL35" i="66"/>
  <c r="AL39" i="66" s="1"/>
  <c r="AI18" i="67"/>
  <c r="AI19" i="67" s="1"/>
  <c r="AI21" i="67" s="1"/>
  <c r="AK17" i="67"/>
  <c r="AM12" i="68"/>
  <c r="AM20" i="68"/>
  <c r="AN4" i="67"/>
  <c r="S25" i="67"/>
  <c r="S26" i="67" s="1"/>
  <c r="S25" i="65"/>
  <c r="AN4" i="68"/>
  <c r="AM11" i="68"/>
  <c r="AL46" i="65"/>
  <c r="AM7" i="65"/>
  <c r="AM11" i="64"/>
  <c r="AN4" i="66"/>
  <c r="AN4" i="65"/>
  <c r="AN5" i="64"/>
  <c r="AN6" i="64" s="1"/>
  <c r="AM12" i="65"/>
  <c r="AM10" i="64"/>
  <c r="AM6" i="65"/>
  <c r="AL16" i="65"/>
  <c r="AL19" i="65" s="1"/>
  <c r="AL23" i="65" s="1"/>
  <c r="AM11" i="66"/>
  <c r="AM18" i="66" s="1"/>
  <c r="AM11" i="65"/>
  <c r="AM43" i="65" s="1"/>
  <c r="AK37" i="66" l="1"/>
  <c r="AK38" i="66"/>
  <c r="AM25" i="68"/>
  <c r="AN6" i="68"/>
  <c r="AN6" i="66"/>
  <c r="AN6" i="67"/>
  <c r="AN7" i="64"/>
  <c r="S28" i="65"/>
  <c r="S29" i="65" s="1"/>
  <c r="AL37" i="66"/>
  <c r="AL38" i="66"/>
  <c r="AJ40" i="66"/>
  <c r="AJ44" i="66" s="1"/>
  <c r="AN5" i="67"/>
  <c r="AN10" i="67" s="1"/>
  <c r="AM12" i="64"/>
  <c r="AM10" i="66" s="1"/>
  <c r="AK14" i="67"/>
  <c r="AN5" i="68"/>
  <c r="AN16" i="68" s="1"/>
  <c r="AL24" i="67"/>
  <c r="AM44" i="65"/>
  <c r="AM45" i="65" s="1"/>
  <c r="AM10" i="65"/>
  <c r="AN5" i="66"/>
  <c r="AN14" i="64"/>
  <c r="AN5" i="65"/>
  <c r="AN37" i="65" s="1"/>
  <c r="AN20" i="68" s="1"/>
  <c r="AO4" i="64"/>
  <c r="AN13" i="64"/>
  <c r="AM19" i="66" l="1"/>
  <c r="AN7" i="67"/>
  <c r="AN7" i="68"/>
  <c r="AN7" i="66"/>
  <c r="AM43" i="66"/>
  <c r="AJ45" i="66"/>
  <c r="AJ18" i="67"/>
  <c r="AJ19" i="67" s="1"/>
  <c r="AJ21" i="67" s="1"/>
  <c r="AN6" i="65"/>
  <c r="AL17" i="67"/>
  <c r="AN10" i="64"/>
  <c r="AM46" i="65"/>
  <c r="AO4" i="67"/>
  <c r="AN12" i="68"/>
  <c r="AM10" i="68"/>
  <c r="AN11" i="68"/>
  <c r="AO4" i="68"/>
  <c r="AL14" i="67"/>
  <c r="AN11" i="66"/>
  <c r="AN11" i="65"/>
  <c r="AN43" i="65" s="1"/>
  <c r="AM16" i="65"/>
  <c r="AM19" i="65" s="1"/>
  <c r="AM23" i="65" s="1"/>
  <c r="AO4" i="66"/>
  <c r="AO4" i="65"/>
  <c r="AO5" i="64"/>
  <c r="AO6" i="64" s="1"/>
  <c r="AN12" i="65"/>
  <c r="AN11" i="64"/>
  <c r="AN7" i="65"/>
  <c r="AN18" i="66" l="1"/>
  <c r="AM35" i="66"/>
  <c r="AM39" i="66" s="1"/>
  <c r="AN25" i="68"/>
  <c r="AM26" i="68"/>
  <c r="AM27" i="68" s="1"/>
  <c r="AM28" i="68" s="1"/>
  <c r="AO6" i="67"/>
  <c r="AO6" i="68"/>
  <c r="AO6" i="66"/>
  <c r="AO7" i="64"/>
  <c r="AN44" i="65"/>
  <c r="AN45" i="65" s="1"/>
  <c r="AN10" i="65"/>
  <c r="AK40" i="66"/>
  <c r="AK44" i="66" s="1"/>
  <c r="AO5" i="67"/>
  <c r="AO10" i="67" s="1"/>
  <c r="S31" i="65"/>
  <c r="S53" i="66" s="1"/>
  <c r="S29" i="67"/>
  <c r="S36" i="65"/>
  <c r="AO5" i="68"/>
  <c r="AO16" i="68" s="1"/>
  <c r="AM24" i="67"/>
  <c r="AN12" i="64"/>
  <c r="AO5" i="66"/>
  <c r="AO14" i="64"/>
  <c r="AO5" i="65"/>
  <c r="AO37" i="65" s="1"/>
  <c r="AO20" i="68" s="1"/>
  <c r="AP4" i="64"/>
  <c r="AO13" i="64"/>
  <c r="AM38" i="66" l="1"/>
  <c r="AM37" i="66"/>
  <c r="AO7" i="67"/>
  <c r="AO7" i="66"/>
  <c r="AO7" i="68"/>
  <c r="AK18" i="67"/>
  <c r="AK19" i="67" s="1"/>
  <c r="AK21" i="67" s="1"/>
  <c r="AN46" i="65"/>
  <c r="AN16" i="65"/>
  <c r="AN19" i="65" s="1"/>
  <c r="AN23" i="65" s="1"/>
  <c r="AO11" i="64"/>
  <c r="AO7" i="65"/>
  <c r="AL40" i="66"/>
  <c r="AL44" i="66" s="1"/>
  <c r="AK45" i="66"/>
  <c r="S30" i="67"/>
  <c r="S31" i="67" s="1"/>
  <c r="S33" i="67" s="1"/>
  <c r="S39" i="68" s="1"/>
  <c r="AN10" i="68"/>
  <c r="AP4" i="67"/>
  <c r="AO12" i="68"/>
  <c r="S32" i="65"/>
  <c r="S38" i="65"/>
  <c r="T35" i="65" s="1"/>
  <c r="T40" i="65" s="1"/>
  <c r="AO11" i="68"/>
  <c r="AP4" i="68"/>
  <c r="AM17" i="67"/>
  <c r="AM14" i="67"/>
  <c r="AP4" i="66"/>
  <c r="AP4" i="65"/>
  <c r="AP5" i="64"/>
  <c r="AP7" i="64" s="1"/>
  <c r="AO12" i="65"/>
  <c r="AO10" i="64"/>
  <c r="AO6" i="65"/>
  <c r="AO11" i="66"/>
  <c r="AO18" i="66" s="1"/>
  <c r="AO11" i="65"/>
  <c r="AO43" i="65" s="1"/>
  <c r="AN10" i="66"/>
  <c r="AN43" i="66" l="1"/>
  <c r="AN19" i="66"/>
  <c r="AO25" i="68"/>
  <c r="AN26" i="68"/>
  <c r="AN27" i="68" s="1"/>
  <c r="AN28" i="68" s="1"/>
  <c r="AP7" i="67"/>
  <c r="AP7" i="68"/>
  <c r="AP7" i="66"/>
  <c r="AP6" i="64"/>
  <c r="AL18" i="67"/>
  <c r="AL19" i="67" s="1"/>
  <c r="AL21" i="67" s="1"/>
  <c r="AO12" i="64"/>
  <c r="AN24" i="67"/>
  <c r="AL45" i="66"/>
  <c r="AP5" i="67"/>
  <c r="AP10" i="67" s="1"/>
  <c r="T48" i="65"/>
  <c r="T24" i="65" s="1"/>
  <c r="AP5" i="68"/>
  <c r="AP16" i="68" s="1"/>
  <c r="AP14" i="64"/>
  <c r="AP5" i="66"/>
  <c r="AP5" i="65"/>
  <c r="AP37" i="65" s="1"/>
  <c r="AP20" i="68" s="1"/>
  <c r="AP13" i="64"/>
  <c r="AQ4" i="64"/>
  <c r="AO44" i="65"/>
  <c r="AO45" i="65" s="1"/>
  <c r="AO10" i="65"/>
  <c r="AN35" i="66" l="1"/>
  <c r="AN39" i="66" s="1"/>
  <c r="AP6" i="67"/>
  <c r="AP6" i="68"/>
  <c r="AP6" i="66"/>
  <c r="AN38" i="66"/>
  <c r="AN37" i="66"/>
  <c r="AO10" i="68"/>
  <c r="AO10" i="66"/>
  <c r="AQ4" i="67"/>
  <c r="AP12" i="68"/>
  <c r="AO46" i="65"/>
  <c r="T25" i="67"/>
  <c r="T26" i="67" s="1"/>
  <c r="T25" i="65"/>
  <c r="AM40" i="66"/>
  <c r="AM44" i="66" s="1"/>
  <c r="AP11" i="68"/>
  <c r="AQ4" i="68"/>
  <c r="AO16" i="65"/>
  <c r="AO19" i="65" s="1"/>
  <c r="AO23" i="65" s="1"/>
  <c r="AP11" i="66"/>
  <c r="AP18" i="66" s="1"/>
  <c r="AP11" i="65"/>
  <c r="AP43" i="65" s="1"/>
  <c r="AP11" i="64"/>
  <c r="AP7" i="65"/>
  <c r="AP10" i="64"/>
  <c r="AP6" i="65"/>
  <c r="AQ4" i="66"/>
  <c r="AQ4" i="65"/>
  <c r="AQ5" i="64"/>
  <c r="AQ7" i="64" s="1"/>
  <c r="AP12" i="65"/>
  <c r="AO43" i="66" l="1"/>
  <c r="AO19" i="66"/>
  <c r="AP25" i="68"/>
  <c r="AO26" i="68"/>
  <c r="AO27" i="68" s="1"/>
  <c r="AO28" i="68" s="1"/>
  <c r="AQ7" i="67"/>
  <c r="AQ7" i="68"/>
  <c r="AQ7" i="66"/>
  <c r="AQ6" i="64"/>
  <c r="AM18" i="67"/>
  <c r="AM19" i="67" s="1"/>
  <c r="AM21" i="67" s="1"/>
  <c r="T28" i="65"/>
  <c r="T29" i="65" s="1"/>
  <c r="AM45" i="66"/>
  <c r="AQ5" i="67"/>
  <c r="AQ10" i="67" s="1"/>
  <c r="AQ5" i="68"/>
  <c r="AQ16" i="68" s="1"/>
  <c r="AN14" i="67"/>
  <c r="AN17" i="67"/>
  <c r="AQ5" i="66"/>
  <c r="AQ14" i="64"/>
  <c r="AQ5" i="65"/>
  <c r="AQ37" i="65" s="1"/>
  <c r="AQ20" i="68" s="1"/>
  <c r="AR4" i="64"/>
  <c r="AQ13" i="64"/>
  <c r="AP44" i="65"/>
  <c r="AP45" i="65" s="1"/>
  <c r="AP10" i="65"/>
  <c r="AP12" i="64"/>
  <c r="AO24" i="67"/>
  <c r="AO35" i="66" l="1"/>
  <c r="AO39" i="66" s="1"/>
  <c r="AQ6" i="67"/>
  <c r="AQ6" i="68"/>
  <c r="AQ6" i="66"/>
  <c r="AO37" i="66"/>
  <c r="AO38" i="66"/>
  <c r="AP10" i="68"/>
  <c r="AR4" i="67"/>
  <c r="AQ12" i="68"/>
  <c r="AO17" i="67"/>
  <c r="AQ11" i="68"/>
  <c r="AR4" i="68"/>
  <c r="AO14" i="67"/>
  <c r="AP16" i="65"/>
  <c r="AP19" i="65" s="1"/>
  <c r="AP23" i="65" s="1"/>
  <c r="AQ10" i="64"/>
  <c r="AQ6" i="65"/>
  <c r="AR4" i="66"/>
  <c r="AR4" i="65"/>
  <c r="AR5" i="64"/>
  <c r="AR6" i="64" s="1"/>
  <c r="AQ12" i="65"/>
  <c r="AQ11" i="64"/>
  <c r="AQ7" i="65"/>
  <c r="AP10" i="66"/>
  <c r="AP46" i="65"/>
  <c r="AQ11" i="65"/>
  <c r="AQ43" i="65" s="1"/>
  <c r="AQ11" i="66"/>
  <c r="AQ18" i="66" s="1"/>
  <c r="AP43" i="66" l="1"/>
  <c r="AP19" i="66"/>
  <c r="AQ25" i="68"/>
  <c r="AP26" i="68"/>
  <c r="AP27" i="68" s="1"/>
  <c r="AP28" i="68" s="1"/>
  <c r="AR6" i="68"/>
  <c r="AR6" i="67"/>
  <c r="AR6" i="66"/>
  <c r="AR7" i="64"/>
  <c r="AP35" i="66"/>
  <c r="AP39" i="66" s="1"/>
  <c r="AN40" i="66"/>
  <c r="AN44" i="66" s="1"/>
  <c r="AR5" i="67"/>
  <c r="AR10" i="67" s="1"/>
  <c r="T31" i="65"/>
  <c r="T53" i="66" s="1"/>
  <c r="T36" i="65"/>
  <c r="T29" i="67"/>
  <c r="AR5" i="68"/>
  <c r="AR16" i="68" s="1"/>
  <c r="AQ10" i="65"/>
  <c r="AP24" i="67"/>
  <c r="AQ12" i="64"/>
  <c r="AR5" i="66"/>
  <c r="AR14" i="64"/>
  <c r="AR5" i="65"/>
  <c r="AR37" i="65" s="1"/>
  <c r="AR20" i="68" s="1"/>
  <c r="AS4" i="64"/>
  <c r="AR13" i="64"/>
  <c r="AQ44" i="65"/>
  <c r="AQ45" i="65" s="1"/>
  <c r="AR7" i="67" l="1"/>
  <c r="AR7" i="66"/>
  <c r="AR7" i="68"/>
  <c r="AN18" i="67"/>
  <c r="AN19" i="67" s="1"/>
  <c r="AN21" i="67" s="1"/>
  <c r="AP38" i="66"/>
  <c r="AP37" i="66"/>
  <c r="AR10" i="64"/>
  <c r="AP17" i="67"/>
  <c r="AN45" i="66"/>
  <c r="AR6" i="65"/>
  <c r="T30" i="67"/>
  <c r="T31" i="67" s="1"/>
  <c r="T33" i="67" s="1"/>
  <c r="T39" i="68" s="1"/>
  <c r="AQ10" i="68"/>
  <c r="AS4" i="67"/>
  <c r="AR12" i="68"/>
  <c r="T32" i="65"/>
  <c r="T38" i="65"/>
  <c r="U35" i="65" s="1"/>
  <c r="U40" i="65" s="1"/>
  <c r="AR11" i="68"/>
  <c r="AS4" i="68"/>
  <c r="AO40" i="66"/>
  <c r="AO44" i="66" s="1"/>
  <c r="AR11" i="66"/>
  <c r="AR18" i="66" s="1"/>
  <c r="AR11" i="65"/>
  <c r="AR43" i="65" s="1"/>
  <c r="AQ10" i="66"/>
  <c r="AS4" i="66"/>
  <c r="AS4" i="65"/>
  <c r="AS5" i="64"/>
  <c r="AS6" i="64" s="1"/>
  <c r="AR12" i="65"/>
  <c r="AR11" i="64"/>
  <c r="AR7" i="65"/>
  <c r="AQ46" i="65"/>
  <c r="AQ16" i="65"/>
  <c r="AQ19" i="65" s="1"/>
  <c r="AQ23" i="65" s="1"/>
  <c r="AQ43" i="66" l="1"/>
  <c r="AQ19" i="66"/>
  <c r="AR25" i="68"/>
  <c r="AQ26" i="68"/>
  <c r="AQ27" i="68" s="1"/>
  <c r="AQ28" i="68" s="1"/>
  <c r="AS6" i="67"/>
  <c r="AS6" i="68"/>
  <c r="AS6" i="66"/>
  <c r="AS7" i="64"/>
  <c r="AR10" i="65"/>
  <c r="AR16" i="65" s="1"/>
  <c r="AR19" i="65" s="1"/>
  <c r="AR23" i="65" s="1"/>
  <c r="AR44" i="65"/>
  <c r="AR45" i="65" s="1"/>
  <c r="AS5" i="67"/>
  <c r="AS10" i="67" s="1"/>
  <c r="U48" i="65"/>
  <c r="U24" i="65" s="1"/>
  <c r="AP14" i="67"/>
  <c r="AO45" i="66"/>
  <c r="AO18" i="67"/>
  <c r="AO19" i="67" s="1"/>
  <c r="AO21" i="67" s="1"/>
  <c r="AS5" i="68"/>
  <c r="AS16" i="68" s="1"/>
  <c r="AQ24" i="67"/>
  <c r="AR12" i="64"/>
  <c r="AS5" i="66"/>
  <c r="AS14" i="64"/>
  <c r="AS5" i="65"/>
  <c r="AS37" i="65" s="1"/>
  <c r="AS20" i="68" s="1"/>
  <c r="AT4" i="64"/>
  <c r="AS13" i="64"/>
  <c r="AQ35" i="66" l="1"/>
  <c r="AQ39" i="66" s="1"/>
  <c r="AS7" i="66"/>
  <c r="AS7" i="68"/>
  <c r="AS7" i="67"/>
  <c r="AS7" i="65"/>
  <c r="AQ38" i="66"/>
  <c r="AR46" i="65"/>
  <c r="AS12" i="68"/>
  <c r="AT4" i="67"/>
  <c r="AR10" i="68"/>
  <c r="AS11" i="64"/>
  <c r="AS12" i="64" s="1"/>
  <c r="U25" i="67"/>
  <c r="U26" i="67" s="1"/>
  <c r="U25" i="65"/>
  <c r="AQ17" i="67"/>
  <c r="AT4" i="68"/>
  <c r="AS11" i="68"/>
  <c r="AT4" i="66"/>
  <c r="AT4" i="65"/>
  <c r="AT5" i="64"/>
  <c r="AT6" i="64" s="1"/>
  <c r="AS12" i="65"/>
  <c r="AS11" i="66"/>
  <c r="AS18" i="66" s="1"/>
  <c r="AS11" i="65"/>
  <c r="AS43" i="65" s="1"/>
  <c r="AR24" i="67"/>
  <c r="AR10" i="66"/>
  <c r="AS10" i="64"/>
  <c r="AS6" i="65"/>
  <c r="AQ37" i="66" l="1"/>
  <c r="AR43" i="66"/>
  <c r="AR19" i="66"/>
  <c r="AS25" i="68"/>
  <c r="AR26" i="68"/>
  <c r="AR27" i="68" s="1"/>
  <c r="AR28" i="68" s="1"/>
  <c r="AT6" i="67"/>
  <c r="AT6" i="68"/>
  <c r="AT6" i="66"/>
  <c r="AT7" i="64"/>
  <c r="U28" i="65"/>
  <c r="AP40" i="66"/>
  <c r="AP44" i="66" s="1"/>
  <c r="AT5" i="67"/>
  <c r="AT10" i="67" s="1"/>
  <c r="AS10" i="68"/>
  <c r="AQ14" i="67"/>
  <c r="AT5" i="68"/>
  <c r="AT16" i="68" s="1"/>
  <c r="AS10" i="66"/>
  <c r="AT14" i="64"/>
  <c r="AT5" i="66"/>
  <c r="AT5" i="65"/>
  <c r="AT37" i="65" s="1"/>
  <c r="AT20" i="68" s="1"/>
  <c r="AU4" i="64"/>
  <c r="AT13" i="64"/>
  <c r="AS44" i="65"/>
  <c r="AS45" i="65" s="1"/>
  <c r="AS10" i="65"/>
  <c r="AS43" i="66" l="1"/>
  <c r="AS19" i="66"/>
  <c r="AR35" i="66"/>
  <c r="AR39" i="66" s="1"/>
  <c r="AS26" i="68"/>
  <c r="AS27" i="68" s="1"/>
  <c r="AS28" i="68" s="1"/>
  <c r="AT7" i="67"/>
  <c r="AT7" i="68"/>
  <c r="AT7" i="66"/>
  <c r="U29" i="65"/>
  <c r="AP45" i="66"/>
  <c r="AR38" i="66"/>
  <c r="AP18" i="67"/>
  <c r="AP19" i="67" s="1"/>
  <c r="AP21" i="67" s="1"/>
  <c r="AS46" i="65"/>
  <c r="AT12" i="68"/>
  <c r="AU4" i="67"/>
  <c r="AT11" i="68"/>
  <c r="AR17" i="67"/>
  <c r="AU4" i="68"/>
  <c r="AT11" i="64"/>
  <c r="AT7" i="65"/>
  <c r="AS16" i="65"/>
  <c r="AS19" i="65" s="1"/>
  <c r="AS23" i="65" s="1"/>
  <c r="AT11" i="66"/>
  <c r="AT18" i="66" s="1"/>
  <c r="AT11" i="65"/>
  <c r="AT43" i="65" s="1"/>
  <c r="AT12" i="65"/>
  <c r="AU4" i="66"/>
  <c r="AU4" i="65"/>
  <c r="AU5" i="64"/>
  <c r="AU6" i="64" s="1"/>
  <c r="AT10" i="64"/>
  <c r="AT6" i="65"/>
  <c r="AR37" i="66" l="1"/>
  <c r="AS35" i="66"/>
  <c r="AT25" i="68"/>
  <c r="AU6" i="67"/>
  <c r="AU6" i="68"/>
  <c r="AU6" i="66"/>
  <c r="AU7" i="64"/>
  <c r="AQ40" i="66"/>
  <c r="AQ44" i="66" s="1"/>
  <c r="AU5" i="67"/>
  <c r="AU10" i="67" s="1"/>
  <c r="U31" i="65"/>
  <c r="U53" i="66" s="1"/>
  <c r="U29" i="67"/>
  <c r="U36" i="65"/>
  <c r="AU5" i="68"/>
  <c r="AU16" i="68" s="1"/>
  <c r="AR14" i="67"/>
  <c r="AU5" i="66"/>
  <c r="AU14" i="64"/>
  <c r="AU5" i="65"/>
  <c r="AU37" i="65" s="1"/>
  <c r="AU20" i="68" s="1"/>
  <c r="AU13" i="64"/>
  <c r="AV4" i="64"/>
  <c r="AT12" i="64"/>
  <c r="AS24" i="67"/>
  <c r="AT44" i="65"/>
  <c r="AT45" i="65" s="1"/>
  <c r="AT10" i="65"/>
  <c r="AS39" i="66" l="1"/>
  <c r="AS37" i="66"/>
  <c r="AS38" i="66"/>
  <c r="AU7" i="67"/>
  <c r="AU7" i="68"/>
  <c r="AU7" i="66"/>
  <c r="AQ18" i="67"/>
  <c r="AQ19" i="67" s="1"/>
  <c r="AQ21" i="67" s="1"/>
  <c r="AQ45" i="66"/>
  <c r="U30" i="67"/>
  <c r="U31" i="67" s="1"/>
  <c r="U33" i="67" s="1"/>
  <c r="U39" i="68" s="1"/>
  <c r="AU12" i="68"/>
  <c r="AV4" i="67"/>
  <c r="AT10" i="68"/>
  <c r="U32" i="65"/>
  <c r="U38" i="65"/>
  <c r="V35" i="65" s="1"/>
  <c r="V40" i="65" s="1"/>
  <c r="AS14" i="67"/>
  <c r="AV4" i="68"/>
  <c r="AS17" i="67"/>
  <c r="AU11" i="68"/>
  <c r="AU11" i="64"/>
  <c r="AU7" i="65"/>
  <c r="AT10" i="66"/>
  <c r="AU11" i="65"/>
  <c r="AU43" i="65" s="1"/>
  <c r="AU11" i="66"/>
  <c r="AU12" i="65"/>
  <c r="AU10" i="64"/>
  <c r="AU6" i="65"/>
  <c r="AT16" i="65"/>
  <c r="AT19" i="65" s="1"/>
  <c r="AT23" i="65" s="1"/>
  <c r="AT46" i="65"/>
  <c r="AV4" i="66"/>
  <c r="AV4" i="65"/>
  <c r="AV5" i="64"/>
  <c r="AV6" i="64" s="1"/>
  <c r="AU18" i="66" l="1"/>
  <c r="AT43" i="66"/>
  <c r="AT19" i="66"/>
  <c r="AU25" i="68"/>
  <c r="AT26" i="68"/>
  <c r="AT27" i="68" s="1"/>
  <c r="AT28" i="68" s="1"/>
  <c r="AV6" i="66"/>
  <c r="AV6" i="68"/>
  <c r="AV6" i="67"/>
  <c r="AV7" i="64"/>
  <c r="AV5" i="68"/>
  <c r="AV16" i="68" s="1"/>
  <c r="AV5" i="67"/>
  <c r="AV10" i="67" s="1"/>
  <c r="V48" i="65"/>
  <c r="V24" i="65" s="1"/>
  <c r="AR40" i="66"/>
  <c r="AR44" i="66" s="1"/>
  <c r="AT24" i="67"/>
  <c r="AU12" i="64"/>
  <c r="AU44" i="65"/>
  <c r="AU45" i="65" s="1"/>
  <c r="AU10" i="65"/>
  <c r="AV5" i="66"/>
  <c r="AV14" i="64"/>
  <c r="AV5" i="65"/>
  <c r="AV37" i="65" s="1"/>
  <c r="AV20" i="68" s="1"/>
  <c r="AW4" i="64"/>
  <c r="AV13" i="64"/>
  <c r="AT35" i="66" l="1"/>
  <c r="AT39" i="66" s="1"/>
  <c r="AV7" i="67"/>
  <c r="AV7" i="66"/>
  <c r="AV7" i="68"/>
  <c r="AV11" i="64"/>
  <c r="AV12" i="64" s="1"/>
  <c r="AU46" i="65"/>
  <c r="AU10" i="68"/>
  <c r="AW4" i="67"/>
  <c r="AV12" i="68"/>
  <c r="V25" i="67"/>
  <c r="V26" i="67" s="1"/>
  <c r="V25" i="65"/>
  <c r="AV7" i="65"/>
  <c r="AV11" i="68"/>
  <c r="AW4" i="68"/>
  <c r="AR18" i="67"/>
  <c r="AR19" i="67" s="1"/>
  <c r="AR21" i="67" s="1"/>
  <c r="AR45" i="66"/>
  <c r="AT17" i="67"/>
  <c r="AS40" i="66"/>
  <c r="AS44" i="66" s="1"/>
  <c r="AU16" i="65"/>
  <c r="AU19" i="65" s="1"/>
  <c r="AU23" i="65" s="1"/>
  <c r="AU10" i="66"/>
  <c r="AW4" i="66"/>
  <c r="AW4" i="65"/>
  <c r="AW5" i="64"/>
  <c r="AW6" i="64" s="1"/>
  <c r="AV12" i="65"/>
  <c r="AV10" i="64"/>
  <c r="AV6" i="65"/>
  <c r="AV11" i="66"/>
  <c r="AV18" i="66" s="1"/>
  <c r="AV11" i="65"/>
  <c r="AV43" i="65" s="1"/>
  <c r="AT37" i="66" l="1"/>
  <c r="AU19" i="66"/>
  <c r="AT38" i="66"/>
  <c r="AV25" i="68"/>
  <c r="AU26" i="68"/>
  <c r="AU27" i="68" s="1"/>
  <c r="AU28" i="68" s="1"/>
  <c r="AW6" i="67"/>
  <c r="AW6" i="68"/>
  <c r="AW6" i="66"/>
  <c r="AW7" i="64"/>
  <c r="V28" i="65"/>
  <c r="V29" i="65" s="1"/>
  <c r="AV10" i="68"/>
  <c r="AW5" i="68"/>
  <c r="AW16" i="68" s="1"/>
  <c r="AW5" i="67"/>
  <c r="AW10" i="67" s="1"/>
  <c r="AS45" i="66"/>
  <c r="AS18" i="67"/>
  <c r="AS19" i="67" s="1"/>
  <c r="AS21" i="67" s="1"/>
  <c r="AT14" i="67"/>
  <c r="AV10" i="66"/>
  <c r="AU24" i="67"/>
  <c r="AV44" i="65"/>
  <c r="AV45" i="65" s="1"/>
  <c r="AV10" i="65"/>
  <c r="AW5" i="66"/>
  <c r="AW14" i="64"/>
  <c r="AW5" i="65"/>
  <c r="AW37" i="65" s="1"/>
  <c r="AW20" i="68" s="1"/>
  <c r="AX4" i="64"/>
  <c r="AW13" i="64"/>
  <c r="AU35" i="66" l="1"/>
  <c r="AU39" i="66" s="1"/>
  <c r="AV43" i="66"/>
  <c r="AV19" i="66"/>
  <c r="AU43" i="66"/>
  <c r="AU17" i="67" s="1"/>
  <c r="AV26" i="68"/>
  <c r="AV27" i="68" s="1"/>
  <c r="AV28" i="68" s="1"/>
  <c r="AW7" i="66"/>
  <c r="AW7" i="68"/>
  <c r="AW7" i="67"/>
  <c r="AW11" i="64"/>
  <c r="AW12" i="64" s="1"/>
  <c r="AU37" i="66"/>
  <c r="AU38" i="66"/>
  <c r="AV46" i="65"/>
  <c r="AX4" i="67"/>
  <c r="AW12" i="68"/>
  <c r="AW7" i="65"/>
  <c r="AX4" i="68"/>
  <c r="AW11" i="68"/>
  <c r="AW11" i="66"/>
  <c r="AW18" i="66" s="1"/>
  <c r="AW11" i="65"/>
  <c r="AW43" i="65" s="1"/>
  <c r="AV16" i="65"/>
  <c r="AV19" i="65" s="1"/>
  <c r="AV23" i="65" s="1"/>
  <c r="AX4" i="66"/>
  <c r="AX4" i="65"/>
  <c r="AX5" i="64"/>
  <c r="AX7" i="64" s="1"/>
  <c r="AW12" i="65"/>
  <c r="AW10" i="64"/>
  <c r="AW6" i="65"/>
  <c r="AV35" i="66" l="1"/>
  <c r="AW25" i="68"/>
  <c r="AX7" i="67"/>
  <c r="AX7" i="68"/>
  <c r="AX7" i="66"/>
  <c r="AX6" i="64"/>
  <c r="AT40" i="66"/>
  <c r="AT44" i="66" s="1"/>
  <c r="AW10" i="68"/>
  <c r="AX5" i="68"/>
  <c r="AX16" i="68" s="1"/>
  <c r="AX5" i="67"/>
  <c r="AX10" i="67" s="1"/>
  <c r="V31" i="65"/>
  <c r="V53" i="66" s="1"/>
  <c r="V29" i="67"/>
  <c r="V36" i="65"/>
  <c r="AU14" i="67"/>
  <c r="AW10" i="66"/>
  <c r="AW44" i="65"/>
  <c r="AW45" i="65" s="1"/>
  <c r="AW10" i="65"/>
  <c r="AV24" i="67"/>
  <c r="AX14" i="64"/>
  <c r="AX5" i="66"/>
  <c r="AX5" i="65"/>
  <c r="AX37" i="65" s="1"/>
  <c r="AX20" i="68" s="1"/>
  <c r="AX13" i="64"/>
  <c r="AY4" i="64"/>
  <c r="AW43" i="66" l="1"/>
  <c r="AW19" i="66"/>
  <c r="AV39" i="66"/>
  <c r="AV38" i="66"/>
  <c r="AV37" i="66"/>
  <c r="AW26" i="68"/>
  <c r="AW27" i="68" s="1"/>
  <c r="AW28" i="68" s="1"/>
  <c r="AX6" i="67"/>
  <c r="AX6" i="68"/>
  <c r="AX6" i="66"/>
  <c r="AT45" i="66"/>
  <c r="AV17" i="67"/>
  <c r="AT18" i="67"/>
  <c r="AT19" i="67" s="1"/>
  <c r="AT21" i="67" s="1"/>
  <c r="V30" i="67"/>
  <c r="V31" i="67" s="1"/>
  <c r="V33" i="67" s="1"/>
  <c r="V39" i="68" s="1"/>
  <c r="AY4" i="67"/>
  <c r="AX12" i="68"/>
  <c r="V32" i="65"/>
  <c r="V38" i="65"/>
  <c r="W35" i="65" s="1"/>
  <c r="W40" i="65" s="1"/>
  <c r="AX11" i="68"/>
  <c r="AY4" i="68"/>
  <c r="AV14" i="67"/>
  <c r="AX6" i="65"/>
  <c r="AX10" i="64"/>
  <c r="AX11" i="66"/>
  <c r="AX18" i="66" s="1"/>
  <c r="AX11" i="65"/>
  <c r="AX43" i="65" s="1"/>
  <c r="AX11" i="64"/>
  <c r="AX7" i="65"/>
  <c r="AY4" i="66"/>
  <c r="AY4" i="65"/>
  <c r="AY5" i="64"/>
  <c r="AY7" i="64" s="1"/>
  <c r="AX12" i="65"/>
  <c r="AW46" i="65"/>
  <c r="AW16" i="65"/>
  <c r="AW19" i="65" s="1"/>
  <c r="AW23" i="65" s="1"/>
  <c r="AW35" i="66" l="1"/>
  <c r="AX25" i="68"/>
  <c r="AY7" i="67"/>
  <c r="AY7" i="68"/>
  <c r="AY7" i="66"/>
  <c r="AY6" i="64"/>
  <c r="AU40" i="66"/>
  <c r="AU44" i="66" s="1"/>
  <c r="AY5" i="67"/>
  <c r="AY10" i="67" s="1"/>
  <c r="W48" i="65"/>
  <c r="W24" i="65" s="1"/>
  <c r="AX44" i="65"/>
  <c r="AX45" i="65" s="1"/>
  <c r="AY5" i="68"/>
  <c r="AY16" i="68" s="1"/>
  <c r="AX10" i="65"/>
  <c r="AX12" i="64"/>
  <c r="AW24" i="67"/>
  <c r="AY5" i="66"/>
  <c r="AY14" i="64"/>
  <c r="AY5" i="65"/>
  <c r="AY37" i="65" s="1"/>
  <c r="AY20" i="68" s="1"/>
  <c r="AZ4" i="64"/>
  <c r="AY13" i="64"/>
  <c r="AW39" i="66" l="1"/>
  <c r="AW37" i="66"/>
  <c r="AW38" i="66"/>
  <c r="AY6" i="67"/>
  <c r="AY6" i="66"/>
  <c r="AY6" i="68"/>
  <c r="AY6" i="65"/>
  <c r="AY44" i="65" s="1"/>
  <c r="AU45" i="66"/>
  <c r="AX46" i="65"/>
  <c r="AY10" i="64"/>
  <c r="AW17" i="67"/>
  <c r="AU18" i="67"/>
  <c r="AU19" i="67" s="1"/>
  <c r="AU21" i="67" s="1"/>
  <c r="AZ4" i="67"/>
  <c r="AY12" i="68"/>
  <c r="AX10" i="68"/>
  <c r="W25" i="67"/>
  <c r="W26" i="67" s="1"/>
  <c r="W25" i="65"/>
  <c r="AX16" i="65"/>
  <c r="AX19" i="65" s="1"/>
  <c r="AX23" i="65" s="1"/>
  <c r="AY11" i="68"/>
  <c r="AZ4" i="68"/>
  <c r="AW14" i="67"/>
  <c r="AV40" i="66"/>
  <c r="AV44" i="66" s="1"/>
  <c r="AZ4" i="66"/>
  <c r="AZ4" i="65"/>
  <c r="AZ5" i="64"/>
  <c r="AZ7" i="64" s="1"/>
  <c r="AY12" i="65"/>
  <c r="AY11" i="64"/>
  <c r="AY7" i="65"/>
  <c r="AX10" i="66"/>
  <c r="AY11" i="65"/>
  <c r="AY43" i="65" s="1"/>
  <c r="AY11" i="66"/>
  <c r="AY18" i="66" s="1"/>
  <c r="AX19" i="66" l="1"/>
  <c r="AY25" i="68"/>
  <c r="AY45" i="65"/>
  <c r="AY46" i="65" s="1"/>
  <c r="AX26" i="68"/>
  <c r="AX27" i="68" s="1"/>
  <c r="AX28" i="68" s="1"/>
  <c r="AZ7" i="67"/>
  <c r="AZ7" i="68"/>
  <c r="AZ7" i="66"/>
  <c r="AZ6" i="64"/>
  <c r="W28" i="65"/>
  <c r="AY10" i="65"/>
  <c r="AY16" i="65" s="1"/>
  <c r="AY19" i="65" s="1"/>
  <c r="AY23" i="65" s="1"/>
  <c r="AZ5" i="67"/>
  <c r="AZ10" i="67" s="1"/>
  <c r="AX24" i="67"/>
  <c r="AV18" i="67"/>
  <c r="AV19" i="67" s="1"/>
  <c r="AV21" i="67" s="1"/>
  <c r="AV45" i="66"/>
  <c r="AZ5" i="68"/>
  <c r="AZ16" i="68" s="1"/>
  <c r="AY12" i="64"/>
  <c r="AZ5" i="66"/>
  <c r="AZ14" i="64"/>
  <c r="AZ5" i="65"/>
  <c r="AZ37" i="65" s="1"/>
  <c r="AZ20" i="68" s="1"/>
  <c r="BA4" i="64"/>
  <c r="AZ13" i="64"/>
  <c r="AX43" i="66" l="1"/>
  <c r="AX35" i="66"/>
  <c r="AX39" i="66" s="1"/>
  <c r="AZ6" i="68"/>
  <c r="AZ6" i="67"/>
  <c r="AZ6" i="66"/>
  <c r="W29" i="65"/>
  <c r="AY24" i="67"/>
  <c r="AY10" i="68"/>
  <c r="BA4" i="67"/>
  <c r="AZ12" i="68"/>
  <c r="AW40" i="66"/>
  <c r="AW44" i="66" s="1"/>
  <c r="AZ11" i="68"/>
  <c r="BA4" i="68"/>
  <c r="AZ10" i="64"/>
  <c r="AZ6" i="65"/>
  <c r="AZ11" i="66"/>
  <c r="AZ18" i="66" s="1"/>
  <c r="AZ11" i="65"/>
  <c r="AZ43" i="65" s="1"/>
  <c r="AY10" i="66"/>
  <c r="BA4" i="66"/>
  <c r="BA4" i="65"/>
  <c r="BA5" i="64"/>
  <c r="BA6" i="64" s="1"/>
  <c r="AZ12" i="65"/>
  <c r="AZ11" i="64"/>
  <c r="AZ7" i="65"/>
  <c r="AX37" i="66" l="1"/>
  <c r="AX38" i="66"/>
  <c r="AY43" i="66"/>
  <c r="AY19" i="66"/>
  <c r="AZ25" i="68"/>
  <c r="AY26" i="68"/>
  <c r="AY27" i="68" s="1"/>
  <c r="AY28" i="68" s="1"/>
  <c r="BA6" i="67"/>
  <c r="BA6" i="68"/>
  <c r="BA6" i="66"/>
  <c r="BA7" i="64"/>
  <c r="AW45" i="66"/>
  <c r="AW18" i="67"/>
  <c r="AW19" i="67" s="1"/>
  <c r="AW21" i="67" s="1"/>
  <c r="BA5" i="67"/>
  <c r="BA10" i="67" s="1"/>
  <c r="W31" i="65"/>
  <c r="W53" i="66" s="1"/>
  <c r="W36" i="65"/>
  <c r="W29" i="67"/>
  <c r="AX14" i="67"/>
  <c r="AX17" i="67"/>
  <c r="BA5" i="68"/>
  <c r="BA16" i="68" s="1"/>
  <c r="BA5" i="66"/>
  <c r="BA14" i="64"/>
  <c r="BA5" i="65"/>
  <c r="BA37" i="65" s="1"/>
  <c r="BA20" i="68" s="1"/>
  <c r="BB4" i="64"/>
  <c r="BA13" i="64"/>
  <c r="AZ44" i="65"/>
  <c r="AZ45" i="65" s="1"/>
  <c r="AZ10" i="65"/>
  <c r="AZ12" i="64"/>
  <c r="AY35" i="66" l="1"/>
  <c r="AY39" i="66" s="1"/>
  <c r="BA7" i="66"/>
  <c r="BA7" i="67"/>
  <c r="BA7" i="68"/>
  <c r="AY38" i="66"/>
  <c r="AZ46" i="65"/>
  <c r="W30" i="67"/>
  <c r="W31" i="67" s="1"/>
  <c r="W33" i="67" s="1"/>
  <c r="W39" i="68" s="1"/>
  <c r="AZ10" i="68"/>
  <c r="BB4" i="67"/>
  <c r="BA12" i="68"/>
  <c r="W32" i="65"/>
  <c r="W38" i="65"/>
  <c r="X35" i="65" s="1"/>
  <c r="X40" i="65" s="1"/>
  <c r="BA11" i="68"/>
  <c r="BB4" i="68"/>
  <c r="AY17" i="67"/>
  <c r="BA11" i="64"/>
  <c r="BA7" i="65"/>
  <c r="BB4" i="66"/>
  <c r="BB4" i="65"/>
  <c r="BB5" i="64"/>
  <c r="BB7" i="64" s="1"/>
  <c r="BA12" i="65"/>
  <c r="BA10" i="64"/>
  <c r="BA6" i="65"/>
  <c r="AZ10" i="66"/>
  <c r="AZ16" i="65"/>
  <c r="AZ19" i="65" s="1"/>
  <c r="AZ23" i="65" s="1"/>
  <c r="BA11" i="66"/>
  <c r="BA18" i="66" s="1"/>
  <c r="BA11" i="65"/>
  <c r="BA43" i="65" s="1"/>
  <c r="AY37" i="66" l="1"/>
  <c r="AZ43" i="66"/>
  <c r="AZ19" i="66"/>
  <c r="BA25" i="68"/>
  <c r="AZ26" i="68"/>
  <c r="AZ27" i="68" s="1"/>
  <c r="AZ28" i="68" s="1"/>
  <c r="BB7" i="67"/>
  <c r="BB7" i="68"/>
  <c r="BB7" i="66"/>
  <c r="BB6" i="64"/>
  <c r="BB5" i="67"/>
  <c r="BB10" i="67" s="1"/>
  <c r="X48" i="65"/>
  <c r="X24" i="65" s="1"/>
  <c r="AX40" i="66"/>
  <c r="AX44" i="66" s="1"/>
  <c r="BB5" i="68"/>
  <c r="BB16" i="68" s="1"/>
  <c r="AY14" i="67"/>
  <c r="AZ24" i="67"/>
  <c r="BA12" i="64"/>
  <c r="BA44" i="65"/>
  <c r="BA45" i="65" s="1"/>
  <c r="BA10" i="65"/>
  <c r="BB14" i="64"/>
  <c r="BB5" i="66"/>
  <c r="BB5" i="65"/>
  <c r="BB37" i="65" s="1"/>
  <c r="BB20" i="68" s="1"/>
  <c r="BB13" i="64"/>
  <c r="BC4" i="64"/>
  <c r="AZ35" i="66" l="1"/>
  <c r="AZ39" i="66" s="1"/>
  <c r="BB6" i="67"/>
  <c r="BB6" i="68"/>
  <c r="BB6" i="66"/>
  <c r="AX18" i="67"/>
  <c r="AX19" i="67" s="1"/>
  <c r="AX21" i="67" s="1"/>
  <c r="AZ38" i="66"/>
  <c r="AZ37" i="66"/>
  <c r="AX45" i="66"/>
  <c r="BC4" i="67"/>
  <c r="BB12" i="68"/>
  <c r="BA10" i="68"/>
  <c r="BB11" i="64"/>
  <c r="BB12" i="64" s="1"/>
  <c r="X25" i="67"/>
  <c r="X26" i="67" s="1"/>
  <c r="X25" i="65"/>
  <c r="BB7" i="65"/>
  <c r="BA46" i="65"/>
  <c r="BC4" i="68"/>
  <c r="BB11" i="68"/>
  <c r="AZ17" i="67"/>
  <c r="BB11" i="66"/>
  <c r="BB18" i="66" s="1"/>
  <c r="BB11" i="65"/>
  <c r="BB43" i="65" s="1"/>
  <c r="BB10" i="64"/>
  <c r="BB6" i="65"/>
  <c r="BC4" i="66"/>
  <c r="BC4" i="65"/>
  <c r="BC5" i="64"/>
  <c r="BC7" i="64" s="1"/>
  <c r="BB12" i="65"/>
  <c r="BA16" i="65"/>
  <c r="BA19" i="65" s="1"/>
  <c r="BA23" i="65" s="1"/>
  <c r="BA10" i="66"/>
  <c r="BA19" i="66" l="1"/>
  <c r="BB25" i="68"/>
  <c r="BA26" i="68"/>
  <c r="BA27" i="68" s="1"/>
  <c r="BA28" i="68" s="1"/>
  <c r="BC7" i="67"/>
  <c r="BC7" i="68"/>
  <c r="BC7" i="66"/>
  <c r="BC6" i="64"/>
  <c r="X28" i="65"/>
  <c r="BC5" i="67"/>
  <c r="BC10" i="67" s="1"/>
  <c r="BB10" i="68"/>
  <c r="BC5" i="68"/>
  <c r="BC16" i="68" s="1"/>
  <c r="AZ14" i="67"/>
  <c r="AY40" i="66"/>
  <c r="AY44" i="66" s="1"/>
  <c r="BB10" i="65"/>
  <c r="BC5" i="66"/>
  <c r="BC14" i="64"/>
  <c r="BC5" i="65"/>
  <c r="BC37" i="65" s="1"/>
  <c r="BC20" i="68" s="1"/>
  <c r="BC13" i="64"/>
  <c r="BD4" i="64"/>
  <c r="BB10" i="66"/>
  <c r="BA24" i="67"/>
  <c r="BB44" i="65"/>
  <c r="BB45" i="65" s="1"/>
  <c r="BB43" i="66" l="1"/>
  <c r="BA35" i="66"/>
  <c r="BA39" i="66" s="1"/>
  <c r="BA43" i="66"/>
  <c r="BA17" i="67" s="1"/>
  <c r="BB19" i="66"/>
  <c r="BB26" i="68"/>
  <c r="BB27" i="68" s="1"/>
  <c r="BB28" i="68" s="1"/>
  <c r="BC6" i="67"/>
  <c r="BC6" i="68"/>
  <c r="BC6" i="66"/>
  <c r="X29" i="65"/>
  <c r="BA38" i="66"/>
  <c r="BC12" i="68"/>
  <c r="BD4" i="67"/>
  <c r="BC11" i="64"/>
  <c r="BC7" i="65"/>
  <c r="BD4" i="68"/>
  <c r="AY45" i="66"/>
  <c r="AY18" i="67"/>
  <c r="AY19" i="67" s="1"/>
  <c r="AY21" i="67" s="1"/>
  <c r="BC11" i="68"/>
  <c r="BC11" i="65"/>
  <c r="BC43" i="65" s="1"/>
  <c r="BC11" i="66"/>
  <c r="BC18" i="66" s="1"/>
  <c r="BC12" i="65"/>
  <c r="BC10" i="64"/>
  <c r="BC6" i="65"/>
  <c r="BB46" i="65"/>
  <c r="BD4" i="66"/>
  <c r="BD4" i="65"/>
  <c r="BD5" i="64"/>
  <c r="BD6" i="64" s="1"/>
  <c r="BB16" i="65"/>
  <c r="BB19" i="65" s="1"/>
  <c r="BB23" i="65" s="1"/>
  <c r="BA37" i="66" l="1"/>
  <c r="BB35" i="66"/>
  <c r="BC25" i="68"/>
  <c r="BD6" i="67"/>
  <c r="BD6" i="66"/>
  <c r="BD6" i="68"/>
  <c r="BD7" i="64"/>
  <c r="BC12" i="64"/>
  <c r="BD5" i="67"/>
  <c r="BD10" i="67" s="1"/>
  <c r="X31" i="65"/>
  <c r="X53" i="66" s="1"/>
  <c r="X36" i="65"/>
  <c r="X29" i="67"/>
  <c r="AZ40" i="66"/>
  <c r="AZ44" i="66" s="1"/>
  <c r="BD5" i="68"/>
  <c r="BD16" i="68" s="1"/>
  <c r="BA14" i="67"/>
  <c r="BB24" i="67"/>
  <c r="BC10" i="65"/>
  <c r="BD5" i="66"/>
  <c r="BD14" i="64"/>
  <c r="BD5" i="65"/>
  <c r="BD37" i="65" s="1"/>
  <c r="BD20" i="68" s="1"/>
  <c r="BE4" i="64"/>
  <c r="BD13" i="64"/>
  <c r="BC44" i="65"/>
  <c r="BC45" i="65" s="1"/>
  <c r="BB39" i="66" l="1"/>
  <c r="BB37" i="66"/>
  <c r="BB38" i="66"/>
  <c r="BD7" i="67"/>
  <c r="BD7" i="68"/>
  <c r="BD7" i="66"/>
  <c r="AZ45" i="66"/>
  <c r="BC10" i="66"/>
  <c r="BC10" i="68"/>
  <c r="X30" i="67"/>
  <c r="X31" i="67" s="1"/>
  <c r="X33" i="67" s="1"/>
  <c r="X39" i="68" s="1"/>
  <c r="AZ18" i="67"/>
  <c r="AZ19" i="67" s="1"/>
  <c r="AZ21" i="67" s="1"/>
  <c r="BE4" i="67"/>
  <c r="BD12" i="68"/>
  <c r="X32" i="65"/>
  <c r="X38" i="65"/>
  <c r="Y35" i="65" s="1"/>
  <c r="Y40" i="65" s="1"/>
  <c r="BC46" i="65"/>
  <c r="BB14" i="67"/>
  <c r="BE4" i="68"/>
  <c r="BD11" i="68"/>
  <c r="BB17" i="67"/>
  <c r="BD7" i="65"/>
  <c r="BD11" i="64"/>
  <c r="BE4" i="66"/>
  <c r="BE4" i="65"/>
  <c r="BE5" i="64"/>
  <c r="BE6" i="64" s="1"/>
  <c r="BD12" i="65"/>
  <c r="BD10" i="64"/>
  <c r="BD6" i="65"/>
  <c r="BD11" i="66"/>
  <c r="BD11" i="65"/>
  <c r="BD43" i="65" s="1"/>
  <c r="BC16" i="65"/>
  <c r="BC19" i="65" s="1"/>
  <c r="BC23" i="65" s="1"/>
  <c r="BC43" i="66" l="1"/>
  <c r="BC17" i="67" s="1"/>
  <c r="BD18" i="66"/>
  <c r="BC19" i="66"/>
  <c r="BD25" i="68"/>
  <c r="BC26" i="68"/>
  <c r="BC27" i="68" s="1"/>
  <c r="BC28" i="68" s="1"/>
  <c r="BE6" i="67"/>
  <c r="BE6" i="68"/>
  <c r="BE6" i="66"/>
  <c r="BE7" i="64"/>
  <c r="BE5" i="68"/>
  <c r="BE16" i="68" s="1"/>
  <c r="BE5" i="67"/>
  <c r="BE10" i="67" s="1"/>
  <c r="BA40" i="66"/>
  <c r="BA44" i="66" s="1"/>
  <c r="Y48" i="65"/>
  <c r="Y24" i="65" s="1"/>
  <c r="BD12" i="64"/>
  <c r="BC24" i="67"/>
  <c r="BD44" i="65"/>
  <c r="BD45" i="65" s="1"/>
  <c r="BD10" i="65"/>
  <c r="BE5" i="66"/>
  <c r="BE14" i="64"/>
  <c r="BE5" i="65"/>
  <c r="BE37" i="65" s="1"/>
  <c r="BE20" i="68" s="1"/>
  <c r="BE13" i="64"/>
  <c r="BF4" i="64"/>
  <c r="BC35" i="66" l="1"/>
  <c r="BE7" i="68"/>
  <c r="BE7" i="66"/>
  <c r="BE7" i="67"/>
  <c r="BE11" i="64"/>
  <c r="BE12" i="64" s="1"/>
  <c r="BA18" i="67"/>
  <c r="BA19" i="67" s="1"/>
  <c r="BA21" i="67" s="1"/>
  <c r="BA45" i="66"/>
  <c r="BE12" i="68"/>
  <c r="BF4" i="67"/>
  <c r="BD10" i="68"/>
  <c r="BE7" i="65"/>
  <c r="BD46" i="65"/>
  <c r="Y25" i="67"/>
  <c r="Y26" i="67" s="1"/>
  <c r="Y25" i="65"/>
  <c r="BB40" i="66"/>
  <c r="BB44" i="66" s="1"/>
  <c r="BE11" i="68"/>
  <c r="BF4" i="68"/>
  <c r="BC14" i="67"/>
  <c r="BD10" i="66"/>
  <c r="BE11" i="66"/>
  <c r="BE18" i="66" s="1"/>
  <c r="BE11" i="65"/>
  <c r="BE43" i="65" s="1"/>
  <c r="BE12" i="65"/>
  <c r="BE10" i="64"/>
  <c r="BE6" i="65"/>
  <c r="BF4" i="66"/>
  <c r="BF4" i="65"/>
  <c r="BF5" i="64"/>
  <c r="BF7" i="64" s="1"/>
  <c r="BD16" i="65"/>
  <c r="BD19" i="65" s="1"/>
  <c r="BD23" i="65" s="1"/>
  <c r="BD19" i="66" l="1"/>
  <c r="BC39" i="66"/>
  <c r="BC38" i="66"/>
  <c r="BC37" i="66"/>
  <c r="BE25" i="68"/>
  <c r="BD26" i="68"/>
  <c r="BD27" i="68" s="1"/>
  <c r="BD28" i="68" s="1"/>
  <c r="BF7" i="67"/>
  <c r="BF7" i="68"/>
  <c r="BF7" i="66"/>
  <c r="BF6" i="64"/>
  <c r="BB45" i="66"/>
  <c r="Y28" i="65"/>
  <c r="BB18" i="67"/>
  <c r="BB19" i="67" s="1"/>
  <c r="BB21" i="67" s="1"/>
  <c r="BE10" i="68"/>
  <c r="BF5" i="68"/>
  <c r="BF16" i="68" s="1"/>
  <c r="BF5" i="67"/>
  <c r="BF10" i="67" s="1"/>
  <c r="BD24" i="67"/>
  <c r="BE10" i="66"/>
  <c r="BF14" i="64"/>
  <c r="BF5" i="66"/>
  <c r="BF5" i="65"/>
  <c r="BF37" i="65" s="1"/>
  <c r="BF20" i="68" s="1"/>
  <c r="BF13" i="64"/>
  <c r="BG4" i="64"/>
  <c r="BE44" i="65"/>
  <c r="BE45" i="65" s="1"/>
  <c r="BE10" i="65"/>
  <c r="BD43" i="66" l="1"/>
  <c r="BD17" i="67" s="1"/>
  <c r="BD35" i="66"/>
  <c r="BD39" i="66" s="1"/>
  <c r="BE43" i="66"/>
  <c r="BE19" i="66"/>
  <c r="BE26" i="68"/>
  <c r="BE27" i="68" s="1"/>
  <c r="BE28" i="68" s="1"/>
  <c r="BF6" i="67"/>
  <c r="BF6" i="68"/>
  <c r="BF6" i="66"/>
  <c r="Y29" i="65"/>
  <c r="BD37" i="66"/>
  <c r="BF12" i="68"/>
  <c r="BG4" i="67"/>
  <c r="BG4" i="68"/>
  <c r="BF11" i="68"/>
  <c r="BC40" i="66"/>
  <c r="BC44" i="66" s="1"/>
  <c r="BF6" i="65"/>
  <c r="BF44" i="65" s="1"/>
  <c r="BF10" i="64"/>
  <c r="BF10" i="65" s="1"/>
  <c r="BF11" i="66"/>
  <c r="BF18" i="66" s="1"/>
  <c r="BF11" i="65"/>
  <c r="BF43" i="65" s="1"/>
  <c r="BF11" i="64"/>
  <c r="BF7" i="65"/>
  <c r="BE16" i="65"/>
  <c r="BE19" i="65" s="1"/>
  <c r="BE23" i="65" s="1"/>
  <c r="BG4" i="66"/>
  <c r="BG4" i="65"/>
  <c r="BG5" i="64"/>
  <c r="BG6" i="64" s="1"/>
  <c r="BF12" i="65"/>
  <c r="BE46" i="65"/>
  <c r="BD38" i="66" l="1"/>
  <c r="BE35" i="66"/>
  <c r="BF25" i="68"/>
  <c r="BF45" i="65"/>
  <c r="BF46" i="65" s="1"/>
  <c r="BG6" i="67"/>
  <c r="BG6" i="68"/>
  <c r="BG6" i="66"/>
  <c r="BG7" i="64"/>
  <c r="BD14" i="67"/>
  <c r="BE17" i="67"/>
  <c r="BG5" i="68"/>
  <c r="BG16" i="68" s="1"/>
  <c r="BG5" i="67"/>
  <c r="BG10" i="67" s="1"/>
  <c r="Y31" i="65"/>
  <c r="Y53" i="66" s="1"/>
  <c r="Y36" i="65"/>
  <c r="Y29" i="67"/>
  <c r="BC45" i="66"/>
  <c r="BC18" i="67"/>
  <c r="BC19" i="67" s="1"/>
  <c r="BC21" i="67" s="1"/>
  <c r="BF16" i="65"/>
  <c r="BF19" i="65" s="1"/>
  <c r="BF23" i="65" s="1"/>
  <c r="BG5" i="66"/>
  <c r="BG14" i="64"/>
  <c r="BG5" i="65"/>
  <c r="BG37" i="65" s="1"/>
  <c r="BG20" i="68" s="1"/>
  <c r="BH4" i="64"/>
  <c r="BG13" i="64"/>
  <c r="BE24" i="67"/>
  <c r="BF12" i="64"/>
  <c r="BE39" i="66" l="1"/>
  <c r="BE37" i="66"/>
  <c r="BE38" i="66"/>
  <c r="BG7" i="67"/>
  <c r="BG7" i="68"/>
  <c r="BG7" i="66"/>
  <c r="BD40" i="66"/>
  <c r="BD44" i="66" s="1"/>
  <c r="Y30" i="67"/>
  <c r="Y31" i="67" s="1"/>
  <c r="Y33" i="67" s="1"/>
  <c r="Y39" i="68" s="1"/>
  <c r="BF10" i="68"/>
  <c r="BH4" i="67"/>
  <c r="BG12" i="68"/>
  <c r="BG11" i="64"/>
  <c r="Y32" i="65"/>
  <c r="Y38" i="65"/>
  <c r="Z35" i="65" s="1"/>
  <c r="Z40" i="65" s="1"/>
  <c r="BG7" i="65"/>
  <c r="BE14" i="67"/>
  <c r="BH4" i="68"/>
  <c r="BG11" i="68"/>
  <c r="BH4" i="66"/>
  <c r="BH4" i="65"/>
  <c r="BH5" i="64"/>
  <c r="BH6" i="64" s="1"/>
  <c r="BG12" i="65"/>
  <c r="BG10" i="64"/>
  <c r="BG6" i="65"/>
  <c r="BF24" i="67"/>
  <c r="BF10" i="66"/>
  <c r="BG11" i="65"/>
  <c r="BG43" i="65" s="1"/>
  <c r="BG11" i="66"/>
  <c r="BF43" i="66" l="1"/>
  <c r="BF19" i="66"/>
  <c r="BG18" i="66"/>
  <c r="BG25" i="68"/>
  <c r="BF26" i="68"/>
  <c r="BF27" i="68" s="1"/>
  <c r="BF28" i="68" s="1"/>
  <c r="BH6" i="68"/>
  <c r="BH6" i="66"/>
  <c r="BH6" i="67"/>
  <c r="BH7" i="64"/>
  <c r="BD45" i="66"/>
  <c r="BD18" i="67"/>
  <c r="BD19" i="67" s="1"/>
  <c r="BD21" i="67" s="1"/>
  <c r="BG12" i="64"/>
  <c r="BG10" i="68" s="1"/>
  <c r="BH5" i="67"/>
  <c r="BH10" i="67" s="1"/>
  <c r="Z48" i="65"/>
  <c r="Z24" i="65" s="1"/>
  <c r="BH5" i="68"/>
  <c r="BH16" i="68" s="1"/>
  <c r="BG44" i="65"/>
  <c r="BG45" i="65" s="1"/>
  <c r="BG10" i="65"/>
  <c r="BH5" i="66"/>
  <c r="BH14" i="64"/>
  <c r="BH5" i="65"/>
  <c r="BH37" i="65" s="1"/>
  <c r="BH20" i="68" s="1"/>
  <c r="BI4" i="64"/>
  <c r="BH13" i="64"/>
  <c r="BF35" i="66" l="1"/>
  <c r="BF39" i="66" s="1"/>
  <c r="BG26" i="68"/>
  <c r="BG27" i="68" s="1"/>
  <c r="BG28" i="68" s="1"/>
  <c r="BH7" i="67"/>
  <c r="BH7" i="66"/>
  <c r="BH7" i="68"/>
  <c r="BG46" i="65"/>
  <c r="BG10" i="66"/>
  <c r="BE40" i="66"/>
  <c r="BE44" i="66" s="1"/>
  <c r="BI4" i="67"/>
  <c r="BH12" i="68"/>
  <c r="Z25" i="67"/>
  <c r="Z26" i="67" s="1"/>
  <c r="Z25" i="65"/>
  <c r="BI4" i="68"/>
  <c r="BH11" i="68"/>
  <c r="BH11" i="64"/>
  <c r="BH7" i="65"/>
  <c r="BI4" i="66"/>
  <c r="BI4" i="65"/>
  <c r="BI5" i="64"/>
  <c r="BI6" i="64" s="1"/>
  <c r="BH12" i="65"/>
  <c r="BH10" i="64"/>
  <c r="BH6" i="65"/>
  <c r="BH11" i="66"/>
  <c r="BH11" i="65"/>
  <c r="BH43" i="65" s="1"/>
  <c r="BG16" i="65"/>
  <c r="BG19" i="65" s="1"/>
  <c r="BG23" i="65" s="1"/>
  <c r="BF38" i="66" l="1"/>
  <c r="BF37" i="66"/>
  <c r="BG43" i="66"/>
  <c r="BH18" i="66"/>
  <c r="BG19" i="66"/>
  <c r="BH25" i="68"/>
  <c r="BI6" i="67"/>
  <c r="BI6" i="68"/>
  <c r="BI6" i="66"/>
  <c r="BI7" i="64"/>
  <c r="BE45" i="66"/>
  <c r="Z28" i="65"/>
  <c r="BG35" i="66"/>
  <c r="BG39" i="66" s="1"/>
  <c r="BE18" i="67"/>
  <c r="BE19" i="67" s="1"/>
  <c r="BE21" i="67" s="1"/>
  <c r="BI5" i="67"/>
  <c r="BI10" i="67" s="1"/>
  <c r="BI5" i="68"/>
  <c r="BI16" i="68" s="1"/>
  <c r="BF14" i="67"/>
  <c r="BF17" i="67"/>
  <c r="BH10" i="65"/>
  <c r="BI13" i="64"/>
  <c r="BI5" i="66"/>
  <c r="BI14" i="64"/>
  <c r="BI5" i="65"/>
  <c r="BI37" i="65" s="1"/>
  <c r="BG24" i="67"/>
  <c r="BH44" i="65"/>
  <c r="BH45" i="65" s="1"/>
  <c r="BH12" i="64"/>
  <c r="BI7" i="66" l="1"/>
  <c r="BI7" i="67"/>
  <c r="BI7" i="68"/>
  <c r="BI7" i="65"/>
  <c r="Z29" i="65"/>
  <c r="BG38" i="66"/>
  <c r="BG37" i="66"/>
  <c r="BI11" i="64"/>
  <c r="BI10" i="64"/>
  <c r="BH10" i="68"/>
  <c r="BI12" i="68"/>
  <c r="BI20" i="68"/>
  <c r="I20" i="68" s="1"/>
  <c r="I37" i="65"/>
  <c r="BG14" i="67"/>
  <c r="BG17" i="67"/>
  <c r="BI6" i="65"/>
  <c r="BI44" i="65" s="1"/>
  <c r="BI11" i="68"/>
  <c r="BH10" i="66"/>
  <c r="BH46" i="65"/>
  <c r="BI12" i="65"/>
  <c r="BI11" i="66"/>
  <c r="BI18" i="66" s="1"/>
  <c r="BI11" i="65"/>
  <c r="BI43" i="65" s="1"/>
  <c r="BH16" i="65"/>
  <c r="BH19" i="65" s="1"/>
  <c r="BH23" i="65" s="1"/>
  <c r="BH43" i="66" l="1"/>
  <c r="BH19" i="66"/>
  <c r="BI25" i="68"/>
  <c r="BI45" i="65"/>
  <c r="BI46" i="65" s="1"/>
  <c r="BH26" i="68"/>
  <c r="BH27" i="68" s="1"/>
  <c r="BH28" i="68" s="1"/>
  <c r="M34" i="68"/>
  <c r="M35" i="68" s="1"/>
  <c r="Q34" i="68"/>
  <c r="Q35" i="68" s="1"/>
  <c r="U34" i="68"/>
  <c r="U35" i="68" s="1"/>
  <c r="Y34" i="68"/>
  <c r="Y35" i="68" s="1"/>
  <c r="AC34" i="68"/>
  <c r="AC35" i="68" s="1"/>
  <c r="AG34" i="68"/>
  <c r="AG35" i="68" s="1"/>
  <c r="AK34" i="68"/>
  <c r="AK35" i="68" s="1"/>
  <c r="AO34" i="68"/>
  <c r="AO35" i="68" s="1"/>
  <c r="AS34" i="68"/>
  <c r="AS35" i="68" s="1"/>
  <c r="AW34" i="68"/>
  <c r="AW35" i="68" s="1"/>
  <c r="BA34" i="68"/>
  <c r="BA35" i="68" s="1"/>
  <c r="BE34" i="68"/>
  <c r="BE35" i="68" s="1"/>
  <c r="BI34" i="68"/>
  <c r="BI35" i="68" s="1"/>
  <c r="L34" i="68"/>
  <c r="L35" i="68" s="1"/>
  <c r="P34" i="68"/>
  <c r="P35" i="68" s="1"/>
  <c r="T34" i="68"/>
  <c r="T35" i="68" s="1"/>
  <c r="X34" i="68"/>
  <c r="X35" i="68" s="1"/>
  <c r="AB34" i="68"/>
  <c r="AB35" i="68" s="1"/>
  <c r="AF34" i="68"/>
  <c r="AF35" i="68" s="1"/>
  <c r="AJ34" i="68"/>
  <c r="AJ35" i="68" s="1"/>
  <c r="AN34" i="68"/>
  <c r="AN35" i="68" s="1"/>
  <c r="AR34" i="68"/>
  <c r="AR35" i="68" s="1"/>
  <c r="AV34" i="68"/>
  <c r="AV35" i="68" s="1"/>
  <c r="AZ34" i="68"/>
  <c r="AZ35" i="68" s="1"/>
  <c r="BD34" i="68"/>
  <c r="BH34" i="68"/>
  <c r="BH35" i="68" s="1"/>
  <c r="BB34" i="68"/>
  <c r="BB35" i="68" s="1"/>
  <c r="K34" i="68"/>
  <c r="K35" i="68" s="1"/>
  <c r="O34" i="68"/>
  <c r="O35" i="68" s="1"/>
  <c r="S34" i="68"/>
  <c r="S35" i="68" s="1"/>
  <c r="W34" i="68"/>
  <c r="W35" i="68" s="1"/>
  <c r="AA34" i="68"/>
  <c r="AA35" i="68" s="1"/>
  <c r="AE34" i="68"/>
  <c r="AE35" i="68" s="1"/>
  <c r="AI34" i="68"/>
  <c r="AI35" i="68" s="1"/>
  <c r="AM34" i="68"/>
  <c r="AM35" i="68" s="1"/>
  <c r="AQ34" i="68"/>
  <c r="AQ35" i="68" s="1"/>
  <c r="AU34" i="68"/>
  <c r="AU35" i="68" s="1"/>
  <c r="AY34" i="68"/>
  <c r="AY35" i="68" s="1"/>
  <c r="BC34" i="68"/>
  <c r="BC35" i="68" s="1"/>
  <c r="BG34" i="68"/>
  <c r="BG35" i="68" s="1"/>
  <c r="J34" i="68"/>
  <c r="J35" i="68" s="1"/>
  <c r="N34" i="68"/>
  <c r="N35" i="68" s="1"/>
  <c r="R34" i="68"/>
  <c r="R35" i="68" s="1"/>
  <c r="V34" i="68"/>
  <c r="V35" i="68" s="1"/>
  <c r="Z34" i="68"/>
  <c r="Z35" i="68" s="1"/>
  <c r="AD34" i="68"/>
  <c r="AD35" i="68" s="1"/>
  <c r="AH34" i="68"/>
  <c r="AH35" i="68" s="1"/>
  <c r="AL34" i="68"/>
  <c r="AL35" i="68" s="1"/>
  <c r="AP34" i="68"/>
  <c r="AP35" i="68" s="1"/>
  <c r="AT34" i="68"/>
  <c r="AT35" i="68" s="1"/>
  <c r="AX34" i="68"/>
  <c r="AX35" i="68" s="1"/>
  <c r="BF34" i="68"/>
  <c r="BF35" i="68" s="1"/>
  <c r="BD35" i="68"/>
  <c r="BI10" i="65"/>
  <c r="BI16" i="65" s="1"/>
  <c r="BI19" i="65" s="1"/>
  <c r="BI23" i="65" s="1"/>
  <c r="I25" i="66"/>
  <c r="BI12" i="64"/>
  <c r="BI10" i="66" s="1"/>
  <c r="Z31" i="65"/>
  <c r="Z53" i="66" s="1"/>
  <c r="Z29" i="67"/>
  <c r="Z36" i="65"/>
  <c r="BF40" i="66"/>
  <c r="BF44" i="66" s="1"/>
  <c r="BH24" i="67"/>
  <c r="I24" i="66" l="1"/>
  <c r="I23" i="66"/>
  <c r="BH35" i="66"/>
  <c r="BH39" i="66" s="1"/>
  <c r="BF21" i="68"/>
  <c r="BF42" i="68"/>
  <c r="AL21" i="68"/>
  <c r="AL42" i="68"/>
  <c r="V21" i="68"/>
  <c r="V42" i="68"/>
  <c r="BG21" i="68"/>
  <c r="BG42" i="68"/>
  <c r="AQ21" i="68"/>
  <c r="AQ42" i="68"/>
  <c r="AA21" i="68"/>
  <c r="AA42" i="68"/>
  <c r="K21" i="68"/>
  <c r="K42" i="68"/>
  <c r="AZ21" i="68"/>
  <c r="AZ42" i="68"/>
  <c r="AJ21" i="68"/>
  <c r="AJ42" i="68"/>
  <c r="T21" i="68"/>
  <c r="T42" i="68"/>
  <c r="BE21" i="68"/>
  <c r="BE42" i="68"/>
  <c r="AO21" i="68"/>
  <c r="AO42" i="68"/>
  <c r="Y21" i="68"/>
  <c r="Y42" i="68"/>
  <c r="BD21" i="68"/>
  <c r="BD42" i="68"/>
  <c r="AP21" i="68"/>
  <c r="AP42" i="68"/>
  <c r="Z21" i="68"/>
  <c r="Z42" i="68"/>
  <c r="J21" i="68"/>
  <c r="J42" i="68"/>
  <c r="AU21" i="68"/>
  <c r="AU42" i="68"/>
  <c r="AE21" i="68"/>
  <c r="AE42" i="68"/>
  <c r="O21" i="68"/>
  <c r="O42" i="68"/>
  <c r="AN21" i="68"/>
  <c r="AN42" i="68"/>
  <c r="X21" i="68"/>
  <c r="X42" i="68"/>
  <c r="BI21" i="68"/>
  <c r="BI42" i="68"/>
  <c r="AS21" i="68"/>
  <c r="AS42" i="68"/>
  <c r="AC21" i="68"/>
  <c r="AC42" i="68"/>
  <c r="M21" i="68"/>
  <c r="M42" i="68"/>
  <c r="AT21" i="68"/>
  <c r="AT42" i="68"/>
  <c r="AD21" i="68"/>
  <c r="AD42" i="68"/>
  <c r="N21" i="68"/>
  <c r="N42" i="68"/>
  <c r="AY21" i="68"/>
  <c r="AY42" i="68"/>
  <c r="AI21" i="68"/>
  <c r="AI42" i="68"/>
  <c r="S21" i="68"/>
  <c r="S42" i="68"/>
  <c r="BH21" i="68"/>
  <c r="BH42" i="68"/>
  <c r="AR21" i="68"/>
  <c r="AR42" i="68"/>
  <c r="AB21" i="68"/>
  <c r="AB42" i="68"/>
  <c r="L21" i="68"/>
  <c r="L42" i="68"/>
  <c r="AW21" i="68"/>
  <c r="AW42" i="68"/>
  <c r="AG21" i="68"/>
  <c r="AG42" i="68"/>
  <c r="Q21" i="68"/>
  <c r="Q42" i="68"/>
  <c r="AX21" i="68"/>
  <c r="AX42" i="68"/>
  <c r="AH21" i="68"/>
  <c r="AH42" i="68"/>
  <c r="R21" i="68"/>
  <c r="R42" i="68"/>
  <c r="BC21" i="68"/>
  <c r="BC42" i="68"/>
  <c r="AM21" i="68"/>
  <c r="AM42" i="68"/>
  <c r="W21" i="68"/>
  <c r="W42" i="68"/>
  <c r="BB21" i="68"/>
  <c r="BB42" i="68"/>
  <c r="AV21" i="68"/>
  <c r="AV42" i="68"/>
  <c r="AF21" i="68"/>
  <c r="AF42" i="68"/>
  <c r="P21" i="68"/>
  <c r="P42" i="68"/>
  <c r="BA21" i="68"/>
  <c r="BA42" i="68"/>
  <c r="AK21" i="68"/>
  <c r="AK42" i="68"/>
  <c r="U21" i="68"/>
  <c r="U42" i="68"/>
  <c r="J22" i="68"/>
  <c r="BH38" i="66"/>
  <c r="BH37" i="66"/>
  <c r="BI10" i="68"/>
  <c r="Z30" i="67"/>
  <c r="Z31" i="67" s="1"/>
  <c r="Z33" i="67" s="1"/>
  <c r="Z39" i="68" s="1"/>
  <c r="Z32" i="65"/>
  <c r="Z38" i="65"/>
  <c r="AA35" i="65" s="1"/>
  <c r="AA40" i="65" s="1"/>
  <c r="BF18" i="67"/>
  <c r="BF19" i="67" s="1"/>
  <c r="BF21" i="67" s="1"/>
  <c r="BF45" i="66"/>
  <c r="BH17" i="67"/>
  <c r="BG40" i="66"/>
  <c r="BG44" i="66" s="1"/>
  <c r="I16" i="65"/>
  <c r="BI43" i="66" l="1"/>
  <c r="BI19" i="66"/>
  <c r="I15" i="66"/>
  <c r="BI35" i="66"/>
  <c r="BI26" i="68"/>
  <c r="BI27" i="68" s="1"/>
  <c r="BI28" i="68" s="1"/>
  <c r="I26" i="66"/>
  <c r="J43" i="68"/>
  <c r="AA48" i="65"/>
  <c r="AA24" i="65" s="1"/>
  <c r="BH14" i="67"/>
  <c r="BG45" i="66"/>
  <c r="BG18" i="67"/>
  <c r="BG19" i="67" s="1"/>
  <c r="BG21" i="67" s="1"/>
  <c r="I19" i="65"/>
  <c r="BI39" i="66" l="1"/>
  <c r="BI38" i="66"/>
  <c r="BI37" i="66"/>
  <c r="I43" i="66"/>
  <c r="BI17" i="67"/>
  <c r="I17" i="67" s="1"/>
  <c r="I39" i="66"/>
  <c r="J36" i="67"/>
  <c r="K19" i="68"/>
  <c r="AA25" i="65"/>
  <c r="AA25" i="67"/>
  <c r="AA26" i="67" s="1"/>
  <c r="K22" i="68" l="1"/>
  <c r="K45" i="68"/>
  <c r="K30" i="68"/>
  <c r="K41" i="68" s="1"/>
  <c r="AA28" i="65"/>
  <c r="I38" i="66"/>
  <c r="J38" i="67"/>
  <c r="BH40" i="66"/>
  <c r="BH44" i="66" s="1"/>
  <c r="BH18" i="67" l="1"/>
  <c r="BH19" i="67" s="1"/>
  <c r="BH21" i="67" s="1"/>
  <c r="AA29" i="65"/>
  <c r="BH45" i="66"/>
  <c r="K37" i="67"/>
  <c r="J40" i="67"/>
  <c r="J48" i="66" s="1"/>
  <c r="J50" i="66" l="1"/>
  <c r="AA36" i="65"/>
  <c r="AA29" i="67"/>
  <c r="I23" i="65"/>
  <c r="BI24" i="67"/>
  <c r="I24" i="67" s="1"/>
  <c r="BI40" i="66"/>
  <c r="I40" i="66" s="1"/>
  <c r="I37" i="66"/>
  <c r="J54" i="66" l="1"/>
  <c r="K43" i="68"/>
  <c r="AA38" i="65"/>
  <c r="AB35" i="65" s="1"/>
  <c r="AB40" i="65" s="1"/>
  <c r="AA31" i="65"/>
  <c r="AA53" i="66" s="1"/>
  <c r="I19" i="66"/>
  <c r="BI14" i="67"/>
  <c r="BI44" i="66"/>
  <c r="I14" i="67" l="1"/>
  <c r="J55" i="66"/>
  <c r="J42" i="67"/>
  <c r="J44" i="67" s="1"/>
  <c r="AA30" i="67"/>
  <c r="AA31" i="67" s="1"/>
  <c r="AA33" i="67" s="1"/>
  <c r="AA39" i="68" s="1"/>
  <c r="K36" i="67"/>
  <c r="L19" i="68"/>
  <c r="AB48" i="65"/>
  <c r="AB24" i="65" s="1"/>
  <c r="AA32" i="65"/>
  <c r="BI45" i="66"/>
  <c r="I45" i="66" s="1"/>
  <c r="BI18" i="67"/>
  <c r="I18" i="67" s="1"/>
  <c r="I44" i="66"/>
  <c r="J47" i="67" l="1"/>
  <c r="K46" i="67" s="1"/>
  <c r="K49" i="66" s="1"/>
  <c r="J57" i="66"/>
  <c r="L22" i="68"/>
  <c r="L45" i="68"/>
  <c r="L30" i="68"/>
  <c r="L41" i="68" s="1"/>
  <c r="K38" i="67"/>
  <c r="AB25" i="65"/>
  <c r="AB25" i="67"/>
  <c r="AB26" i="67" s="1"/>
  <c r="BI19" i="67"/>
  <c r="BI21" i="67" s="1"/>
  <c r="I19" i="67" l="1"/>
  <c r="AB28" i="65"/>
  <c r="K40" i="67"/>
  <c r="K48" i="66" s="1"/>
  <c r="L37" i="67"/>
  <c r="I21" i="67"/>
  <c r="K50" i="66" l="1"/>
  <c r="AB29" i="65"/>
  <c r="AB36" i="65"/>
  <c r="AB29" i="67"/>
  <c r="K54" i="66" l="1"/>
  <c r="L43" i="68"/>
  <c r="AB31" i="65"/>
  <c r="AB53" i="66" s="1"/>
  <c r="AB38" i="65"/>
  <c r="AC35" i="65" s="1"/>
  <c r="AC40" i="65" s="1"/>
  <c r="K55" i="66" l="1"/>
  <c r="K42" i="67"/>
  <c r="K44" i="67" s="1"/>
  <c r="AB30" i="67"/>
  <c r="AB31" i="67" s="1"/>
  <c r="AB33" i="67" s="1"/>
  <c r="AB39" i="68" s="1"/>
  <c r="L36" i="67"/>
  <c r="M19" i="68"/>
  <c r="AB32" i="65"/>
  <c r="AC48" i="65"/>
  <c r="AC24" i="65" s="1"/>
  <c r="K47" i="67" l="1"/>
  <c r="L46" i="67" s="1"/>
  <c r="L49" i="66" s="1"/>
  <c r="K57" i="66"/>
  <c r="M22" i="68"/>
  <c r="M45" i="68"/>
  <c r="M30" i="68"/>
  <c r="M41" i="68" s="1"/>
  <c r="L38" i="67"/>
  <c r="AC25" i="67"/>
  <c r="AC26" i="67" s="1"/>
  <c r="AC25" i="65"/>
  <c r="AC28" i="65" l="1"/>
  <c r="L40" i="67"/>
  <c r="L48" i="66" s="1"/>
  <c r="M37" i="67"/>
  <c r="L50" i="66" l="1"/>
  <c r="AC29" i="65"/>
  <c r="AC36" i="65"/>
  <c r="AC29" i="67"/>
  <c r="L54" i="66" l="1"/>
  <c r="M43" i="68"/>
  <c r="AC31" i="65"/>
  <c r="AC53" i="66" s="1"/>
  <c r="AC38" i="65"/>
  <c r="AD35" i="65" s="1"/>
  <c r="AD40" i="65" s="1"/>
  <c r="L55" i="66" l="1"/>
  <c r="L42" i="67"/>
  <c r="L44" i="67" s="1"/>
  <c r="AC30" i="67"/>
  <c r="AC31" i="67" s="1"/>
  <c r="AC33" i="67" s="1"/>
  <c r="AC39" i="68" s="1"/>
  <c r="M36" i="67"/>
  <c r="N19" i="68"/>
  <c r="AC32" i="65"/>
  <c r="AD48" i="65"/>
  <c r="AD24" i="65" s="1"/>
  <c r="L47" i="67" l="1"/>
  <c r="M46" i="67" s="1"/>
  <c r="M49" i="66" s="1"/>
  <c r="L57" i="66"/>
  <c r="N22" i="68"/>
  <c r="N45" i="68"/>
  <c r="N30" i="68"/>
  <c r="N41" i="68" s="1"/>
  <c r="M38" i="67"/>
  <c r="AD25" i="67"/>
  <c r="AD26" i="67" s="1"/>
  <c r="AD25" i="65"/>
  <c r="AD28" i="65" l="1"/>
  <c r="M40" i="67"/>
  <c r="M48" i="66" s="1"/>
  <c r="N37" i="67"/>
  <c r="M50" i="66" l="1"/>
  <c r="AD29" i="65"/>
  <c r="AD36" i="65"/>
  <c r="AD29" i="67"/>
  <c r="M54" i="66" l="1"/>
  <c r="N43" i="68"/>
  <c r="AD31" i="65"/>
  <c r="AD53" i="66" s="1"/>
  <c r="AD38" i="65"/>
  <c r="AE35" i="65" s="1"/>
  <c r="AE40" i="65" s="1"/>
  <c r="M55" i="66" l="1"/>
  <c r="M42" i="67"/>
  <c r="M44" i="67" s="1"/>
  <c r="AD30" i="67"/>
  <c r="AD31" i="67" s="1"/>
  <c r="AD33" i="67" s="1"/>
  <c r="AD39" i="68" s="1"/>
  <c r="N36" i="67"/>
  <c r="O19" i="68"/>
  <c r="AD32" i="65"/>
  <c r="AE48" i="65"/>
  <c r="AE24" i="65" s="1"/>
  <c r="M47" i="67" l="1"/>
  <c r="N46" i="67" s="1"/>
  <c r="N49" i="66" s="1"/>
  <c r="M57" i="66"/>
  <c r="O22" i="68"/>
  <c r="O45" i="68"/>
  <c r="O30" i="68"/>
  <c r="O41" i="68" s="1"/>
  <c r="N38" i="67"/>
  <c r="AE25" i="67"/>
  <c r="AE26" i="67" s="1"/>
  <c r="AE25" i="65"/>
  <c r="AE28" i="65" l="1"/>
  <c r="O37" i="67"/>
  <c r="N40" i="67"/>
  <c r="N48" i="66" s="1"/>
  <c r="N50" i="66" l="1"/>
  <c r="AE29" i="65"/>
  <c r="AE36" i="65"/>
  <c r="AE29" i="67"/>
  <c r="N54" i="66" l="1"/>
  <c r="O43" i="68"/>
  <c r="AE31" i="65"/>
  <c r="AE53" i="66" s="1"/>
  <c r="AE38" i="65"/>
  <c r="AF35" i="65" s="1"/>
  <c r="AF40" i="65" s="1"/>
  <c r="N55" i="66" l="1"/>
  <c r="O36" i="67"/>
  <c r="O38" i="67" s="1"/>
  <c r="O40" i="67" s="1"/>
  <c r="O48" i="66" s="1"/>
  <c r="P19" i="68"/>
  <c r="N42" i="67"/>
  <c r="N44" i="67" s="1"/>
  <c r="AE30" i="67"/>
  <c r="AE31" i="67" s="1"/>
  <c r="AE33" i="67" s="1"/>
  <c r="AE39" i="68" s="1"/>
  <c r="AE32" i="65"/>
  <c r="AF48" i="65"/>
  <c r="AF24" i="65" s="1"/>
  <c r="N47" i="67" l="1"/>
  <c r="O46" i="67" s="1"/>
  <c r="O49" i="66" s="1"/>
  <c r="O50" i="66" s="1"/>
  <c r="O54" i="66" s="1"/>
  <c r="O55" i="66" s="1"/>
  <c r="O57" i="66" s="1"/>
  <c r="N57" i="66"/>
  <c r="P22" i="68"/>
  <c r="P45" i="68"/>
  <c r="P30" i="68"/>
  <c r="P41" i="68" s="1"/>
  <c r="AF25" i="65"/>
  <c r="AF25" i="67"/>
  <c r="AF26" i="67" s="1"/>
  <c r="P37" i="67" l="1"/>
  <c r="Q19" i="68"/>
  <c r="AF28" i="65"/>
  <c r="O42" i="67"/>
  <c r="O44" i="67" s="1"/>
  <c r="P43" i="68"/>
  <c r="P36" i="67"/>
  <c r="O47" i="67" l="1"/>
  <c r="P46" i="67" s="1"/>
  <c r="P49" i="66" s="1"/>
  <c r="Q22" i="68"/>
  <c r="Q45" i="68"/>
  <c r="P38" i="67"/>
  <c r="P40" i="67" s="1"/>
  <c r="Q30" i="68"/>
  <c r="Q41" i="68" s="1"/>
  <c r="AF29" i="65"/>
  <c r="AF29" i="67"/>
  <c r="AF36" i="65"/>
  <c r="P48" i="66" l="1"/>
  <c r="P50" i="66" s="1"/>
  <c r="P54" i="66" s="1"/>
  <c r="P55" i="66" s="1"/>
  <c r="P57" i="66" s="1"/>
  <c r="Q37" i="67"/>
  <c r="Q43" i="68"/>
  <c r="AF38" i="65"/>
  <c r="AG35" i="65" s="1"/>
  <c r="AG40" i="65" s="1"/>
  <c r="AF31" i="65"/>
  <c r="AF53" i="66" s="1"/>
  <c r="P42" i="67" l="1"/>
  <c r="P44" i="67" s="1"/>
  <c r="Q36" i="67"/>
  <c r="Q38" i="67" s="1"/>
  <c r="Q40" i="67" s="1"/>
  <c r="Q48" i="66" s="1"/>
  <c r="R19" i="68"/>
  <c r="AF30" i="67"/>
  <c r="AF31" i="67" s="1"/>
  <c r="AF33" i="67" s="1"/>
  <c r="AF39" i="68" s="1"/>
  <c r="AG48" i="65"/>
  <c r="AG24" i="65" s="1"/>
  <c r="AF32" i="65"/>
  <c r="P47" i="67" l="1"/>
  <c r="Q46" i="67" s="1"/>
  <c r="Q49" i="66" s="1"/>
  <c r="Q50" i="66" s="1"/>
  <c r="Q54" i="66" s="1"/>
  <c r="Q55" i="66" s="1"/>
  <c r="Q57" i="66" s="1"/>
  <c r="R22" i="68"/>
  <c r="R30" i="68"/>
  <c r="R41" i="68" s="1"/>
  <c r="AG25" i="67"/>
  <c r="AG26" i="67" s="1"/>
  <c r="AG25" i="65"/>
  <c r="Q42" i="67" l="1"/>
  <c r="Q44" i="67" s="1"/>
  <c r="AG28" i="65"/>
  <c r="R37" i="67"/>
  <c r="Q47" i="67" l="1"/>
  <c r="R46" i="67" s="1"/>
  <c r="R49" i="66" s="1"/>
  <c r="AG29" i="65"/>
  <c r="R43" i="68"/>
  <c r="R45" i="68" s="1"/>
  <c r="AG36" i="65"/>
  <c r="AG29" i="67"/>
  <c r="S19" i="68" l="1"/>
  <c r="R36" i="67"/>
  <c r="AG38" i="65"/>
  <c r="AH35" i="65" s="1"/>
  <c r="AH40" i="65" s="1"/>
  <c r="AG31" i="65"/>
  <c r="AG53" i="66" s="1"/>
  <c r="S22" i="68" l="1"/>
  <c r="S30" i="68"/>
  <c r="S41" i="68" s="1"/>
  <c r="R38" i="67"/>
  <c r="AG30" i="67"/>
  <c r="AG31" i="67" s="1"/>
  <c r="AG33" i="67" s="1"/>
  <c r="AG39" i="68" s="1"/>
  <c r="AG32" i="65"/>
  <c r="AH48" i="65"/>
  <c r="AH24" i="65" s="1"/>
  <c r="R40" i="67" l="1"/>
  <c r="R48" i="66" s="1"/>
  <c r="R50" i="66" s="1"/>
  <c r="R54" i="66" s="1"/>
  <c r="R55" i="66" s="1"/>
  <c r="R57" i="66" s="1"/>
  <c r="S37" i="67"/>
  <c r="AH25" i="67"/>
  <c r="AH26" i="67" s="1"/>
  <c r="AH25" i="65"/>
  <c r="AH28" i="65" l="1"/>
  <c r="S43" i="68"/>
  <c r="S45" i="68" s="1"/>
  <c r="R42" i="67" l="1"/>
  <c r="R44" i="67" s="1"/>
  <c r="AH29" i="65"/>
  <c r="S36" i="67"/>
  <c r="T19" i="68"/>
  <c r="AH36" i="65"/>
  <c r="AH29" i="67"/>
  <c r="R47" i="67" l="1"/>
  <c r="S46" i="67" s="1"/>
  <c r="S49" i="66" s="1"/>
  <c r="T22" i="68"/>
  <c r="T30" i="68"/>
  <c r="T41" i="68" s="1"/>
  <c r="S38" i="67"/>
  <c r="AH38" i="65"/>
  <c r="AI35" i="65" s="1"/>
  <c r="AI40" i="65" s="1"/>
  <c r="AH31" i="65"/>
  <c r="AH53" i="66" s="1"/>
  <c r="S40" i="67" l="1"/>
  <c r="S48" i="66" s="1"/>
  <c r="S50" i="66" s="1"/>
  <c r="S54" i="66" s="1"/>
  <c r="S55" i="66" s="1"/>
  <c r="S57" i="66" s="1"/>
  <c r="T37" i="67"/>
  <c r="AH30" i="67"/>
  <c r="AH31" i="67" s="1"/>
  <c r="AH33" i="67" s="1"/>
  <c r="AH39" i="68" s="1"/>
  <c r="AI48" i="65"/>
  <c r="AI24" i="65" s="1"/>
  <c r="AH32" i="65"/>
  <c r="AI25" i="67" l="1"/>
  <c r="AI26" i="67" s="1"/>
  <c r="AI25" i="65"/>
  <c r="S42" i="67" l="1"/>
  <c r="S44" i="67" s="1"/>
  <c r="AI28" i="65"/>
  <c r="T43" i="68"/>
  <c r="T45" i="68" s="1"/>
  <c r="U19" i="68"/>
  <c r="T36" i="67"/>
  <c r="S47" i="67" l="1"/>
  <c r="T46" i="67" s="1"/>
  <c r="T49" i="66" s="1"/>
  <c r="U22" i="68"/>
  <c r="U30" i="68"/>
  <c r="U41" i="68" s="1"/>
  <c r="T38" i="67"/>
  <c r="AI29" i="65"/>
  <c r="AI29" i="67"/>
  <c r="AI36" i="65"/>
  <c r="T40" i="67" l="1"/>
  <c r="T48" i="66" s="1"/>
  <c r="T50" i="66" s="1"/>
  <c r="T54" i="66" s="1"/>
  <c r="T55" i="66" s="1"/>
  <c r="T57" i="66" s="1"/>
  <c r="U37" i="67"/>
  <c r="AI38" i="65"/>
  <c r="AJ35" i="65" s="1"/>
  <c r="AJ40" i="65" s="1"/>
  <c r="AI31" i="65"/>
  <c r="AI53" i="66" s="1"/>
  <c r="AI32" i="65" l="1"/>
  <c r="U43" i="68"/>
  <c r="U45" i="68" s="1"/>
  <c r="AI30" i="67"/>
  <c r="AI31" i="67" s="1"/>
  <c r="AI33" i="67" s="1"/>
  <c r="AI39" i="68" s="1"/>
  <c r="AJ48" i="65"/>
  <c r="AJ24" i="65" s="1"/>
  <c r="T42" i="67" l="1"/>
  <c r="T44" i="67" s="1"/>
  <c r="U36" i="67"/>
  <c r="V19" i="68"/>
  <c r="AJ25" i="65"/>
  <c r="AJ25" i="67"/>
  <c r="AJ26" i="67" s="1"/>
  <c r="T47" i="67" l="1"/>
  <c r="U46" i="67" s="1"/>
  <c r="U49" i="66" s="1"/>
  <c r="V22" i="68"/>
  <c r="V30" i="68"/>
  <c r="V41" i="68" s="1"/>
  <c r="U38" i="67"/>
  <c r="AJ28" i="65"/>
  <c r="U40" i="67" l="1"/>
  <c r="U48" i="66" s="1"/>
  <c r="U50" i="66" s="1"/>
  <c r="U54" i="66" s="1"/>
  <c r="U55" i="66" s="1"/>
  <c r="U57" i="66" s="1"/>
  <c r="AJ29" i="65"/>
  <c r="V37" i="67"/>
  <c r="AJ29" i="67"/>
  <c r="AJ36" i="65"/>
  <c r="AJ38" i="65" l="1"/>
  <c r="AK35" i="65" s="1"/>
  <c r="AK40" i="65" s="1"/>
  <c r="AJ31" i="65"/>
  <c r="AJ53" i="66" s="1"/>
  <c r="V43" i="68" l="1"/>
  <c r="V45" i="68" s="1"/>
  <c r="U42" i="67"/>
  <c r="U44" i="67" s="1"/>
  <c r="V36" i="67"/>
  <c r="W19" i="68"/>
  <c r="AJ30" i="67"/>
  <c r="AJ31" i="67" s="1"/>
  <c r="AJ33" i="67" s="1"/>
  <c r="AJ39" i="68" s="1"/>
  <c r="AJ32" i="65"/>
  <c r="AK48" i="65"/>
  <c r="AK24" i="65" s="1"/>
  <c r="U47" i="67" l="1"/>
  <c r="V46" i="67" s="1"/>
  <c r="V49" i="66" s="1"/>
  <c r="W22" i="68"/>
  <c r="W30" i="68"/>
  <c r="W41" i="68" s="1"/>
  <c r="V38" i="67"/>
  <c r="AK25" i="65"/>
  <c r="AK25" i="67"/>
  <c r="AK26" i="67" s="1"/>
  <c r="V40" i="67" l="1"/>
  <c r="V48" i="66" s="1"/>
  <c r="V50" i="66" s="1"/>
  <c r="V54" i="66" s="1"/>
  <c r="V55" i="66" s="1"/>
  <c r="V57" i="66" s="1"/>
  <c r="AK28" i="65"/>
  <c r="W37" i="67"/>
  <c r="AK29" i="65" l="1"/>
  <c r="W43" i="68"/>
  <c r="W45" i="68" s="1"/>
  <c r="AK29" i="67"/>
  <c r="AK36" i="65"/>
  <c r="V42" i="67" l="1"/>
  <c r="V44" i="67" s="1"/>
  <c r="AK38" i="65"/>
  <c r="AL35" i="65" s="1"/>
  <c r="AL40" i="65" s="1"/>
  <c r="AK31" i="65"/>
  <c r="AK53" i="66" s="1"/>
  <c r="V47" i="67" l="1"/>
  <c r="W46" i="67" s="1"/>
  <c r="W49" i="66" s="1"/>
  <c r="W36" i="67"/>
  <c r="AK32" i="65"/>
  <c r="X19" i="68"/>
  <c r="AK30" i="67"/>
  <c r="AK31" i="67" s="1"/>
  <c r="AK33" i="67" s="1"/>
  <c r="AK39" i="68" s="1"/>
  <c r="AL48" i="65"/>
  <c r="AL24" i="65" s="1"/>
  <c r="X22" i="68" l="1"/>
  <c r="X30" i="68"/>
  <c r="W38" i="67"/>
  <c r="AL25" i="65"/>
  <c r="AL25" i="67"/>
  <c r="AL26" i="67" s="1"/>
  <c r="X37" i="67" l="1"/>
  <c r="X41" i="68"/>
  <c r="X43" i="68" s="1"/>
  <c r="X45" i="68" s="1"/>
  <c r="W40" i="67"/>
  <c r="W48" i="66" s="1"/>
  <c r="W50" i="66" s="1"/>
  <c r="W54" i="66" s="1"/>
  <c r="W55" i="66" s="1"/>
  <c r="W57" i="66" s="1"/>
  <c r="AL28" i="65"/>
  <c r="AL29" i="65" l="1"/>
  <c r="AL36" i="65"/>
  <c r="AL29" i="67"/>
  <c r="W42" i="67" l="1"/>
  <c r="W44" i="67" s="1"/>
  <c r="Y19" i="68"/>
  <c r="X36" i="67"/>
  <c r="AL38" i="65"/>
  <c r="AM35" i="65" s="1"/>
  <c r="AM40" i="65" s="1"/>
  <c r="AL31" i="65"/>
  <c r="AL53" i="66" s="1"/>
  <c r="W47" i="67" l="1"/>
  <c r="X46" i="67" s="1"/>
  <c r="X49" i="66" s="1"/>
  <c r="Y22" i="68"/>
  <c r="Y30" i="68"/>
  <c r="X38" i="67"/>
  <c r="AL30" i="67"/>
  <c r="AL31" i="67" s="1"/>
  <c r="AL33" i="67" s="1"/>
  <c r="AL39" i="68" s="1"/>
  <c r="AL32" i="65"/>
  <c r="AM48" i="65"/>
  <c r="AM24" i="65" s="1"/>
  <c r="Y37" i="67" l="1"/>
  <c r="Y41" i="68"/>
  <c r="X40" i="67"/>
  <c r="X48" i="66" s="1"/>
  <c r="X50" i="66" s="1"/>
  <c r="X54" i="66" s="1"/>
  <c r="X55" i="66" s="1"/>
  <c r="X57" i="66" s="1"/>
  <c r="AM25" i="65"/>
  <c r="AM25" i="67"/>
  <c r="AM26" i="67" s="1"/>
  <c r="AM28" i="65" l="1"/>
  <c r="Y43" i="68"/>
  <c r="Y45" i="68" s="1"/>
  <c r="X42" i="67" l="1"/>
  <c r="X44" i="67" s="1"/>
  <c r="AM29" i="65"/>
  <c r="Y36" i="67"/>
  <c r="Z19" i="68"/>
  <c r="X47" i="67" l="1"/>
  <c r="Y46" i="67" s="1"/>
  <c r="Y49" i="66" s="1"/>
  <c r="Z22" i="68"/>
  <c r="Z30" i="68"/>
  <c r="Z41" i="68" s="1"/>
  <c r="Y38" i="67"/>
  <c r="AM31" i="65"/>
  <c r="AM53" i="66" s="1"/>
  <c r="AM29" i="67"/>
  <c r="AM36" i="65"/>
  <c r="Y40" i="67" l="1"/>
  <c r="Y48" i="66" s="1"/>
  <c r="Y50" i="66" s="1"/>
  <c r="Y54" i="66" s="1"/>
  <c r="Y55" i="66" s="1"/>
  <c r="Y57" i="66" s="1"/>
  <c r="Z37" i="67"/>
  <c r="AM30" i="67"/>
  <c r="AM31" i="67" s="1"/>
  <c r="AM33" i="67" s="1"/>
  <c r="AM39" i="68" s="1"/>
  <c r="AM32" i="65"/>
  <c r="AM38" i="65"/>
  <c r="AN35" i="65" s="1"/>
  <c r="AN40" i="65" s="1"/>
  <c r="AN48" i="65" l="1"/>
  <c r="AN24" i="65" s="1"/>
  <c r="Y42" i="67" l="1"/>
  <c r="Y44" i="67" s="1"/>
  <c r="Z43" i="68"/>
  <c r="Z45" i="68" s="1"/>
  <c r="Z36" i="67"/>
  <c r="AA19" i="68"/>
  <c r="AN25" i="65"/>
  <c r="AN25" i="67"/>
  <c r="AN26" i="67" s="1"/>
  <c r="Y47" i="67" l="1"/>
  <c r="Z46" i="67" s="1"/>
  <c r="Z49" i="66" s="1"/>
  <c r="AA22" i="68"/>
  <c r="AA30" i="68"/>
  <c r="AA41" i="68" s="1"/>
  <c r="Z38" i="67"/>
  <c r="AN28" i="65"/>
  <c r="Z40" i="67" l="1"/>
  <c r="Z48" i="66" s="1"/>
  <c r="Z50" i="66" s="1"/>
  <c r="Z54" i="66" s="1"/>
  <c r="Z55" i="66" s="1"/>
  <c r="Z57" i="66" s="1"/>
  <c r="AN29" i="65"/>
  <c r="AA37" i="67"/>
  <c r="AN36" i="65"/>
  <c r="AN29" i="67"/>
  <c r="AN38" i="65" l="1"/>
  <c r="AO35" i="65" s="1"/>
  <c r="AO40" i="65" s="1"/>
  <c r="AN31" i="65"/>
  <c r="AN53" i="66" s="1"/>
  <c r="Z42" i="67" l="1"/>
  <c r="Z44" i="67" s="1"/>
  <c r="AA43" i="68"/>
  <c r="AA45" i="68" s="1"/>
  <c r="AA36" i="67"/>
  <c r="AB19" i="68"/>
  <c r="AN30" i="67"/>
  <c r="AN31" i="67" s="1"/>
  <c r="AN33" i="67" s="1"/>
  <c r="AN39" i="68" s="1"/>
  <c r="AN32" i="65"/>
  <c r="AO48" i="65"/>
  <c r="AO24" i="65" s="1"/>
  <c r="Z47" i="67" l="1"/>
  <c r="AA46" i="67" s="1"/>
  <c r="AA49" i="66" s="1"/>
  <c r="AB22" i="68"/>
  <c r="AB30" i="68"/>
  <c r="AB41" i="68" s="1"/>
  <c r="AA38" i="67"/>
  <c r="AO25" i="65"/>
  <c r="AO25" i="67"/>
  <c r="AO26" i="67" s="1"/>
  <c r="AA40" i="67" l="1"/>
  <c r="AA48" i="66" s="1"/>
  <c r="AA50" i="66" s="1"/>
  <c r="AA54" i="66" s="1"/>
  <c r="AA55" i="66" s="1"/>
  <c r="AA57" i="66" s="1"/>
  <c r="AO28" i="65"/>
  <c r="AB37" i="67"/>
  <c r="AO29" i="65" l="1"/>
  <c r="AB43" i="68"/>
  <c r="AB45" i="68" s="1"/>
  <c r="AO29" i="67"/>
  <c r="AO36" i="65"/>
  <c r="AA42" i="67" l="1"/>
  <c r="AA44" i="67" s="1"/>
  <c r="AO38" i="65"/>
  <c r="AP35" i="65" s="1"/>
  <c r="AP40" i="65" s="1"/>
  <c r="AO31" i="65"/>
  <c r="AO53" i="66" s="1"/>
  <c r="AA47" i="67" l="1"/>
  <c r="AB46" i="67" s="1"/>
  <c r="AB49" i="66" s="1"/>
  <c r="AC19" i="68"/>
  <c r="AB36" i="67"/>
  <c r="AO30" i="67"/>
  <c r="AO31" i="67" s="1"/>
  <c r="AO33" i="67" s="1"/>
  <c r="AO39" i="68" s="1"/>
  <c r="AP48" i="65"/>
  <c r="AP24" i="65" s="1"/>
  <c r="AO32" i="65"/>
  <c r="AC22" i="68" l="1"/>
  <c r="AC30" i="68"/>
  <c r="AC41" i="68" s="1"/>
  <c r="AB38" i="67"/>
  <c r="AP25" i="65"/>
  <c r="AP25" i="67"/>
  <c r="AP26" i="67" s="1"/>
  <c r="AC37" i="67" l="1"/>
  <c r="AB40" i="67"/>
  <c r="AB48" i="66" s="1"/>
  <c r="AB50" i="66" s="1"/>
  <c r="AB54" i="66" s="1"/>
  <c r="AB55" i="66" s="1"/>
  <c r="AB57" i="66" s="1"/>
  <c r="AP28" i="65"/>
  <c r="AC43" i="68" l="1"/>
  <c r="AC45" i="68" s="1"/>
  <c r="AP29" i="65"/>
  <c r="AC36" i="67"/>
  <c r="AD19" i="68"/>
  <c r="AP29" i="67"/>
  <c r="AP36" i="65"/>
  <c r="AD22" i="68" l="1"/>
  <c r="AD30" i="68"/>
  <c r="AD41" i="68" s="1"/>
  <c r="AB42" i="67"/>
  <c r="AB44" i="67" s="1"/>
  <c r="AC38" i="67"/>
  <c r="AP38" i="65"/>
  <c r="AQ35" i="65" s="1"/>
  <c r="AQ40" i="65" s="1"/>
  <c r="AP31" i="65"/>
  <c r="AP53" i="66" s="1"/>
  <c r="AB47" i="67" l="1"/>
  <c r="AC46" i="67" s="1"/>
  <c r="AC49" i="66" s="1"/>
  <c r="AC40" i="67"/>
  <c r="AC48" i="66" s="1"/>
  <c r="AD37" i="67"/>
  <c r="AP30" i="67"/>
  <c r="AP31" i="67" s="1"/>
  <c r="AP33" i="67" s="1"/>
  <c r="AP39" i="68" s="1"/>
  <c r="AP32" i="65"/>
  <c r="AQ48" i="65"/>
  <c r="AQ24" i="65" s="1"/>
  <c r="AC50" i="66" l="1"/>
  <c r="AC54" i="66" s="1"/>
  <c r="AC55" i="66" s="1"/>
  <c r="AC57" i="66" s="1"/>
  <c r="AQ25" i="65"/>
  <c r="AQ25" i="67"/>
  <c r="AQ26" i="67" s="1"/>
  <c r="AC42" i="67" l="1"/>
  <c r="AC44" i="67" s="1"/>
  <c r="AQ28" i="65"/>
  <c r="AD43" i="68"/>
  <c r="AD45" i="68" s="1"/>
  <c r="AC47" i="67" l="1"/>
  <c r="AD46" i="67" s="1"/>
  <c r="AD49" i="66" s="1"/>
  <c r="AQ29" i="65"/>
  <c r="AD36" i="67"/>
  <c r="AE19" i="68"/>
  <c r="AQ29" i="67"/>
  <c r="AQ36" i="65"/>
  <c r="AE22" i="68" l="1"/>
  <c r="AE30" i="68"/>
  <c r="AE41" i="68" s="1"/>
  <c r="AD38" i="67"/>
  <c r="AQ38" i="65"/>
  <c r="AR35" i="65" s="1"/>
  <c r="AR40" i="65" s="1"/>
  <c r="AQ31" i="65"/>
  <c r="AQ53" i="66" s="1"/>
  <c r="AD40" i="67" l="1"/>
  <c r="AD48" i="66" s="1"/>
  <c r="AD50" i="66" s="1"/>
  <c r="AD54" i="66" s="1"/>
  <c r="AD55" i="66" s="1"/>
  <c r="AD57" i="66" s="1"/>
  <c r="AQ32" i="65"/>
  <c r="AE37" i="67"/>
  <c r="AQ30" i="67"/>
  <c r="AQ31" i="67" s="1"/>
  <c r="AQ33" i="67" s="1"/>
  <c r="AQ39" i="68" s="1"/>
  <c r="AR48" i="65"/>
  <c r="AR24" i="65" s="1"/>
  <c r="AE43" i="68" l="1"/>
  <c r="AE45" i="68" s="1"/>
  <c r="AR25" i="65"/>
  <c r="AR25" i="67"/>
  <c r="AR26" i="67" s="1"/>
  <c r="AD42" i="67" l="1"/>
  <c r="AD44" i="67" s="1"/>
  <c r="AR28" i="65"/>
  <c r="AD47" i="67" l="1"/>
  <c r="AE46" i="67" s="1"/>
  <c r="AE49" i="66" s="1"/>
  <c r="AR29" i="65"/>
  <c r="AF19" i="68"/>
  <c r="AE36" i="67"/>
  <c r="AR29" i="67"/>
  <c r="AR36" i="65"/>
  <c r="AF22" i="68" l="1"/>
  <c r="AF30" i="68"/>
  <c r="AF41" i="68" s="1"/>
  <c r="AE38" i="67"/>
  <c r="AR38" i="65"/>
  <c r="AS35" i="65" s="1"/>
  <c r="AS40" i="65" s="1"/>
  <c r="AR31" i="65"/>
  <c r="AR53" i="66" s="1"/>
  <c r="AF37" i="67" l="1"/>
  <c r="AE40" i="67"/>
  <c r="AE48" i="66" s="1"/>
  <c r="AE50" i="66" s="1"/>
  <c r="AE54" i="66" s="1"/>
  <c r="AE55" i="66" s="1"/>
  <c r="AE57" i="66" s="1"/>
  <c r="AR32" i="65"/>
  <c r="AR30" i="67"/>
  <c r="AR31" i="67" s="1"/>
  <c r="AR33" i="67" s="1"/>
  <c r="AR39" i="68" s="1"/>
  <c r="AS48" i="65"/>
  <c r="AS24" i="65" s="1"/>
  <c r="AF43" i="68" l="1"/>
  <c r="AF45" i="68" s="1"/>
  <c r="AS25" i="67"/>
  <c r="AS26" i="67" s="1"/>
  <c r="AS25" i="65"/>
  <c r="AE42" i="67" l="1"/>
  <c r="AE44" i="67" s="1"/>
  <c r="AS28" i="65"/>
  <c r="AF36" i="67"/>
  <c r="AG19" i="68"/>
  <c r="AE47" i="67" l="1"/>
  <c r="AF46" i="67" s="1"/>
  <c r="AF49" i="66" s="1"/>
  <c r="AG22" i="68"/>
  <c r="AG30" i="68"/>
  <c r="AG41" i="68" s="1"/>
  <c r="AF38" i="67"/>
  <c r="AS29" i="65"/>
  <c r="AS29" i="67"/>
  <c r="AS36" i="65"/>
  <c r="AF40" i="67" l="1"/>
  <c r="AF48" i="66" s="1"/>
  <c r="AF50" i="66" s="1"/>
  <c r="AF54" i="66" s="1"/>
  <c r="AF55" i="66" s="1"/>
  <c r="AF57" i="66" s="1"/>
  <c r="AG37" i="67"/>
  <c r="AS38" i="65"/>
  <c r="AT35" i="65" s="1"/>
  <c r="AT40" i="65" s="1"/>
  <c r="AS31" i="65"/>
  <c r="AS53" i="66" s="1"/>
  <c r="AG43" i="68" l="1"/>
  <c r="AG45" i="68" s="1"/>
  <c r="AS30" i="67"/>
  <c r="AS31" i="67" s="1"/>
  <c r="AS33" i="67" s="1"/>
  <c r="AS39" i="68" s="1"/>
  <c r="AS32" i="65"/>
  <c r="AT48" i="65"/>
  <c r="AT24" i="65" s="1"/>
  <c r="AF42" i="67" l="1"/>
  <c r="AF44" i="67" s="1"/>
  <c r="AG36" i="67"/>
  <c r="AH19" i="68"/>
  <c r="AT25" i="65"/>
  <c r="AT25" i="67"/>
  <c r="AT26" i="67" s="1"/>
  <c r="AF47" i="67" l="1"/>
  <c r="AG46" i="67" s="1"/>
  <c r="AG49" i="66" s="1"/>
  <c r="AH22" i="68"/>
  <c r="AH30" i="68"/>
  <c r="AH41" i="68" s="1"/>
  <c r="AG38" i="67"/>
  <c r="AT28" i="65"/>
  <c r="AG40" i="67" l="1"/>
  <c r="AG48" i="66" s="1"/>
  <c r="AG50" i="66" s="1"/>
  <c r="AG54" i="66" s="1"/>
  <c r="AG55" i="66" s="1"/>
  <c r="AG57" i="66" s="1"/>
  <c r="AT29" i="65"/>
  <c r="AH37" i="67"/>
  <c r="AT29" i="67"/>
  <c r="AT36" i="65"/>
  <c r="AH43" i="68" l="1"/>
  <c r="AH45" i="68" s="1"/>
  <c r="AT38" i="65"/>
  <c r="AU35" i="65" s="1"/>
  <c r="AU40" i="65" s="1"/>
  <c r="AT31" i="65"/>
  <c r="AT53" i="66" s="1"/>
  <c r="AI19" i="68" l="1"/>
  <c r="AG42" i="67"/>
  <c r="AG44" i="67" s="1"/>
  <c r="AT30" i="67"/>
  <c r="AT31" i="67" s="1"/>
  <c r="AT33" i="67" s="1"/>
  <c r="AT39" i="68" s="1"/>
  <c r="AT32" i="65"/>
  <c r="AU48" i="65"/>
  <c r="AU24" i="65" s="1"/>
  <c r="AG47" i="67" l="1"/>
  <c r="AH46" i="67" s="1"/>
  <c r="AH49" i="66" s="1"/>
  <c r="AI22" i="68"/>
  <c r="AI30" i="68"/>
  <c r="AI41" i="68" s="1"/>
  <c r="AH36" i="67"/>
  <c r="AH38" i="67" s="1"/>
  <c r="AU25" i="67"/>
  <c r="AU26" i="67" s="1"/>
  <c r="AU25" i="65"/>
  <c r="AH40" i="67" l="1"/>
  <c r="AH48" i="66" s="1"/>
  <c r="AH50" i="66" s="1"/>
  <c r="AH54" i="66" s="1"/>
  <c r="AH55" i="66" s="1"/>
  <c r="AH57" i="66" s="1"/>
  <c r="AU28" i="65"/>
  <c r="AI37" i="67"/>
  <c r="AI43" i="68" l="1"/>
  <c r="AI45" i="68" s="1"/>
  <c r="AU29" i="65"/>
  <c r="AI36" i="67" l="1"/>
  <c r="AH42" i="67"/>
  <c r="AH44" i="67" s="1"/>
  <c r="AU31" i="65"/>
  <c r="AU53" i="66" s="1"/>
  <c r="AU36" i="65"/>
  <c r="AU29" i="67"/>
  <c r="AH47" i="67" l="1"/>
  <c r="AI46" i="67" s="1"/>
  <c r="AI49" i="66" s="1"/>
  <c r="AJ19" i="68"/>
  <c r="AI38" i="67"/>
  <c r="AU30" i="67"/>
  <c r="AU31" i="67" s="1"/>
  <c r="AU33" i="67" s="1"/>
  <c r="AU39" i="68" s="1"/>
  <c r="AU32" i="65"/>
  <c r="AU38" i="65"/>
  <c r="AV35" i="65" s="1"/>
  <c r="AV40" i="65" s="1"/>
  <c r="AJ22" i="68" l="1"/>
  <c r="AJ30" i="68"/>
  <c r="AI40" i="67"/>
  <c r="AI48" i="66" s="1"/>
  <c r="AI50" i="66" s="1"/>
  <c r="AI54" i="66" s="1"/>
  <c r="AI55" i="66" s="1"/>
  <c r="AI57" i="66" s="1"/>
  <c r="AV48" i="65"/>
  <c r="AV24" i="65" s="1"/>
  <c r="AJ37" i="67" l="1"/>
  <c r="AJ41" i="68"/>
  <c r="AV25" i="67"/>
  <c r="AV26" i="67" s="1"/>
  <c r="AV25" i="65"/>
  <c r="AJ43" i="68" l="1"/>
  <c r="AJ45" i="68" s="1"/>
  <c r="AI42" i="67"/>
  <c r="AI44" i="67" s="1"/>
  <c r="AV28" i="65"/>
  <c r="AV29" i="65" s="1"/>
  <c r="AJ36" i="67"/>
  <c r="AK19" i="68"/>
  <c r="AI47" i="67" l="1"/>
  <c r="AJ46" i="67" s="1"/>
  <c r="AJ49" i="66" s="1"/>
  <c r="AK22" i="68"/>
  <c r="AK30" i="68"/>
  <c r="AK41" i="68" s="1"/>
  <c r="AJ38" i="67"/>
  <c r="AV29" i="67"/>
  <c r="AV36" i="65"/>
  <c r="AJ40" i="67" l="1"/>
  <c r="AJ48" i="66" s="1"/>
  <c r="AJ50" i="66" s="1"/>
  <c r="AJ54" i="66" s="1"/>
  <c r="AJ55" i="66" s="1"/>
  <c r="AJ57" i="66" s="1"/>
  <c r="AK37" i="67"/>
  <c r="AV38" i="65"/>
  <c r="AW35" i="65" s="1"/>
  <c r="AW40" i="65" s="1"/>
  <c r="AV31" i="65"/>
  <c r="AV53" i="66" s="1"/>
  <c r="AK43" i="68" l="1"/>
  <c r="AK45" i="68" s="1"/>
  <c r="AV30" i="67"/>
  <c r="AV31" i="67" s="1"/>
  <c r="AV33" i="67" s="1"/>
  <c r="AV39" i="68" s="1"/>
  <c r="AW48" i="65"/>
  <c r="AW24" i="65" s="1"/>
  <c r="AV32" i="65"/>
  <c r="AJ42" i="67" l="1"/>
  <c r="AJ44" i="67" s="1"/>
  <c r="AK36" i="67"/>
  <c r="AL19" i="68"/>
  <c r="AW25" i="67"/>
  <c r="AW26" i="67" s="1"/>
  <c r="AW25" i="65"/>
  <c r="AJ47" i="67" l="1"/>
  <c r="AK46" i="67" s="1"/>
  <c r="AK49" i="66" s="1"/>
  <c r="AL22" i="68"/>
  <c r="AL30" i="68"/>
  <c r="AL41" i="68" s="1"/>
  <c r="AK38" i="67"/>
  <c r="AW28" i="65"/>
  <c r="AK40" i="67" l="1"/>
  <c r="AK48" i="66" s="1"/>
  <c r="AK50" i="66" s="1"/>
  <c r="AK54" i="66" s="1"/>
  <c r="AK55" i="66" s="1"/>
  <c r="AK57" i="66" s="1"/>
  <c r="AW29" i="65"/>
  <c r="AL37" i="67"/>
  <c r="AW29" i="67"/>
  <c r="AW36" i="65"/>
  <c r="AW38" i="65" l="1"/>
  <c r="AX35" i="65" s="1"/>
  <c r="AX40" i="65" s="1"/>
  <c r="AW31" i="65"/>
  <c r="AW53" i="66" s="1"/>
  <c r="AK42" i="67" l="1"/>
  <c r="AK44" i="67" s="1"/>
  <c r="AL43" i="68"/>
  <c r="AL45" i="68" s="1"/>
  <c r="AW30" i="67"/>
  <c r="AW31" i="67" s="1"/>
  <c r="AW33" i="67" s="1"/>
  <c r="AW39" i="68" s="1"/>
  <c r="AW32" i="65"/>
  <c r="AX48" i="65"/>
  <c r="AX24" i="65" s="1"/>
  <c r="AK47" i="67" l="1"/>
  <c r="AL46" i="67" s="1"/>
  <c r="AL49" i="66" s="1"/>
  <c r="AL36" i="67"/>
  <c r="AM19" i="68"/>
  <c r="AX25" i="67"/>
  <c r="AX26" i="67" s="1"/>
  <c r="AX25" i="65"/>
  <c r="AM22" i="68" l="1"/>
  <c r="AM30" i="68"/>
  <c r="AM41" i="68" s="1"/>
  <c r="AL38" i="67"/>
  <c r="AX28" i="65"/>
  <c r="AL40" i="67" l="1"/>
  <c r="AL48" i="66" s="1"/>
  <c r="AL50" i="66" s="1"/>
  <c r="AL54" i="66" s="1"/>
  <c r="AL55" i="66" s="1"/>
  <c r="AL57" i="66" s="1"/>
  <c r="AX29" i="65"/>
  <c r="AM37" i="67"/>
  <c r="AX29" i="67"/>
  <c r="AX36" i="65"/>
  <c r="AX38" i="65" l="1"/>
  <c r="AY35" i="65" s="1"/>
  <c r="AY40" i="65" s="1"/>
  <c r="AX31" i="65"/>
  <c r="AX53" i="66" s="1"/>
  <c r="AL42" i="67" l="1"/>
  <c r="AL44" i="67" s="1"/>
  <c r="AM43" i="68"/>
  <c r="AM45" i="68" s="1"/>
  <c r="AM36" i="67"/>
  <c r="AN19" i="68"/>
  <c r="AX30" i="67"/>
  <c r="AX31" i="67" s="1"/>
  <c r="AX33" i="67" s="1"/>
  <c r="AX39" i="68" s="1"/>
  <c r="AX32" i="65"/>
  <c r="AY48" i="65"/>
  <c r="AY24" i="65" s="1"/>
  <c r="AL47" i="67" l="1"/>
  <c r="AM46" i="67" s="1"/>
  <c r="AM49" i="66" s="1"/>
  <c r="AN22" i="68"/>
  <c r="AN30" i="68"/>
  <c r="AN41" i="68" s="1"/>
  <c r="AM38" i="67"/>
  <c r="AY25" i="67"/>
  <c r="AY26" i="67" s="1"/>
  <c r="AY25" i="65"/>
  <c r="AM40" i="67" l="1"/>
  <c r="AM48" i="66" s="1"/>
  <c r="AM50" i="66" s="1"/>
  <c r="AM54" i="66" s="1"/>
  <c r="AM55" i="66" s="1"/>
  <c r="AM57" i="66" s="1"/>
  <c r="AY28" i="65"/>
  <c r="AN37" i="67"/>
  <c r="AY29" i="65" l="1"/>
  <c r="AY29" i="67"/>
  <c r="AY36" i="65"/>
  <c r="AM42" i="67" l="1"/>
  <c r="AM44" i="67" s="1"/>
  <c r="AN43" i="68"/>
  <c r="AN45" i="68" s="1"/>
  <c r="AY38" i="65"/>
  <c r="AZ35" i="65" s="1"/>
  <c r="AZ40" i="65" s="1"/>
  <c r="AY31" i="65"/>
  <c r="AY53" i="66" s="1"/>
  <c r="AM47" i="67" l="1"/>
  <c r="AN46" i="67" s="1"/>
  <c r="AN49" i="66" s="1"/>
  <c r="AN36" i="67"/>
  <c r="AO19" i="68"/>
  <c r="AY30" i="67"/>
  <c r="AY31" i="67" s="1"/>
  <c r="AY33" i="67" s="1"/>
  <c r="AY39" i="68" s="1"/>
  <c r="AY32" i="65"/>
  <c r="AZ48" i="65"/>
  <c r="AZ24" i="65" s="1"/>
  <c r="AO22" i="68" l="1"/>
  <c r="AO30" i="68"/>
  <c r="AO41" i="68" s="1"/>
  <c r="AN38" i="67"/>
  <c r="AZ25" i="67"/>
  <c r="AZ26" i="67" s="1"/>
  <c r="AZ25" i="65"/>
  <c r="AN40" i="67" l="1"/>
  <c r="AN48" i="66" s="1"/>
  <c r="AN50" i="66" s="1"/>
  <c r="AN54" i="66" s="1"/>
  <c r="AN55" i="66" s="1"/>
  <c r="AN57" i="66" s="1"/>
  <c r="AZ28" i="65"/>
  <c r="AO37" i="67"/>
  <c r="AZ29" i="65" l="1"/>
  <c r="I34" i="68"/>
  <c r="AZ29" i="67"/>
  <c r="AZ36" i="65"/>
  <c r="AN42" i="67" l="1"/>
  <c r="AN44" i="67" s="1"/>
  <c r="AO43" i="68"/>
  <c r="AZ38" i="65"/>
  <c r="BA35" i="65" s="1"/>
  <c r="BA40" i="65" s="1"/>
  <c r="AZ31" i="65"/>
  <c r="AZ53" i="66" s="1"/>
  <c r="AN47" i="67" l="1"/>
  <c r="AO46" i="67" s="1"/>
  <c r="AO49" i="66" s="1"/>
  <c r="AO45" i="68"/>
  <c r="AO36" i="67"/>
  <c r="AP19" i="68"/>
  <c r="AZ30" i="67"/>
  <c r="AZ31" i="67" s="1"/>
  <c r="AZ33" i="67" s="1"/>
  <c r="AZ39" i="68" s="1"/>
  <c r="AZ32" i="65"/>
  <c r="BA48" i="65"/>
  <c r="BA24" i="65" s="1"/>
  <c r="AP22" i="68" l="1"/>
  <c r="AP30" i="68"/>
  <c r="AP41" i="68" s="1"/>
  <c r="AO38" i="67"/>
  <c r="BA25" i="67"/>
  <c r="BA26" i="67" s="1"/>
  <c r="BA25" i="65"/>
  <c r="AO40" i="67" l="1"/>
  <c r="AO48" i="66" s="1"/>
  <c r="AO50" i="66" s="1"/>
  <c r="AO54" i="66" s="1"/>
  <c r="AO55" i="66" s="1"/>
  <c r="AO57" i="66" s="1"/>
  <c r="BA28" i="65"/>
  <c r="AP37" i="67"/>
  <c r="BA29" i="65" l="1"/>
  <c r="AP43" i="68"/>
  <c r="AP45" i="68" s="1"/>
  <c r="BA29" i="67"/>
  <c r="BA36" i="65"/>
  <c r="AO42" i="67" l="1"/>
  <c r="AO44" i="67" s="1"/>
  <c r="AP36" i="67"/>
  <c r="AQ19" i="68"/>
  <c r="BA38" i="65"/>
  <c r="BB35" i="65" s="1"/>
  <c r="BB40" i="65" s="1"/>
  <c r="BA31" i="65"/>
  <c r="BA53" i="66" s="1"/>
  <c r="AO47" i="67" l="1"/>
  <c r="AP46" i="67" s="1"/>
  <c r="AP49" i="66" s="1"/>
  <c r="AQ22" i="68"/>
  <c r="AQ30" i="68"/>
  <c r="AQ41" i="68" s="1"/>
  <c r="AP38" i="67"/>
  <c r="BA30" i="67"/>
  <c r="BA31" i="67" s="1"/>
  <c r="BA33" i="67" s="1"/>
  <c r="BA39" i="68" s="1"/>
  <c r="BA32" i="65"/>
  <c r="BB48" i="65"/>
  <c r="BB24" i="65" s="1"/>
  <c r="AP40" i="67" l="1"/>
  <c r="AP48" i="66" s="1"/>
  <c r="AP50" i="66" s="1"/>
  <c r="AP54" i="66" s="1"/>
  <c r="AP55" i="66" s="1"/>
  <c r="AP57" i="66" s="1"/>
  <c r="AQ37" i="67"/>
  <c r="BB25" i="65"/>
  <c r="BB25" i="67"/>
  <c r="BB26" i="67" s="1"/>
  <c r="BB28" i="65" l="1"/>
  <c r="AQ43" i="68"/>
  <c r="AQ45" i="68" s="1"/>
  <c r="AP42" i="67" l="1"/>
  <c r="AP44" i="67" s="1"/>
  <c r="BB29" i="65"/>
  <c r="AQ36" i="67"/>
  <c r="AR19" i="68"/>
  <c r="BB36" i="65"/>
  <c r="BB29" i="67"/>
  <c r="AP47" i="67" l="1"/>
  <c r="AQ46" i="67" s="1"/>
  <c r="AQ49" i="66" s="1"/>
  <c r="AR22" i="68"/>
  <c r="AR30" i="68"/>
  <c r="AR41" i="68" s="1"/>
  <c r="AQ38" i="67"/>
  <c r="BB38" i="65"/>
  <c r="BC35" i="65" s="1"/>
  <c r="BC40" i="65" s="1"/>
  <c r="BB31" i="65"/>
  <c r="BB53" i="66" s="1"/>
  <c r="AQ40" i="67" l="1"/>
  <c r="AQ48" i="66" s="1"/>
  <c r="AQ50" i="66" s="1"/>
  <c r="AQ54" i="66" s="1"/>
  <c r="AQ55" i="66" s="1"/>
  <c r="AQ57" i="66" s="1"/>
  <c r="AR37" i="67"/>
  <c r="BB30" i="67"/>
  <c r="BB31" i="67" s="1"/>
  <c r="BB33" i="67" s="1"/>
  <c r="BB39" i="68" s="1"/>
  <c r="BB32" i="65"/>
  <c r="BC48" i="65"/>
  <c r="BC24" i="65" s="1"/>
  <c r="AR43" i="68" l="1"/>
  <c r="AR45" i="68" s="1"/>
  <c r="BC25" i="65"/>
  <c r="BC25" i="67"/>
  <c r="BC26" i="67" s="1"/>
  <c r="AQ42" i="67" l="1"/>
  <c r="AQ44" i="67" s="1"/>
  <c r="BC28" i="65"/>
  <c r="AR36" i="67"/>
  <c r="AS19" i="68"/>
  <c r="AQ47" i="67" l="1"/>
  <c r="AR46" i="67" s="1"/>
  <c r="AR49" i="66" s="1"/>
  <c r="AS22" i="68"/>
  <c r="AS30" i="68"/>
  <c r="AS41" i="68" s="1"/>
  <c r="AR38" i="67"/>
  <c r="BC29" i="65"/>
  <c r="BC29" i="67"/>
  <c r="BC36" i="65"/>
  <c r="BC38" i="65" s="1"/>
  <c r="BD35" i="65" s="1"/>
  <c r="BD40" i="65" s="1"/>
  <c r="AR40" i="67" l="1"/>
  <c r="AR48" i="66" s="1"/>
  <c r="AR50" i="66" s="1"/>
  <c r="AR54" i="66" s="1"/>
  <c r="AR55" i="66" s="1"/>
  <c r="AR57" i="66" s="1"/>
  <c r="AS37" i="67"/>
  <c r="BD48" i="65"/>
  <c r="BD24" i="65" s="1"/>
  <c r="BC31" i="65"/>
  <c r="BC53" i="66" s="1"/>
  <c r="AS43" i="68" l="1"/>
  <c r="AS45" i="68" s="1"/>
  <c r="BC30" i="67"/>
  <c r="BC31" i="67" s="1"/>
  <c r="BC33" i="67" s="1"/>
  <c r="BC39" i="68" s="1"/>
  <c r="BD25" i="67"/>
  <c r="BD26" i="67" s="1"/>
  <c r="BD25" i="65"/>
  <c r="BC32" i="65"/>
  <c r="AR42" i="67" l="1"/>
  <c r="AR44" i="67" s="1"/>
  <c r="BD28" i="65"/>
  <c r="AS36" i="67"/>
  <c r="AT19" i="68"/>
  <c r="AR47" i="67" l="1"/>
  <c r="AS46" i="67" s="1"/>
  <c r="AS49" i="66" s="1"/>
  <c r="AT22" i="68"/>
  <c r="AT30" i="68"/>
  <c r="AT41" i="68" s="1"/>
  <c r="AS38" i="67"/>
  <c r="BD29" i="65"/>
  <c r="BD29" i="67"/>
  <c r="BD36" i="65"/>
  <c r="BD38" i="65" s="1"/>
  <c r="BE35" i="65" s="1"/>
  <c r="BE40" i="65" s="1"/>
  <c r="AS40" i="67" l="1"/>
  <c r="AS48" i="66" s="1"/>
  <c r="AS50" i="66" s="1"/>
  <c r="AS54" i="66" s="1"/>
  <c r="AS55" i="66" s="1"/>
  <c r="AS57" i="66" s="1"/>
  <c r="AT37" i="67"/>
  <c r="BE48" i="65"/>
  <c r="BD31" i="65"/>
  <c r="BD53" i="66" s="1"/>
  <c r="AT43" i="68" l="1"/>
  <c r="AT45" i="68" s="1"/>
  <c r="BD30" i="67"/>
  <c r="BD31" i="67" s="1"/>
  <c r="BD33" i="67" s="1"/>
  <c r="BD39" i="68" s="1"/>
  <c r="BE24" i="65"/>
  <c r="BD32" i="65"/>
  <c r="AS42" i="67" l="1"/>
  <c r="AS44" i="67" s="1"/>
  <c r="AT36" i="67"/>
  <c r="AU19" i="68"/>
  <c r="BE25" i="65"/>
  <c r="BE25" i="67"/>
  <c r="AS47" i="67" l="1"/>
  <c r="AT46" i="67" s="1"/>
  <c r="AT49" i="66" s="1"/>
  <c r="AU22" i="68"/>
  <c r="AU30" i="68"/>
  <c r="AU41" i="68" s="1"/>
  <c r="AT38" i="67"/>
  <c r="BE28" i="65"/>
  <c r="BE26" i="67"/>
  <c r="AT40" i="67" l="1"/>
  <c r="AT48" i="66" s="1"/>
  <c r="AT50" i="66" s="1"/>
  <c r="AT54" i="66" s="1"/>
  <c r="AT55" i="66" s="1"/>
  <c r="AT57" i="66" s="1"/>
  <c r="BE29" i="65"/>
  <c r="AU37" i="67"/>
  <c r="AU43" i="68" l="1"/>
  <c r="AU45" i="68" s="1"/>
  <c r="AT42" i="67" l="1"/>
  <c r="AT44" i="67" s="1"/>
  <c r="AU36" i="67"/>
  <c r="AV19" i="68"/>
  <c r="BE36" i="65"/>
  <c r="BE29" i="67"/>
  <c r="AT47" i="67" l="1"/>
  <c r="AU46" i="67" s="1"/>
  <c r="AU49" i="66" s="1"/>
  <c r="AV22" i="68"/>
  <c r="AV30" i="68"/>
  <c r="AV41" i="68" s="1"/>
  <c r="AU38" i="67"/>
  <c r="BE31" i="65"/>
  <c r="BE53" i="66" s="1"/>
  <c r="BE38" i="65"/>
  <c r="BF35" i="65" s="1"/>
  <c r="BF40" i="65" s="1"/>
  <c r="AU40" i="67" l="1"/>
  <c r="AU48" i="66" s="1"/>
  <c r="AU50" i="66" s="1"/>
  <c r="AU54" i="66" s="1"/>
  <c r="AU55" i="66" s="1"/>
  <c r="AU57" i="66" s="1"/>
  <c r="AV37" i="67"/>
  <c r="BE32" i="65"/>
  <c r="BF48" i="65"/>
  <c r="BE30" i="67"/>
  <c r="AV43" i="68" l="1"/>
  <c r="AV45" i="68" s="1"/>
  <c r="BE31" i="67"/>
  <c r="BF24" i="65"/>
  <c r="AU42" i="67" l="1"/>
  <c r="AU44" i="67" s="1"/>
  <c r="AV36" i="67"/>
  <c r="AW19" i="68"/>
  <c r="BF25" i="67"/>
  <c r="BE33" i="67"/>
  <c r="BE39" i="68" s="1"/>
  <c r="AU47" i="67" l="1"/>
  <c r="AV46" i="67" s="1"/>
  <c r="AV49" i="66" s="1"/>
  <c r="AW22" i="68"/>
  <c r="AW30" i="68"/>
  <c r="AW41" i="68" s="1"/>
  <c r="AV38" i="67"/>
  <c r="BF26" i="67"/>
  <c r="BF25" i="65"/>
  <c r="AV40" i="67" l="1"/>
  <c r="AV48" i="66" s="1"/>
  <c r="AV50" i="66" s="1"/>
  <c r="AV54" i="66" s="1"/>
  <c r="AV55" i="66" s="1"/>
  <c r="AV57" i="66" s="1"/>
  <c r="BF28" i="65"/>
  <c r="AW37" i="67"/>
  <c r="BF29" i="65" l="1"/>
  <c r="AW43" i="68"/>
  <c r="AW45" i="68" s="1"/>
  <c r="AV42" i="67" l="1"/>
  <c r="AV44" i="67" s="1"/>
  <c r="AX19" i="68"/>
  <c r="AW36" i="67"/>
  <c r="AV47" i="67" l="1"/>
  <c r="AW46" i="67" s="1"/>
  <c r="AW49" i="66" s="1"/>
  <c r="AX22" i="68"/>
  <c r="AX30" i="68"/>
  <c r="AX41" i="68" s="1"/>
  <c r="AW38" i="67"/>
  <c r="BF29" i="67"/>
  <c r="BF36" i="65"/>
  <c r="AW40" i="67" l="1"/>
  <c r="AW48" i="66" s="1"/>
  <c r="AW50" i="66" s="1"/>
  <c r="AW54" i="66" s="1"/>
  <c r="AW55" i="66" s="1"/>
  <c r="AW57" i="66" s="1"/>
  <c r="AX37" i="67"/>
  <c r="BF38" i="65"/>
  <c r="BG35" i="65" s="1"/>
  <c r="BG40" i="65" s="1"/>
  <c r="BF31" i="65"/>
  <c r="BF53" i="66" s="1"/>
  <c r="AX43" i="68" l="1"/>
  <c r="AX45" i="68" s="1"/>
  <c r="BF32" i="65"/>
  <c r="BG48" i="65"/>
  <c r="BF30" i="67"/>
  <c r="AW42" i="67" l="1"/>
  <c r="AW44" i="67" s="1"/>
  <c r="AY19" i="68"/>
  <c r="AX36" i="67"/>
  <c r="BF31" i="67"/>
  <c r="BG24" i="65"/>
  <c r="AW47" i="67" l="1"/>
  <c r="AX46" i="67" s="1"/>
  <c r="AX49" i="66" s="1"/>
  <c r="AY22" i="68"/>
  <c r="AY30" i="68"/>
  <c r="AY41" i="68" s="1"/>
  <c r="AX38" i="67"/>
  <c r="BG25" i="67"/>
  <c r="BF33" i="67"/>
  <c r="BF39" i="68" s="1"/>
  <c r="AX40" i="67" l="1"/>
  <c r="AX48" i="66" s="1"/>
  <c r="AX50" i="66" s="1"/>
  <c r="AX54" i="66" s="1"/>
  <c r="AX55" i="66" s="1"/>
  <c r="AX57" i="66" s="1"/>
  <c r="AY37" i="67"/>
  <c r="BG26" i="67"/>
  <c r="BG25" i="65"/>
  <c r="BG28" i="65" l="1"/>
  <c r="AY43" i="68"/>
  <c r="AY45" i="68" s="1"/>
  <c r="AX42" i="67" l="1"/>
  <c r="AX44" i="67" s="1"/>
  <c r="BG29" i="65"/>
  <c r="AZ19" i="68"/>
  <c r="AY36" i="67"/>
  <c r="AX47" i="67" l="1"/>
  <c r="AY46" i="67" s="1"/>
  <c r="AY49" i="66" s="1"/>
  <c r="AZ22" i="68"/>
  <c r="AZ30" i="68"/>
  <c r="AZ41" i="68" s="1"/>
  <c r="AY38" i="67"/>
  <c r="AY40" i="67" l="1"/>
  <c r="AY48" i="66" s="1"/>
  <c r="AY50" i="66" s="1"/>
  <c r="AY54" i="66" s="1"/>
  <c r="AY55" i="66" s="1"/>
  <c r="AY57" i="66" s="1"/>
  <c r="AZ37" i="67"/>
  <c r="BG36" i="65"/>
  <c r="BG29" i="67"/>
  <c r="AZ43" i="68" l="1"/>
  <c r="AZ45" i="68" s="1"/>
  <c r="BG31" i="65"/>
  <c r="BG53" i="66" s="1"/>
  <c r="BG38" i="65"/>
  <c r="BH35" i="65" s="1"/>
  <c r="BH40" i="65" s="1"/>
  <c r="AY42" i="67" l="1"/>
  <c r="AY44" i="67" s="1"/>
  <c r="AZ36" i="67"/>
  <c r="BA19" i="68"/>
  <c r="BG32" i="65"/>
  <c r="BH48" i="65"/>
  <c r="BG30" i="67"/>
  <c r="AY47" i="67" l="1"/>
  <c r="AZ46" i="67" s="1"/>
  <c r="AZ49" i="66" s="1"/>
  <c r="BA22" i="68"/>
  <c r="BA30" i="68"/>
  <c r="BA41" i="68" s="1"/>
  <c r="AZ38" i="67"/>
  <c r="BG31" i="67"/>
  <c r="BH24" i="65"/>
  <c r="AZ40" i="67" l="1"/>
  <c r="AZ48" i="66" s="1"/>
  <c r="AZ50" i="66" s="1"/>
  <c r="AZ54" i="66" s="1"/>
  <c r="AZ55" i="66" s="1"/>
  <c r="AZ57" i="66" s="1"/>
  <c r="BA37" i="67"/>
  <c r="BH25" i="67"/>
  <c r="BG33" i="67"/>
  <c r="BG39" i="68" s="1"/>
  <c r="BA43" i="68" l="1"/>
  <c r="BA45" i="68" s="1"/>
  <c r="BH26" i="67"/>
  <c r="BH25" i="65"/>
  <c r="AZ42" i="67" l="1"/>
  <c r="AZ44" i="67" s="1"/>
  <c r="BH28" i="65"/>
  <c r="BB19" i="68"/>
  <c r="BA36" i="67"/>
  <c r="AZ47" i="67" l="1"/>
  <c r="BA46" i="67" s="1"/>
  <c r="BA49" i="66" s="1"/>
  <c r="BB22" i="68"/>
  <c r="BB30" i="68"/>
  <c r="BB41" i="68" s="1"/>
  <c r="BA38" i="67"/>
  <c r="BH29" i="65"/>
  <c r="BA40" i="67" l="1"/>
  <c r="BA48" i="66" s="1"/>
  <c r="BA50" i="66" s="1"/>
  <c r="BA54" i="66" s="1"/>
  <c r="BA55" i="66" s="1"/>
  <c r="BA57" i="66" s="1"/>
  <c r="BB37" i="67"/>
  <c r="BB43" i="68" l="1"/>
  <c r="BB45" i="68" s="1"/>
  <c r="BH31" i="65"/>
  <c r="BH53" i="66" s="1"/>
  <c r="BH29" i="67"/>
  <c r="BH36" i="65"/>
  <c r="BA42" i="67" l="1"/>
  <c r="BA44" i="67" s="1"/>
  <c r="BC19" i="68"/>
  <c r="BB36" i="67"/>
  <c r="BH38" i="65"/>
  <c r="BI35" i="65" s="1"/>
  <c r="BI40" i="65" s="1"/>
  <c r="BH30" i="67"/>
  <c r="BH32" i="65"/>
  <c r="BA47" i="67" l="1"/>
  <c r="BB46" i="67" s="1"/>
  <c r="BB49" i="66" s="1"/>
  <c r="BC22" i="68"/>
  <c r="BC30" i="68"/>
  <c r="BC41" i="68" s="1"/>
  <c r="BB38" i="67"/>
  <c r="BI48" i="65"/>
  <c r="BH31" i="67"/>
  <c r="BB40" i="67" l="1"/>
  <c r="BB48" i="66" s="1"/>
  <c r="BB50" i="66" s="1"/>
  <c r="BB54" i="66" s="1"/>
  <c r="BB55" i="66" s="1"/>
  <c r="BB57" i="66" s="1"/>
  <c r="BC37" i="67"/>
  <c r="BH33" i="67"/>
  <c r="BH39" i="68" s="1"/>
  <c r="BI24" i="65"/>
  <c r="I48" i="65"/>
  <c r="BC43" i="68" l="1"/>
  <c r="BC45" i="68" s="1"/>
  <c r="BI25" i="67"/>
  <c r="I25" i="67" s="1"/>
  <c r="I24" i="65"/>
  <c r="BB42" i="67" l="1"/>
  <c r="BB44" i="67" s="1"/>
  <c r="BD19" i="68"/>
  <c r="BC36" i="67"/>
  <c r="BI25" i="65"/>
  <c r="BB47" i="67" l="1"/>
  <c r="BC46" i="67" s="1"/>
  <c r="BC49" i="66" s="1"/>
  <c r="BD22" i="68"/>
  <c r="BD30" i="68"/>
  <c r="BD41" i="68" s="1"/>
  <c r="BC38" i="67"/>
  <c r="BI28" i="65"/>
  <c r="BI26" i="67"/>
  <c r="I26" i="67" s="1"/>
  <c r="I25" i="65"/>
  <c r="BC40" i="67" l="1"/>
  <c r="BC48" i="66" s="1"/>
  <c r="BC50" i="66" s="1"/>
  <c r="BC54" i="66" s="1"/>
  <c r="BC55" i="66" s="1"/>
  <c r="BC57" i="66" s="1"/>
  <c r="BI29" i="65"/>
  <c r="BD37" i="67"/>
  <c r="BD43" i="68" l="1"/>
  <c r="BD45" i="68" s="1"/>
  <c r="BC42" i="67" l="1"/>
  <c r="BC44" i="67" s="1"/>
  <c r="I29" i="65"/>
  <c r="BI31" i="65"/>
  <c r="BI53" i="66" s="1"/>
  <c r="I53" i="66" s="1"/>
  <c r="BI36" i="65"/>
  <c r="I36" i="65" s="1"/>
  <c r="I28" i="65"/>
  <c r="BI29" i="67"/>
  <c r="I29" i="67" s="1"/>
  <c r="BD36" i="67"/>
  <c r="BE19" i="68"/>
  <c r="BC47" i="67" l="1"/>
  <c r="BD46" i="67" s="1"/>
  <c r="BD49" i="66" s="1"/>
  <c r="BE22" i="68"/>
  <c r="BE30" i="68"/>
  <c r="BE41" i="68" s="1"/>
  <c r="BD38" i="67"/>
  <c r="BI32" i="65"/>
  <c r="I32" i="65" s="1"/>
  <c r="BI38" i="65"/>
  <c r="BI30" i="67"/>
  <c r="I30" i="67" s="1"/>
  <c r="I31" i="65"/>
  <c r="BD40" i="67" l="1"/>
  <c r="BD48" i="66" s="1"/>
  <c r="BD50" i="66" s="1"/>
  <c r="BD54" i="66" s="1"/>
  <c r="BD55" i="66" s="1"/>
  <c r="BD57" i="66" s="1"/>
  <c r="BI31" i="67"/>
  <c r="I31" i="67" s="1"/>
  <c r="BE37" i="67"/>
  <c r="BI33" i="67" l="1"/>
  <c r="BI39" i="68" s="1"/>
  <c r="BE43" i="68"/>
  <c r="BE45" i="68" s="1"/>
  <c r="BD42" i="67" l="1"/>
  <c r="BD44" i="67" s="1"/>
  <c r="I39" i="68"/>
  <c r="I33" i="67"/>
  <c r="BF19" i="68"/>
  <c r="BE36" i="67"/>
  <c r="BD47" i="67" l="1"/>
  <c r="BE46" i="67" s="1"/>
  <c r="BE49" i="66" s="1"/>
  <c r="BF22" i="68"/>
  <c r="BF30" i="68"/>
  <c r="BF41" i="68" s="1"/>
  <c r="BE38" i="67"/>
  <c r="BE40" i="67" l="1"/>
  <c r="BE48" i="66" s="1"/>
  <c r="BE50" i="66" s="1"/>
  <c r="BE54" i="66" s="1"/>
  <c r="BE55" i="66" s="1"/>
  <c r="BE57" i="66" s="1"/>
  <c r="BF37" i="67"/>
  <c r="BF43" i="68" l="1"/>
  <c r="BF45" i="68" s="1"/>
  <c r="BE42" i="67" l="1"/>
  <c r="BE44" i="67" s="1"/>
  <c r="BG19" i="68"/>
  <c r="BF36" i="67"/>
  <c r="BE47" i="67" l="1"/>
  <c r="BF46" i="67" s="1"/>
  <c r="BF49" i="66" s="1"/>
  <c r="BG22" i="68"/>
  <c r="BG30" i="68"/>
  <c r="BG41" i="68" s="1"/>
  <c r="BF38" i="67"/>
  <c r="BF40" i="67" l="1"/>
  <c r="BF48" i="66" s="1"/>
  <c r="BF50" i="66" s="1"/>
  <c r="BF54" i="66" s="1"/>
  <c r="BF55" i="66" s="1"/>
  <c r="BF57" i="66" s="1"/>
  <c r="BG37" i="67"/>
  <c r="BG43" i="68" l="1"/>
  <c r="BG45" i="68" s="1"/>
  <c r="BF42" i="67" l="1"/>
  <c r="BF44" i="67" s="1"/>
  <c r="BH19" i="68"/>
  <c r="BG36" i="67"/>
  <c r="BF47" i="67" l="1"/>
  <c r="BG46" i="67" s="1"/>
  <c r="BG49" i="66" s="1"/>
  <c r="BH22" i="68"/>
  <c r="BH30" i="68"/>
  <c r="BH41" i="68" s="1"/>
  <c r="BG38" i="67"/>
  <c r="BG40" i="67" l="1"/>
  <c r="BG48" i="66" s="1"/>
  <c r="BG50" i="66" s="1"/>
  <c r="BG54" i="66" s="1"/>
  <c r="BG55" i="66" s="1"/>
  <c r="BG57" i="66" s="1"/>
  <c r="BH37" i="67"/>
  <c r="BH43" i="68" l="1"/>
  <c r="BH45" i="68" s="1"/>
  <c r="BG42" i="67" l="1"/>
  <c r="BG44" i="67" s="1"/>
  <c r="BI19" i="68"/>
  <c r="BH36" i="67"/>
  <c r="BG47" i="67" l="1"/>
  <c r="BH46" i="67" s="1"/>
  <c r="BH49" i="66" s="1"/>
  <c r="BI22" i="68"/>
  <c r="BI30" i="68"/>
  <c r="BI41" i="68" s="1"/>
  <c r="BH38" i="67"/>
  <c r="BH40" i="67" l="1"/>
  <c r="BH48" i="66" s="1"/>
  <c r="BH50" i="66" s="1"/>
  <c r="BH54" i="66" s="1"/>
  <c r="BH55" i="66" s="1"/>
  <c r="BH57" i="66" s="1"/>
  <c r="I30" i="68"/>
  <c r="BI37" i="67"/>
  <c r="I41" i="68"/>
  <c r="I37" i="67" l="1"/>
  <c r="I35" i="68"/>
  <c r="BH42" i="67" l="1"/>
  <c r="BH44" i="67" s="1"/>
  <c r="BH47" i="67" l="1"/>
  <c r="BI46" i="67" s="1"/>
  <c r="BI49" i="66" s="1"/>
  <c r="BI43" i="68"/>
  <c r="I42" i="68"/>
  <c r="I21" i="68"/>
  <c r="BI36" i="67"/>
  <c r="I43" i="68" l="1"/>
  <c r="F45" i="68" s="1"/>
  <c r="BI45" i="68"/>
  <c r="E45" i="68" s="1" a="1"/>
  <c r="E45" i="68" s="1"/>
  <c r="I36" i="67"/>
  <c r="BI38" i="67"/>
  <c r="BI40" i="67" l="1"/>
  <c r="I38" i="67"/>
  <c r="BI48" i="66" l="1"/>
  <c r="I40" i="67"/>
  <c r="BI50" i="66" l="1"/>
  <c r="I48" i="66"/>
  <c r="BI54" i="66" l="1"/>
  <c r="I50" i="66"/>
  <c r="BI42" i="67"/>
  <c r="BI44" i="67" s="1"/>
  <c r="BI47" i="67" s="1"/>
  <c r="I42" i="67" l="1"/>
  <c r="BI55" i="66"/>
  <c r="I54" i="66"/>
  <c r="I44" i="67"/>
  <c r="BI57" i="66" l="1"/>
  <c r="I55" i="66"/>
  <c r="I59" i="66" l="1"/>
</calcChain>
</file>

<file path=xl/sharedStrings.xml><?xml version="1.0" encoding="utf-8"?>
<sst xmlns="http://schemas.openxmlformats.org/spreadsheetml/2006/main" count="322" uniqueCount="179">
  <si>
    <t>IFM Investors, Melbourne, June 2014</t>
  </si>
  <si>
    <t>Name</t>
  </si>
  <si>
    <t>Kenny Chew, Senior Associate</t>
  </si>
  <si>
    <t>Company</t>
  </si>
  <si>
    <t>Corality Financial Group</t>
  </si>
  <si>
    <t>Email</t>
  </si>
  <si>
    <t>kenny.chew@corality.com</t>
  </si>
  <si>
    <t/>
  </si>
  <si>
    <r>
      <t>www.</t>
    </r>
    <r>
      <rPr>
        <sz val="10"/>
        <color rgb="FFEF4136"/>
        <rFont val="Arial"/>
        <family val="2"/>
      </rPr>
      <t>corality</t>
    </r>
    <r>
      <rPr>
        <sz val="10"/>
        <rFont val="Arial"/>
        <family val="2"/>
      </rPr>
      <t xml:space="preserve">.com </t>
    </r>
  </si>
  <si>
    <t>contact@corality.com</t>
  </si>
  <si>
    <t>© Copyright 2012 Corality Financial Group</t>
  </si>
  <si>
    <t>Quarterly Cashflow</t>
  </si>
  <si>
    <t>Counters</t>
  </si>
  <si>
    <t>Calendar Year</t>
  </si>
  <si>
    <t>Cashflow Statement (AUD M)</t>
  </si>
  <si>
    <t>Revenue</t>
  </si>
  <si>
    <t>Sales</t>
  </si>
  <si>
    <t>Operational Expense</t>
  </si>
  <si>
    <t>Fixed Costs</t>
  </si>
  <si>
    <t>Variable Costs</t>
  </si>
  <si>
    <t>Total</t>
  </si>
  <si>
    <t>Operating Cashflow</t>
  </si>
  <si>
    <t>Capital Expenditure</t>
  </si>
  <si>
    <t>Funding</t>
  </si>
  <si>
    <t>Debt</t>
  </si>
  <si>
    <t>Equity</t>
  </si>
  <si>
    <t>Cashflow Available for Debt Service (CFADS)</t>
  </si>
  <si>
    <t>Debt Repayment</t>
  </si>
  <si>
    <t>Principal</t>
  </si>
  <si>
    <t>Interest</t>
  </si>
  <si>
    <t>Cashflow Available for Equity</t>
  </si>
  <si>
    <t>Dividends</t>
  </si>
  <si>
    <t>Net Cashflow</t>
  </si>
  <si>
    <t>Cash Balance B/f</t>
  </si>
  <si>
    <t>Cash Balance C/f</t>
  </si>
  <si>
    <t>Assumptions</t>
  </si>
  <si>
    <t>Timing</t>
  </si>
  <si>
    <t>Start</t>
  </si>
  <si>
    <t>Model Start Date</t>
  </si>
  <si>
    <t>Date</t>
  </si>
  <si>
    <t>Construction</t>
  </si>
  <si>
    <t xml:space="preserve">Duration </t>
  </si>
  <si>
    <t>Qtr(s)</t>
  </si>
  <si>
    <t>End</t>
  </si>
  <si>
    <t>Operations</t>
  </si>
  <si>
    <t>Yr(s)</t>
  </si>
  <si>
    <t xml:space="preserve">CapEx </t>
  </si>
  <si>
    <t>All construction costs</t>
  </si>
  <si>
    <t>AUD M</t>
  </si>
  <si>
    <t>Development Schedule</t>
  </si>
  <si>
    <t>Construction spend profile</t>
  </si>
  <si>
    <t>%</t>
  </si>
  <si>
    <t>Volume &amp; Price</t>
  </si>
  <si>
    <t>Net Generation</t>
  </si>
  <si>
    <t>Period</t>
  </si>
  <si>
    <t>MWh p.a.</t>
  </si>
  <si>
    <t>Price</t>
  </si>
  <si>
    <t>AUD/MWh</t>
  </si>
  <si>
    <t>Operational Expenditure</t>
  </si>
  <si>
    <t>Nominal</t>
  </si>
  <si>
    <t>Labour</t>
  </si>
  <si>
    <t>Land &amp; Leasing</t>
  </si>
  <si>
    <t>Spare</t>
  </si>
  <si>
    <t>Nominal Cost Price</t>
  </si>
  <si>
    <t xml:space="preserve">Other </t>
  </si>
  <si>
    <t>AUD / Mwh</t>
  </si>
  <si>
    <t>Senior Debt</t>
  </si>
  <si>
    <t>Debt Limit</t>
  </si>
  <si>
    <t>Cons</t>
  </si>
  <si>
    <t>Margin</t>
  </si>
  <si>
    <t>% p.a.</t>
  </si>
  <si>
    <t>Repayment Terms</t>
  </si>
  <si>
    <t>From</t>
  </si>
  <si>
    <t>To</t>
  </si>
  <si>
    <t>Tenor</t>
  </si>
  <si>
    <t xml:space="preserve">Linear repayment </t>
  </si>
  <si>
    <t>% of opening balance at operations</t>
  </si>
  <si>
    <t>Macroeconomics</t>
  </si>
  <si>
    <t>Interest Rate</t>
  </si>
  <si>
    <t>#</t>
  </si>
  <si>
    <t>Base Rate</t>
  </si>
  <si>
    <t>Num#</t>
  </si>
  <si>
    <t>Year</t>
  </si>
  <si>
    <t>Days</t>
  </si>
  <si>
    <t>Construction Costs</t>
  </si>
  <si>
    <t>Spend Profile</t>
  </si>
  <si>
    <t>Costs</t>
  </si>
  <si>
    <t>Uses</t>
  </si>
  <si>
    <t>Construction Cost</t>
  </si>
  <si>
    <t>Interest During Construction</t>
  </si>
  <si>
    <t>Sources</t>
  </si>
  <si>
    <t>Shortfall</t>
  </si>
  <si>
    <t>Check</t>
  </si>
  <si>
    <t>Balance B/f</t>
  </si>
  <si>
    <t>Drawdowns</t>
  </si>
  <si>
    <t>Refinance</t>
  </si>
  <si>
    <t>Balance C/f</t>
  </si>
  <si>
    <t>Undrawn Amount</t>
  </si>
  <si>
    <t>All-in-rate</t>
  </si>
  <si>
    <t>% p.p.</t>
  </si>
  <si>
    <t>Operations &amp; Returns</t>
  </si>
  <si>
    <t>Volume</t>
  </si>
  <si>
    <t>MWh p.q.</t>
  </si>
  <si>
    <t>Market Price</t>
  </si>
  <si>
    <t>Fixed Nominal Costs</t>
  </si>
  <si>
    <t>Variable Nominal Costs</t>
  </si>
  <si>
    <t>AUD / MWh</t>
  </si>
  <si>
    <t>MWh</t>
  </si>
  <si>
    <t>Summary</t>
  </si>
  <si>
    <t>Total Costs</t>
  </si>
  <si>
    <t>Free Cash Flow to Equity</t>
  </si>
  <si>
    <t>Cashflow available for Equity</t>
  </si>
  <si>
    <t>Returns</t>
  </si>
  <si>
    <t>Evaluation Cashflow</t>
  </si>
  <si>
    <t>IRR</t>
  </si>
  <si>
    <t>Tenor Flag</t>
  </si>
  <si>
    <t>[1,0]</t>
  </si>
  <si>
    <t>Account</t>
  </si>
  <si>
    <t>Refinance from Construction</t>
  </si>
  <si>
    <t>Principal Repayment</t>
  </si>
  <si>
    <t>All-in-Rate</t>
  </si>
  <si>
    <t>Interest During Operations</t>
  </si>
  <si>
    <t>Repayment</t>
  </si>
  <si>
    <t>Linear</t>
  </si>
  <si>
    <t>Principal repayment (annualised)</t>
  </si>
  <si>
    <t>Principal repayment</t>
  </si>
  <si>
    <t>% p.q.</t>
  </si>
  <si>
    <t>Debt Ratios</t>
  </si>
  <si>
    <t>Debt Service Cover Ratio (DSCR)</t>
  </si>
  <si>
    <t>CFADS</t>
  </si>
  <si>
    <t>Total Debt Service</t>
  </si>
  <si>
    <t>Min</t>
  </si>
  <si>
    <t>Average</t>
  </si>
  <si>
    <t>DSCR</t>
  </si>
  <si>
    <t>x</t>
  </si>
  <si>
    <t>Period Start</t>
  </si>
  <si>
    <t>Period End</t>
  </si>
  <si>
    <t>Construction Quarters</t>
  </si>
  <si>
    <t>Operations Quarters</t>
  </si>
  <si>
    <t>Operations Year</t>
  </si>
  <si>
    <t>Days in Period</t>
  </si>
  <si>
    <t>Formatting Legend, Names &amp; Constants</t>
  </si>
  <si>
    <t>Formatting Styles</t>
  </si>
  <si>
    <t>Formatting of Headers / Dividers</t>
  </si>
  <si>
    <t>Infrastructure</t>
  </si>
  <si>
    <t>Header0</t>
  </si>
  <si>
    <t>Header 0</t>
  </si>
  <si>
    <t>Line_Summary</t>
  </si>
  <si>
    <t>Header1</t>
  </si>
  <si>
    <t>Header 1</t>
  </si>
  <si>
    <t>Header2</t>
  </si>
  <si>
    <t>Header 2</t>
  </si>
  <si>
    <t>Unit</t>
  </si>
  <si>
    <t>USD</t>
  </si>
  <si>
    <t>Header3</t>
  </si>
  <si>
    <t>Header 3</t>
  </si>
  <si>
    <t>Line_Operation</t>
  </si>
  <si>
    <t>Table_Heading</t>
  </si>
  <si>
    <t xml:space="preserve">Table Heading </t>
  </si>
  <si>
    <t>Line_Total</t>
  </si>
  <si>
    <t>Individual Cell Assumptions</t>
  </si>
  <si>
    <t>Line_ClosingBal</t>
  </si>
  <si>
    <t>Offsheet</t>
  </si>
  <si>
    <t>Line_Key</t>
  </si>
  <si>
    <t>Assumption_Flex</t>
  </si>
  <si>
    <t>Input</t>
  </si>
  <si>
    <t>Empty_Cell</t>
  </si>
  <si>
    <t>Technical Inputs</t>
  </si>
  <si>
    <t>Entity Names</t>
  </si>
  <si>
    <t>Name Course</t>
  </si>
  <si>
    <t>Preparation and Ownership fo Financial Models</t>
  </si>
  <si>
    <t>Model Name</t>
  </si>
  <si>
    <t>Transaction Model: Funding options and testing limits</t>
  </si>
  <si>
    <t>Constants</t>
  </si>
  <si>
    <t>Days in Year</t>
  </si>
  <si>
    <t>Months per Year</t>
  </si>
  <si>
    <t>Quarters per Year</t>
  </si>
  <si>
    <t>Months per Quarter</t>
  </si>
  <si>
    <t>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</si>
</sst>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(* #,##0.00_);_(* \(#,##0.00\);_(* &quot;-&quot;??_);_(@_)"/>
    <numFmt numFmtId="167" formatCode="_(* #,##0_);_(* \(#,##0\);_(* &quot;-&quot;??_);_(@_)"/>
    <numFmt numFmtId="168" formatCode="#,##0_-;\ \(#,##0\);_-* &quot;-&quot;??;_-@_-"/>
    <numFmt numFmtId="169" formatCode="0.00\ &quot;x&quot;"/>
    <numFmt numFmtId="170" formatCode="&quot;Warning&quot;;&quot;Warning&quot;;&quot;OK&quot;"/>
    <numFmt numFmtId="171" formatCode="0\ &quot;Qtr(s)&quot;"/>
    <numFmt numFmtId="172" formatCode="&quot;Op Yr&quot;\ 0"/>
    <numFmt numFmtId="173" formatCode="&quot;Op Yr&quot;\ 0\ &quot;+&quot;"/>
    <numFmt numFmtId="174" formatCode="0\ &quot;Yr(s)&quot;"/>
    <numFmt numFmtId="175" formatCode="_(* #,##0%_);_(* \(#,##0%\);_(* &quot;-&quot;??_);_(@_)"/>
    <numFmt numFmtId="176" formatCode="&quot;Cons Qtr &quot;\ 0"/>
    <numFmt numFmtId="177" formatCode="_(* #,##0.00%_);_(* \(#,##0.00%\);_(* &quot;-&quot;??_);_(@_)"/>
    <numFmt numFmtId="178" formatCode="&quot;Op Yr&quot;\ 0\+"/>
    <numFmt numFmtId="179" formatCode="General\ \+"/>
  </numFmts>
  <fonts count="41">
    <font>
      <sz val="10"/>
      <name val="Arial"/>
      <family val="2"/>
    </font>
    <font>
      <sz val="10"/>
      <name val="Arial"/>
      <family val="2"/>
    </font>
    <font>
      <sz val="10"/>
      <color indexed="55"/>
      <name val="Arial"/>
      <family val="2"/>
    </font>
    <font>
      <sz val="10"/>
      <color indexed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u/>
      <sz val="11"/>
      <name val="Arial"/>
      <family val="2"/>
    </font>
    <font>
      <sz val="10"/>
      <color indexed="23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8"/>
      <color rgb="FF006100"/>
      <name val="Tahoma"/>
      <family val="2"/>
    </font>
    <font>
      <sz val="8"/>
      <color rgb="FF9C0006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rgb="FFFA7D00"/>
      <name val="Tahoma"/>
      <family val="2"/>
    </font>
    <font>
      <sz val="8"/>
      <color rgb="FFFA7D00"/>
      <name val="Tahoma"/>
      <family val="2"/>
    </font>
    <font>
      <b/>
      <sz val="8"/>
      <color theme="0"/>
      <name val="Tahoma"/>
      <family val="2"/>
    </font>
    <font>
      <sz val="8"/>
      <color rgb="FFFF0000"/>
      <name val="Tahoma"/>
      <family val="2"/>
    </font>
    <font>
      <i/>
      <sz val="8"/>
      <color rgb="FF7F7F7F"/>
      <name val="Tahoma"/>
      <family val="2"/>
    </font>
    <font>
      <b/>
      <sz val="8"/>
      <color theme="1"/>
      <name val="Tahoma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theme="3" tint="-0.499984740745262"/>
      <name val="Arial"/>
      <family val="2"/>
    </font>
    <font>
      <sz val="18"/>
      <color rgb="FF58595B"/>
      <name val="Arial"/>
      <family val="2"/>
    </font>
    <font>
      <sz val="16"/>
      <color rgb="FFE58832"/>
      <name val="Arial"/>
      <family val="2"/>
    </font>
    <font>
      <u/>
      <sz val="10"/>
      <color theme="10"/>
      <name val="Arial"/>
      <family val="2"/>
    </font>
    <font>
      <b/>
      <sz val="18"/>
      <color theme="0"/>
      <name val="Arial"/>
      <family val="2"/>
    </font>
    <font>
      <b/>
      <sz val="36"/>
      <color rgb="FFE58832"/>
      <name val="Arial"/>
      <family val="2"/>
    </font>
    <font>
      <sz val="18"/>
      <color theme="1" tint="0.499984740745262"/>
      <name val="Arial"/>
      <family val="2"/>
    </font>
    <font>
      <i/>
      <sz val="24"/>
      <color rgb="FF58595B"/>
      <name val="Georgia"/>
      <family val="1"/>
    </font>
    <font>
      <sz val="14"/>
      <color theme="1" tint="0.499984740745262"/>
      <name val="Arial"/>
      <family val="2"/>
    </font>
    <font>
      <sz val="12"/>
      <name val="Arial"/>
      <family val="2"/>
    </font>
    <font>
      <sz val="10"/>
      <color rgb="FFEF4136"/>
      <name val="Arial"/>
      <family val="2"/>
    </font>
    <font>
      <sz val="10"/>
      <color theme="0" tint="-0.499984740745262"/>
      <name val="Arial"/>
      <family val="2"/>
    </font>
  </fonts>
  <fills count="39">
    <fill>
      <patternFill patternType="none"/>
    </fill>
    <fill>
      <patternFill patternType="gray125"/>
    </fill>
    <fill>
      <patternFill patternType="lightGray">
        <bgColor indexed="9"/>
      </patternFill>
    </fill>
    <fill>
      <patternFill patternType="lightDown">
        <fgColor indexed="23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rgb="FFFFFF96"/>
        <bgColor indexed="64"/>
      </patternFill>
    </fill>
    <fill>
      <patternFill patternType="solid">
        <fgColor rgb="FFE58832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/>
      <top/>
      <bottom style="medium">
        <color rgb="FF58595B"/>
      </bottom>
      <diagonal/>
    </border>
    <border>
      <left/>
      <right/>
      <top style="dashDot">
        <color indexed="8"/>
      </top>
      <bottom/>
      <diagonal/>
    </border>
    <border>
      <left/>
      <right/>
      <top style="medium">
        <color rgb="FFEF4136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74">
    <xf numFmtId="0" fontId="0" fillId="0" borderId="0" applyNumberFormat="0" applyAlignment="0"/>
    <xf numFmtId="0" fontId="29" fillId="37" borderId="18" applyNumberFormat="0"/>
    <xf numFmtId="166" fontId="1" fillId="0" borderId="2" applyFont="0" applyFill="0" applyBorder="0" applyAlignment="0" applyProtection="0"/>
    <xf numFmtId="0" fontId="1" fillId="2" borderId="2" applyNumberFormat="0"/>
    <xf numFmtId="168" fontId="8" fillId="3" borderId="1"/>
    <xf numFmtId="0" fontId="31" fillId="0" borderId="0" applyFill="0" applyBorder="0" applyAlignment="0"/>
    <xf numFmtId="0" fontId="27" fillId="0" borderId="0" applyNumberFormat="0" applyFill="0"/>
    <xf numFmtId="0" fontId="7" fillId="0" borderId="0" applyNumberFormat="0" applyFill="0" applyBorder="0" applyAlignment="0"/>
    <xf numFmtId="0" fontId="9" fillId="4" borderId="3" applyAlignment="0">
      <alignment horizontal="left"/>
    </xf>
    <xf numFmtId="0" fontId="1" fillId="0" borderId="2" applyNumberFormat="0"/>
    <xf numFmtId="0" fontId="1" fillId="0" borderId="4" applyNumberFormat="0" applyFont="0" applyFill="0" applyAlignment="0"/>
    <xf numFmtId="0" fontId="1" fillId="0" borderId="5" applyNumberFormat="0" applyFont="0" applyFill="0" applyAlignment="0"/>
    <xf numFmtId="0" fontId="1" fillId="0" borderId="20" applyNumberFormat="0" applyFont="0" applyFill="0" applyAlignment="0"/>
    <xf numFmtId="171" fontId="1" fillId="5" borderId="2" applyNumberFormat="0" applyAlignment="0">
      <alignment horizontal="right"/>
    </xf>
    <xf numFmtId="0" fontId="1" fillId="0" borderId="6" applyNumberFormat="0" applyFont="0" applyFill="0" applyAlignment="0"/>
    <xf numFmtId="0" fontId="3" fillId="5" borderId="3" applyNumberFormat="0"/>
    <xf numFmtId="177" fontId="1" fillId="0" borderId="0" applyFont="0" applyFill="0" applyBorder="0" applyAlignment="0" applyProtection="0"/>
    <xf numFmtId="169" fontId="1" fillId="0" borderId="0" applyFont="0" applyFill="0" applyBorder="0"/>
    <xf numFmtId="0" fontId="33" fillId="38" borderId="0" applyNumberFormat="0" applyAlignment="0"/>
    <xf numFmtId="0" fontId="10" fillId="38" borderId="2" applyNumberFormat="0">
      <alignment horizontal="centerContinuous" vertical="center" wrapText="1"/>
    </xf>
    <xf numFmtId="0" fontId="8" fillId="6" borderId="1" applyNumberFormat="0">
      <alignment horizontal="right"/>
    </xf>
    <xf numFmtId="0" fontId="2" fillId="0" borderId="0" applyNumberFormat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0" borderId="12" applyNumberFormat="0" applyAlignment="0" applyProtection="0"/>
    <xf numFmtId="0" fontId="20" fillId="0" borderId="13" applyNumberFormat="0" applyFill="0" applyAlignment="0" applyProtection="0"/>
    <xf numFmtId="0" fontId="21" fillId="11" borderId="14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5" applyNumberFormat="0" applyFill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5" fillId="35" borderId="0" applyNumberFormat="0" applyBorder="0" applyAlignment="0" applyProtection="0"/>
    <xf numFmtId="0" fontId="30" fillId="0" borderId="19" applyNumberFormat="0" applyAlignment="0"/>
    <xf numFmtId="0" fontId="32" fillId="0" borderId="0" applyNumberFormat="0" applyFill="0" applyBorder="0" applyAlignment="0" applyProtection="0"/>
    <xf numFmtId="15" fontId="1" fillId="0" borderId="0" applyFont="0" applyFill="0" applyBorder="0" applyAlignment="0" applyProtection="0"/>
    <xf numFmtId="0" fontId="1" fillId="0" borderId="16" applyNumberFormat="0" applyAlignment="0"/>
    <xf numFmtId="17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28" fillId="36" borderId="17" applyNumberFormat="0" applyFont="0" applyAlignment="0" applyProtection="0"/>
    <xf numFmtId="0" fontId="1" fillId="0" borderId="0" applyFont="0" applyFill="0" applyBorder="0" applyAlignment="0" applyProtection="0"/>
    <xf numFmtId="0" fontId="27" fillId="38" borderId="0" applyAlignment="0"/>
    <xf numFmtId="170" fontId="2" fillId="0" borderId="22">
      <alignment horizontal="center"/>
    </xf>
    <xf numFmtId="0" fontId="33" fillId="38" borderId="0" applyNumberFormat="0" applyAlignment="0"/>
  </cellStyleXfs>
  <cellXfs count="87">
    <xf numFmtId="0" fontId="0" fillId="0" borderId="0" xfId="0"/>
    <xf numFmtId="0" fontId="33" fillId="38" borderId="0" xfId="18"/>
    <xf numFmtId="0" fontId="10" fillId="38" borderId="2" xfId="19" applyNumberFormat="1">
      <alignment horizontal="centerContinuous" vertical="center" wrapText="1"/>
    </xf>
    <xf numFmtId="0" fontId="7" fillId="0" borderId="0" xfId="7"/>
    <xf numFmtId="0" fontId="27" fillId="0" borderId="0" xfId="6"/>
    <xf numFmtId="0" fontId="8" fillId="6" borderId="1" xfId="20">
      <alignment horizontal="right"/>
    </xf>
    <xf numFmtId="15" fontId="0" fillId="0" borderId="0" xfId="0" applyNumberFormat="1"/>
    <xf numFmtId="0" fontId="31" fillId="0" borderId="0" xfId="5"/>
    <xf numFmtId="0" fontId="2" fillId="0" borderId="0" xfId="21"/>
    <xf numFmtId="3" fontId="8" fillId="6" borderId="1" xfId="20" applyNumberFormat="1">
      <alignment horizontal="right"/>
    </xf>
    <xf numFmtId="0" fontId="0" fillId="0" borderId="7" xfId="0" applyBorder="1"/>
    <xf numFmtId="0" fontId="0" fillId="0" borderId="4" xfId="10" applyFont="1"/>
    <xf numFmtId="0" fontId="0" fillId="0" borderId="5" xfId="11" applyFont="1"/>
    <xf numFmtId="0" fontId="6" fillId="0" borderId="0" xfId="0" applyFont="1"/>
    <xf numFmtId="0" fontId="2" fillId="0" borderId="0" xfId="21" applyAlignment="1">
      <alignment horizontal="left"/>
    </xf>
    <xf numFmtId="0" fontId="3" fillId="5" borderId="3" xfId="15"/>
    <xf numFmtId="0" fontId="1" fillId="0" borderId="20" xfId="12"/>
    <xf numFmtId="0" fontId="1" fillId="0" borderId="6" xfId="14"/>
    <xf numFmtId="0" fontId="1" fillId="2" borderId="2" xfId="3"/>
    <xf numFmtId="10" fontId="29" fillId="37" borderId="18" xfId="1" applyNumberFormat="1"/>
    <xf numFmtId="171" fontId="1" fillId="5" borderId="2" xfId="13">
      <alignment horizontal="right"/>
    </xf>
    <xf numFmtId="166" fontId="0" fillId="0" borderId="0" xfId="2" applyFont="1" applyBorder="1"/>
    <xf numFmtId="10" fontId="0" fillId="0" borderId="0" xfId="0" applyNumberFormat="1"/>
    <xf numFmtId="0" fontId="29" fillId="37" borderId="18" xfId="1" applyNumberFormat="1"/>
    <xf numFmtId="10" fontId="1" fillId="5" borderId="2" xfId="13" applyNumberFormat="1" applyAlignment="1"/>
    <xf numFmtId="0" fontId="10" fillId="38" borderId="2" xfId="19">
      <alignment horizontal="centerContinuous" vertical="center" wrapText="1"/>
    </xf>
    <xf numFmtId="172" fontId="10" fillId="38" borderId="2" xfId="19" applyNumberFormat="1">
      <alignment horizontal="centerContinuous" vertical="center" wrapText="1"/>
    </xf>
    <xf numFmtId="173" fontId="10" fillId="38" borderId="2" xfId="19" applyNumberFormat="1">
      <alignment horizontal="centerContinuous" vertical="center" wrapText="1"/>
    </xf>
    <xf numFmtId="166" fontId="29" fillId="37" borderId="18" xfId="1" applyNumberFormat="1"/>
    <xf numFmtId="15" fontId="29" fillId="37" borderId="18" xfId="1" applyNumberFormat="1"/>
    <xf numFmtId="174" fontId="29" fillId="37" borderId="18" xfId="1" applyNumberFormat="1"/>
    <xf numFmtId="0" fontId="30" fillId="0" borderId="19" xfId="61"/>
    <xf numFmtId="0" fontId="1" fillId="0" borderId="0" xfId="0" applyFont="1"/>
    <xf numFmtId="0" fontId="31" fillId="0" borderId="0" xfId="5" applyFill="1"/>
    <xf numFmtId="171" fontId="29" fillId="37" borderId="18" xfId="1" applyNumberFormat="1"/>
    <xf numFmtId="15" fontId="1" fillId="0" borderId="2" xfId="9" applyNumberFormat="1"/>
    <xf numFmtId="41" fontId="29" fillId="37" borderId="18" xfId="1" applyNumberFormat="1"/>
    <xf numFmtId="15" fontId="0" fillId="0" borderId="0" xfId="63" applyFont="1"/>
    <xf numFmtId="15" fontId="3" fillId="5" borderId="3" xfId="15" applyNumberFormat="1"/>
    <xf numFmtId="168" fontId="8" fillId="3" borderId="1" xfId="4"/>
    <xf numFmtId="176" fontId="10" fillId="38" borderId="2" xfId="19" applyNumberFormat="1">
      <alignment horizontal="centerContinuous" vertical="center" wrapText="1"/>
    </xf>
    <xf numFmtId="168" fontId="0" fillId="0" borderId="0" xfId="0" applyNumberFormat="1"/>
    <xf numFmtId="177" fontId="0" fillId="0" borderId="0" xfId="16" applyFont="1"/>
    <xf numFmtId="166" fontId="3" fillId="5" borderId="3" xfId="15" applyNumberFormat="1"/>
    <xf numFmtId="43" fontId="0" fillId="0" borderId="0" xfId="0" applyNumberFormat="1"/>
    <xf numFmtId="10" fontId="3" fillId="5" borderId="3" xfId="15" applyNumberFormat="1"/>
    <xf numFmtId="166" fontId="1" fillId="5" borderId="2" xfId="13" applyNumberFormat="1" applyAlignment="1"/>
    <xf numFmtId="166" fontId="0" fillId="0" borderId="4" xfId="10" applyNumberFormat="1" applyFont="1"/>
    <xf numFmtId="10" fontId="1" fillId="0" borderId="2" xfId="9" applyNumberFormat="1"/>
    <xf numFmtId="10" fontId="0" fillId="0" borderId="6" xfId="14" applyNumberFormat="1" applyFont="1"/>
    <xf numFmtId="167" fontId="1" fillId="5" borderId="2" xfId="13" applyNumberFormat="1" applyAlignment="1"/>
    <xf numFmtId="166" fontId="0" fillId="0" borderId="6" xfId="14" applyNumberFormat="1" applyFont="1"/>
    <xf numFmtId="166" fontId="0" fillId="0" borderId="20" xfId="12" applyNumberFormat="1" applyFont="1"/>
    <xf numFmtId="10" fontId="0" fillId="0" borderId="20" xfId="12" applyNumberFormat="1" applyFont="1"/>
    <xf numFmtId="166" fontId="0" fillId="0" borderId="0" xfId="0" applyNumberFormat="1"/>
    <xf numFmtId="166" fontId="0" fillId="0" borderId="5" xfId="11" applyNumberFormat="1" applyFont="1"/>
    <xf numFmtId="43" fontId="0" fillId="0" borderId="6" xfId="14" applyNumberFormat="1" applyFont="1"/>
    <xf numFmtId="169" fontId="0" fillId="0" borderId="0" xfId="17" applyFont="1"/>
    <xf numFmtId="169" fontId="1" fillId="0" borderId="2" xfId="9" applyNumberFormat="1"/>
    <xf numFmtId="166" fontId="1" fillId="5" borderId="2" xfId="2" applyFill="1" applyAlignment="1"/>
    <xf numFmtId="166" fontId="29" fillId="37" borderId="18" xfId="2" applyFont="1" applyFill="1" applyBorder="1"/>
    <xf numFmtId="0" fontId="27" fillId="38" borderId="0" xfId="71"/>
    <xf numFmtId="0" fontId="8" fillId="6" borderId="1" xfId="20" applyAlignment="1">
      <alignment horizontal="left"/>
    </xf>
    <xf numFmtId="178" fontId="10" fillId="38" borderId="2" xfId="19" applyNumberFormat="1">
      <alignment horizontal="centerContinuous" vertical="center" wrapText="1"/>
    </xf>
    <xf numFmtId="177" fontId="29" fillId="37" borderId="18" xfId="16" applyFont="1" applyFill="1" applyBorder="1"/>
    <xf numFmtId="41" fontId="1" fillId="0" borderId="2" xfId="9" applyNumberFormat="1"/>
    <xf numFmtId="177" fontId="3" fillId="5" borderId="3" xfId="16" applyFont="1" applyFill="1" applyBorder="1"/>
    <xf numFmtId="166" fontId="8" fillId="6" borderId="1" xfId="20" applyNumberFormat="1">
      <alignment horizontal="right"/>
    </xf>
    <xf numFmtId="0" fontId="34" fillId="0" borderId="0" xfId="5" applyFont="1" applyAlignment="1"/>
    <xf numFmtId="0" fontId="35" fillId="0" borderId="0" xfId="0" applyFont="1" applyAlignment="1"/>
    <xf numFmtId="0" fontId="36" fillId="0" borderId="0" xfId="0" applyFont="1" applyAlignment="1"/>
    <xf numFmtId="0" fontId="37" fillId="0" borderId="0" xfId="0" applyFont="1" applyAlignment="1"/>
    <xf numFmtId="0" fontId="5" fillId="0" borderId="0" xfId="0" applyFont="1"/>
    <xf numFmtId="0" fontId="38" fillId="0" borderId="0" xfId="0" applyFont="1"/>
    <xf numFmtId="0" fontId="0" fillId="0" borderId="0" xfId="0" quotePrefix="1"/>
    <xf numFmtId="0" fontId="0" fillId="0" borderId="21" xfId="0" applyNumberFormat="1" applyBorder="1"/>
    <xf numFmtId="0" fontId="0" fillId="0" borderId="0" xfId="0" applyNumberFormat="1"/>
    <xf numFmtId="0" fontId="40" fillId="0" borderId="0" xfId="0" applyFont="1" applyAlignment="1">
      <alignment horizontal="left"/>
    </xf>
    <xf numFmtId="179" fontId="10" fillId="38" borderId="2" xfId="19" applyNumberFormat="1">
      <alignment horizontal="centerContinuous" vertical="center" wrapText="1"/>
    </xf>
    <xf numFmtId="167" fontId="1" fillId="0" borderId="0" xfId="66" applyFont="1" applyFill="1"/>
    <xf numFmtId="0" fontId="1" fillId="0" borderId="0" xfId="0" quotePrefix="1" applyFont="1"/>
    <xf numFmtId="166" fontId="1" fillId="0" borderId="0" xfId="2" applyFont="1" applyFill="1" applyBorder="1"/>
    <xf numFmtId="167" fontId="0" fillId="0" borderId="20" xfId="66" applyFont="1" applyFill="1" applyBorder="1"/>
    <xf numFmtId="166" fontId="0" fillId="0" borderId="0" xfId="2" applyFont="1" applyFill="1" applyBorder="1"/>
    <xf numFmtId="166" fontId="0" fillId="0" borderId="6" xfId="14" applyNumberFormat="1" applyFont="1" applyFill="1"/>
    <xf numFmtId="41" fontId="0" fillId="0" borderId="0" xfId="0" applyNumberFormat="1"/>
    <xf numFmtId="43" fontId="0" fillId="0" borderId="20" xfId="12" applyNumberFormat="1" applyFont="1" applyFill="1"/>
  </cellXfs>
  <cellStyles count="74">
    <cellStyle name=" 1" xfId="70" xr:uid="{00000000-0005-0000-0000-000000000000}"/>
    <cellStyle name="20% - Accent1" xfId="38" builtinId="30" hidden="1"/>
    <cellStyle name="20% - Accent2" xfId="42" builtinId="34" hidden="1"/>
    <cellStyle name="20% - Accent3" xfId="46" builtinId="38" hidden="1"/>
    <cellStyle name="20% - Accent4" xfId="50" builtinId="42" hidden="1"/>
    <cellStyle name="20% - Accent5" xfId="54" builtinId="46" hidden="1"/>
    <cellStyle name="20% - Accent6" xfId="58" builtinId="50" hidden="1"/>
    <cellStyle name="40% - Accent1" xfId="39" builtinId="31" hidden="1"/>
    <cellStyle name="40% - Accent2" xfId="43" builtinId="35" hidden="1"/>
    <cellStyle name="40% - Accent3" xfId="47" builtinId="39" hidden="1"/>
    <cellStyle name="40% - Accent4" xfId="51" builtinId="43" hidden="1"/>
    <cellStyle name="40% - Accent5" xfId="55" builtinId="47" hidden="1"/>
    <cellStyle name="40% - Accent6" xfId="59" builtinId="51" hidden="1"/>
    <cellStyle name="60% - Accent1" xfId="40" builtinId="32" hidden="1"/>
    <cellStyle name="60% - Accent2" xfId="44" builtinId="36" hidden="1"/>
    <cellStyle name="60% - Accent3" xfId="48" builtinId="40" hidden="1"/>
    <cellStyle name="60% - Accent4" xfId="52" builtinId="44" hidden="1"/>
    <cellStyle name="60% - Accent5" xfId="56" builtinId="48" hidden="1"/>
    <cellStyle name="60% - Accent6" xfId="60" builtinId="52" hidden="1"/>
    <cellStyle name="Accent1" xfId="37" builtinId="29" hidden="1"/>
    <cellStyle name="Accent2" xfId="41" builtinId="33" hidden="1"/>
    <cellStyle name="Accent3" xfId="45" builtinId="37" hidden="1"/>
    <cellStyle name="Accent4" xfId="49" builtinId="41" hidden="1"/>
    <cellStyle name="Accent5" xfId="53" builtinId="45" hidden="1"/>
    <cellStyle name="Accent6" xfId="57" builtinId="49" hidden="1"/>
    <cellStyle name="Assumption" xfId="1" xr:uid="{00000000-0005-0000-0000-000019000000}"/>
    <cellStyle name="Bad" xfId="28" builtinId="27" hidden="1"/>
    <cellStyle name="Calculation" xfId="31" builtinId="22" hidden="1"/>
    <cellStyle name="Check" xfId="72" xr:uid="{00000000-0005-0000-0000-00001C000000}"/>
    <cellStyle name="Check Cell" xfId="33" builtinId="23" hidden="1"/>
    <cellStyle name="Comma" xfId="2" builtinId="3"/>
    <cellStyle name="Comma [0]" xfId="66" builtinId="6" customBuiltin="1"/>
    <cellStyle name="Currency" xfId="67" builtinId="4" hidden="1"/>
    <cellStyle name="Currency [0]" xfId="68" builtinId="7" hidden="1"/>
    <cellStyle name="Date" xfId="63" xr:uid="{00000000-0005-0000-0000-000022000000}"/>
    <cellStyle name="Empty_Cell" xfId="3" xr:uid="{00000000-0005-0000-0000-000023000000}"/>
    <cellStyle name="Explanatory Text" xfId="35" builtinId="53" hidden="1"/>
    <cellStyle name="Flag" xfId="4" xr:uid="{00000000-0005-0000-0000-000025000000}"/>
    <cellStyle name="Good" xfId="27" builtinId="26" hidden="1"/>
    <cellStyle name="Grid" xfId="64" xr:uid="{00000000-0005-0000-0000-000027000000}"/>
    <cellStyle name="Header0" xfId="61" xr:uid="{00000000-0005-0000-0000-000028000000}"/>
    <cellStyle name="Header1" xfId="5" xr:uid="{00000000-0005-0000-0000-000029000000}"/>
    <cellStyle name="Header2" xfId="6" xr:uid="{00000000-0005-0000-0000-00002A000000}"/>
    <cellStyle name="Header3" xfId="7" xr:uid="{00000000-0005-0000-0000-00002B000000}"/>
    <cellStyle name="Heading 1" xfId="23" builtinId="16" hidden="1"/>
    <cellStyle name="Heading 2" xfId="24" builtinId="17" hidden="1"/>
    <cellStyle name="Heading 3" xfId="25" builtinId="18" hidden="1"/>
    <cellStyle name="Heading 4" xfId="26" builtinId="19" hidden="1"/>
    <cellStyle name="Hyperlink" xfId="62" builtinId="8" hidden="1" customBuiltin="1"/>
    <cellStyle name="Input" xfId="8" builtinId="20" hidden="1" customBuiltin="1"/>
    <cellStyle name="InSheet" xfId="9" xr:uid="{00000000-0005-0000-0000-000032000000}"/>
    <cellStyle name="Line_ClosingBal" xfId="10" xr:uid="{00000000-0005-0000-0000-000033000000}"/>
    <cellStyle name="Line_Operation" xfId="12" xr:uid="{00000000-0005-0000-0000-000034000000}"/>
    <cellStyle name="Line_Subtotal" xfId="14" xr:uid="{00000000-0005-0000-0000-000035000000}"/>
    <cellStyle name="Line_Summary" xfId="13" xr:uid="{00000000-0005-0000-0000-000036000000}"/>
    <cellStyle name="Line_Total" xfId="11" xr:uid="{00000000-0005-0000-0000-000037000000}"/>
    <cellStyle name="Linked Cell" xfId="32" builtinId="24" hidden="1"/>
    <cellStyle name="Neutral" xfId="29" builtinId="28" hidden="1"/>
    <cellStyle name="Normal" xfId="0" builtinId="0" customBuiltin="1"/>
    <cellStyle name="Note" xfId="69" builtinId="10" hidden="1"/>
    <cellStyle name="OffSheet" xfId="15" xr:uid="{00000000-0005-0000-0000-00003C000000}"/>
    <cellStyle name="Output" xfId="30" builtinId="21" hidden="1"/>
    <cellStyle name="Per cent" xfId="16" builtinId="5" customBuiltin="1"/>
    <cellStyle name="Percent [0]" xfId="65" xr:uid="{00000000-0005-0000-0000-00003F000000}"/>
    <cellStyle name="Ratio" xfId="17" xr:uid="{00000000-0005-0000-0000-000040000000}"/>
    <cellStyle name="Sheet_Header" xfId="73" xr:uid="{00000000-0005-0000-0000-000041000000}"/>
    <cellStyle name="Sheet_Header0" xfId="18" xr:uid="{00000000-0005-0000-0000-000042000000}"/>
    <cellStyle name="Sheet_Header1" xfId="71" xr:uid="{00000000-0005-0000-0000-000043000000}"/>
    <cellStyle name="Table_Heading" xfId="19" xr:uid="{00000000-0005-0000-0000-000044000000}"/>
    <cellStyle name="Technical_Input" xfId="20" xr:uid="{00000000-0005-0000-0000-000045000000}"/>
    <cellStyle name="Title" xfId="22" builtinId="15" hidden="1"/>
    <cellStyle name="Total" xfId="36" builtinId="25" hidden="1"/>
    <cellStyle name="unit" xfId="21" xr:uid="{00000000-0005-0000-0000-000048000000}"/>
    <cellStyle name="Warning Text" xfId="34" builtinId="11" hidden="1"/>
  </cellStyles>
  <dxfs count="12">
    <dxf>
      <fill>
        <patternFill>
          <bgColor rgb="FFBC2974"/>
        </patternFill>
      </fill>
    </dxf>
    <dxf>
      <fill>
        <patternFill>
          <bgColor rgb="FF54B8C6"/>
        </patternFill>
      </fill>
    </dxf>
    <dxf>
      <fill>
        <patternFill>
          <bgColor rgb="FFBC2974"/>
        </patternFill>
      </fill>
    </dxf>
    <dxf>
      <fill>
        <patternFill>
          <bgColor rgb="FF54B8C6"/>
        </patternFill>
      </fill>
    </dxf>
    <dxf>
      <fill>
        <patternFill>
          <bgColor rgb="FF00B0F0"/>
        </patternFill>
      </fill>
    </dxf>
    <dxf>
      <fill>
        <patternFill>
          <bgColor rgb="FFBC2974"/>
        </patternFill>
      </fill>
    </dxf>
    <dxf>
      <fill>
        <patternFill>
          <bgColor rgb="FF54B8C6"/>
        </patternFill>
      </fill>
    </dxf>
    <dxf>
      <font>
        <color theme="0" tint="-0.24994659260841701"/>
      </font>
    </dxf>
    <dxf>
      <fill>
        <patternFill>
          <bgColor rgb="FFBC2974"/>
        </patternFill>
      </fill>
    </dxf>
    <dxf>
      <fill>
        <patternFill>
          <bgColor rgb="FF54B8C6"/>
        </patternFill>
      </fill>
    </dxf>
    <dxf>
      <fill>
        <patternFill>
          <bgColor rgb="FFBC2974"/>
        </patternFill>
      </fill>
    </dxf>
    <dxf>
      <fill>
        <patternFill>
          <bgColor rgb="FF54B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7CFB"/>
      <rgbColor rgb="0033CCCC"/>
      <rgbColor rgb="00B6F600"/>
      <rgbColor rgb="00FFCC00"/>
      <rgbColor rgb="00FF9900"/>
      <rgbColor rgb="00FF6600"/>
      <rgbColor rgb="00666699"/>
      <rgbColor rgb="00969696"/>
      <rgbColor rgb="0000ADEF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C2974"/>
      <color rgb="FF54B8C6"/>
      <color rgb="FFEF4136"/>
      <color rgb="FF58595B"/>
      <color rgb="FFFFFF96"/>
      <color rgb="FFE5883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345412</xdr:colOff>
      <xdr:row>2</xdr:row>
      <xdr:rowOff>67716</xdr:rowOff>
    </xdr:from>
    <xdr:to>
      <xdr:col>6</xdr:col>
      <xdr:colOff>360133</xdr:colOff>
      <xdr:row>17</xdr:row>
      <xdr:rowOff>115137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3298162" y="391566"/>
          <a:ext cx="14721" cy="3285921"/>
        </a:xfrm>
        <a:prstGeom prst="line">
          <a:avLst/>
        </a:prstGeom>
        <a:ln w="12700">
          <a:solidFill>
            <a:srgbClr val="58595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386743</xdr:colOff>
      <xdr:row>5</xdr:row>
      <xdr:rowOff>83739</xdr:rowOff>
    </xdr:from>
    <xdr:to>
      <xdr:col>5</xdr:col>
      <xdr:colOff>261674</xdr:colOff>
      <xdr:row>7</xdr:row>
      <xdr:rowOff>3911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93" y="893364"/>
          <a:ext cx="1732306" cy="653597"/>
        </a:xfrm>
        <a:prstGeom prst="rect">
          <a:avLst/>
        </a:prstGeom>
      </xdr:spPr>
    </xdr:pic>
    <xdr:clientData/>
  </xdr:twoCellAnchor>
  <xdr:twoCellAnchor editAs="oneCell">
    <xdr:from>
      <xdr:col>1</xdr:col>
      <xdr:colOff>52334</xdr:colOff>
      <xdr:row>8</xdr:row>
      <xdr:rowOff>107074</xdr:rowOff>
    </xdr:from>
    <xdr:to>
      <xdr:col>6</xdr:col>
      <xdr:colOff>101757</xdr:colOff>
      <xdr:row>17</xdr:row>
      <xdr:rowOff>42159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09" y="2031124"/>
          <a:ext cx="2821198" cy="1573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nny.chew@corality.com" TargetMode="External"/><Relationship Id="rId2" Type="http://schemas.openxmlformats.org/officeDocument/2006/relationships/hyperlink" Target="mailto:contact@corality.com" TargetMode="External"/><Relationship Id="rId1" Type="http://schemas.openxmlformats.org/officeDocument/2006/relationships/hyperlink" Target="http://www.corality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Z43"/>
  <sheetViews>
    <sheetView showGridLines="0" tabSelected="1" zoomScale="103" zoomScaleNormal="103" workbookViewId="0"/>
  </sheetViews>
  <sheetFormatPr defaultColWidth="0" defaultRowHeight="0" customHeight="1" zeroHeight="1"/>
  <cols>
    <col min="1" max="1" width="2.7109375" customWidth="1"/>
    <col min="2" max="2" width="4.42578125" customWidth="1"/>
    <col min="3" max="7" width="9.28515625" customWidth="1"/>
    <col min="8" max="8" width="13.85546875" customWidth="1"/>
    <col min="9" max="9" width="9.28515625" customWidth="1"/>
    <col min="10" max="10" width="8" customWidth="1"/>
    <col min="11" max="24" width="9.140625" customWidth="1"/>
    <col min="25" max="25" width="2.7109375" customWidth="1"/>
    <col min="26" max="26" width="0" hidden="1" customWidth="1"/>
    <col min="27" max="16384" width="9.140625" hidden="1"/>
  </cols>
  <sheetData>
    <row r="1" spans="8:14" ht="12.75"/>
    <row r="2" spans="8:14" ht="12.75"/>
    <row r="3" spans="8:14" ht="12.75"/>
    <row r="4" spans="8:14" ht="12.75"/>
    <row r="5" spans="8:14" ht="12.75"/>
    <row r="6" spans="8:14" ht="12.75"/>
    <row r="7" spans="8:14" ht="45">
      <c r="H7" s="68" t="str">
        <f>Name_Course</f>
        <v>Preparation and Ownership fo Financial Models</v>
      </c>
      <c r="I7" s="69"/>
      <c r="J7" s="69"/>
      <c r="K7" s="69"/>
      <c r="L7" s="69"/>
      <c r="M7" s="69"/>
      <c r="N7" s="69"/>
    </row>
    <row r="8" spans="8:14" ht="30">
      <c r="H8" s="70" t="str">
        <f>Name_Model</f>
        <v>Transaction Model: Funding options and testing limits</v>
      </c>
    </row>
    <row r="9" spans="8:14" ht="18">
      <c r="H9" s="71" t="s">
        <v>0</v>
      </c>
    </row>
    <row r="10" spans="8:14" ht="12.75"/>
    <row r="11" spans="8:14" ht="12.75"/>
    <row r="12" spans="8:14" ht="12.75"/>
    <row r="13" spans="8:14" ht="15.75">
      <c r="H13" s="72" t="s">
        <v>1</v>
      </c>
      <c r="I13" s="73" t="s">
        <v>2</v>
      </c>
    </row>
    <row r="14" spans="8:14" ht="15.75">
      <c r="H14" s="72" t="s">
        <v>3</v>
      </c>
      <c r="I14" s="73" t="s">
        <v>4</v>
      </c>
    </row>
    <row r="15" spans="8:14" ht="15.75">
      <c r="H15" s="72" t="s">
        <v>5</v>
      </c>
      <c r="I15" s="73" t="s">
        <v>6</v>
      </c>
    </row>
    <row r="16" spans="8:14" ht="12.75"/>
    <row r="17" spans="2:24" ht="12.75"/>
    <row r="18" spans="2:24" ht="12.75"/>
    <row r="19" spans="2:24" ht="12.75">
      <c r="B19" s="74"/>
      <c r="C19" s="74" t="s">
        <v>7</v>
      </c>
    </row>
    <row r="20" spans="2:24" ht="12.75">
      <c r="B20" s="74"/>
      <c r="C20" s="74"/>
    </row>
    <row r="21" spans="2:24" ht="13.5" thickBot="1"/>
    <row r="22" spans="2:24" ht="12.75"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</row>
    <row r="23" spans="2:24" ht="12.75">
      <c r="B23" t="s">
        <v>8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2:24" ht="12.75">
      <c r="B24" s="76" t="s">
        <v>9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spans="2:24" ht="12.75">
      <c r="B25" s="77" t="s">
        <v>10</v>
      </c>
    </row>
    <row r="26" spans="2:24" ht="12.75"/>
    <row r="27" spans="2:24" ht="12.75" hidden="1"/>
    <row r="28" spans="2:24" ht="12.75" hidden="1"/>
    <row r="29" spans="2:24" ht="12.75" hidden="1"/>
    <row r="30" spans="2:24" ht="12.75" hidden="1"/>
    <row r="31" spans="2:24" ht="12.75" hidden="1"/>
    <row r="32" spans="2:24" ht="12.75" hidden="1"/>
    <row r="33" ht="12.75" hidden="1"/>
    <row r="34" ht="12.75" hidden="1"/>
    <row r="35" ht="12.75" hidden="1"/>
    <row r="36" ht="12.75" hidden="1"/>
    <row r="37" ht="12.75" hidden="1"/>
    <row r="38" ht="12.75" hidden="1"/>
    <row r="39" ht="12.75" hidden="1"/>
    <row r="40" ht="12.75" hidden="1"/>
    <row r="41" ht="12.75" hidden="1"/>
    <row r="42" ht="12.75" hidden="1"/>
    <row r="43" ht="12.75" hidden="1"/>
  </sheetData>
  <sheetProtection formatCells="0" formatColumns="0" formatRows="0"/>
  <hyperlinks>
    <hyperlink ref="B23" r:id="rId1" tooltip="http://www.corality.com/" display="Web www.corality.com" xr:uid="{00000000-0004-0000-0000-000000000000}"/>
    <hyperlink ref="B24" r:id="rId2" xr:uid="{00000000-0004-0000-0000-000001000000}"/>
    <hyperlink ref="I15" r:id="rId3" xr:uid="{00000000-0004-0000-0000-000002000000}"/>
  </hyperlinks>
  <pageMargins left="0.7" right="0.7" top="0.75" bottom="0.75" header="0.3" footer="0.3"/>
  <pageSetup paperSize="9" scale="77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E58832"/>
    <outlinePr summaryBelow="0" summaryRight="0"/>
  </sheetPr>
  <dimension ref="A1:BI48"/>
  <sheetViews>
    <sheetView zoomScaleNormal="100" workbookViewId="0">
      <pane xSplit="9" ySplit="7" topLeftCell="J8" activePane="bottomRight" state="frozen"/>
      <selection pane="bottomRight" activeCell="A7" sqref="A7"/>
      <selection pane="bottomLeft" activeCell="A3" sqref="A3"/>
      <selection pane="topRight" activeCell="A3" sqref="A3"/>
    </sheetView>
  </sheetViews>
  <sheetFormatPr defaultColWidth="0" defaultRowHeight="12.75" outlineLevelRow="1"/>
  <cols>
    <col min="1" max="2" width="2.7109375" customWidth="1"/>
    <col min="3" max="3" width="41.140625" bestFit="1" customWidth="1"/>
    <col min="4" max="8" width="1.7109375" customWidth="1"/>
    <col min="9" max="9" width="11.85546875" customWidth="1"/>
    <col min="10" max="10" width="9.5703125" customWidth="1"/>
    <col min="11" max="11" width="9.28515625" customWidth="1"/>
    <col min="12" max="12" width="9.7109375" customWidth="1"/>
    <col min="13" max="13" width="9.85546875" customWidth="1"/>
    <col min="14" max="14" width="9.5703125" customWidth="1"/>
    <col min="15" max="15" width="9.28515625" customWidth="1"/>
    <col min="16" max="16" width="9.7109375" customWidth="1"/>
    <col min="17" max="17" width="9.85546875" customWidth="1"/>
    <col min="18" max="18" width="9.5703125" customWidth="1"/>
    <col min="19" max="19" width="9.28515625" customWidth="1"/>
    <col min="20" max="20" width="9.7109375" customWidth="1"/>
    <col min="21" max="21" width="9.85546875" customWidth="1"/>
    <col min="22" max="22" width="9.5703125" customWidth="1"/>
    <col min="23" max="23" width="9.28515625" customWidth="1"/>
    <col min="24" max="24" width="9.7109375" customWidth="1"/>
    <col min="25" max="25" width="9.85546875" customWidth="1"/>
    <col min="26" max="26" width="9.5703125" customWidth="1"/>
    <col min="27" max="27" width="9.28515625" customWidth="1"/>
    <col min="28" max="28" width="9.7109375" customWidth="1"/>
    <col min="29" max="29" width="9.85546875" customWidth="1"/>
    <col min="30" max="30" width="9.5703125" customWidth="1"/>
    <col min="31" max="31" width="9.28515625" customWidth="1"/>
    <col min="32" max="32" width="9.7109375" customWidth="1"/>
    <col min="33" max="33" width="9.85546875" customWidth="1"/>
    <col min="34" max="34" width="9.5703125" customWidth="1"/>
    <col min="35" max="35" width="9.28515625" customWidth="1"/>
    <col min="36" max="36" width="9.7109375" customWidth="1"/>
    <col min="37" max="37" width="9.85546875" customWidth="1"/>
    <col min="38" max="38" width="9.5703125" customWidth="1"/>
    <col min="39" max="39" width="9.28515625" customWidth="1"/>
    <col min="40" max="40" width="9.7109375" customWidth="1"/>
    <col min="41" max="41" width="9.85546875" customWidth="1"/>
    <col min="42" max="42" width="9.5703125" customWidth="1"/>
    <col min="43" max="43" width="9.28515625" customWidth="1"/>
    <col min="44" max="44" width="9.7109375" customWidth="1"/>
    <col min="45" max="45" width="9.85546875" customWidth="1"/>
    <col min="46" max="46" width="9.5703125" customWidth="1"/>
    <col min="47" max="47" width="9.28515625" customWidth="1"/>
    <col min="48" max="48" width="9.7109375" customWidth="1"/>
    <col min="49" max="49" width="9.85546875" customWidth="1"/>
    <col min="50" max="50" width="9.5703125" customWidth="1"/>
    <col min="51" max="51" width="9.28515625" customWidth="1"/>
    <col min="52" max="52" width="9.7109375" customWidth="1"/>
    <col min="53" max="53" width="9.85546875" customWidth="1"/>
    <col min="54" max="54" width="9.5703125" customWidth="1"/>
    <col min="55" max="55" width="9.28515625" customWidth="1"/>
    <col min="56" max="56" width="9.7109375" customWidth="1"/>
    <col min="57" max="57" width="9.85546875" customWidth="1"/>
    <col min="58" max="58" width="9.5703125" customWidth="1"/>
    <col min="59" max="59" width="9.28515625" customWidth="1"/>
    <col min="60" max="60" width="9.7109375" customWidth="1"/>
    <col min="61" max="61" width="9.85546875" customWidth="1"/>
    <col min="62" max="62" width="1.7109375" customWidth="1"/>
  </cols>
  <sheetData>
    <row r="1" spans="1:61" ht="23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</row>
    <row r="4" spans="1:61">
      <c r="A4" t="str">
        <f>Timing!A4</f>
        <v>Period Start</v>
      </c>
      <c r="J4" s="6">
        <f>Timing!J4</f>
        <v>40909</v>
      </c>
      <c r="K4" s="6">
        <f>Timing!K4</f>
        <v>41000</v>
      </c>
      <c r="L4" s="6">
        <f>Timing!L4</f>
        <v>41091</v>
      </c>
      <c r="M4" s="6">
        <f>Timing!M4</f>
        <v>41183</v>
      </c>
      <c r="N4" s="6">
        <f>Timing!N4</f>
        <v>41275</v>
      </c>
      <c r="O4" s="6">
        <f>Timing!O4</f>
        <v>41365</v>
      </c>
      <c r="P4" s="6">
        <f>Timing!P4</f>
        <v>41456</v>
      </c>
      <c r="Q4" s="6">
        <f>Timing!Q4</f>
        <v>41548</v>
      </c>
      <c r="R4" s="6">
        <f>Timing!R4</f>
        <v>41640</v>
      </c>
      <c r="S4" s="6">
        <f>Timing!S4</f>
        <v>41730</v>
      </c>
      <c r="T4" s="6">
        <f>Timing!T4</f>
        <v>41821</v>
      </c>
      <c r="U4" s="6">
        <f>Timing!U4</f>
        <v>41913</v>
      </c>
      <c r="V4" s="6">
        <f>Timing!V4</f>
        <v>42005</v>
      </c>
      <c r="W4" s="6">
        <f>Timing!W4</f>
        <v>42095</v>
      </c>
      <c r="X4" s="6">
        <f>Timing!X4</f>
        <v>42186</v>
      </c>
      <c r="Y4" s="6">
        <f>Timing!Y4</f>
        <v>42278</v>
      </c>
      <c r="Z4" s="6">
        <f>Timing!Z4</f>
        <v>42370</v>
      </c>
      <c r="AA4" s="6">
        <f>Timing!AA4</f>
        <v>42461</v>
      </c>
      <c r="AB4" s="6">
        <f>Timing!AB4</f>
        <v>42552</v>
      </c>
      <c r="AC4" s="6">
        <f>Timing!AC4</f>
        <v>42644</v>
      </c>
      <c r="AD4" s="6">
        <f>Timing!AD4</f>
        <v>42736</v>
      </c>
      <c r="AE4" s="6">
        <f>Timing!AE4</f>
        <v>42826</v>
      </c>
      <c r="AF4" s="6">
        <f>Timing!AF4</f>
        <v>42917</v>
      </c>
      <c r="AG4" s="6">
        <f>Timing!AG4</f>
        <v>43009</v>
      </c>
      <c r="AH4" s="6">
        <f>Timing!AH4</f>
        <v>43101</v>
      </c>
      <c r="AI4" s="6">
        <f>Timing!AI4</f>
        <v>43191</v>
      </c>
      <c r="AJ4" s="6">
        <f>Timing!AJ4</f>
        <v>43282</v>
      </c>
      <c r="AK4" s="6">
        <f>Timing!AK4</f>
        <v>43374</v>
      </c>
      <c r="AL4" s="6">
        <f>Timing!AL4</f>
        <v>43466</v>
      </c>
      <c r="AM4" s="6">
        <f>Timing!AM4</f>
        <v>43556</v>
      </c>
      <c r="AN4" s="6">
        <f>Timing!AN4</f>
        <v>43647</v>
      </c>
      <c r="AO4" s="6">
        <f>Timing!AO4</f>
        <v>43739</v>
      </c>
      <c r="AP4" s="6">
        <f>Timing!AP4</f>
        <v>43831</v>
      </c>
      <c r="AQ4" s="6">
        <f>Timing!AQ4</f>
        <v>43922</v>
      </c>
      <c r="AR4" s="6">
        <f>Timing!AR4</f>
        <v>44013</v>
      </c>
      <c r="AS4" s="6">
        <f>Timing!AS4</f>
        <v>44105</v>
      </c>
      <c r="AT4" s="6">
        <f>Timing!AT4</f>
        <v>44197</v>
      </c>
      <c r="AU4" s="6">
        <f>Timing!AU4</f>
        <v>44287</v>
      </c>
      <c r="AV4" s="6">
        <f>Timing!AV4</f>
        <v>44378</v>
      </c>
      <c r="AW4" s="6">
        <f>Timing!AW4</f>
        <v>44470</v>
      </c>
      <c r="AX4" s="6">
        <f>Timing!AX4</f>
        <v>44562</v>
      </c>
      <c r="AY4" s="6">
        <f>Timing!AY4</f>
        <v>44652</v>
      </c>
      <c r="AZ4" s="6">
        <f>Timing!AZ4</f>
        <v>44743</v>
      </c>
      <c r="BA4" s="6">
        <f>Timing!BA4</f>
        <v>44835</v>
      </c>
      <c r="BB4" s="6">
        <f>Timing!BB4</f>
        <v>44927</v>
      </c>
      <c r="BC4" s="6">
        <f>Timing!BC4</f>
        <v>45017</v>
      </c>
      <c r="BD4" s="6">
        <f>Timing!BD4</f>
        <v>45108</v>
      </c>
      <c r="BE4" s="6">
        <f>Timing!BE4</f>
        <v>45200</v>
      </c>
      <c r="BF4" s="6">
        <f>Timing!BF4</f>
        <v>45292</v>
      </c>
      <c r="BG4" s="6">
        <f>Timing!BG4</f>
        <v>45383</v>
      </c>
      <c r="BH4" s="6">
        <f>Timing!BH4</f>
        <v>45474</v>
      </c>
      <c r="BI4" s="6">
        <f>Timing!BI4</f>
        <v>45566</v>
      </c>
    </row>
    <row r="5" spans="1:61">
      <c r="A5" t="str">
        <f>Timing!A5</f>
        <v>Period End</v>
      </c>
      <c r="I5" s="38">
        <f>Timing!I5</f>
        <v>40908</v>
      </c>
      <c r="J5" s="37">
        <f>Timing!J5</f>
        <v>40999</v>
      </c>
      <c r="K5" s="37">
        <f>Timing!K5</f>
        <v>41090</v>
      </c>
      <c r="L5" s="37">
        <f>Timing!L5</f>
        <v>41182</v>
      </c>
      <c r="M5" s="37">
        <f>Timing!M5</f>
        <v>41274</v>
      </c>
      <c r="N5" s="37">
        <f>Timing!N5</f>
        <v>41364</v>
      </c>
      <c r="O5" s="37">
        <f>Timing!O5</f>
        <v>41455</v>
      </c>
      <c r="P5" s="37">
        <f>Timing!P5</f>
        <v>41547</v>
      </c>
      <c r="Q5" s="37">
        <f>Timing!Q5</f>
        <v>41639</v>
      </c>
      <c r="R5" s="37">
        <f>Timing!R5</f>
        <v>41729</v>
      </c>
      <c r="S5" s="37">
        <f>Timing!S5</f>
        <v>41820</v>
      </c>
      <c r="T5" s="37">
        <f>Timing!T5</f>
        <v>41912</v>
      </c>
      <c r="U5" s="37">
        <f>Timing!U5</f>
        <v>42004</v>
      </c>
      <c r="V5" s="37">
        <f>Timing!V5</f>
        <v>42094</v>
      </c>
      <c r="W5" s="37">
        <f>Timing!W5</f>
        <v>42185</v>
      </c>
      <c r="X5" s="37">
        <f>Timing!X5</f>
        <v>42277</v>
      </c>
      <c r="Y5" s="37">
        <f>Timing!Y5</f>
        <v>42369</v>
      </c>
      <c r="Z5" s="37">
        <f>Timing!Z5</f>
        <v>42460</v>
      </c>
      <c r="AA5" s="37">
        <f>Timing!AA5</f>
        <v>42551</v>
      </c>
      <c r="AB5" s="37">
        <f>Timing!AB5</f>
        <v>42643</v>
      </c>
      <c r="AC5" s="37">
        <f>Timing!AC5</f>
        <v>42735</v>
      </c>
      <c r="AD5" s="37">
        <f>Timing!AD5</f>
        <v>42825</v>
      </c>
      <c r="AE5" s="37">
        <f>Timing!AE5</f>
        <v>42916</v>
      </c>
      <c r="AF5" s="37">
        <f>Timing!AF5</f>
        <v>43008</v>
      </c>
      <c r="AG5" s="37">
        <f>Timing!AG5</f>
        <v>43100</v>
      </c>
      <c r="AH5" s="37">
        <f>Timing!AH5</f>
        <v>43190</v>
      </c>
      <c r="AI5" s="37">
        <f>Timing!AI5</f>
        <v>43281</v>
      </c>
      <c r="AJ5" s="37">
        <f>Timing!AJ5</f>
        <v>43373</v>
      </c>
      <c r="AK5" s="37">
        <f>Timing!AK5</f>
        <v>43465</v>
      </c>
      <c r="AL5" s="37">
        <f>Timing!AL5</f>
        <v>43555</v>
      </c>
      <c r="AM5" s="37">
        <f>Timing!AM5</f>
        <v>43646</v>
      </c>
      <c r="AN5" s="37">
        <f>Timing!AN5</f>
        <v>43738</v>
      </c>
      <c r="AO5" s="37">
        <f>Timing!AO5</f>
        <v>43830</v>
      </c>
      <c r="AP5" s="37">
        <f>Timing!AP5</f>
        <v>43921</v>
      </c>
      <c r="AQ5" s="37">
        <f>Timing!AQ5</f>
        <v>44012</v>
      </c>
      <c r="AR5" s="37">
        <f>Timing!AR5</f>
        <v>44104</v>
      </c>
      <c r="AS5" s="37">
        <f>Timing!AS5</f>
        <v>44196</v>
      </c>
      <c r="AT5" s="37">
        <f>Timing!AT5</f>
        <v>44286</v>
      </c>
      <c r="AU5" s="37">
        <f>Timing!AU5</f>
        <v>44377</v>
      </c>
      <c r="AV5" s="37">
        <f>Timing!AV5</f>
        <v>44469</v>
      </c>
      <c r="AW5" s="37">
        <f>Timing!AW5</f>
        <v>44561</v>
      </c>
      <c r="AX5" s="37">
        <f>Timing!AX5</f>
        <v>44651</v>
      </c>
      <c r="AY5" s="37">
        <f>Timing!AY5</f>
        <v>44742</v>
      </c>
      <c r="AZ5" s="37">
        <f>Timing!AZ5</f>
        <v>44834</v>
      </c>
      <c r="BA5" s="37">
        <f>Timing!BA5</f>
        <v>44926</v>
      </c>
      <c r="BB5" s="37">
        <f>Timing!BB5</f>
        <v>45016</v>
      </c>
      <c r="BC5" s="37">
        <f>Timing!BC5</f>
        <v>45107</v>
      </c>
      <c r="BD5" s="37">
        <f>Timing!BD5</f>
        <v>45199</v>
      </c>
      <c r="BE5" s="37">
        <f>Timing!BE5</f>
        <v>45291</v>
      </c>
      <c r="BF5" s="37">
        <f>Timing!BF5</f>
        <v>45382</v>
      </c>
      <c r="BG5" s="37">
        <f>Timing!BG5</f>
        <v>45473</v>
      </c>
      <c r="BH5" s="37">
        <f>Timing!BH5</f>
        <v>45565</v>
      </c>
      <c r="BI5" s="37">
        <f>Timing!BI5</f>
        <v>45657</v>
      </c>
    </row>
    <row r="6" spans="1:61">
      <c r="A6" t="str">
        <f>Timing!A6</f>
        <v>Construction</v>
      </c>
      <c r="J6" s="39">
        <f>Timing!J6</f>
        <v>1</v>
      </c>
      <c r="K6" s="39">
        <f>Timing!K6</f>
        <v>1</v>
      </c>
      <c r="L6" s="39">
        <f>Timing!L6</f>
        <v>1</v>
      </c>
      <c r="M6" s="39">
        <f>Timing!M6</f>
        <v>1</v>
      </c>
      <c r="N6" s="39">
        <f>Timing!N6</f>
        <v>1</v>
      </c>
      <c r="O6" s="39">
        <f>Timing!O6</f>
        <v>1</v>
      </c>
      <c r="P6" s="39">
        <f>Timing!P6</f>
        <v>1</v>
      </c>
      <c r="Q6" s="39">
        <f>Timing!Q6</f>
        <v>1</v>
      </c>
      <c r="R6" s="39">
        <f>Timing!R6</f>
        <v>0</v>
      </c>
      <c r="S6" s="39">
        <f>Timing!S6</f>
        <v>0</v>
      </c>
      <c r="T6" s="39">
        <f>Timing!T6</f>
        <v>0</v>
      </c>
      <c r="U6" s="39">
        <f>Timing!U6</f>
        <v>0</v>
      </c>
      <c r="V6" s="39">
        <f>Timing!V6</f>
        <v>0</v>
      </c>
      <c r="W6" s="39">
        <f>Timing!W6</f>
        <v>0</v>
      </c>
      <c r="X6" s="39">
        <f>Timing!X6</f>
        <v>0</v>
      </c>
      <c r="Y6" s="39">
        <f>Timing!Y6</f>
        <v>0</v>
      </c>
      <c r="Z6" s="39">
        <f>Timing!Z6</f>
        <v>0</v>
      </c>
      <c r="AA6" s="39">
        <f>Timing!AA6</f>
        <v>0</v>
      </c>
      <c r="AB6" s="39">
        <f>Timing!AB6</f>
        <v>0</v>
      </c>
      <c r="AC6" s="39">
        <f>Timing!AC6</f>
        <v>0</v>
      </c>
      <c r="AD6" s="39">
        <f>Timing!AD6</f>
        <v>0</v>
      </c>
      <c r="AE6" s="39">
        <f>Timing!AE6</f>
        <v>0</v>
      </c>
      <c r="AF6" s="39">
        <f>Timing!AF6</f>
        <v>0</v>
      </c>
      <c r="AG6" s="39">
        <f>Timing!AG6</f>
        <v>0</v>
      </c>
      <c r="AH6" s="39">
        <f>Timing!AH6</f>
        <v>0</v>
      </c>
      <c r="AI6" s="39">
        <f>Timing!AI6</f>
        <v>0</v>
      </c>
      <c r="AJ6" s="39">
        <f>Timing!AJ6</f>
        <v>0</v>
      </c>
      <c r="AK6" s="39">
        <f>Timing!AK6</f>
        <v>0</v>
      </c>
      <c r="AL6" s="39">
        <f>Timing!AL6</f>
        <v>0</v>
      </c>
      <c r="AM6" s="39">
        <f>Timing!AM6</f>
        <v>0</v>
      </c>
      <c r="AN6" s="39">
        <f>Timing!AN6</f>
        <v>0</v>
      </c>
      <c r="AO6" s="39">
        <f>Timing!AO6</f>
        <v>0</v>
      </c>
      <c r="AP6" s="39">
        <f>Timing!AP6</f>
        <v>0</v>
      </c>
      <c r="AQ6" s="39">
        <f>Timing!AQ6</f>
        <v>0</v>
      </c>
      <c r="AR6" s="39">
        <f>Timing!AR6</f>
        <v>0</v>
      </c>
      <c r="AS6" s="39">
        <f>Timing!AS6</f>
        <v>0</v>
      </c>
      <c r="AT6" s="39">
        <f>Timing!AT6</f>
        <v>0</v>
      </c>
      <c r="AU6" s="39">
        <f>Timing!AU6</f>
        <v>0</v>
      </c>
      <c r="AV6" s="39">
        <f>Timing!AV6</f>
        <v>0</v>
      </c>
      <c r="AW6" s="39">
        <f>Timing!AW6</f>
        <v>0</v>
      </c>
      <c r="AX6" s="39">
        <f>Timing!AX6</f>
        <v>0</v>
      </c>
      <c r="AY6" s="39">
        <f>Timing!AY6</f>
        <v>0</v>
      </c>
      <c r="AZ6" s="39">
        <f>Timing!AZ6</f>
        <v>0</v>
      </c>
      <c r="BA6" s="39">
        <f>Timing!BA6</f>
        <v>0</v>
      </c>
      <c r="BB6" s="39">
        <f>Timing!BB6</f>
        <v>0</v>
      </c>
      <c r="BC6" s="39">
        <f>Timing!BC6</f>
        <v>0</v>
      </c>
      <c r="BD6" s="39">
        <f>Timing!BD6</f>
        <v>0</v>
      </c>
      <c r="BE6" s="39">
        <f>Timing!BE6</f>
        <v>0</v>
      </c>
      <c r="BF6" s="39">
        <f>Timing!BF6</f>
        <v>0</v>
      </c>
      <c r="BG6" s="39">
        <f>Timing!BG6</f>
        <v>0</v>
      </c>
      <c r="BH6" s="39">
        <f>Timing!BH6</f>
        <v>0</v>
      </c>
      <c r="BI6" s="39">
        <f>Timing!BI6</f>
        <v>0</v>
      </c>
    </row>
    <row r="7" spans="1:61">
      <c r="A7" t="str">
        <f>Timing!A7</f>
        <v>Operations</v>
      </c>
      <c r="J7" s="39">
        <f>Timing!J7</f>
        <v>0</v>
      </c>
      <c r="K7" s="39">
        <f>Timing!K7</f>
        <v>0</v>
      </c>
      <c r="L7" s="39">
        <f>Timing!L7</f>
        <v>0</v>
      </c>
      <c r="M7" s="39">
        <f>Timing!M7</f>
        <v>0</v>
      </c>
      <c r="N7" s="39">
        <f>Timing!N7</f>
        <v>0</v>
      </c>
      <c r="O7" s="39">
        <f>Timing!O7</f>
        <v>0</v>
      </c>
      <c r="P7" s="39">
        <f>Timing!P7</f>
        <v>0</v>
      </c>
      <c r="Q7" s="39">
        <f>Timing!Q7</f>
        <v>0</v>
      </c>
      <c r="R7" s="39">
        <f>Timing!R7</f>
        <v>1</v>
      </c>
      <c r="S7" s="39">
        <f>Timing!S7</f>
        <v>1</v>
      </c>
      <c r="T7" s="39">
        <f>Timing!T7</f>
        <v>1</v>
      </c>
      <c r="U7" s="39">
        <f>Timing!U7</f>
        <v>1</v>
      </c>
      <c r="V7" s="39">
        <f>Timing!V7</f>
        <v>1</v>
      </c>
      <c r="W7" s="39">
        <f>Timing!W7</f>
        <v>1</v>
      </c>
      <c r="X7" s="39">
        <f>Timing!X7</f>
        <v>1</v>
      </c>
      <c r="Y7" s="39">
        <f>Timing!Y7</f>
        <v>1</v>
      </c>
      <c r="Z7" s="39">
        <f>Timing!Z7</f>
        <v>1</v>
      </c>
      <c r="AA7" s="39">
        <f>Timing!AA7</f>
        <v>1</v>
      </c>
      <c r="AB7" s="39">
        <f>Timing!AB7</f>
        <v>1</v>
      </c>
      <c r="AC7" s="39">
        <f>Timing!AC7</f>
        <v>1</v>
      </c>
      <c r="AD7" s="39">
        <f>Timing!AD7</f>
        <v>1</v>
      </c>
      <c r="AE7" s="39">
        <f>Timing!AE7</f>
        <v>1</v>
      </c>
      <c r="AF7" s="39">
        <f>Timing!AF7</f>
        <v>1</v>
      </c>
      <c r="AG7" s="39">
        <f>Timing!AG7</f>
        <v>1</v>
      </c>
      <c r="AH7" s="39">
        <f>Timing!AH7</f>
        <v>1</v>
      </c>
      <c r="AI7" s="39">
        <f>Timing!AI7</f>
        <v>1</v>
      </c>
      <c r="AJ7" s="39">
        <f>Timing!AJ7</f>
        <v>1</v>
      </c>
      <c r="AK7" s="39">
        <f>Timing!AK7</f>
        <v>1</v>
      </c>
      <c r="AL7" s="39">
        <f>Timing!AL7</f>
        <v>1</v>
      </c>
      <c r="AM7" s="39">
        <f>Timing!AM7</f>
        <v>1</v>
      </c>
      <c r="AN7" s="39">
        <f>Timing!AN7</f>
        <v>1</v>
      </c>
      <c r="AO7" s="39">
        <f>Timing!AO7</f>
        <v>1</v>
      </c>
      <c r="AP7" s="39">
        <f>Timing!AP7</f>
        <v>1</v>
      </c>
      <c r="AQ7" s="39">
        <f>Timing!AQ7</f>
        <v>1</v>
      </c>
      <c r="AR7" s="39">
        <f>Timing!AR7</f>
        <v>1</v>
      </c>
      <c r="AS7" s="39">
        <f>Timing!AS7</f>
        <v>1</v>
      </c>
      <c r="AT7" s="39">
        <f>Timing!AT7</f>
        <v>1</v>
      </c>
      <c r="AU7" s="39">
        <f>Timing!AU7</f>
        <v>1</v>
      </c>
      <c r="AV7" s="39">
        <f>Timing!AV7</f>
        <v>1</v>
      </c>
      <c r="AW7" s="39">
        <f>Timing!AW7</f>
        <v>1</v>
      </c>
      <c r="AX7" s="39">
        <f>Timing!AX7</f>
        <v>1</v>
      </c>
      <c r="AY7" s="39">
        <f>Timing!AY7</f>
        <v>1</v>
      </c>
      <c r="AZ7" s="39">
        <f>Timing!AZ7</f>
        <v>1</v>
      </c>
      <c r="BA7" s="39">
        <f>Timing!BA7</f>
        <v>1</v>
      </c>
      <c r="BB7" s="39">
        <f>Timing!BB7</f>
        <v>1</v>
      </c>
      <c r="BC7" s="39">
        <f>Timing!BC7</f>
        <v>1</v>
      </c>
      <c r="BD7" s="39">
        <f>Timing!BD7</f>
        <v>1</v>
      </c>
      <c r="BE7" s="39">
        <f>Timing!BE7</f>
        <v>1</v>
      </c>
      <c r="BF7" s="39">
        <f>Timing!BF7</f>
        <v>0</v>
      </c>
      <c r="BG7" s="39">
        <f>Timing!BG7</f>
        <v>0</v>
      </c>
      <c r="BH7" s="39">
        <f>Timing!BH7</f>
        <v>0</v>
      </c>
      <c r="BI7" s="39">
        <f>Timing!BI7</f>
        <v>0</v>
      </c>
    </row>
    <row r="9" spans="1:61" ht="20.25">
      <c r="C9" s="7" t="s">
        <v>12</v>
      </c>
    </row>
    <row r="10" spans="1:61" outlineLevel="1">
      <c r="C10" t="s">
        <v>13</v>
      </c>
      <c r="J10">
        <f>YEAR((J5))</f>
        <v>2012</v>
      </c>
      <c r="K10">
        <f t="shared" ref="K10:BI10" si="0">YEAR((K5))</f>
        <v>2012</v>
      </c>
      <c r="L10">
        <f t="shared" si="0"/>
        <v>2012</v>
      </c>
      <c r="M10">
        <f t="shared" si="0"/>
        <v>2012</v>
      </c>
      <c r="N10">
        <f t="shared" si="0"/>
        <v>2013</v>
      </c>
      <c r="O10">
        <f t="shared" si="0"/>
        <v>2013</v>
      </c>
      <c r="P10">
        <f t="shared" si="0"/>
        <v>2013</v>
      </c>
      <c r="Q10">
        <f t="shared" si="0"/>
        <v>2013</v>
      </c>
      <c r="R10">
        <f t="shared" si="0"/>
        <v>2014</v>
      </c>
      <c r="S10">
        <f t="shared" si="0"/>
        <v>2014</v>
      </c>
      <c r="T10">
        <f t="shared" si="0"/>
        <v>2014</v>
      </c>
      <c r="U10">
        <f t="shared" si="0"/>
        <v>2014</v>
      </c>
      <c r="V10">
        <f t="shared" si="0"/>
        <v>2015</v>
      </c>
      <c r="W10">
        <f t="shared" si="0"/>
        <v>2015</v>
      </c>
      <c r="X10">
        <f t="shared" si="0"/>
        <v>2015</v>
      </c>
      <c r="Y10">
        <f t="shared" si="0"/>
        <v>2015</v>
      </c>
      <c r="Z10">
        <f t="shared" si="0"/>
        <v>2016</v>
      </c>
      <c r="AA10">
        <f t="shared" si="0"/>
        <v>2016</v>
      </c>
      <c r="AB10">
        <f t="shared" si="0"/>
        <v>2016</v>
      </c>
      <c r="AC10">
        <f t="shared" si="0"/>
        <v>2016</v>
      </c>
      <c r="AD10">
        <f t="shared" si="0"/>
        <v>2017</v>
      </c>
      <c r="AE10">
        <f t="shared" si="0"/>
        <v>2017</v>
      </c>
      <c r="AF10">
        <f t="shared" si="0"/>
        <v>2017</v>
      </c>
      <c r="AG10">
        <f t="shared" si="0"/>
        <v>2017</v>
      </c>
      <c r="AH10">
        <f t="shared" si="0"/>
        <v>2018</v>
      </c>
      <c r="AI10">
        <f t="shared" si="0"/>
        <v>2018</v>
      </c>
      <c r="AJ10">
        <f t="shared" si="0"/>
        <v>2018</v>
      </c>
      <c r="AK10">
        <f t="shared" si="0"/>
        <v>2018</v>
      </c>
      <c r="AL10">
        <f t="shared" si="0"/>
        <v>2019</v>
      </c>
      <c r="AM10">
        <f t="shared" si="0"/>
        <v>2019</v>
      </c>
      <c r="AN10">
        <f t="shared" si="0"/>
        <v>2019</v>
      </c>
      <c r="AO10">
        <f t="shared" si="0"/>
        <v>2019</v>
      </c>
      <c r="AP10">
        <f t="shared" si="0"/>
        <v>2020</v>
      </c>
      <c r="AQ10">
        <f t="shared" si="0"/>
        <v>2020</v>
      </c>
      <c r="AR10">
        <f t="shared" si="0"/>
        <v>2020</v>
      </c>
      <c r="AS10">
        <f t="shared" si="0"/>
        <v>2020</v>
      </c>
      <c r="AT10">
        <f t="shared" si="0"/>
        <v>2021</v>
      </c>
      <c r="AU10">
        <f t="shared" si="0"/>
        <v>2021</v>
      </c>
      <c r="AV10">
        <f t="shared" si="0"/>
        <v>2021</v>
      </c>
      <c r="AW10">
        <f t="shared" si="0"/>
        <v>2021</v>
      </c>
      <c r="AX10">
        <f t="shared" si="0"/>
        <v>2022</v>
      </c>
      <c r="AY10">
        <f t="shared" si="0"/>
        <v>2022</v>
      </c>
      <c r="AZ10">
        <f t="shared" si="0"/>
        <v>2022</v>
      </c>
      <c r="BA10">
        <f t="shared" si="0"/>
        <v>2022</v>
      </c>
      <c r="BB10">
        <f t="shared" si="0"/>
        <v>2023</v>
      </c>
      <c r="BC10">
        <f t="shared" si="0"/>
        <v>2023</v>
      </c>
      <c r="BD10">
        <f t="shared" si="0"/>
        <v>2023</v>
      </c>
      <c r="BE10">
        <f t="shared" si="0"/>
        <v>2023</v>
      </c>
      <c r="BF10">
        <f t="shared" si="0"/>
        <v>2024</v>
      </c>
      <c r="BG10">
        <f t="shared" si="0"/>
        <v>2024</v>
      </c>
      <c r="BH10">
        <f t="shared" si="0"/>
        <v>2024</v>
      </c>
      <c r="BI10">
        <f t="shared" si="0"/>
        <v>2024</v>
      </c>
    </row>
    <row r="11" spans="1:61" outlineLevel="1"/>
    <row r="12" spans="1:61" ht="20.25">
      <c r="C12" s="7" t="s">
        <v>14</v>
      </c>
    </row>
    <row r="13" spans="1:61" ht="15" outlineLevel="1">
      <c r="C13" s="4" t="s">
        <v>15</v>
      </c>
    </row>
    <row r="14" spans="1:61" outlineLevel="1">
      <c r="C14" t="s">
        <v>16</v>
      </c>
      <c r="I14" s="46">
        <f t="shared" ref="I14" si="1">SUM(J14:BI14)</f>
        <v>155327192.37709782</v>
      </c>
      <c r="J14" s="21">
        <f>Ops!J19</f>
        <v>0</v>
      </c>
      <c r="K14" s="21">
        <f>Ops!K19</f>
        <v>0</v>
      </c>
      <c r="L14" s="21">
        <f>Ops!L19</f>
        <v>0</v>
      </c>
      <c r="M14" s="21">
        <f>Ops!M19</f>
        <v>0</v>
      </c>
      <c r="N14" s="21">
        <f>Ops!N19</f>
        <v>0</v>
      </c>
      <c r="O14" s="21">
        <f>Ops!O19</f>
        <v>0</v>
      </c>
      <c r="P14" s="21">
        <f>Ops!P19</f>
        <v>0</v>
      </c>
      <c r="Q14" s="21">
        <f>Ops!Q19</f>
        <v>0</v>
      </c>
      <c r="R14" s="21">
        <f>Ops!R19</f>
        <v>3737500</v>
      </c>
      <c r="S14" s="21">
        <f>Ops!S19</f>
        <v>3737500</v>
      </c>
      <c r="T14" s="21">
        <f>Ops!T19</f>
        <v>3737500</v>
      </c>
      <c r="U14" s="21">
        <f>Ops!U19</f>
        <v>3737500</v>
      </c>
      <c r="V14" s="21">
        <f>Ops!V19</f>
        <v>3737500</v>
      </c>
      <c r="W14" s="21">
        <f>Ops!W19</f>
        <v>3737500</v>
      </c>
      <c r="X14" s="21">
        <f>Ops!X19</f>
        <v>3737500</v>
      </c>
      <c r="Y14" s="21">
        <f>Ops!Y19</f>
        <v>3737500</v>
      </c>
      <c r="Z14" s="21">
        <f>Ops!Z19</f>
        <v>3737500</v>
      </c>
      <c r="AA14" s="21">
        <f>Ops!AA19</f>
        <v>3737500</v>
      </c>
      <c r="AB14" s="21">
        <f>Ops!AB19</f>
        <v>3737500</v>
      </c>
      <c r="AC14" s="21">
        <f>Ops!AC19</f>
        <v>3737500</v>
      </c>
      <c r="AD14" s="21">
        <f>Ops!AD19</f>
        <v>3737500</v>
      </c>
      <c r="AE14" s="21">
        <f>Ops!AE19</f>
        <v>3737500</v>
      </c>
      <c r="AF14" s="21">
        <f>Ops!AF19</f>
        <v>3737500</v>
      </c>
      <c r="AG14" s="21">
        <f>Ops!AG19</f>
        <v>3737500</v>
      </c>
      <c r="AH14" s="21">
        <f>Ops!AH19</f>
        <v>3756187.4999999995</v>
      </c>
      <c r="AI14" s="21">
        <f>Ops!AI19</f>
        <v>3774968.4374999991</v>
      </c>
      <c r="AJ14" s="21">
        <f>Ops!AJ19</f>
        <v>3793843.2796874987</v>
      </c>
      <c r="AK14" s="21">
        <f>Ops!AK19</f>
        <v>3812812.4960859362</v>
      </c>
      <c r="AL14" s="21">
        <f>Ops!AL19</f>
        <v>3831876.5585663654</v>
      </c>
      <c r="AM14" s="21">
        <f>Ops!AM19</f>
        <v>3851035.9413591968</v>
      </c>
      <c r="AN14" s="21">
        <f>Ops!AN19</f>
        <v>3870291.1210659924</v>
      </c>
      <c r="AO14" s="21">
        <f>Ops!AO19</f>
        <v>3889642.5766713219</v>
      </c>
      <c r="AP14" s="21">
        <f>Ops!AP19</f>
        <v>3909090.7895546779</v>
      </c>
      <c r="AQ14" s="21">
        <f>Ops!AQ19</f>
        <v>3928636.2435024516</v>
      </c>
      <c r="AR14" s="21">
        <f>Ops!AR19</f>
        <v>3948279.4247199637</v>
      </c>
      <c r="AS14" s="21">
        <f>Ops!AS19</f>
        <v>3968020.8218435626</v>
      </c>
      <c r="AT14" s="21">
        <f>Ops!AT19</f>
        <v>3987860.9259527801</v>
      </c>
      <c r="AU14" s="21">
        <f>Ops!AU19</f>
        <v>4007800.2305825436</v>
      </c>
      <c r="AV14" s="21">
        <f>Ops!AV19</f>
        <v>4027839.2317354558</v>
      </c>
      <c r="AW14" s="21">
        <f>Ops!AW19</f>
        <v>4047978.4278941327</v>
      </c>
      <c r="AX14" s="21">
        <f>Ops!AX19</f>
        <v>4068218.3200336033</v>
      </c>
      <c r="AY14" s="21">
        <f>Ops!AY19</f>
        <v>4088559.4116337709</v>
      </c>
      <c r="AZ14" s="21">
        <f>Ops!AZ19</f>
        <v>4109002.2086919392</v>
      </c>
      <c r="BA14" s="21">
        <f>Ops!BA19</f>
        <v>4129547.2197353984</v>
      </c>
      <c r="BB14" s="21">
        <f>Ops!BB19</f>
        <v>4150194.9558340749</v>
      </c>
      <c r="BC14" s="21">
        <f>Ops!BC19</f>
        <v>4170945.9306132444</v>
      </c>
      <c r="BD14" s="21">
        <f>Ops!BD19</f>
        <v>4191800.6602663104</v>
      </c>
      <c r="BE14" s="21">
        <f>Ops!BE19</f>
        <v>4212759.6635676417</v>
      </c>
      <c r="BF14" s="21">
        <f>Ops!BF19</f>
        <v>0</v>
      </c>
      <c r="BG14" s="21">
        <f>Ops!BG19</f>
        <v>0</v>
      </c>
      <c r="BH14" s="21">
        <f>Ops!BH19</f>
        <v>0</v>
      </c>
      <c r="BI14" s="21">
        <f>Ops!BI19</f>
        <v>0</v>
      </c>
    </row>
    <row r="15" spans="1:61" outlineLevel="1"/>
    <row r="16" spans="1:61" ht="15" outlineLevel="1">
      <c r="C16" s="4" t="s">
        <v>17</v>
      </c>
    </row>
    <row r="17" spans="3:61" outlineLevel="1">
      <c r="C17" t="s">
        <v>18</v>
      </c>
      <c r="I17" s="46">
        <f t="shared" ref="I17:I19" si="2">SUM(J17:BI17)</f>
        <v>-70.846774144889082</v>
      </c>
      <c r="J17" s="21">
        <f>-Ops!J43</f>
        <v>0</v>
      </c>
      <c r="K17" s="21">
        <f>-Ops!K43</f>
        <v>0</v>
      </c>
      <c r="L17" s="21">
        <f>-Ops!L43</f>
        <v>0</v>
      </c>
      <c r="M17" s="21">
        <f>-Ops!M43</f>
        <v>0</v>
      </c>
      <c r="N17" s="21">
        <f>-Ops!N43</f>
        <v>0</v>
      </c>
      <c r="O17" s="21">
        <f>-Ops!O43</f>
        <v>0</v>
      </c>
      <c r="P17" s="21">
        <f>-Ops!P43</f>
        <v>0</v>
      </c>
      <c r="Q17" s="21">
        <f>-Ops!Q43</f>
        <v>0</v>
      </c>
      <c r="R17" s="21">
        <f>-Ops!R43</f>
        <v>-1.5449999999999999</v>
      </c>
      <c r="S17" s="21">
        <f>-Ops!S43</f>
        <v>-1.5449999999999999</v>
      </c>
      <c r="T17" s="21">
        <f>-Ops!T43</f>
        <v>-1.5449999999999999</v>
      </c>
      <c r="U17" s="21">
        <f>-Ops!U43</f>
        <v>-1.5449999999999999</v>
      </c>
      <c r="V17" s="21">
        <f>-Ops!V43</f>
        <v>-1.5913499999999998</v>
      </c>
      <c r="W17" s="21">
        <f>-Ops!W43</f>
        <v>-1.5913499999999998</v>
      </c>
      <c r="X17" s="21">
        <f>-Ops!X43</f>
        <v>-1.5913499999999998</v>
      </c>
      <c r="Y17" s="21">
        <f>-Ops!Y43</f>
        <v>-1.5913499999999998</v>
      </c>
      <c r="Z17" s="21">
        <f>-Ops!Z43</f>
        <v>-1.6390905</v>
      </c>
      <c r="AA17" s="21">
        <f>-Ops!AA43</f>
        <v>-1.6390905</v>
      </c>
      <c r="AB17" s="21">
        <f>-Ops!AB43</f>
        <v>-1.6390905</v>
      </c>
      <c r="AC17" s="21">
        <f>-Ops!AC43</f>
        <v>-1.6390905</v>
      </c>
      <c r="AD17" s="21">
        <f>-Ops!AD43</f>
        <v>-1.6882632150000001</v>
      </c>
      <c r="AE17" s="21">
        <f>-Ops!AE43</f>
        <v>-1.6882632150000001</v>
      </c>
      <c r="AF17" s="21">
        <f>-Ops!AF43</f>
        <v>-1.6882632150000001</v>
      </c>
      <c r="AG17" s="21">
        <f>-Ops!AG43</f>
        <v>-1.6882632150000001</v>
      </c>
      <c r="AH17" s="21">
        <f>-Ops!AH43</f>
        <v>-1.7389111114500002</v>
      </c>
      <c r="AI17" s="21">
        <f>-Ops!AI43</f>
        <v>-1.7389111114500002</v>
      </c>
      <c r="AJ17" s="21">
        <f>-Ops!AJ43</f>
        <v>-1.7389111114500002</v>
      </c>
      <c r="AK17" s="21">
        <f>-Ops!AK43</f>
        <v>-1.7389111114500002</v>
      </c>
      <c r="AL17" s="21">
        <f>-Ops!AL43</f>
        <v>-1.7910784447935002</v>
      </c>
      <c r="AM17" s="21">
        <f>-Ops!AM43</f>
        <v>-1.7910784447935002</v>
      </c>
      <c r="AN17" s="21">
        <f>-Ops!AN43</f>
        <v>-1.7910784447935002</v>
      </c>
      <c r="AO17" s="21">
        <f>-Ops!AO43</f>
        <v>-1.7910784447935002</v>
      </c>
      <c r="AP17" s="21">
        <f>-Ops!AP43</f>
        <v>-1.8448107981373054</v>
      </c>
      <c r="AQ17" s="21">
        <f>-Ops!AQ43</f>
        <v>-1.8448107981373054</v>
      </c>
      <c r="AR17" s="21">
        <f>-Ops!AR43</f>
        <v>-1.8448107981373054</v>
      </c>
      <c r="AS17" s="21">
        <f>-Ops!AS43</f>
        <v>-1.8448107981373054</v>
      </c>
      <c r="AT17" s="21">
        <f>-Ops!AT43</f>
        <v>-1.9001551220814246</v>
      </c>
      <c r="AU17" s="21">
        <f>-Ops!AU43</f>
        <v>-1.9001551220814246</v>
      </c>
      <c r="AV17" s="21">
        <f>-Ops!AV43</f>
        <v>-1.9001551220814246</v>
      </c>
      <c r="AW17" s="21">
        <f>-Ops!AW43</f>
        <v>-1.9001551220814246</v>
      </c>
      <c r="AX17" s="21">
        <f>-Ops!AX43</f>
        <v>-1.9571597757438672</v>
      </c>
      <c r="AY17" s="21">
        <f>-Ops!AY43</f>
        <v>-1.9571597757438672</v>
      </c>
      <c r="AZ17" s="21">
        <f>-Ops!AZ43</f>
        <v>-1.9571597757438672</v>
      </c>
      <c r="BA17" s="21">
        <f>-Ops!BA43</f>
        <v>-1.9571597757438672</v>
      </c>
      <c r="BB17" s="21">
        <f>-Ops!BB43</f>
        <v>-2.0158745690161832</v>
      </c>
      <c r="BC17" s="21">
        <f>-Ops!BC43</f>
        <v>-2.0158745690161832</v>
      </c>
      <c r="BD17" s="21">
        <f>-Ops!BD43</f>
        <v>-2.0158745690161832</v>
      </c>
      <c r="BE17" s="21">
        <f>-Ops!BE43</f>
        <v>-2.0158745690161832</v>
      </c>
      <c r="BF17" s="21">
        <f>-Ops!BF43</f>
        <v>0</v>
      </c>
      <c r="BG17" s="21">
        <f>-Ops!BG43</f>
        <v>0</v>
      </c>
      <c r="BH17" s="21">
        <f>-Ops!BH43</f>
        <v>0</v>
      </c>
      <c r="BI17" s="21">
        <f>-Ops!BI43</f>
        <v>0</v>
      </c>
    </row>
    <row r="18" spans="3:61" outlineLevel="1">
      <c r="C18" t="s">
        <v>19</v>
      </c>
      <c r="I18" s="46">
        <f t="shared" si="2"/>
        <v>0</v>
      </c>
      <c r="J18" s="21">
        <f>-Ops!J44</f>
        <v>0</v>
      </c>
      <c r="K18" s="21">
        <f>-Ops!K44</f>
        <v>0</v>
      </c>
      <c r="L18" s="21">
        <f>-Ops!L44</f>
        <v>0</v>
      </c>
      <c r="M18" s="21">
        <f>-Ops!M44</f>
        <v>0</v>
      </c>
      <c r="N18" s="21">
        <f>-Ops!N44</f>
        <v>0</v>
      </c>
      <c r="O18" s="21">
        <f>-Ops!O44</f>
        <v>0</v>
      </c>
      <c r="P18" s="21">
        <f>-Ops!P44</f>
        <v>0</v>
      </c>
      <c r="Q18" s="21">
        <f>-Ops!Q44</f>
        <v>0</v>
      </c>
      <c r="R18" s="21">
        <f>-Ops!R44</f>
        <v>0</v>
      </c>
      <c r="S18" s="21">
        <f>-Ops!S44</f>
        <v>0</v>
      </c>
      <c r="T18" s="21">
        <f>-Ops!T44</f>
        <v>0</v>
      </c>
      <c r="U18" s="21">
        <f>-Ops!U44</f>
        <v>0</v>
      </c>
      <c r="V18" s="21">
        <f>-Ops!V44</f>
        <v>0</v>
      </c>
      <c r="W18" s="21">
        <f>-Ops!W44</f>
        <v>0</v>
      </c>
      <c r="X18" s="21">
        <f>-Ops!X44</f>
        <v>0</v>
      </c>
      <c r="Y18" s="21">
        <f>-Ops!Y44</f>
        <v>0</v>
      </c>
      <c r="Z18" s="21">
        <f>-Ops!Z44</f>
        <v>0</v>
      </c>
      <c r="AA18" s="21">
        <f>-Ops!AA44</f>
        <v>0</v>
      </c>
      <c r="AB18" s="21">
        <f>-Ops!AB44</f>
        <v>0</v>
      </c>
      <c r="AC18" s="21">
        <f>-Ops!AC44</f>
        <v>0</v>
      </c>
      <c r="AD18" s="21">
        <f>-Ops!AD44</f>
        <v>0</v>
      </c>
      <c r="AE18" s="21">
        <f>-Ops!AE44</f>
        <v>0</v>
      </c>
      <c r="AF18" s="21">
        <f>-Ops!AF44</f>
        <v>0</v>
      </c>
      <c r="AG18" s="21">
        <f>-Ops!AG44</f>
        <v>0</v>
      </c>
      <c r="AH18" s="21">
        <f>-Ops!AH44</f>
        <v>0</v>
      </c>
      <c r="AI18" s="21">
        <f>-Ops!AI44</f>
        <v>0</v>
      </c>
      <c r="AJ18" s="21">
        <f>-Ops!AJ44</f>
        <v>0</v>
      </c>
      <c r="AK18" s="21">
        <f>-Ops!AK44</f>
        <v>0</v>
      </c>
      <c r="AL18" s="21">
        <f>-Ops!AL44</f>
        <v>0</v>
      </c>
      <c r="AM18" s="21">
        <f>-Ops!AM44</f>
        <v>0</v>
      </c>
      <c r="AN18" s="21">
        <f>-Ops!AN44</f>
        <v>0</v>
      </c>
      <c r="AO18" s="21">
        <f>-Ops!AO44</f>
        <v>0</v>
      </c>
      <c r="AP18" s="21">
        <f>-Ops!AP44</f>
        <v>0</v>
      </c>
      <c r="AQ18" s="21">
        <f>-Ops!AQ44</f>
        <v>0</v>
      </c>
      <c r="AR18" s="21">
        <f>-Ops!AR44</f>
        <v>0</v>
      </c>
      <c r="AS18" s="21">
        <f>-Ops!AS44</f>
        <v>0</v>
      </c>
      <c r="AT18" s="21">
        <f>-Ops!AT44</f>
        <v>0</v>
      </c>
      <c r="AU18" s="21">
        <f>-Ops!AU44</f>
        <v>0</v>
      </c>
      <c r="AV18" s="21">
        <f>-Ops!AV44</f>
        <v>0</v>
      </c>
      <c r="AW18" s="21">
        <f>-Ops!AW44</f>
        <v>0</v>
      </c>
      <c r="AX18" s="21">
        <f>-Ops!AX44</f>
        <v>0</v>
      </c>
      <c r="AY18" s="21">
        <f>-Ops!AY44</f>
        <v>0</v>
      </c>
      <c r="AZ18" s="21">
        <f>-Ops!AZ44</f>
        <v>0</v>
      </c>
      <c r="BA18" s="21">
        <f>-Ops!BA44</f>
        <v>0</v>
      </c>
      <c r="BB18" s="21">
        <f>-Ops!BB44</f>
        <v>0</v>
      </c>
      <c r="BC18" s="21">
        <f>-Ops!BC44</f>
        <v>0</v>
      </c>
      <c r="BD18" s="21">
        <f>-Ops!BD44</f>
        <v>0</v>
      </c>
      <c r="BE18" s="21">
        <f>-Ops!BE44</f>
        <v>0</v>
      </c>
      <c r="BF18" s="21">
        <f>-Ops!BF44</f>
        <v>0</v>
      </c>
      <c r="BG18" s="21">
        <f>-Ops!BG44</f>
        <v>0</v>
      </c>
      <c r="BH18" s="21">
        <f>-Ops!BH44</f>
        <v>0</v>
      </c>
      <c r="BI18" s="21">
        <f>-Ops!BI44</f>
        <v>0</v>
      </c>
    </row>
    <row r="19" spans="3:61" outlineLevel="1">
      <c r="C19" t="s">
        <v>20</v>
      </c>
      <c r="I19" s="46">
        <f t="shared" si="2"/>
        <v>-70.846774144889082</v>
      </c>
      <c r="J19" s="51">
        <f>SUM(J17:J18)</f>
        <v>0</v>
      </c>
      <c r="K19" s="51">
        <f t="shared" ref="K19:BI19" si="3">SUM(K17:K18)</f>
        <v>0</v>
      </c>
      <c r="L19" s="51">
        <f t="shared" si="3"/>
        <v>0</v>
      </c>
      <c r="M19" s="51">
        <f t="shared" si="3"/>
        <v>0</v>
      </c>
      <c r="N19" s="51">
        <f t="shared" si="3"/>
        <v>0</v>
      </c>
      <c r="O19" s="51">
        <f t="shared" si="3"/>
        <v>0</v>
      </c>
      <c r="P19" s="51">
        <f t="shared" si="3"/>
        <v>0</v>
      </c>
      <c r="Q19" s="51">
        <f t="shared" si="3"/>
        <v>0</v>
      </c>
      <c r="R19" s="51">
        <f t="shared" si="3"/>
        <v>-1.5449999999999999</v>
      </c>
      <c r="S19" s="51">
        <f t="shared" si="3"/>
        <v>-1.5449999999999999</v>
      </c>
      <c r="T19" s="51">
        <f t="shared" si="3"/>
        <v>-1.5449999999999999</v>
      </c>
      <c r="U19" s="51">
        <f t="shared" si="3"/>
        <v>-1.5449999999999999</v>
      </c>
      <c r="V19" s="51">
        <f t="shared" si="3"/>
        <v>-1.5913499999999998</v>
      </c>
      <c r="W19" s="51">
        <f t="shared" si="3"/>
        <v>-1.5913499999999998</v>
      </c>
      <c r="X19" s="51">
        <f t="shared" si="3"/>
        <v>-1.5913499999999998</v>
      </c>
      <c r="Y19" s="51">
        <f t="shared" si="3"/>
        <v>-1.5913499999999998</v>
      </c>
      <c r="Z19" s="51">
        <f t="shared" si="3"/>
        <v>-1.6390905</v>
      </c>
      <c r="AA19" s="51">
        <f t="shared" si="3"/>
        <v>-1.6390905</v>
      </c>
      <c r="AB19" s="51">
        <f t="shared" si="3"/>
        <v>-1.6390905</v>
      </c>
      <c r="AC19" s="51">
        <f t="shared" si="3"/>
        <v>-1.6390905</v>
      </c>
      <c r="AD19" s="51">
        <f t="shared" si="3"/>
        <v>-1.6882632150000001</v>
      </c>
      <c r="AE19" s="51">
        <f t="shared" si="3"/>
        <v>-1.6882632150000001</v>
      </c>
      <c r="AF19" s="51">
        <f t="shared" si="3"/>
        <v>-1.6882632150000001</v>
      </c>
      <c r="AG19" s="51">
        <f t="shared" si="3"/>
        <v>-1.6882632150000001</v>
      </c>
      <c r="AH19" s="51">
        <f t="shared" si="3"/>
        <v>-1.7389111114500002</v>
      </c>
      <c r="AI19" s="51">
        <f t="shared" si="3"/>
        <v>-1.7389111114500002</v>
      </c>
      <c r="AJ19" s="51">
        <f t="shared" si="3"/>
        <v>-1.7389111114500002</v>
      </c>
      <c r="AK19" s="51">
        <f t="shared" si="3"/>
        <v>-1.7389111114500002</v>
      </c>
      <c r="AL19" s="51">
        <f t="shared" si="3"/>
        <v>-1.7910784447935002</v>
      </c>
      <c r="AM19" s="51">
        <f t="shared" si="3"/>
        <v>-1.7910784447935002</v>
      </c>
      <c r="AN19" s="51">
        <f t="shared" si="3"/>
        <v>-1.7910784447935002</v>
      </c>
      <c r="AO19" s="51">
        <f t="shared" si="3"/>
        <v>-1.7910784447935002</v>
      </c>
      <c r="AP19" s="51">
        <f t="shared" si="3"/>
        <v>-1.8448107981373054</v>
      </c>
      <c r="AQ19" s="51">
        <f t="shared" si="3"/>
        <v>-1.8448107981373054</v>
      </c>
      <c r="AR19" s="51">
        <f t="shared" si="3"/>
        <v>-1.8448107981373054</v>
      </c>
      <c r="AS19" s="51">
        <f t="shared" si="3"/>
        <v>-1.8448107981373054</v>
      </c>
      <c r="AT19" s="51">
        <f t="shared" si="3"/>
        <v>-1.9001551220814246</v>
      </c>
      <c r="AU19" s="51">
        <f t="shared" si="3"/>
        <v>-1.9001551220814246</v>
      </c>
      <c r="AV19" s="51">
        <f t="shared" si="3"/>
        <v>-1.9001551220814246</v>
      </c>
      <c r="AW19" s="51">
        <f t="shared" si="3"/>
        <v>-1.9001551220814246</v>
      </c>
      <c r="AX19" s="51">
        <f t="shared" si="3"/>
        <v>-1.9571597757438672</v>
      </c>
      <c r="AY19" s="51">
        <f t="shared" si="3"/>
        <v>-1.9571597757438672</v>
      </c>
      <c r="AZ19" s="51">
        <f t="shared" si="3"/>
        <v>-1.9571597757438672</v>
      </c>
      <c r="BA19" s="51">
        <f t="shared" si="3"/>
        <v>-1.9571597757438672</v>
      </c>
      <c r="BB19" s="51">
        <f t="shared" si="3"/>
        <v>-2.0158745690161832</v>
      </c>
      <c r="BC19" s="51">
        <f t="shared" si="3"/>
        <v>-2.0158745690161832</v>
      </c>
      <c r="BD19" s="51">
        <f t="shared" si="3"/>
        <v>-2.0158745690161832</v>
      </c>
      <c r="BE19" s="51">
        <f t="shared" si="3"/>
        <v>-2.0158745690161832</v>
      </c>
      <c r="BF19" s="51">
        <f t="shared" si="3"/>
        <v>0</v>
      </c>
      <c r="BG19" s="51">
        <f t="shared" si="3"/>
        <v>0</v>
      </c>
      <c r="BH19" s="51">
        <f t="shared" si="3"/>
        <v>0</v>
      </c>
      <c r="BI19" s="51">
        <f t="shared" si="3"/>
        <v>0</v>
      </c>
    </row>
    <row r="20" spans="3:61" outlineLevel="1"/>
    <row r="21" spans="3:61" outlineLevel="1">
      <c r="C21" t="s">
        <v>21</v>
      </c>
      <c r="I21" s="46">
        <f t="shared" ref="I21" si="4">SUM(J21:BI21)</f>
        <v>155327121.53032374</v>
      </c>
      <c r="J21" s="55">
        <f>J14+J19</f>
        <v>0</v>
      </c>
      <c r="K21" s="55">
        <f t="shared" ref="K21:BI21" si="5">K14+K19</f>
        <v>0</v>
      </c>
      <c r="L21" s="55">
        <f t="shared" si="5"/>
        <v>0</v>
      </c>
      <c r="M21" s="55">
        <f t="shared" si="5"/>
        <v>0</v>
      </c>
      <c r="N21" s="55">
        <f t="shared" si="5"/>
        <v>0</v>
      </c>
      <c r="O21" s="55">
        <f t="shared" si="5"/>
        <v>0</v>
      </c>
      <c r="P21" s="55">
        <f t="shared" si="5"/>
        <v>0</v>
      </c>
      <c r="Q21" s="55">
        <f t="shared" si="5"/>
        <v>0</v>
      </c>
      <c r="R21" s="55">
        <f t="shared" si="5"/>
        <v>3737498.4550000001</v>
      </c>
      <c r="S21" s="55">
        <f t="shared" si="5"/>
        <v>3737498.4550000001</v>
      </c>
      <c r="T21" s="55">
        <f t="shared" si="5"/>
        <v>3737498.4550000001</v>
      </c>
      <c r="U21" s="55">
        <f t="shared" si="5"/>
        <v>3737498.4550000001</v>
      </c>
      <c r="V21" s="55">
        <f t="shared" si="5"/>
        <v>3737498.4086500001</v>
      </c>
      <c r="W21" s="55">
        <f t="shared" si="5"/>
        <v>3737498.4086500001</v>
      </c>
      <c r="X21" s="55">
        <f t="shared" si="5"/>
        <v>3737498.4086500001</v>
      </c>
      <c r="Y21" s="55">
        <f t="shared" si="5"/>
        <v>3737498.4086500001</v>
      </c>
      <c r="Z21" s="55">
        <f t="shared" si="5"/>
        <v>3737498.3609095002</v>
      </c>
      <c r="AA21" s="55">
        <f t="shared" si="5"/>
        <v>3737498.3609095002</v>
      </c>
      <c r="AB21" s="55">
        <f t="shared" si="5"/>
        <v>3737498.3609095002</v>
      </c>
      <c r="AC21" s="55">
        <f t="shared" si="5"/>
        <v>3737498.3609095002</v>
      </c>
      <c r="AD21" s="55">
        <f t="shared" si="5"/>
        <v>3737498.3117367849</v>
      </c>
      <c r="AE21" s="55">
        <f t="shared" si="5"/>
        <v>3737498.3117367849</v>
      </c>
      <c r="AF21" s="55">
        <f t="shared" si="5"/>
        <v>3737498.3117367849</v>
      </c>
      <c r="AG21" s="55">
        <f t="shared" si="5"/>
        <v>3737498.3117367849</v>
      </c>
      <c r="AH21" s="55">
        <f t="shared" si="5"/>
        <v>3756185.7610888882</v>
      </c>
      <c r="AI21" s="55">
        <f t="shared" si="5"/>
        <v>3774966.6985888877</v>
      </c>
      <c r="AJ21" s="55">
        <f t="shared" si="5"/>
        <v>3793841.5407763873</v>
      </c>
      <c r="AK21" s="55">
        <f t="shared" si="5"/>
        <v>3812810.7571748248</v>
      </c>
      <c r="AL21" s="55">
        <f t="shared" si="5"/>
        <v>3831874.7674879208</v>
      </c>
      <c r="AM21" s="55">
        <f t="shared" si="5"/>
        <v>3851034.1502807522</v>
      </c>
      <c r="AN21" s="55">
        <f t="shared" si="5"/>
        <v>3870289.3299875478</v>
      </c>
      <c r="AO21" s="55">
        <f t="shared" si="5"/>
        <v>3889640.7855928773</v>
      </c>
      <c r="AP21" s="55">
        <f t="shared" si="5"/>
        <v>3909088.9447438796</v>
      </c>
      <c r="AQ21" s="55">
        <f t="shared" si="5"/>
        <v>3928634.3986916533</v>
      </c>
      <c r="AR21" s="55">
        <f t="shared" si="5"/>
        <v>3948277.5799091654</v>
      </c>
      <c r="AS21" s="55">
        <f t="shared" si="5"/>
        <v>3968018.9770327643</v>
      </c>
      <c r="AT21" s="55">
        <f t="shared" si="5"/>
        <v>3987859.0257976581</v>
      </c>
      <c r="AU21" s="55">
        <f t="shared" si="5"/>
        <v>4007798.3304274217</v>
      </c>
      <c r="AV21" s="55">
        <f t="shared" si="5"/>
        <v>4027837.3315803339</v>
      </c>
      <c r="AW21" s="55">
        <f t="shared" si="5"/>
        <v>4047976.5277390108</v>
      </c>
      <c r="AX21" s="55">
        <f t="shared" si="5"/>
        <v>4068216.3628738276</v>
      </c>
      <c r="AY21" s="55">
        <f t="shared" si="5"/>
        <v>4088557.4544739951</v>
      </c>
      <c r="AZ21" s="55">
        <f t="shared" si="5"/>
        <v>4109000.2515321635</v>
      </c>
      <c r="BA21" s="55">
        <f t="shared" si="5"/>
        <v>4129545.2625756226</v>
      </c>
      <c r="BB21" s="55">
        <f t="shared" si="5"/>
        <v>4150192.939959506</v>
      </c>
      <c r="BC21" s="55">
        <f t="shared" si="5"/>
        <v>4170943.9147386756</v>
      </c>
      <c r="BD21" s="55">
        <f t="shared" si="5"/>
        <v>4191798.6443917416</v>
      </c>
      <c r="BE21" s="55">
        <f t="shared" si="5"/>
        <v>4212757.6476930724</v>
      </c>
      <c r="BF21" s="55">
        <f t="shared" si="5"/>
        <v>0</v>
      </c>
      <c r="BG21" s="55">
        <f t="shared" si="5"/>
        <v>0</v>
      </c>
      <c r="BH21" s="55">
        <f t="shared" si="5"/>
        <v>0</v>
      </c>
      <c r="BI21" s="55">
        <f t="shared" si="5"/>
        <v>0</v>
      </c>
    </row>
    <row r="22" spans="3:61" outlineLevel="1"/>
    <row r="23" spans="3:61" ht="15" outlineLevel="1">
      <c r="C23" s="4" t="s">
        <v>22</v>
      </c>
    </row>
    <row r="24" spans="3:61" outlineLevel="1">
      <c r="C24" t="str">
        <f>Cons!C23</f>
        <v>Construction Cost</v>
      </c>
      <c r="I24" s="46">
        <f t="shared" ref="I24:I26" si="6">SUM(J24:BI24)</f>
        <v>-60</v>
      </c>
      <c r="J24" s="21">
        <f>-Cons!J23</f>
        <v>-7.5</v>
      </c>
      <c r="K24" s="21">
        <f>-Cons!K23</f>
        <v>-7.5</v>
      </c>
      <c r="L24" s="21">
        <f>-Cons!L23</f>
        <v>-7.5</v>
      </c>
      <c r="M24" s="21">
        <f>-Cons!M23</f>
        <v>-7.5</v>
      </c>
      <c r="N24" s="21">
        <f>-Cons!N23</f>
        <v>-7.5</v>
      </c>
      <c r="O24" s="21">
        <f>-Cons!O23</f>
        <v>-7.5</v>
      </c>
      <c r="P24" s="21">
        <f>-Cons!P23</f>
        <v>-7.5</v>
      </c>
      <c r="Q24" s="21">
        <f>-Cons!Q23</f>
        <v>-7.5</v>
      </c>
      <c r="R24" s="21">
        <f>-Cons!R23</f>
        <v>0</v>
      </c>
      <c r="S24" s="21">
        <f>-Cons!S23</f>
        <v>0</v>
      </c>
      <c r="T24" s="21">
        <f>-Cons!T23</f>
        <v>0</v>
      </c>
      <c r="U24" s="21">
        <f>-Cons!U23</f>
        <v>0</v>
      </c>
      <c r="V24" s="21">
        <f>-Cons!V23</f>
        <v>0</v>
      </c>
      <c r="W24" s="21">
        <f>-Cons!W23</f>
        <v>0</v>
      </c>
      <c r="X24" s="21">
        <f>-Cons!X23</f>
        <v>0</v>
      </c>
      <c r="Y24" s="21">
        <f>-Cons!Y23</f>
        <v>0</v>
      </c>
      <c r="Z24" s="21">
        <f>-Cons!Z23</f>
        <v>0</v>
      </c>
      <c r="AA24" s="21">
        <f>-Cons!AA23</f>
        <v>0</v>
      </c>
      <c r="AB24" s="21">
        <f>-Cons!AB23</f>
        <v>0</v>
      </c>
      <c r="AC24" s="21">
        <f>-Cons!AC23</f>
        <v>0</v>
      </c>
      <c r="AD24" s="21">
        <f>-Cons!AD23</f>
        <v>0</v>
      </c>
      <c r="AE24" s="21">
        <f>-Cons!AE23</f>
        <v>0</v>
      </c>
      <c r="AF24" s="21">
        <f>-Cons!AF23</f>
        <v>0</v>
      </c>
      <c r="AG24" s="21">
        <f>-Cons!AG23</f>
        <v>0</v>
      </c>
      <c r="AH24" s="21">
        <f>-Cons!AH23</f>
        <v>0</v>
      </c>
      <c r="AI24" s="21">
        <f>-Cons!AI23</f>
        <v>0</v>
      </c>
      <c r="AJ24" s="21">
        <f>-Cons!AJ23</f>
        <v>0</v>
      </c>
      <c r="AK24" s="21">
        <f>-Cons!AK23</f>
        <v>0</v>
      </c>
      <c r="AL24" s="21">
        <f>-Cons!AL23</f>
        <v>0</v>
      </c>
      <c r="AM24" s="21">
        <f>-Cons!AM23</f>
        <v>0</v>
      </c>
      <c r="AN24" s="21">
        <f>-Cons!AN23</f>
        <v>0</v>
      </c>
      <c r="AO24" s="21">
        <f>-Cons!AO23</f>
        <v>0</v>
      </c>
      <c r="AP24" s="21">
        <f>-Cons!AP23</f>
        <v>0</v>
      </c>
      <c r="AQ24" s="21">
        <f>-Cons!AQ23</f>
        <v>0</v>
      </c>
      <c r="AR24" s="21">
        <f>-Cons!AR23</f>
        <v>0</v>
      </c>
      <c r="AS24" s="21">
        <f>-Cons!AS23</f>
        <v>0</v>
      </c>
      <c r="AT24" s="21">
        <f>-Cons!AT23</f>
        <v>0</v>
      </c>
      <c r="AU24" s="21">
        <f>-Cons!AU23</f>
        <v>0</v>
      </c>
      <c r="AV24" s="21">
        <f>-Cons!AV23</f>
        <v>0</v>
      </c>
      <c r="AW24" s="21">
        <f>-Cons!AW23</f>
        <v>0</v>
      </c>
      <c r="AX24" s="21">
        <f>-Cons!AX23</f>
        <v>0</v>
      </c>
      <c r="AY24" s="21">
        <f>-Cons!AY23</f>
        <v>0</v>
      </c>
      <c r="AZ24" s="21">
        <f>-Cons!AZ23</f>
        <v>0</v>
      </c>
      <c r="BA24" s="21">
        <f>-Cons!BA23</f>
        <v>0</v>
      </c>
      <c r="BB24" s="21">
        <f>-Cons!BB23</f>
        <v>0</v>
      </c>
      <c r="BC24" s="21">
        <f>-Cons!BC23</f>
        <v>0</v>
      </c>
      <c r="BD24" s="21">
        <f>-Cons!BD23</f>
        <v>0</v>
      </c>
      <c r="BE24" s="21">
        <f>-Cons!BE23</f>
        <v>0</v>
      </c>
      <c r="BF24" s="21">
        <f>-Cons!BF23</f>
        <v>0</v>
      </c>
      <c r="BG24" s="21">
        <f>-Cons!BG23</f>
        <v>0</v>
      </c>
      <c r="BH24" s="21">
        <f>-Cons!BH23</f>
        <v>0</v>
      </c>
      <c r="BI24" s="21">
        <f>-Cons!BI23</f>
        <v>0</v>
      </c>
    </row>
    <row r="25" spans="3:61" outlineLevel="1">
      <c r="C25" t="str">
        <f>Cons!C24</f>
        <v>Interest During Construction</v>
      </c>
      <c r="I25" s="46">
        <f t="shared" si="6"/>
        <v>-3.4380985945792064</v>
      </c>
      <c r="J25" s="21">
        <f>-Cons!J24</f>
        <v>0</v>
      </c>
      <c r="K25" s="21">
        <f>-Cons!K24</f>
        <v>-0.12936209570681423</v>
      </c>
      <c r="L25" s="21">
        <f>-Cons!L24</f>
        <v>-0.26384796921344794</v>
      </c>
      <c r="M25" s="21">
        <f>-Cons!M24</f>
        <v>-0.3992453182226442</v>
      </c>
      <c r="N25" s="21">
        <f>-Cons!N24</f>
        <v>-0.48187787841044294</v>
      </c>
      <c r="O25" s="21">
        <f>-Cons!O24</f>
        <v>-0.61358319011183682</v>
      </c>
      <c r="P25" s="21">
        <f>-Cons!P24</f>
        <v>-0.75019479687207835</v>
      </c>
      <c r="Q25" s="21">
        <f>-Cons!Q24</f>
        <v>-0.79998734604194155</v>
      </c>
      <c r="R25" s="21">
        <f>-Cons!R24</f>
        <v>0</v>
      </c>
      <c r="S25" s="21">
        <f>-Cons!S24</f>
        <v>0</v>
      </c>
      <c r="T25" s="21">
        <f>-Cons!T24</f>
        <v>0</v>
      </c>
      <c r="U25" s="21">
        <f>-Cons!U24</f>
        <v>0</v>
      </c>
      <c r="V25" s="21">
        <f>-Cons!V24</f>
        <v>0</v>
      </c>
      <c r="W25" s="21">
        <f>-Cons!W24</f>
        <v>0</v>
      </c>
      <c r="X25" s="21">
        <f>-Cons!X24</f>
        <v>0</v>
      </c>
      <c r="Y25" s="21">
        <f>-Cons!Y24</f>
        <v>0</v>
      </c>
      <c r="Z25" s="21">
        <f>-Cons!Z24</f>
        <v>0</v>
      </c>
      <c r="AA25" s="21">
        <f>-Cons!AA24</f>
        <v>0</v>
      </c>
      <c r="AB25" s="21">
        <f>-Cons!AB24</f>
        <v>0</v>
      </c>
      <c r="AC25" s="21">
        <f>-Cons!AC24</f>
        <v>0</v>
      </c>
      <c r="AD25" s="21">
        <f>-Cons!AD24</f>
        <v>0</v>
      </c>
      <c r="AE25" s="21">
        <f>-Cons!AE24</f>
        <v>0</v>
      </c>
      <c r="AF25" s="21">
        <f>-Cons!AF24</f>
        <v>0</v>
      </c>
      <c r="AG25" s="21">
        <f>-Cons!AG24</f>
        <v>0</v>
      </c>
      <c r="AH25" s="21">
        <f>-Cons!AH24</f>
        <v>0</v>
      </c>
      <c r="AI25" s="21">
        <f>-Cons!AI24</f>
        <v>0</v>
      </c>
      <c r="AJ25" s="21">
        <f>-Cons!AJ24</f>
        <v>0</v>
      </c>
      <c r="AK25" s="21">
        <f>-Cons!AK24</f>
        <v>0</v>
      </c>
      <c r="AL25" s="21">
        <f>-Cons!AL24</f>
        <v>0</v>
      </c>
      <c r="AM25" s="21">
        <f>-Cons!AM24</f>
        <v>0</v>
      </c>
      <c r="AN25" s="21">
        <f>-Cons!AN24</f>
        <v>0</v>
      </c>
      <c r="AO25" s="21">
        <f>-Cons!AO24</f>
        <v>0</v>
      </c>
      <c r="AP25" s="21">
        <f>-Cons!AP24</f>
        <v>0</v>
      </c>
      <c r="AQ25" s="21">
        <f>-Cons!AQ24</f>
        <v>0</v>
      </c>
      <c r="AR25" s="21">
        <f>-Cons!AR24</f>
        <v>0</v>
      </c>
      <c r="AS25" s="21">
        <f>-Cons!AS24</f>
        <v>0</v>
      </c>
      <c r="AT25" s="21">
        <f>-Cons!AT24</f>
        <v>0</v>
      </c>
      <c r="AU25" s="21">
        <f>-Cons!AU24</f>
        <v>0</v>
      </c>
      <c r="AV25" s="21">
        <f>-Cons!AV24</f>
        <v>0</v>
      </c>
      <c r="AW25" s="21">
        <f>-Cons!AW24</f>
        <v>0</v>
      </c>
      <c r="AX25" s="21">
        <f>-Cons!AX24</f>
        <v>0</v>
      </c>
      <c r="AY25" s="21">
        <f>-Cons!AY24</f>
        <v>0</v>
      </c>
      <c r="AZ25" s="21">
        <f>-Cons!AZ24</f>
        <v>0</v>
      </c>
      <c r="BA25" s="21">
        <f>-Cons!BA24</f>
        <v>0</v>
      </c>
      <c r="BB25" s="21">
        <f>-Cons!BB24</f>
        <v>0</v>
      </c>
      <c r="BC25" s="21">
        <f>-Cons!BC24</f>
        <v>0</v>
      </c>
      <c r="BD25" s="21">
        <f>-Cons!BD24</f>
        <v>0</v>
      </c>
      <c r="BE25" s="21">
        <f>-Cons!BE24</f>
        <v>0</v>
      </c>
      <c r="BF25" s="21">
        <f>-Cons!BF24</f>
        <v>0</v>
      </c>
      <c r="BG25" s="21">
        <f>-Cons!BG24</f>
        <v>0</v>
      </c>
      <c r="BH25" s="21">
        <f>-Cons!BH24</f>
        <v>0</v>
      </c>
      <c r="BI25" s="21">
        <f>-Cons!BI24</f>
        <v>0</v>
      </c>
    </row>
    <row r="26" spans="3:61" outlineLevel="1">
      <c r="C26" t="s">
        <v>20</v>
      </c>
      <c r="I26" s="46">
        <f t="shared" si="6"/>
        <v>-63.438098594579202</v>
      </c>
      <c r="J26" s="51">
        <f t="shared" ref="J26:AO26" si="7">SUM(J24:J25)</f>
        <v>-7.5</v>
      </c>
      <c r="K26" s="51">
        <f t="shared" si="7"/>
        <v>-7.6293620957068145</v>
      </c>
      <c r="L26" s="51">
        <f t="shared" si="7"/>
        <v>-7.7638479692134483</v>
      </c>
      <c r="M26" s="51">
        <f t="shared" si="7"/>
        <v>-7.8992453182226443</v>
      </c>
      <c r="N26" s="51">
        <f t="shared" si="7"/>
        <v>-7.9818778784104429</v>
      </c>
      <c r="O26" s="51">
        <f t="shared" si="7"/>
        <v>-8.1135831901118376</v>
      </c>
      <c r="P26" s="51">
        <f t="shared" si="7"/>
        <v>-8.2501947968720781</v>
      </c>
      <c r="Q26" s="51">
        <f t="shared" si="7"/>
        <v>-8.2999873460419415</v>
      </c>
      <c r="R26" s="51">
        <f t="shared" si="7"/>
        <v>0</v>
      </c>
      <c r="S26" s="51">
        <f t="shared" si="7"/>
        <v>0</v>
      </c>
      <c r="T26" s="51">
        <f t="shared" si="7"/>
        <v>0</v>
      </c>
      <c r="U26" s="51">
        <f t="shared" si="7"/>
        <v>0</v>
      </c>
      <c r="V26" s="51">
        <f t="shared" si="7"/>
        <v>0</v>
      </c>
      <c r="W26" s="51">
        <f t="shared" si="7"/>
        <v>0</v>
      </c>
      <c r="X26" s="51">
        <f t="shared" si="7"/>
        <v>0</v>
      </c>
      <c r="Y26" s="51">
        <f t="shared" si="7"/>
        <v>0</v>
      </c>
      <c r="Z26" s="51">
        <f t="shared" si="7"/>
        <v>0</v>
      </c>
      <c r="AA26" s="51">
        <f t="shared" si="7"/>
        <v>0</v>
      </c>
      <c r="AB26" s="51">
        <f t="shared" si="7"/>
        <v>0</v>
      </c>
      <c r="AC26" s="51">
        <f t="shared" si="7"/>
        <v>0</v>
      </c>
      <c r="AD26" s="51">
        <f t="shared" si="7"/>
        <v>0</v>
      </c>
      <c r="AE26" s="51">
        <f t="shared" si="7"/>
        <v>0</v>
      </c>
      <c r="AF26" s="51">
        <f t="shared" si="7"/>
        <v>0</v>
      </c>
      <c r="AG26" s="51">
        <f t="shared" si="7"/>
        <v>0</v>
      </c>
      <c r="AH26" s="51">
        <f t="shared" si="7"/>
        <v>0</v>
      </c>
      <c r="AI26" s="51">
        <f t="shared" si="7"/>
        <v>0</v>
      </c>
      <c r="AJ26" s="51">
        <f t="shared" si="7"/>
        <v>0</v>
      </c>
      <c r="AK26" s="51">
        <f t="shared" si="7"/>
        <v>0</v>
      </c>
      <c r="AL26" s="51">
        <f t="shared" si="7"/>
        <v>0</v>
      </c>
      <c r="AM26" s="51">
        <f t="shared" si="7"/>
        <v>0</v>
      </c>
      <c r="AN26" s="51">
        <f t="shared" si="7"/>
        <v>0</v>
      </c>
      <c r="AO26" s="51">
        <f t="shared" si="7"/>
        <v>0</v>
      </c>
      <c r="AP26" s="51">
        <f t="shared" ref="AP26:BI26" si="8">SUM(AP24:AP25)</f>
        <v>0</v>
      </c>
      <c r="AQ26" s="51">
        <f t="shared" si="8"/>
        <v>0</v>
      </c>
      <c r="AR26" s="51">
        <f t="shared" si="8"/>
        <v>0</v>
      </c>
      <c r="AS26" s="51">
        <f t="shared" si="8"/>
        <v>0</v>
      </c>
      <c r="AT26" s="51">
        <f t="shared" si="8"/>
        <v>0</v>
      </c>
      <c r="AU26" s="51">
        <f t="shared" si="8"/>
        <v>0</v>
      </c>
      <c r="AV26" s="51">
        <f t="shared" si="8"/>
        <v>0</v>
      </c>
      <c r="AW26" s="51">
        <f t="shared" si="8"/>
        <v>0</v>
      </c>
      <c r="AX26" s="51">
        <f t="shared" si="8"/>
        <v>0</v>
      </c>
      <c r="AY26" s="51">
        <f t="shared" si="8"/>
        <v>0</v>
      </c>
      <c r="AZ26" s="51">
        <f t="shared" si="8"/>
        <v>0</v>
      </c>
      <c r="BA26" s="51">
        <f t="shared" si="8"/>
        <v>0</v>
      </c>
      <c r="BB26" s="51">
        <f t="shared" si="8"/>
        <v>0</v>
      </c>
      <c r="BC26" s="51">
        <f t="shared" si="8"/>
        <v>0</v>
      </c>
      <c r="BD26" s="51">
        <f t="shared" si="8"/>
        <v>0</v>
      </c>
      <c r="BE26" s="51">
        <f t="shared" si="8"/>
        <v>0</v>
      </c>
      <c r="BF26" s="51">
        <f t="shared" si="8"/>
        <v>0</v>
      </c>
      <c r="BG26" s="51">
        <f t="shared" si="8"/>
        <v>0</v>
      </c>
      <c r="BH26" s="51">
        <f t="shared" si="8"/>
        <v>0</v>
      </c>
      <c r="BI26" s="51">
        <f t="shared" si="8"/>
        <v>0</v>
      </c>
    </row>
    <row r="27" spans="3:61" outlineLevel="1"/>
    <row r="28" spans="3:61" ht="15" outlineLevel="1">
      <c r="C28" s="4" t="s">
        <v>23</v>
      </c>
    </row>
    <row r="29" spans="3:61" outlineLevel="1">
      <c r="C29" t="s">
        <v>24</v>
      </c>
      <c r="I29" s="46">
        <f t="shared" ref="I29:I31" si="9">SUM(J29:BI29)</f>
        <v>50</v>
      </c>
      <c r="J29" s="21">
        <f>Cons!J28</f>
        <v>7.5</v>
      </c>
      <c r="K29" s="21">
        <f>Cons!K28</f>
        <v>7.6293620957068145</v>
      </c>
      <c r="L29" s="21">
        <f>Cons!L28</f>
        <v>7.7638479692134483</v>
      </c>
      <c r="M29" s="21">
        <f>Cons!M28</f>
        <v>7.8992453182226443</v>
      </c>
      <c r="N29" s="21">
        <f>Cons!N28</f>
        <v>7.9818778784104429</v>
      </c>
      <c r="O29" s="21">
        <f>Cons!O28</f>
        <v>8.1135831901118376</v>
      </c>
      <c r="P29" s="21">
        <f>Cons!P28</f>
        <v>3.1120835483348159</v>
      </c>
      <c r="Q29" s="21">
        <f>Cons!Q28</f>
        <v>0</v>
      </c>
      <c r="R29" s="21">
        <f>Cons!R28</f>
        <v>0</v>
      </c>
      <c r="S29" s="21">
        <f>Cons!S28</f>
        <v>0</v>
      </c>
      <c r="T29" s="21">
        <f>Cons!T28</f>
        <v>0</v>
      </c>
      <c r="U29" s="21">
        <f>Cons!U28</f>
        <v>0</v>
      </c>
      <c r="V29" s="21">
        <f>Cons!V28</f>
        <v>0</v>
      </c>
      <c r="W29" s="21">
        <f>Cons!W28</f>
        <v>0</v>
      </c>
      <c r="X29" s="21">
        <f>Cons!X28</f>
        <v>0</v>
      </c>
      <c r="Y29" s="21">
        <f>Cons!Y28</f>
        <v>0</v>
      </c>
      <c r="Z29" s="21">
        <f>Cons!Z28</f>
        <v>0</v>
      </c>
      <c r="AA29" s="21">
        <f>Cons!AA28</f>
        <v>0</v>
      </c>
      <c r="AB29" s="21">
        <f>Cons!AB28</f>
        <v>0</v>
      </c>
      <c r="AC29" s="21">
        <f>Cons!AC28</f>
        <v>0</v>
      </c>
      <c r="AD29" s="21">
        <f>Cons!AD28</f>
        <v>0</v>
      </c>
      <c r="AE29" s="21">
        <f>Cons!AE28</f>
        <v>0</v>
      </c>
      <c r="AF29" s="21">
        <f>Cons!AF28</f>
        <v>0</v>
      </c>
      <c r="AG29" s="21">
        <f>Cons!AG28</f>
        <v>0</v>
      </c>
      <c r="AH29" s="21">
        <f>Cons!AH28</f>
        <v>0</v>
      </c>
      <c r="AI29" s="21">
        <f>Cons!AI28</f>
        <v>0</v>
      </c>
      <c r="AJ29" s="21">
        <f>Cons!AJ28</f>
        <v>0</v>
      </c>
      <c r="AK29" s="21">
        <f>Cons!AK28</f>
        <v>0</v>
      </c>
      <c r="AL29" s="21">
        <f>Cons!AL28</f>
        <v>0</v>
      </c>
      <c r="AM29" s="21">
        <f>Cons!AM28</f>
        <v>0</v>
      </c>
      <c r="AN29" s="21">
        <f>Cons!AN28</f>
        <v>0</v>
      </c>
      <c r="AO29" s="21">
        <f>Cons!AO28</f>
        <v>0</v>
      </c>
      <c r="AP29" s="21">
        <f>Cons!AP28</f>
        <v>0</v>
      </c>
      <c r="AQ29" s="21">
        <f>Cons!AQ28</f>
        <v>0</v>
      </c>
      <c r="AR29" s="21">
        <f>Cons!AR28</f>
        <v>0</v>
      </c>
      <c r="AS29" s="21">
        <f>Cons!AS28</f>
        <v>0</v>
      </c>
      <c r="AT29" s="21">
        <f>Cons!AT28</f>
        <v>0</v>
      </c>
      <c r="AU29" s="21">
        <f>Cons!AU28</f>
        <v>0</v>
      </c>
      <c r="AV29" s="21">
        <f>Cons!AV28</f>
        <v>0</v>
      </c>
      <c r="AW29" s="21">
        <f>Cons!AW28</f>
        <v>0</v>
      </c>
      <c r="AX29" s="21">
        <f>Cons!AX28</f>
        <v>0</v>
      </c>
      <c r="AY29" s="21">
        <f>Cons!AY28</f>
        <v>0</v>
      </c>
      <c r="AZ29" s="21">
        <f>Cons!AZ28</f>
        <v>0</v>
      </c>
      <c r="BA29" s="21">
        <f>Cons!BA28</f>
        <v>0</v>
      </c>
      <c r="BB29" s="21">
        <f>Cons!BB28</f>
        <v>0</v>
      </c>
      <c r="BC29" s="21">
        <f>Cons!BC28</f>
        <v>0</v>
      </c>
      <c r="BD29" s="21">
        <f>Cons!BD28</f>
        <v>0</v>
      </c>
      <c r="BE29" s="21">
        <f>Cons!BE28</f>
        <v>0</v>
      </c>
      <c r="BF29" s="21">
        <f>Cons!BF28</f>
        <v>0</v>
      </c>
      <c r="BG29" s="21">
        <f>Cons!BG28</f>
        <v>0</v>
      </c>
      <c r="BH29" s="21">
        <f>Cons!BH28</f>
        <v>0</v>
      </c>
      <c r="BI29" s="21">
        <f>Cons!BI28</f>
        <v>0</v>
      </c>
    </row>
    <row r="30" spans="3:61" outlineLevel="1">
      <c r="C30" t="s">
        <v>25</v>
      </c>
      <c r="I30" s="46">
        <f t="shared" si="9"/>
        <v>13.438098594579204</v>
      </c>
      <c r="J30" s="21">
        <f>Cons!J31</f>
        <v>0</v>
      </c>
      <c r="K30" s="21">
        <f>Cons!K31</f>
        <v>0</v>
      </c>
      <c r="L30" s="21">
        <f>Cons!L31</f>
        <v>0</v>
      </c>
      <c r="M30" s="21">
        <f>Cons!M31</f>
        <v>0</v>
      </c>
      <c r="N30" s="21">
        <f>Cons!N31</f>
        <v>0</v>
      </c>
      <c r="O30" s="21">
        <f>Cons!O31</f>
        <v>0</v>
      </c>
      <c r="P30" s="21">
        <f>Cons!P31</f>
        <v>5.1381112485372622</v>
      </c>
      <c r="Q30" s="21">
        <f>Cons!Q31</f>
        <v>8.2999873460419415</v>
      </c>
      <c r="R30" s="21">
        <f>Cons!R31</f>
        <v>0</v>
      </c>
      <c r="S30" s="21">
        <f>Cons!S31</f>
        <v>0</v>
      </c>
      <c r="T30" s="21">
        <f>Cons!T31</f>
        <v>0</v>
      </c>
      <c r="U30" s="21">
        <f>Cons!U31</f>
        <v>0</v>
      </c>
      <c r="V30" s="21">
        <f>Cons!V31</f>
        <v>0</v>
      </c>
      <c r="W30" s="21">
        <f>Cons!W31</f>
        <v>0</v>
      </c>
      <c r="X30" s="21">
        <f>Cons!X31</f>
        <v>0</v>
      </c>
      <c r="Y30" s="21">
        <f>Cons!Y31</f>
        <v>0</v>
      </c>
      <c r="Z30" s="21">
        <f>Cons!Z31</f>
        <v>0</v>
      </c>
      <c r="AA30" s="21">
        <f>Cons!AA31</f>
        <v>0</v>
      </c>
      <c r="AB30" s="21">
        <f>Cons!AB31</f>
        <v>0</v>
      </c>
      <c r="AC30" s="21">
        <f>Cons!AC31</f>
        <v>0</v>
      </c>
      <c r="AD30" s="21">
        <f>Cons!AD31</f>
        <v>0</v>
      </c>
      <c r="AE30" s="21">
        <f>Cons!AE31</f>
        <v>0</v>
      </c>
      <c r="AF30" s="21">
        <f>Cons!AF31</f>
        <v>0</v>
      </c>
      <c r="AG30" s="21">
        <f>Cons!AG31</f>
        <v>0</v>
      </c>
      <c r="AH30" s="21">
        <f>Cons!AH31</f>
        <v>0</v>
      </c>
      <c r="AI30" s="21">
        <f>Cons!AI31</f>
        <v>0</v>
      </c>
      <c r="AJ30" s="21">
        <f>Cons!AJ31</f>
        <v>0</v>
      </c>
      <c r="AK30" s="21">
        <f>Cons!AK31</f>
        <v>0</v>
      </c>
      <c r="AL30" s="21">
        <f>Cons!AL31</f>
        <v>0</v>
      </c>
      <c r="AM30" s="21">
        <f>Cons!AM31</f>
        <v>0</v>
      </c>
      <c r="AN30" s="21">
        <f>Cons!AN31</f>
        <v>0</v>
      </c>
      <c r="AO30" s="21">
        <f>Cons!AO31</f>
        <v>0</v>
      </c>
      <c r="AP30" s="21">
        <f>Cons!AP31</f>
        <v>0</v>
      </c>
      <c r="AQ30" s="21">
        <f>Cons!AQ31</f>
        <v>0</v>
      </c>
      <c r="AR30" s="21">
        <f>Cons!AR31</f>
        <v>0</v>
      </c>
      <c r="AS30" s="21">
        <f>Cons!AS31</f>
        <v>0</v>
      </c>
      <c r="AT30" s="21">
        <f>Cons!AT31</f>
        <v>0</v>
      </c>
      <c r="AU30" s="21">
        <f>Cons!AU31</f>
        <v>0</v>
      </c>
      <c r="AV30" s="21">
        <f>Cons!AV31</f>
        <v>0</v>
      </c>
      <c r="AW30" s="21">
        <f>Cons!AW31</f>
        <v>0</v>
      </c>
      <c r="AX30" s="21">
        <f>Cons!AX31</f>
        <v>0</v>
      </c>
      <c r="AY30" s="21">
        <f>Cons!AY31</f>
        <v>0</v>
      </c>
      <c r="AZ30" s="21">
        <f>Cons!AZ31</f>
        <v>0</v>
      </c>
      <c r="BA30" s="21">
        <f>Cons!BA31</f>
        <v>0</v>
      </c>
      <c r="BB30" s="21">
        <f>Cons!BB31</f>
        <v>0</v>
      </c>
      <c r="BC30" s="21">
        <f>Cons!BC31</f>
        <v>0</v>
      </c>
      <c r="BD30" s="21">
        <f>Cons!BD31</f>
        <v>0</v>
      </c>
      <c r="BE30" s="21">
        <f>Cons!BE31</f>
        <v>0</v>
      </c>
      <c r="BF30" s="21">
        <f>Cons!BF31</f>
        <v>0</v>
      </c>
      <c r="BG30" s="21">
        <f>Cons!BG31</f>
        <v>0</v>
      </c>
      <c r="BH30" s="21">
        <f>Cons!BH31</f>
        <v>0</v>
      </c>
      <c r="BI30" s="21">
        <f>Cons!BI31</f>
        <v>0</v>
      </c>
    </row>
    <row r="31" spans="3:61" outlineLevel="1">
      <c r="C31" t="s">
        <v>20</v>
      </c>
      <c r="I31" s="46">
        <f t="shared" si="9"/>
        <v>63.438098594579202</v>
      </c>
      <c r="J31" s="51">
        <f t="shared" ref="J31:AO31" si="10">SUM(J29:J30)</f>
        <v>7.5</v>
      </c>
      <c r="K31" s="51">
        <f t="shared" si="10"/>
        <v>7.6293620957068145</v>
      </c>
      <c r="L31" s="51">
        <f t="shared" si="10"/>
        <v>7.7638479692134483</v>
      </c>
      <c r="M31" s="51">
        <f t="shared" si="10"/>
        <v>7.8992453182226443</v>
      </c>
      <c r="N31" s="51">
        <f t="shared" si="10"/>
        <v>7.9818778784104429</v>
      </c>
      <c r="O31" s="51">
        <f t="shared" si="10"/>
        <v>8.1135831901118376</v>
      </c>
      <c r="P31" s="51">
        <f t="shared" si="10"/>
        <v>8.2501947968720781</v>
      </c>
      <c r="Q31" s="51">
        <f t="shared" si="10"/>
        <v>8.2999873460419415</v>
      </c>
      <c r="R31" s="51">
        <f t="shared" si="10"/>
        <v>0</v>
      </c>
      <c r="S31" s="51">
        <f t="shared" si="10"/>
        <v>0</v>
      </c>
      <c r="T31" s="51">
        <f t="shared" si="10"/>
        <v>0</v>
      </c>
      <c r="U31" s="51">
        <f t="shared" si="10"/>
        <v>0</v>
      </c>
      <c r="V31" s="51">
        <f t="shared" si="10"/>
        <v>0</v>
      </c>
      <c r="W31" s="51">
        <f t="shared" si="10"/>
        <v>0</v>
      </c>
      <c r="X31" s="51">
        <f t="shared" si="10"/>
        <v>0</v>
      </c>
      <c r="Y31" s="51">
        <f t="shared" si="10"/>
        <v>0</v>
      </c>
      <c r="Z31" s="51">
        <f t="shared" si="10"/>
        <v>0</v>
      </c>
      <c r="AA31" s="51">
        <f t="shared" si="10"/>
        <v>0</v>
      </c>
      <c r="AB31" s="51">
        <f t="shared" si="10"/>
        <v>0</v>
      </c>
      <c r="AC31" s="51">
        <f t="shared" si="10"/>
        <v>0</v>
      </c>
      <c r="AD31" s="51">
        <f t="shared" si="10"/>
        <v>0</v>
      </c>
      <c r="AE31" s="51">
        <f t="shared" si="10"/>
        <v>0</v>
      </c>
      <c r="AF31" s="51">
        <f t="shared" si="10"/>
        <v>0</v>
      </c>
      <c r="AG31" s="51">
        <f t="shared" si="10"/>
        <v>0</v>
      </c>
      <c r="AH31" s="51">
        <f t="shared" si="10"/>
        <v>0</v>
      </c>
      <c r="AI31" s="51">
        <f t="shared" si="10"/>
        <v>0</v>
      </c>
      <c r="AJ31" s="51">
        <f t="shared" si="10"/>
        <v>0</v>
      </c>
      <c r="AK31" s="51">
        <f t="shared" si="10"/>
        <v>0</v>
      </c>
      <c r="AL31" s="51">
        <f t="shared" si="10"/>
        <v>0</v>
      </c>
      <c r="AM31" s="51">
        <f t="shared" si="10"/>
        <v>0</v>
      </c>
      <c r="AN31" s="51">
        <f t="shared" si="10"/>
        <v>0</v>
      </c>
      <c r="AO31" s="51">
        <f t="shared" si="10"/>
        <v>0</v>
      </c>
      <c r="AP31" s="51">
        <f t="shared" ref="AP31:BI31" si="11">SUM(AP29:AP30)</f>
        <v>0</v>
      </c>
      <c r="AQ31" s="51">
        <f t="shared" si="11"/>
        <v>0</v>
      </c>
      <c r="AR31" s="51">
        <f t="shared" si="11"/>
        <v>0</v>
      </c>
      <c r="AS31" s="51">
        <f t="shared" si="11"/>
        <v>0</v>
      </c>
      <c r="AT31" s="51">
        <f t="shared" si="11"/>
        <v>0</v>
      </c>
      <c r="AU31" s="51">
        <f t="shared" si="11"/>
        <v>0</v>
      </c>
      <c r="AV31" s="51">
        <f t="shared" si="11"/>
        <v>0</v>
      </c>
      <c r="AW31" s="51">
        <f t="shared" si="11"/>
        <v>0</v>
      </c>
      <c r="AX31" s="51">
        <f t="shared" si="11"/>
        <v>0</v>
      </c>
      <c r="AY31" s="51">
        <f t="shared" si="11"/>
        <v>0</v>
      </c>
      <c r="AZ31" s="51">
        <f t="shared" si="11"/>
        <v>0</v>
      </c>
      <c r="BA31" s="51">
        <f t="shared" si="11"/>
        <v>0</v>
      </c>
      <c r="BB31" s="51">
        <f t="shared" si="11"/>
        <v>0</v>
      </c>
      <c r="BC31" s="51">
        <f t="shared" si="11"/>
        <v>0</v>
      </c>
      <c r="BD31" s="51">
        <f t="shared" si="11"/>
        <v>0</v>
      </c>
      <c r="BE31" s="51">
        <f t="shared" si="11"/>
        <v>0</v>
      </c>
      <c r="BF31" s="51">
        <f t="shared" si="11"/>
        <v>0</v>
      </c>
      <c r="BG31" s="51">
        <f t="shared" si="11"/>
        <v>0</v>
      </c>
      <c r="BH31" s="51">
        <f t="shared" si="11"/>
        <v>0</v>
      </c>
      <c r="BI31" s="51">
        <f t="shared" si="11"/>
        <v>0</v>
      </c>
    </row>
    <row r="32" spans="3:61" outlineLevel="1"/>
    <row r="33" spans="3:61" outlineLevel="1">
      <c r="C33" t="s">
        <v>26</v>
      </c>
      <c r="I33" s="46">
        <f t="shared" ref="I33" si="12">SUM(J33:BI33)</f>
        <v>155327121.53032374</v>
      </c>
      <c r="J33" s="55">
        <f t="shared" ref="J33:AO33" si="13">J21+J26+J31</f>
        <v>0</v>
      </c>
      <c r="K33" s="55">
        <f t="shared" si="13"/>
        <v>0</v>
      </c>
      <c r="L33" s="55">
        <f t="shared" si="13"/>
        <v>0</v>
      </c>
      <c r="M33" s="55">
        <f t="shared" si="13"/>
        <v>0</v>
      </c>
      <c r="N33" s="55">
        <f t="shared" si="13"/>
        <v>0</v>
      </c>
      <c r="O33" s="55">
        <f t="shared" si="13"/>
        <v>0</v>
      </c>
      <c r="P33" s="55">
        <f t="shared" si="13"/>
        <v>0</v>
      </c>
      <c r="Q33" s="55">
        <f t="shared" si="13"/>
        <v>0</v>
      </c>
      <c r="R33" s="55">
        <f t="shared" si="13"/>
        <v>3737498.4550000001</v>
      </c>
      <c r="S33" s="55">
        <f t="shared" si="13"/>
        <v>3737498.4550000001</v>
      </c>
      <c r="T33" s="55">
        <f t="shared" si="13"/>
        <v>3737498.4550000001</v>
      </c>
      <c r="U33" s="55">
        <f t="shared" si="13"/>
        <v>3737498.4550000001</v>
      </c>
      <c r="V33" s="55">
        <f t="shared" si="13"/>
        <v>3737498.4086500001</v>
      </c>
      <c r="W33" s="55">
        <f t="shared" si="13"/>
        <v>3737498.4086500001</v>
      </c>
      <c r="X33" s="55">
        <f t="shared" si="13"/>
        <v>3737498.4086500001</v>
      </c>
      <c r="Y33" s="55">
        <f t="shared" si="13"/>
        <v>3737498.4086500001</v>
      </c>
      <c r="Z33" s="55">
        <f t="shared" si="13"/>
        <v>3737498.3609095002</v>
      </c>
      <c r="AA33" s="55">
        <f t="shared" si="13"/>
        <v>3737498.3609095002</v>
      </c>
      <c r="AB33" s="55">
        <f t="shared" si="13"/>
        <v>3737498.3609095002</v>
      </c>
      <c r="AC33" s="55">
        <f t="shared" si="13"/>
        <v>3737498.3609095002</v>
      </c>
      <c r="AD33" s="55">
        <f t="shared" si="13"/>
        <v>3737498.3117367849</v>
      </c>
      <c r="AE33" s="55">
        <f t="shared" si="13"/>
        <v>3737498.3117367849</v>
      </c>
      <c r="AF33" s="55">
        <f t="shared" si="13"/>
        <v>3737498.3117367849</v>
      </c>
      <c r="AG33" s="55">
        <f t="shared" si="13"/>
        <v>3737498.3117367849</v>
      </c>
      <c r="AH33" s="55">
        <f t="shared" si="13"/>
        <v>3756185.7610888882</v>
      </c>
      <c r="AI33" s="55">
        <f t="shared" si="13"/>
        <v>3774966.6985888877</v>
      </c>
      <c r="AJ33" s="55">
        <f t="shared" si="13"/>
        <v>3793841.5407763873</v>
      </c>
      <c r="AK33" s="55">
        <f t="shared" si="13"/>
        <v>3812810.7571748248</v>
      </c>
      <c r="AL33" s="55">
        <f t="shared" si="13"/>
        <v>3831874.7674879208</v>
      </c>
      <c r="AM33" s="55">
        <f t="shared" si="13"/>
        <v>3851034.1502807522</v>
      </c>
      <c r="AN33" s="55">
        <f t="shared" si="13"/>
        <v>3870289.3299875478</v>
      </c>
      <c r="AO33" s="55">
        <f t="shared" si="13"/>
        <v>3889640.7855928773</v>
      </c>
      <c r="AP33" s="55">
        <f t="shared" ref="AP33:BI33" si="14">AP21+AP26+AP31</f>
        <v>3909088.9447438796</v>
      </c>
      <c r="AQ33" s="55">
        <f t="shared" si="14"/>
        <v>3928634.3986916533</v>
      </c>
      <c r="AR33" s="55">
        <f t="shared" si="14"/>
        <v>3948277.5799091654</v>
      </c>
      <c r="AS33" s="55">
        <f t="shared" si="14"/>
        <v>3968018.9770327643</v>
      </c>
      <c r="AT33" s="55">
        <f t="shared" si="14"/>
        <v>3987859.0257976581</v>
      </c>
      <c r="AU33" s="55">
        <f t="shared" si="14"/>
        <v>4007798.3304274217</v>
      </c>
      <c r="AV33" s="55">
        <f t="shared" si="14"/>
        <v>4027837.3315803339</v>
      </c>
      <c r="AW33" s="55">
        <f t="shared" si="14"/>
        <v>4047976.5277390108</v>
      </c>
      <c r="AX33" s="55">
        <f t="shared" si="14"/>
        <v>4068216.3628738276</v>
      </c>
      <c r="AY33" s="55">
        <f t="shared" si="14"/>
        <v>4088557.4544739951</v>
      </c>
      <c r="AZ33" s="55">
        <f t="shared" si="14"/>
        <v>4109000.2515321635</v>
      </c>
      <c r="BA33" s="55">
        <f t="shared" si="14"/>
        <v>4129545.2625756226</v>
      </c>
      <c r="BB33" s="55">
        <f t="shared" si="14"/>
        <v>4150192.939959506</v>
      </c>
      <c r="BC33" s="55">
        <f t="shared" si="14"/>
        <v>4170943.9147386756</v>
      </c>
      <c r="BD33" s="55">
        <f t="shared" si="14"/>
        <v>4191798.6443917416</v>
      </c>
      <c r="BE33" s="55">
        <f t="shared" si="14"/>
        <v>4212757.6476930724</v>
      </c>
      <c r="BF33" s="55">
        <f t="shared" si="14"/>
        <v>0</v>
      </c>
      <c r="BG33" s="55">
        <f t="shared" si="14"/>
        <v>0</v>
      </c>
      <c r="BH33" s="55">
        <f t="shared" si="14"/>
        <v>0</v>
      </c>
      <c r="BI33" s="55">
        <f t="shared" si="14"/>
        <v>0</v>
      </c>
    </row>
    <row r="34" spans="3:61" outlineLevel="1"/>
    <row r="35" spans="3:61" ht="15" outlineLevel="1">
      <c r="C35" s="4" t="s">
        <v>27</v>
      </c>
    </row>
    <row r="36" spans="3:61" outlineLevel="1">
      <c r="C36" t="s">
        <v>28</v>
      </c>
      <c r="I36" s="46">
        <f t="shared" ref="I36:I38" si="15">SUM(J36:BI36)</f>
        <v>-50.000000000000007</v>
      </c>
      <c r="J36" s="21">
        <f>Debt!J21</f>
        <v>0</v>
      </c>
      <c r="K36" s="21">
        <f>Debt!K21</f>
        <v>0</v>
      </c>
      <c r="L36" s="21">
        <f>Debt!L21</f>
        <v>0</v>
      </c>
      <c r="M36" s="21">
        <f>Debt!M21</f>
        <v>0</v>
      </c>
      <c r="N36" s="21">
        <f>Debt!N21</f>
        <v>0</v>
      </c>
      <c r="O36" s="21">
        <f>Debt!O21</f>
        <v>0</v>
      </c>
      <c r="P36" s="21">
        <f>Debt!P21</f>
        <v>0</v>
      </c>
      <c r="Q36" s="21">
        <f>Debt!Q21</f>
        <v>0</v>
      </c>
      <c r="R36" s="21">
        <f>Debt!R21</f>
        <v>-2.083333333333333</v>
      </c>
      <c r="S36" s="21">
        <f>Debt!S21</f>
        <v>-2.083333333333333</v>
      </c>
      <c r="T36" s="21">
        <f>Debt!T21</f>
        <v>-2.083333333333333</v>
      </c>
      <c r="U36" s="21">
        <f>Debt!U21</f>
        <v>-2.083333333333333</v>
      </c>
      <c r="V36" s="21">
        <f>Debt!V21</f>
        <v>-2.083333333333333</v>
      </c>
      <c r="W36" s="21">
        <f>Debt!W21</f>
        <v>-2.083333333333333</v>
      </c>
      <c r="X36" s="21">
        <f>Debt!X21</f>
        <v>-2.083333333333333</v>
      </c>
      <c r="Y36" s="21">
        <f>Debt!Y21</f>
        <v>-2.083333333333333</v>
      </c>
      <c r="Z36" s="21">
        <f>Debt!Z21</f>
        <v>-2.083333333333333</v>
      </c>
      <c r="AA36" s="21">
        <f>Debt!AA21</f>
        <v>-2.083333333333333</v>
      </c>
      <c r="AB36" s="21">
        <f>Debt!AB21</f>
        <v>-2.083333333333333</v>
      </c>
      <c r="AC36" s="21">
        <f>Debt!AC21</f>
        <v>-2.083333333333333</v>
      </c>
      <c r="AD36" s="21">
        <f>Debt!AD21</f>
        <v>-2.083333333333333</v>
      </c>
      <c r="AE36" s="21">
        <f>Debt!AE21</f>
        <v>-2.083333333333333</v>
      </c>
      <c r="AF36" s="21">
        <f>Debt!AF21</f>
        <v>-2.083333333333333</v>
      </c>
      <c r="AG36" s="21">
        <f>Debt!AG21</f>
        <v>-2.083333333333333</v>
      </c>
      <c r="AH36" s="21">
        <f>Debt!AH21</f>
        <v>-2.083333333333333</v>
      </c>
      <c r="AI36" s="21">
        <f>Debt!AI21</f>
        <v>-2.083333333333333</v>
      </c>
      <c r="AJ36" s="21">
        <f>Debt!AJ21</f>
        <v>-2.083333333333333</v>
      </c>
      <c r="AK36" s="21">
        <f>Debt!AK21</f>
        <v>-2.083333333333333</v>
      </c>
      <c r="AL36" s="21">
        <f>Debt!AL21</f>
        <v>-2.083333333333333</v>
      </c>
      <c r="AM36" s="21">
        <f>Debt!AM21</f>
        <v>-2.083333333333333</v>
      </c>
      <c r="AN36" s="21">
        <f>Debt!AN21</f>
        <v>-2.083333333333333</v>
      </c>
      <c r="AO36" s="21">
        <f>Debt!AO21</f>
        <v>-2.083333333333333</v>
      </c>
      <c r="AP36" s="21">
        <f>Debt!AP21</f>
        <v>0</v>
      </c>
      <c r="AQ36" s="21">
        <f>Debt!AQ21</f>
        <v>0</v>
      </c>
      <c r="AR36" s="21">
        <f>Debt!AR21</f>
        <v>0</v>
      </c>
      <c r="AS36" s="21">
        <f>Debt!AS21</f>
        <v>0</v>
      </c>
      <c r="AT36" s="21">
        <f>Debt!AT21</f>
        <v>0</v>
      </c>
      <c r="AU36" s="21">
        <f>Debt!AU21</f>
        <v>0</v>
      </c>
      <c r="AV36" s="21">
        <f>Debt!AV21</f>
        <v>0</v>
      </c>
      <c r="AW36" s="21">
        <f>Debt!AW21</f>
        <v>0</v>
      </c>
      <c r="AX36" s="21">
        <f>Debt!AX21</f>
        <v>0</v>
      </c>
      <c r="AY36" s="21">
        <f>Debt!AY21</f>
        <v>0</v>
      </c>
      <c r="AZ36" s="21">
        <f>Debt!AZ21</f>
        <v>0</v>
      </c>
      <c r="BA36" s="21">
        <f>Debt!BA21</f>
        <v>0</v>
      </c>
      <c r="BB36" s="21">
        <f>Debt!BB21</f>
        <v>0</v>
      </c>
      <c r="BC36" s="21">
        <f>Debt!BC21</f>
        <v>0</v>
      </c>
      <c r="BD36" s="21">
        <f>Debt!BD21</f>
        <v>0</v>
      </c>
      <c r="BE36" s="21">
        <f>Debt!BE21</f>
        <v>0</v>
      </c>
      <c r="BF36" s="21">
        <f>Debt!BF21</f>
        <v>0</v>
      </c>
      <c r="BG36" s="21">
        <f>Debt!BG21</f>
        <v>0</v>
      </c>
      <c r="BH36" s="21">
        <f>Debt!BH21</f>
        <v>0</v>
      </c>
      <c r="BI36" s="21">
        <f>Debt!BI21</f>
        <v>0</v>
      </c>
    </row>
    <row r="37" spans="3:61" outlineLevel="1">
      <c r="C37" t="s">
        <v>29</v>
      </c>
      <c r="I37" s="46">
        <f t="shared" si="15"/>
        <v>-8.5468749999999964</v>
      </c>
      <c r="J37" s="21">
        <f>-Debt!J30</f>
        <v>0</v>
      </c>
      <c r="K37" s="21">
        <f>-Debt!K30</f>
        <v>0</v>
      </c>
      <c r="L37" s="21">
        <f>-Debt!L30</f>
        <v>0</v>
      </c>
      <c r="M37" s="21">
        <f>-Debt!M30</f>
        <v>0</v>
      </c>
      <c r="N37" s="21">
        <f>-Debt!N30</f>
        <v>0</v>
      </c>
      <c r="O37" s="21">
        <f>-Debt!O30</f>
        <v>0</v>
      </c>
      <c r="P37" s="21">
        <f>-Debt!P30</f>
        <v>0</v>
      </c>
      <c r="Q37" s="21">
        <f>-Debt!Q30</f>
        <v>0</v>
      </c>
      <c r="R37" s="21">
        <f>-Debt!R30</f>
        <v>-0.67500000000000004</v>
      </c>
      <c r="S37" s="21">
        <f>-Debt!S30</f>
        <v>-0.64687500000000009</v>
      </c>
      <c r="T37" s="21">
        <f>-Debt!T30</f>
        <v>-0.61875000000000002</v>
      </c>
      <c r="U37" s="21">
        <f>-Debt!U30</f>
        <v>-0.59062499999999996</v>
      </c>
      <c r="V37" s="21">
        <f>-Debt!V30</f>
        <v>-0.57291666666666652</v>
      </c>
      <c r="W37" s="21">
        <f>-Debt!W30</f>
        <v>-0.54427083333333315</v>
      </c>
      <c r="X37" s="21">
        <f>-Debt!X30</f>
        <v>-0.51562499999999978</v>
      </c>
      <c r="Y37" s="21">
        <f>-Debt!Y30</f>
        <v>-0.48697916666666646</v>
      </c>
      <c r="Z37" s="21">
        <f>-Debt!Z30</f>
        <v>-0.45833333333333309</v>
      </c>
      <c r="AA37" s="21">
        <f>-Debt!AA30</f>
        <v>-0.42968749999999978</v>
      </c>
      <c r="AB37" s="21">
        <f>-Debt!AB30</f>
        <v>-0.40104166666666646</v>
      </c>
      <c r="AC37" s="21">
        <f>-Debt!AC30</f>
        <v>-0.37239583333333315</v>
      </c>
      <c r="AD37" s="21">
        <f>-Debt!AD30</f>
        <v>-0.34374999999999983</v>
      </c>
      <c r="AE37" s="21">
        <f>-Debt!AE30</f>
        <v>-0.31510416666666646</v>
      </c>
      <c r="AF37" s="21">
        <f>-Debt!AF30</f>
        <v>-0.28645833333333315</v>
      </c>
      <c r="AG37" s="21">
        <f>-Debt!AG30</f>
        <v>-0.25781249999999983</v>
      </c>
      <c r="AH37" s="21">
        <f>-Debt!AH30</f>
        <v>-0.22916666666666655</v>
      </c>
      <c r="AI37" s="21">
        <f>-Debt!AI30</f>
        <v>-0.20052083333333323</v>
      </c>
      <c r="AJ37" s="21">
        <f>-Debt!AJ30</f>
        <v>-0.17187499999999992</v>
      </c>
      <c r="AK37" s="21">
        <f>-Debt!AK30</f>
        <v>-0.14322916666666657</v>
      </c>
      <c r="AL37" s="21">
        <f>-Debt!AL30</f>
        <v>-0.11458333333333327</v>
      </c>
      <c r="AM37" s="21">
        <f>-Debt!AM30</f>
        <v>-8.5937499999999944E-2</v>
      </c>
      <c r="AN37" s="21">
        <f>-Debt!AN30</f>
        <v>-5.7291666666666609E-2</v>
      </c>
      <c r="AO37" s="21">
        <f>-Debt!AO30</f>
        <v>-2.864583333333328E-2</v>
      </c>
      <c r="AP37" s="21">
        <f>-Debt!AP30</f>
        <v>0</v>
      </c>
      <c r="AQ37" s="21">
        <f>-Debt!AQ30</f>
        <v>0</v>
      </c>
      <c r="AR37" s="21">
        <f>-Debt!AR30</f>
        <v>0</v>
      </c>
      <c r="AS37" s="21">
        <f>-Debt!AS30</f>
        <v>0</v>
      </c>
      <c r="AT37" s="21">
        <f>-Debt!AT30</f>
        <v>0</v>
      </c>
      <c r="AU37" s="21">
        <f>-Debt!AU30</f>
        <v>0</v>
      </c>
      <c r="AV37" s="21">
        <f>-Debt!AV30</f>
        <v>0</v>
      </c>
      <c r="AW37" s="21">
        <f>-Debt!AW30</f>
        <v>0</v>
      </c>
      <c r="AX37" s="21">
        <f>-Debt!AX30</f>
        <v>0</v>
      </c>
      <c r="AY37" s="21">
        <f>-Debt!AY30</f>
        <v>0</v>
      </c>
      <c r="AZ37" s="21">
        <f>-Debt!AZ30</f>
        <v>0</v>
      </c>
      <c r="BA37" s="21">
        <f>-Debt!BA30</f>
        <v>0</v>
      </c>
      <c r="BB37" s="21">
        <f>-Debt!BB30</f>
        <v>0</v>
      </c>
      <c r="BC37" s="21">
        <f>-Debt!BC30</f>
        <v>0</v>
      </c>
      <c r="BD37" s="21">
        <f>-Debt!BD30</f>
        <v>0</v>
      </c>
      <c r="BE37" s="21">
        <f>-Debt!BE30</f>
        <v>0</v>
      </c>
      <c r="BF37" s="21">
        <f>-Debt!BF30</f>
        <v>0</v>
      </c>
      <c r="BG37" s="21">
        <f>-Debt!BG30</f>
        <v>0</v>
      </c>
      <c r="BH37" s="21">
        <f>-Debt!BH30</f>
        <v>0</v>
      </c>
      <c r="BI37" s="21">
        <f>-Debt!BI30</f>
        <v>0</v>
      </c>
    </row>
    <row r="38" spans="3:61" outlineLevel="1">
      <c r="C38" t="s">
        <v>20</v>
      </c>
      <c r="I38" s="46">
        <f t="shared" si="15"/>
        <v>-58.546875</v>
      </c>
      <c r="J38" s="51">
        <f>SUM(J36:J37)</f>
        <v>0</v>
      </c>
      <c r="K38" s="51">
        <f t="shared" ref="K38:BI38" si="16">SUM(K36:K37)</f>
        <v>0</v>
      </c>
      <c r="L38" s="51">
        <f t="shared" si="16"/>
        <v>0</v>
      </c>
      <c r="M38" s="51">
        <f t="shared" si="16"/>
        <v>0</v>
      </c>
      <c r="N38" s="51">
        <f t="shared" si="16"/>
        <v>0</v>
      </c>
      <c r="O38" s="51">
        <f t="shared" si="16"/>
        <v>0</v>
      </c>
      <c r="P38" s="51">
        <f t="shared" si="16"/>
        <v>0</v>
      </c>
      <c r="Q38" s="51">
        <f t="shared" si="16"/>
        <v>0</v>
      </c>
      <c r="R38" s="51">
        <f t="shared" si="16"/>
        <v>-2.7583333333333329</v>
      </c>
      <c r="S38" s="51">
        <f t="shared" si="16"/>
        <v>-2.7302083333333331</v>
      </c>
      <c r="T38" s="51">
        <f t="shared" si="16"/>
        <v>-2.7020833333333329</v>
      </c>
      <c r="U38" s="51">
        <f t="shared" si="16"/>
        <v>-2.6739583333333332</v>
      </c>
      <c r="V38" s="51">
        <f t="shared" si="16"/>
        <v>-2.6562499999999996</v>
      </c>
      <c r="W38" s="51">
        <f t="shared" si="16"/>
        <v>-2.6276041666666661</v>
      </c>
      <c r="X38" s="51">
        <f t="shared" si="16"/>
        <v>-2.598958333333333</v>
      </c>
      <c r="Y38" s="51">
        <f t="shared" si="16"/>
        <v>-2.5703124999999996</v>
      </c>
      <c r="Z38" s="51">
        <f t="shared" si="16"/>
        <v>-2.5416666666666661</v>
      </c>
      <c r="AA38" s="51">
        <f t="shared" si="16"/>
        <v>-2.513020833333333</v>
      </c>
      <c r="AB38" s="51">
        <f t="shared" si="16"/>
        <v>-2.4843749999999996</v>
      </c>
      <c r="AC38" s="51">
        <f t="shared" si="16"/>
        <v>-2.4557291666666661</v>
      </c>
      <c r="AD38" s="51">
        <f t="shared" si="16"/>
        <v>-2.427083333333333</v>
      </c>
      <c r="AE38" s="51">
        <f t="shared" si="16"/>
        <v>-2.3984374999999996</v>
      </c>
      <c r="AF38" s="51">
        <f t="shared" si="16"/>
        <v>-2.3697916666666661</v>
      </c>
      <c r="AG38" s="51">
        <f t="shared" si="16"/>
        <v>-2.341145833333333</v>
      </c>
      <c r="AH38" s="51">
        <f t="shared" si="16"/>
        <v>-2.3124999999999996</v>
      </c>
      <c r="AI38" s="51">
        <f t="shared" si="16"/>
        <v>-2.2838541666666661</v>
      </c>
      <c r="AJ38" s="51">
        <f t="shared" si="16"/>
        <v>-2.255208333333333</v>
      </c>
      <c r="AK38" s="51">
        <f t="shared" si="16"/>
        <v>-2.2265624999999996</v>
      </c>
      <c r="AL38" s="51">
        <f t="shared" si="16"/>
        <v>-2.1979166666666665</v>
      </c>
      <c r="AM38" s="51">
        <f t="shared" si="16"/>
        <v>-2.169270833333333</v>
      </c>
      <c r="AN38" s="51">
        <f t="shared" si="16"/>
        <v>-2.1406249999999996</v>
      </c>
      <c r="AO38" s="51">
        <f t="shared" si="16"/>
        <v>-2.1119791666666665</v>
      </c>
      <c r="AP38" s="51">
        <f t="shared" si="16"/>
        <v>0</v>
      </c>
      <c r="AQ38" s="51">
        <f t="shared" si="16"/>
        <v>0</v>
      </c>
      <c r="AR38" s="51">
        <f t="shared" si="16"/>
        <v>0</v>
      </c>
      <c r="AS38" s="51">
        <f t="shared" si="16"/>
        <v>0</v>
      </c>
      <c r="AT38" s="51">
        <f t="shared" si="16"/>
        <v>0</v>
      </c>
      <c r="AU38" s="51">
        <f t="shared" si="16"/>
        <v>0</v>
      </c>
      <c r="AV38" s="51">
        <f t="shared" si="16"/>
        <v>0</v>
      </c>
      <c r="AW38" s="51">
        <f t="shared" si="16"/>
        <v>0</v>
      </c>
      <c r="AX38" s="51">
        <f t="shared" si="16"/>
        <v>0</v>
      </c>
      <c r="AY38" s="51">
        <f t="shared" si="16"/>
        <v>0</v>
      </c>
      <c r="AZ38" s="51">
        <f t="shared" si="16"/>
        <v>0</v>
      </c>
      <c r="BA38" s="51">
        <f t="shared" si="16"/>
        <v>0</v>
      </c>
      <c r="BB38" s="51">
        <f t="shared" si="16"/>
        <v>0</v>
      </c>
      <c r="BC38" s="51">
        <f t="shared" si="16"/>
        <v>0</v>
      </c>
      <c r="BD38" s="51">
        <f t="shared" si="16"/>
        <v>0</v>
      </c>
      <c r="BE38" s="51">
        <f t="shared" si="16"/>
        <v>0</v>
      </c>
      <c r="BF38" s="51">
        <f t="shared" si="16"/>
        <v>0</v>
      </c>
      <c r="BG38" s="51">
        <f t="shared" si="16"/>
        <v>0</v>
      </c>
      <c r="BH38" s="51">
        <f t="shared" si="16"/>
        <v>0</v>
      </c>
      <c r="BI38" s="51">
        <f t="shared" si="16"/>
        <v>0</v>
      </c>
    </row>
    <row r="39" spans="3:61" outlineLevel="1"/>
    <row r="40" spans="3:61" outlineLevel="1">
      <c r="C40" t="s">
        <v>30</v>
      </c>
      <c r="I40" s="46">
        <f t="shared" ref="I40:I42" si="17">SUM(J40:BI40)</f>
        <v>155327062.98344871</v>
      </c>
      <c r="J40" s="55">
        <f>J33+J38</f>
        <v>0</v>
      </c>
      <c r="K40" s="55">
        <f t="shared" ref="K40:BI40" si="18">K33+K38</f>
        <v>0</v>
      </c>
      <c r="L40" s="55">
        <f t="shared" si="18"/>
        <v>0</v>
      </c>
      <c r="M40" s="55">
        <f t="shared" si="18"/>
        <v>0</v>
      </c>
      <c r="N40" s="55">
        <f t="shared" si="18"/>
        <v>0</v>
      </c>
      <c r="O40" s="55">
        <f t="shared" si="18"/>
        <v>0</v>
      </c>
      <c r="P40" s="55">
        <f t="shared" si="18"/>
        <v>0</v>
      </c>
      <c r="Q40" s="55">
        <f t="shared" si="18"/>
        <v>0</v>
      </c>
      <c r="R40" s="55">
        <f t="shared" si="18"/>
        <v>3737495.6966666668</v>
      </c>
      <c r="S40" s="55">
        <f t="shared" si="18"/>
        <v>3737495.724791667</v>
      </c>
      <c r="T40" s="55">
        <f t="shared" si="18"/>
        <v>3737495.7529166667</v>
      </c>
      <c r="U40" s="55">
        <f t="shared" si="18"/>
        <v>3737495.7810416669</v>
      </c>
      <c r="V40" s="55">
        <f t="shared" si="18"/>
        <v>3737495.7524000001</v>
      </c>
      <c r="W40" s="55">
        <f t="shared" si="18"/>
        <v>3737495.7810458336</v>
      </c>
      <c r="X40" s="55">
        <f t="shared" si="18"/>
        <v>3737495.8096916666</v>
      </c>
      <c r="Y40" s="55">
        <f t="shared" si="18"/>
        <v>3737495.8383375001</v>
      </c>
      <c r="Z40" s="55">
        <f t="shared" si="18"/>
        <v>3737495.8192428336</v>
      </c>
      <c r="AA40" s="55">
        <f t="shared" si="18"/>
        <v>3737495.8478886667</v>
      </c>
      <c r="AB40" s="55">
        <f t="shared" si="18"/>
        <v>3737495.8765345002</v>
      </c>
      <c r="AC40" s="55">
        <f t="shared" si="18"/>
        <v>3737495.9051803336</v>
      </c>
      <c r="AD40" s="55">
        <f t="shared" si="18"/>
        <v>3737495.8846534514</v>
      </c>
      <c r="AE40" s="55">
        <f t="shared" si="18"/>
        <v>3737495.9132992849</v>
      </c>
      <c r="AF40" s="55">
        <f t="shared" si="18"/>
        <v>3737495.9419451184</v>
      </c>
      <c r="AG40" s="55">
        <f t="shared" si="18"/>
        <v>3737495.9705909514</v>
      </c>
      <c r="AH40" s="55">
        <f t="shared" si="18"/>
        <v>3756183.4485888882</v>
      </c>
      <c r="AI40" s="55">
        <f t="shared" si="18"/>
        <v>3774964.4147347212</v>
      </c>
      <c r="AJ40" s="55">
        <f t="shared" si="18"/>
        <v>3793839.2855680538</v>
      </c>
      <c r="AK40" s="55">
        <f t="shared" si="18"/>
        <v>3812808.5306123248</v>
      </c>
      <c r="AL40" s="55">
        <f t="shared" si="18"/>
        <v>3831872.5695712543</v>
      </c>
      <c r="AM40" s="55">
        <f t="shared" si="18"/>
        <v>3851031.9810099187</v>
      </c>
      <c r="AN40" s="55">
        <f t="shared" si="18"/>
        <v>3870287.1893625478</v>
      </c>
      <c r="AO40" s="55">
        <f t="shared" si="18"/>
        <v>3889638.6736137108</v>
      </c>
      <c r="AP40" s="55">
        <f t="shared" si="18"/>
        <v>3909088.9447438796</v>
      </c>
      <c r="AQ40" s="55">
        <f t="shared" si="18"/>
        <v>3928634.3986916533</v>
      </c>
      <c r="AR40" s="55">
        <f t="shared" si="18"/>
        <v>3948277.5799091654</v>
      </c>
      <c r="AS40" s="55">
        <f t="shared" si="18"/>
        <v>3968018.9770327643</v>
      </c>
      <c r="AT40" s="55">
        <f t="shared" si="18"/>
        <v>3987859.0257976581</v>
      </c>
      <c r="AU40" s="55">
        <f t="shared" si="18"/>
        <v>4007798.3304274217</v>
      </c>
      <c r="AV40" s="55">
        <f t="shared" si="18"/>
        <v>4027837.3315803339</v>
      </c>
      <c r="AW40" s="55">
        <f t="shared" si="18"/>
        <v>4047976.5277390108</v>
      </c>
      <c r="AX40" s="55">
        <f t="shared" si="18"/>
        <v>4068216.3628738276</v>
      </c>
      <c r="AY40" s="55">
        <f t="shared" si="18"/>
        <v>4088557.4544739951</v>
      </c>
      <c r="AZ40" s="55">
        <f t="shared" si="18"/>
        <v>4109000.2515321635</v>
      </c>
      <c r="BA40" s="55">
        <f t="shared" si="18"/>
        <v>4129545.2625756226</v>
      </c>
      <c r="BB40" s="55">
        <f t="shared" si="18"/>
        <v>4150192.939959506</v>
      </c>
      <c r="BC40" s="55">
        <f t="shared" si="18"/>
        <v>4170943.9147386756</v>
      </c>
      <c r="BD40" s="55">
        <f t="shared" si="18"/>
        <v>4191798.6443917416</v>
      </c>
      <c r="BE40" s="55">
        <f t="shared" si="18"/>
        <v>4212757.6476930724</v>
      </c>
      <c r="BF40" s="55">
        <f t="shared" si="18"/>
        <v>0</v>
      </c>
      <c r="BG40" s="55">
        <f t="shared" si="18"/>
        <v>0</v>
      </c>
      <c r="BH40" s="55">
        <f t="shared" si="18"/>
        <v>0</v>
      </c>
      <c r="BI40" s="55">
        <f t="shared" si="18"/>
        <v>0</v>
      </c>
    </row>
    <row r="41" spans="3:61" outlineLevel="1"/>
    <row r="42" spans="3:61" outlineLevel="1">
      <c r="C42" t="s">
        <v>31</v>
      </c>
      <c r="I42" s="46">
        <f t="shared" si="17"/>
        <v>-155327062.98344871</v>
      </c>
      <c r="J42" s="21">
        <f>-Ops!J50</f>
        <v>0</v>
      </c>
      <c r="K42" s="21">
        <f>-Ops!K50</f>
        <v>0</v>
      </c>
      <c r="L42" s="21">
        <f>-Ops!L50</f>
        <v>0</v>
      </c>
      <c r="M42" s="21">
        <f>-Ops!M50</f>
        <v>0</v>
      </c>
      <c r="N42" s="21">
        <f>-Ops!N50</f>
        <v>0</v>
      </c>
      <c r="O42" s="21">
        <f>-Ops!O50</f>
        <v>0</v>
      </c>
      <c r="P42" s="21">
        <f>-Ops!P50</f>
        <v>0</v>
      </c>
      <c r="Q42" s="21">
        <f>-Ops!Q50</f>
        <v>0</v>
      </c>
      <c r="R42" s="21">
        <f>-Ops!R50</f>
        <v>-3737495.6966666668</v>
      </c>
      <c r="S42" s="21">
        <f>-Ops!S50</f>
        <v>-3737495.724791667</v>
      </c>
      <c r="T42" s="21">
        <f>-Ops!T50</f>
        <v>-3737495.7529166667</v>
      </c>
      <c r="U42" s="21">
        <f>-Ops!U50</f>
        <v>-3737495.7810416669</v>
      </c>
      <c r="V42" s="21">
        <f>-Ops!V50</f>
        <v>-3737495.7524000001</v>
      </c>
      <c r="W42" s="21">
        <f>-Ops!W50</f>
        <v>-3737495.7810458336</v>
      </c>
      <c r="X42" s="21">
        <f>-Ops!X50</f>
        <v>-3737495.8096916666</v>
      </c>
      <c r="Y42" s="21">
        <f>-Ops!Y50</f>
        <v>-3737495.8383375001</v>
      </c>
      <c r="Z42" s="21">
        <f>-Ops!Z50</f>
        <v>-3737495.8192428336</v>
      </c>
      <c r="AA42" s="21">
        <f>-Ops!AA50</f>
        <v>-3737495.8478886667</v>
      </c>
      <c r="AB42" s="21">
        <f>-Ops!AB50</f>
        <v>-3737495.8765345002</v>
      </c>
      <c r="AC42" s="21">
        <f>-Ops!AC50</f>
        <v>-3737495.9051803336</v>
      </c>
      <c r="AD42" s="21">
        <f>-Ops!AD50</f>
        <v>-3737495.8846534514</v>
      </c>
      <c r="AE42" s="21">
        <f>-Ops!AE50</f>
        <v>-3737495.9132992849</v>
      </c>
      <c r="AF42" s="21">
        <f>-Ops!AF50</f>
        <v>-3737495.9419451184</v>
      </c>
      <c r="AG42" s="21">
        <f>-Ops!AG50</f>
        <v>-3737495.9705909514</v>
      </c>
      <c r="AH42" s="21">
        <f>-Ops!AH50</f>
        <v>-3756183.4485888882</v>
      </c>
      <c r="AI42" s="21">
        <f>-Ops!AI50</f>
        <v>-3774964.4147347212</v>
      </c>
      <c r="AJ42" s="21">
        <f>-Ops!AJ50</f>
        <v>-3793839.2855680538</v>
      </c>
      <c r="AK42" s="21">
        <f>-Ops!AK50</f>
        <v>-3812808.5306123248</v>
      </c>
      <c r="AL42" s="21">
        <f>-Ops!AL50</f>
        <v>-3831872.5695712543</v>
      </c>
      <c r="AM42" s="21">
        <f>-Ops!AM50</f>
        <v>-3851031.9810099187</v>
      </c>
      <c r="AN42" s="21">
        <f>-Ops!AN50</f>
        <v>-3870287.1893625478</v>
      </c>
      <c r="AO42" s="21">
        <f>-Ops!AO50</f>
        <v>-3889638.6736137108</v>
      </c>
      <c r="AP42" s="21">
        <f>-Ops!AP50</f>
        <v>-3909088.9447438796</v>
      </c>
      <c r="AQ42" s="21">
        <f>-Ops!AQ50</f>
        <v>-3928634.3986916533</v>
      </c>
      <c r="AR42" s="21">
        <f>-Ops!AR50</f>
        <v>-3948277.5799091654</v>
      </c>
      <c r="AS42" s="21">
        <f>-Ops!AS50</f>
        <v>-3968018.9770327643</v>
      </c>
      <c r="AT42" s="21">
        <f>-Ops!AT50</f>
        <v>-3987859.0257976581</v>
      </c>
      <c r="AU42" s="21">
        <f>-Ops!AU50</f>
        <v>-4007798.3304274217</v>
      </c>
      <c r="AV42" s="21">
        <f>-Ops!AV50</f>
        <v>-4027837.3315803339</v>
      </c>
      <c r="AW42" s="21">
        <f>-Ops!AW50</f>
        <v>-4047976.5277390108</v>
      </c>
      <c r="AX42" s="21">
        <f>-Ops!AX50</f>
        <v>-4068216.3628738276</v>
      </c>
      <c r="AY42" s="21">
        <f>-Ops!AY50</f>
        <v>-4088557.4544739951</v>
      </c>
      <c r="AZ42" s="21">
        <f>-Ops!AZ50</f>
        <v>-4109000.2515321635</v>
      </c>
      <c r="BA42" s="21">
        <f>-Ops!BA50</f>
        <v>-4129545.2625756226</v>
      </c>
      <c r="BB42" s="21">
        <f>-Ops!BB50</f>
        <v>-4150192.939959506</v>
      </c>
      <c r="BC42" s="21">
        <f>-Ops!BC50</f>
        <v>-4170943.9147386756</v>
      </c>
      <c r="BD42" s="21">
        <f>-Ops!BD50</f>
        <v>-4191798.6443917416</v>
      </c>
      <c r="BE42" s="21">
        <f>-Ops!BE50</f>
        <v>-4212757.6476930724</v>
      </c>
      <c r="BF42" s="21">
        <f>-Ops!BF50</f>
        <v>0</v>
      </c>
      <c r="BG42" s="21">
        <f>-Ops!BG50</f>
        <v>0</v>
      </c>
      <c r="BH42" s="21">
        <f>-Ops!BH50</f>
        <v>0</v>
      </c>
      <c r="BI42" s="21">
        <f>-Ops!BI50</f>
        <v>0</v>
      </c>
    </row>
    <row r="43" spans="3:61" outlineLevel="1"/>
    <row r="44" spans="3:61" outlineLevel="1">
      <c r="C44" t="s">
        <v>32</v>
      </c>
      <c r="I44" s="46">
        <f t="shared" ref="I44" si="19">SUM(J44:BI44)</f>
        <v>0</v>
      </c>
      <c r="J44" s="55">
        <f>J40+J42</f>
        <v>0</v>
      </c>
      <c r="K44" s="55">
        <f t="shared" ref="K44:BI44" si="20">K40+K42</f>
        <v>0</v>
      </c>
      <c r="L44" s="55">
        <f t="shared" si="20"/>
        <v>0</v>
      </c>
      <c r="M44" s="55">
        <f t="shared" si="20"/>
        <v>0</v>
      </c>
      <c r="N44" s="55">
        <f t="shared" si="20"/>
        <v>0</v>
      </c>
      <c r="O44" s="55">
        <f t="shared" si="20"/>
        <v>0</v>
      </c>
      <c r="P44" s="55">
        <f t="shared" si="20"/>
        <v>0</v>
      </c>
      <c r="Q44" s="55">
        <f t="shared" si="20"/>
        <v>0</v>
      </c>
      <c r="R44" s="55">
        <f t="shared" si="20"/>
        <v>0</v>
      </c>
      <c r="S44" s="55">
        <f t="shared" si="20"/>
        <v>0</v>
      </c>
      <c r="T44" s="55">
        <f t="shared" si="20"/>
        <v>0</v>
      </c>
      <c r="U44" s="55">
        <f t="shared" si="20"/>
        <v>0</v>
      </c>
      <c r="V44" s="55">
        <f t="shared" si="20"/>
        <v>0</v>
      </c>
      <c r="W44" s="55">
        <f t="shared" si="20"/>
        <v>0</v>
      </c>
      <c r="X44" s="55">
        <f t="shared" si="20"/>
        <v>0</v>
      </c>
      <c r="Y44" s="55">
        <f t="shared" si="20"/>
        <v>0</v>
      </c>
      <c r="Z44" s="55">
        <f t="shared" si="20"/>
        <v>0</v>
      </c>
      <c r="AA44" s="55">
        <f t="shared" si="20"/>
        <v>0</v>
      </c>
      <c r="AB44" s="55">
        <f t="shared" si="20"/>
        <v>0</v>
      </c>
      <c r="AC44" s="55">
        <f t="shared" si="20"/>
        <v>0</v>
      </c>
      <c r="AD44" s="55">
        <f t="shared" si="20"/>
        <v>0</v>
      </c>
      <c r="AE44" s="55">
        <f t="shared" si="20"/>
        <v>0</v>
      </c>
      <c r="AF44" s="55">
        <f t="shared" si="20"/>
        <v>0</v>
      </c>
      <c r="AG44" s="55">
        <f t="shared" si="20"/>
        <v>0</v>
      </c>
      <c r="AH44" s="55">
        <f t="shared" si="20"/>
        <v>0</v>
      </c>
      <c r="AI44" s="55">
        <f t="shared" si="20"/>
        <v>0</v>
      </c>
      <c r="AJ44" s="55">
        <f t="shared" si="20"/>
        <v>0</v>
      </c>
      <c r="AK44" s="55">
        <f t="shared" si="20"/>
        <v>0</v>
      </c>
      <c r="AL44" s="55">
        <f t="shared" si="20"/>
        <v>0</v>
      </c>
      <c r="AM44" s="55">
        <f t="shared" si="20"/>
        <v>0</v>
      </c>
      <c r="AN44" s="55">
        <f t="shared" si="20"/>
        <v>0</v>
      </c>
      <c r="AO44" s="55">
        <f t="shared" si="20"/>
        <v>0</v>
      </c>
      <c r="AP44" s="55">
        <f t="shared" si="20"/>
        <v>0</v>
      </c>
      <c r="AQ44" s="55">
        <f t="shared" si="20"/>
        <v>0</v>
      </c>
      <c r="AR44" s="55">
        <f t="shared" si="20"/>
        <v>0</v>
      </c>
      <c r="AS44" s="55">
        <f t="shared" si="20"/>
        <v>0</v>
      </c>
      <c r="AT44" s="55">
        <f t="shared" si="20"/>
        <v>0</v>
      </c>
      <c r="AU44" s="55">
        <f t="shared" si="20"/>
        <v>0</v>
      </c>
      <c r="AV44" s="55">
        <f t="shared" si="20"/>
        <v>0</v>
      </c>
      <c r="AW44" s="55">
        <f t="shared" si="20"/>
        <v>0</v>
      </c>
      <c r="AX44" s="55">
        <f t="shared" si="20"/>
        <v>0</v>
      </c>
      <c r="AY44" s="55">
        <f t="shared" si="20"/>
        <v>0</v>
      </c>
      <c r="AZ44" s="55">
        <f t="shared" si="20"/>
        <v>0</v>
      </c>
      <c r="BA44" s="55">
        <f t="shared" si="20"/>
        <v>0</v>
      </c>
      <c r="BB44" s="55">
        <f t="shared" si="20"/>
        <v>0</v>
      </c>
      <c r="BC44" s="55">
        <f t="shared" si="20"/>
        <v>0</v>
      </c>
      <c r="BD44" s="55">
        <f t="shared" si="20"/>
        <v>0</v>
      </c>
      <c r="BE44" s="55">
        <f t="shared" si="20"/>
        <v>0</v>
      </c>
      <c r="BF44" s="55">
        <f t="shared" si="20"/>
        <v>0</v>
      </c>
      <c r="BG44" s="55">
        <f t="shared" si="20"/>
        <v>0</v>
      </c>
      <c r="BH44" s="55">
        <f t="shared" si="20"/>
        <v>0</v>
      </c>
      <c r="BI44" s="55">
        <f t="shared" si="20"/>
        <v>0</v>
      </c>
    </row>
    <row r="45" spans="3:61" outlineLevel="1"/>
    <row r="46" spans="3:61" outlineLevel="1">
      <c r="C46" t="s">
        <v>33</v>
      </c>
      <c r="J46" s="21">
        <f>I47</f>
        <v>0</v>
      </c>
      <c r="K46" s="21">
        <f t="shared" ref="K46:BI46" si="21">J47</f>
        <v>0</v>
      </c>
      <c r="L46" s="21">
        <f t="shared" si="21"/>
        <v>0</v>
      </c>
      <c r="M46" s="21">
        <f t="shared" si="21"/>
        <v>0</v>
      </c>
      <c r="N46" s="21">
        <f t="shared" si="21"/>
        <v>0</v>
      </c>
      <c r="O46" s="21">
        <f t="shared" si="21"/>
        <v>0</v>
      </c>
      <c r="P46" s="21">
        <f t="shared" si="21"/>
        <v>0</v>
      </c>
      <c r="Q46" s="21">
        <f t="shared" si="21"/>
        <v>0</v>
      </c>
      <c r="R46" s="21">
        <f t="shared" si="21"/>
        <v>0</v>
      </c>
      <c r="S46" s="21">
        <f t="shared" si="21"/>
        <v>0</v>
      </c>
      <c r="T46" s="21">
        <f t="shared" si="21"/>
        <v>0</v>
      </c>
      <c r="U46" s="21">
        <f t="shared" si="21"/>
        <v>0</v>
      </c>
      <c r="V46" s="21">
        <f t="shared" si="21"/>
        <v>0</v>
      </c>
      <c r="W46" s="21">
        <f t="shared" si="21"/>
        <v>0</v>
      </c>
      <c r="X46" s="21">
        <f t="shared" si="21"/>
        <v>0</v>
      </c>
      <c r="Y46" s="21">
        <f t="shared" si="21"/>
        <v>0</v>
      </c>
      <c r="Z46" s="21">
        <f t="shared" si="21"/>
        <v>0</v>
      </c>
      <c r="AA46" s="21">
        <f t="shared" si="21"/>
        <v>0</v>
      </c>
      <c r="AB46" s="21">
        <f t="shared" si="21"/>
        <v>0</v>
      </c>
      <c r="AC46" s="21">
        <f t="shared" si="21"/>
        <v>0</v>
      </c>
      <c r="AD46" s="21">
        <f t="shared" si="21"/>
        <v>0</v>
      </c>
      <c r="AE46" s="21">
        <f t="shared" si="21"/>
        <v>0</v>
      </c>
      <c r="AF46" s="21">
        <f t="shared" si="21"/>
        <v>0</v>
      </c>
      <c r="AG46" s="21">
        <f t="shared" si="21"/>
        <v>0</v>
      </c>
      <c r="AH46" s="21">
        <f t="shared" si="21"/>
        <v>0</v>
      </c>
      <c r="AI46" s="21">
        <f t="shared" si="21"/>
        <v>0</v>
      </c>
      <c r="AJ46" s="21">
        <f t="shared" si="21"/>
        <v>0</v>
      </c>
      <c r="AK46" s="21">
        <f t="shared" si="21"/>
        <v>0</v>
      </c>
      <c r="AL46" s="21">
        <f t="shared" si="21"/>
        <v>0</v>
      </c>
      <c r="AM46" s="21">
        <f t="shared" si="21"/>
        <v>0</v>
      </c>
      <c r="AN46" s="21">
        <f t="shared" si="21"/>
        <v>0</v>
      </c>
      <c r="AO46" s="21">
        <f t="shared" si="21"/>
        <v>0</v>
      </c>
      <c r="AP46" s="21">
        <f t="shared" si="21"/>
        <v>0</v>
      </c>
      <c r="AQ46" s="21">
        <f t="shared" si="21"/>
        <v>0</v>
      </c>
      <c r="AR46" s="21">
        <f t="shared" si="21"/>
        <v>0</v>
      </c>
      <c r="AS46" s="21">
        <f t="shared" si="21"/>
        <v>0</v>
      </c>
      <c r="AT46" s="21">
        <f t="shared" si="21"/>
        <v>0</v>
      </c>
      <c r="AU46" s="21">
        <f t="shared" si="21"/>
        <v>0</v>
      </c>
      <c r="AV46" s="21">
        <f t="shared" si="21"/>
        <v>0</v>
      </c>
      <c r="AW46" s="21">
        <f t="shared" si="21"/>
        <v>0</v>
      </c>
      <c r="AX46" s="21">
        <f t="shared" si="21"/>
        <v>0</v>
      </c>
      <c r="AY46" s="21">
        <f t="shared" si="21"/>
        <v>0</v>
      </c>
      <c r="AZ46" s="21">
        <f t="shared" si="21"/>
        <v>0</v>
      </c>
      <c r="BA46" s="21">
        <f t="shared" si="21"/>
        <v>0</v>
      </c>
      <c r="BB46" s="21">
        <f t="shared" si="21"/>
        <v>0</v>
      </c>
      <c r="BC46" s="21">
        <f t="shared" si="21"/>
        <v>0</v>
      </c>
      <c r="BD46" s="21">
        <f t="shared" si="21"/>
        <v>0</v>
      </c>
      <c r="BE46" s="21">
        <f t="shared" si="21"/>
        <v>0</v>
      </c>
      <c r="BF46" s="21">
        <f t="shared" si="21"/>
        <v>0</v>
      </c>
      <c r="BG46" s="21">
        <f t="shared" si="21"/>
        <v>0</v>
      </c>
      <c r="BH46" s="21">
        <f t="shared" si="21"/>
        <v>0</v>
      </c>
      <c r="BI46" s="21">
        <f t="shared" si="21"/>
        <v>0</v>
      </c>
    </row>
    <row r="47" spans="3:61" ht="13.5" outlineLevel="1" thickBot="1">
      <c r="C47" t="s">
        <v>34</v>
      </c>
      <c r="I47" s="18"/>
      <c r="J47" s="47">
        <f>J44+J46</f>
        <v>0</v>
      </c>
      <c r="K47" s="47">
        <f t="shared" ref="K47:BI47" si="22">K44+K46</f>
        <v>0</v>
      </c>
      <c r="L47" s="47">
        <f t="shared" si="22"/>
        <v>0</v>
      </c>
      <c r="M47" s="47">
        <f t="shared" si="22"/>
        <v>0</v>
      </c>
      <c r="N47" s="47">
        <f t="shared" si="22"/>
        <v>0</v>
      </c>
      <c r="O47" s="47">
        <f t="shared" si="22"/>
        <v>0</v>
      </c>
      <c r="P47" s="47">
        <f t="shared" si="22"/>
        <v>0</v>
      </c>
      <c r="Q47" s="47">
        <f t="shared" si="22"/>
        <v>0</v>
      </c>
      <c r="R47" s="47">
        <f t="shared" si="22"/>
        <v>0</v>
      </c>
      <c r="S47" s="47">
        <f t="shared" si="22"/>
        <v>0</v>
      </c>
      <c r="T47" s="47">
        <f t="shared" si="22"/>
        <v>0</v>
      </c>
      <c r="U47" s="47">
        <f t="shared" si="22"/>
        <v>0</v>
      </c>
      <c r="V47" s="47">
        <f t="shared" si="22"/>
        <v>0</v>
      </c>
      <c r="W47" s="47">
        <f t="shared" si="22"/>
        <v>0</v>
      </c>
      <c r="X47" s="47">
        <f t="shared" si="22"/>
        <v>0</v>
      </c>
      <c r="Y47" s="47">
        <f t="shared" si="22"/>
        <v>0</v>
      </c>
      <c r="Z47" s="47">
        <f t="shared" si="22"/>
        <v>0</v>
      </c>
      <c r="AA47" s="47">
        <f t="shared" si="22"/>
        <v>0</v>
      </c>
      <c r="AB47" s="47">
        <f t="shared" si="22"/>
        <v>0</v>
      </c>
      <c r="AC47" s="47">
        <f t="shared" si="22"/>
        <v>0</v>
      </c>
      <c r="AD47" s="47">
        <f t="shared" si="22"/>
        <v>0</v>
      </c>
      <c r="AE47" s="47">
        <f t="shared" si="22"/>
        <v>0</v>
      </c>
      <c r="AF47" s="47">
        <f t="shared" si="22"/>
        <v>0</v>
      </c>
      <c r="AG47" s="47">
        <f t="shared" si="22"/>
        <v>0</v>
      </c>
      <c r="AH47" s="47">
        <f t="shared" si="22"/>
        <v>0</v>
      </c>
      <c r="AI47" s="47">
        <f t="shared" si="22"/>
        <v>0</v>
      </c>
      <c r="AJ47" s="47">
        <f t="shared" si="22"/>
        <v>0</v>
      </c>
      <c r="AK47" s="47">
        <f t="shared" si="22"/>
        <v>0</v>
      </c>
      <c r="AL47" s="47">
        <f t="shared" si="22"/>
        <v>0</v>
      </c>
      <c r="AM47" s="47">
        <f t="shared" si="22"/>
        <v>0</v>
      </c>
      <c r="AN47" s="47">
        <f t="shared" si="22"/>
        <v>0</v>
      </c>
      <c r="AO47" s="47">
        <f t="shared" si="22"/>
        <v>0</v>
      </c>
      <c r="AP47" s="47">
        <f t="shared" si="22"/>
        <v>0</v>
      </c>
      <c r="AQ47" s="47">
        <f t="shared" si="22"/>
        <v>0</v>
      </c>
      <c r="AR47" s="47">
        <f t="shared" si="22"/>
        <v>0</v>
      </c>
      <c r="AS47" s="47">
        <f t="shared" si="22"/>
        <v>0</v>
      </c>
      <c r="AT47" s="47">
        <f t="shared" si="22"/>
        <v>0</v>
      </c>
      <c r="AU47" s="47">
        <f t="shared" si="22"/>
        <v>0</v>
      </c>
      <c r="AV47" s="47">
        <f t="shared" si="22"/>
        <v>0</v>
      </c>
      <c r="AW47" s="47">
        <f t="shared" si="22"/>
        <v>0</v>
      </c>
      <c r="AX47" s="47">
        <f t="shared" si="22"/>
        <v>0</v>
      </c>
      <c r="AY47" s="47">
        <f t="shared" si="22"/>
        <v>0</v>
      </c>
      <c r="AZ47" s="47">
        <f t="shared" si="22"/>
        <v>0</v>
      </c>
      <c r="BA47" s="47">
        <f t="shared" si="22"/>
        <v>0</v>
      </c>
      <c r="BB47" s="47">
        <f t="shared" si="22"/>
        <v>0</v>
      </c>
      <c r="BC47" s="47">
        <f t="shared" si="22"/>
        <v>0</v>
      </c>
      <c r="BD47" s="47">
        <f t="shared" si="22"/>
        <v>0</v>
      </c>
      <c r="BE47" s="47">
        <f t="shared" si="22"/>
        <v>0</v>
      </c>
      <c r="BF47" s="47">
        <f t="shared" si="22"/>
        <v>0</v>
      </c>
      <c r="BG47" s="47">
        <f t="shared" si="22"/>
        <v>0</v>
      </c>
      <c r="BH47" s="47">
        <f t="shared" si="22"/>
        <v>0</v>
      </c>
      <c r="BI47" s="47">
        <f t="shared" si="22"/>
        <v>0</v>
      </c>
    </row>
    <row r="48" spans="3:61" ht="13.5" outlineLevel="1" thickTop="1"/>
  </sheetData>
  <conditionalFormatting sqref="J6:BI6">
    <cfRule type="cellIs" dxfId="11" priority="2" operator="equal">
      <formula>1</formula>
    </cfRule>
  </conditionalFormatting>
  <conditionalFormatting sqref="J7:BI7">
    <cfRule type="cellIs" dxfId="1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FFFF96"/>
    <outlinePr summaryBelow="0"/>
    <pageSetUpPr fitToPage="1"/>
  </sheetPr>
  <dimension ref="A1:AZ64"/>
  <sheetViews>
    <sheetView showGridLines="0" zoomScaleNormal="100" workbookViewId="0">
      <pane ySplit="2" topLeftCell="A3" activePane="bottomLeft" state="frozen"/>
      <selection pane="bottomLeft" activeCell="H72" sqref="H72"/>
      <selection activeCell="A3" sqref="A3"/>
    </sheetView>
  </sheetViews>
  <sheetFormatPr defaultColWidth="0" defaultRowHeight="12.75" outlineLevelRow="1"/>
  <cols>
    <col min="1" max="1" width="2.7109375" customWidth="1"/>
    <col min="2" max="2" width="3.42578125" customWidth="1"/>
    <col min="3" max="3" width="40.42578125" customWidth="1"/>
    <col min="4" max="4" width="19.7109375" customWidth="1"/>
    <col min="5" max="5" width="12.5703125" customWidth="1"/>
    <col min="6" max="6" width="15.7109375" customWidth="1"/>
    <col min="7" max="7" width="13.7109375" customWidth="1"/>
    <col min="8" max="14" width="13" customWidth="1"/>
    <col min="15" max="17" width="12" customWidth="1"/>
    <col min="18" max="18" width="1.7109375" customWidth="1"/>
    <col min="19" max="35" width="12" hidden="1" customWidth="1"/>
    <col min="36" max="36" width="9.7109375" hidden="1" customWidth="1"/>
    <col min="37" max="38" width="9.5703125" hidden="1" customWidth="1"/>
    <col min="39" max="41" width="9.42578125" hidden="1" customWidth="1"/>
    <col min="42" max="42" width="9.5703125" hidden="1" customWidth="1"/>
    <col min="43" max="43" width="9.42578125" hidden="1" customWidth="1"/>
    <col min="44" max="45" width="9.28515625" hidden="1" customWidth="1"/>
    <col min="46" max="46" width="9.42578125" hidden="1" customWidth="1"/>
    <col min="47" max="48" width="9.28515625" hidden="1" customWidth="1"/>
    <col min="49" max="49" width="9.42578125" hidden="1" customWidth="1"/>
    <col min="50" max="50" width="9.28515625" hidden="1" customWidth="1"/>
    <col min="51" max="51" width="9.42578125" hidden="1" customWidth="1"/>
    <col min="52" max="52" width="9.28515625" hidden="1" customWidth="1"/>
    <col min="53" max="16384" width="9.140625" hidden="1"/>
  </cols>
  <sheetData>
    <row r="1" spans="1:17" ht="23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4" spans="1:17" ht="24" thickBot="1">
      <c r="C4" s="31" t="s">
        <v>36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ht="20.25" outlineLevel="1">
      <c r="C5" s="33" t="s">
        <v>37</v>
      </c>
    </row>
    <row r="6" spans="1:17" outlineLevel="1">
      <c r="C6" t="s">
        <v>38</v>
      </c>
      <c r="D6" s="8" t="s">
        <v>39</v>
      </c>
      <c r="E6" s="29">
        <v>40908</v>
      </c>
    </row>
    <row r="7" spans="1:17" outlineLevel="1"/>
    <row r="8" spans="1:17" ht="20.25" outlineLevel="1">
      <c r="C8" s="7" t="s">
        <v>40</v>
      </c>
    </row>
    <row r="9" spans="1:17" outlineLevel="1">
      <c r="C9" t="s">
        <v>37</v>
      </c>
      <c r="D9" s="8" t="s">
        <v>39</v>
      </c>
      <c r="E9" s="6">
        <f>Model_Start+1</f>
        <v>40909</v>
      </c>
    </row>
    <row r="10" spans="1:17" outlineLevel="1">
      <c r="C10" t="s">
        <v>41</v>
      </c>
      <c r="D10" s="8" t="s">
        <v>42</v>
      </c>
      <c r="E10" s="34">
        <v>8</v>
      </c>
    </row>
    <row r="11" spans="1:17" outlineLevel="1">
      <c r="C11" t="s">
        <v>43</v>
      </c>
      <c r="D11" s="8" t="s">
        <v>39</v>
      </c>
      <c r="E11" s="6">
        <f>EOMONTH(E9,E10*Months_Qtr-1)</f>
        <v>41639</v>
      </c>
    </row>
    <row r="12" spans="1:17" outlineLevel="1"/>
    <row r="13" spans="1:17" ht="20.25" outlineLevel="1">
      <c r="C13" s="7" t="s">
        <v>44</v>
      </c>
    </row>
    <row r="14" spans="1:17" outlineLevel="1">
      <c r="C14" t="s">
        <v>37</v>
      </c>
      <c r="D14" s="8" t="s">
        <v>39</v>
      </c>
      <c r="E14" s="6">
        <f>E11+1</f>
        <v>41640</v>
      </c>
    </row>
    <row r="15" spans="1:17" outlineLevel="1">
      <c r="C15" t="s">
        <v>41</v>
      </c>
      <c r="D15" s="8" t="s">
        <v>45</v>
      </c>
      <c r="E15" s="30">
        <v>10</v>
      </c>
    </row>
    <row r="16" spans="1:17" outlineLevel="1">
      <c r="C16" t="s">
        <v>43</v>
      </c>
      <c r="D16" s="8" t="s">
        <v>39</v>
      </c>
      <c r="E16" s="6">
        <f>EOMONTH(E14,E15*Months_Yr-1)</f>
        <v>45291</v>
      </c>
    </row>
    <row r="18" spans="3:17" ht="24" thickBot="1">
      <c r="C18" s="31" t="s">
        <v>40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3:17" ht="20.25" outlineLevel="1">
      <c r="C19" s="7" t="s">
        <v>46</v>
      </c>
    </row>
    <row r="20" spans="3:17" outlineLevel="1">
      <c r="C20" t="s">
        <v>47</v>
      </c>
      <c r="D20" s="8" t="s">
        <v>48</v>
      </c>
      <c r="E20" s="28">
        <v>60</v>
      </c>
    </row>
    <row r="21" spans="3:17" outlineLevel="1"/>
    <row r="22" spans="3:17" ht="15" outlineLevel="1">
      <c r="C22" s="4" t="s">
        <v>49</v>
      </c>
      <c r="E22" s="25" t="s">
        <v>20</v>
      </c>
      <c r="F22" s="40">
        <v>1</v>
      </c>
      <c r="G22" s="40">
        <f t="shared" ref="G22:Q22" si="0">F22+1</f>
        <v>2</v>
      </c>
      <c r="H22" s="40">
        <f t="shared" si="0"/>
        <v>3</v>
      </c>
      <c r="I22" s="40">
        <f t="shared" si="0"/>
        <v>4</v>
      </c>
      <c r="J22" s="40">
        <f t="shared" si="0"/>
        <v>5</v>
      </c>
      <c r="K22" s="40">
        <f t="shared" si="0"/>
        <v>6</v>
      </c>
      <c r="L22" s="40">
        <f t="shared" si="0"/>
        <v>7</v>
      </c>
      <c r="M22" s="40">
        <f t="shared" si="0"/>
        <v>8</v>
      </c>
      <c r="N22" s="40">
        <f t="shared" si="0"/>
        <v>9</v>
      </c>
      <c r="O22" s="40">
        <f t="shared" si="0"/>
        <v>10</v>
      </c>
      <c r="P22" s="40">
        <f t="shared" si="0"/>
        <v>11</v>
      </c>
      <c r="Q22" s="40">
        <f t="shared" si="0"/>
        <v>12</v>
      </c>
    </row>
    <row r="23" spans="3:17" outlineLevel="1">
      <c r="C23" t="s">
        <v>50</v>
      </c>
      <c r="D23" s="8" t="s">
        <v>51</v>
      </c>
      <c r="E23" s="24">
        <f>SUM(F23:Q23)</f>
        <v>1</v>
      </c>
      <c r="F23" s="19">
        <v>0.125</v>
      </c>
      <c r="G23" s="19">
        <v>0.125</v>
      </c>
      <c r="H23" s="19">
        <v>0.125</v>
      </c>
      <c r="I23" s="19">
        <v>0.125</v>
      </c>
      <c r="J23" s="19">
        <v>0.125</v>
      </c>
      <c r="K23" s="19">
        <v>0.125</v>
      </c>
      <c r="L23" s="19">
        <v>0.125</v>
      </c>
      <c r="M23" s="19">
        <v>0.125</v>
      </c>
      <c r="N23" s="19"/>
      <c r="O23" s="19"/>
      <c r="P23" s="19"/>
      <c r="Q23" s="19"/>
    </row>
    <row r="25" spans="3:17" ht="24" thickBot="1">
      <c r="C25" s="31" t="s">
        <v>52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3:17" ht="20.25" outlineLevel="1">
      <c r="C26" s="7" t="s">
        <v>53</v>
      </c>
    </row>
    <row r="27" spans="3:17" outlineLevel="1">
      <c r="C27" t="s">
        <v>54</v>
      </c>
      <c r="E27" s="26">
        <v>1</v>
      </c>
      <c r="F27" s="26">
        <f>E27+1</f>
        <v>2</v>
      </c>
      <c r="G27" s="26">
        <f t="shared" ref="G27:N27" si="1">F27+1</f>
        <v>3</v>
      </c>
      <c r="H27" s="26">
        <f t="shared" si="1"/>
        <v>4</v>
      </c>
      <c r="I27" s="26">
        <f t="shared" si="1"/>
        <v>5</v>
      </c>
      <c r="J27" s="26">
        <f t="shared" si="1"/>
        <v>6</v>
      </c>
      <c r="K27" s="26">
        <f t="shared" si="1"/>
        <v>7</v>
      </c>
      <c r="L27" s="26">
        <f t="shared" si="1"/>
        <v>8</v>
      </c>
      <c r="M27" s="26">
        <f t="shared" si="1"/>
        <v>9</v>
      </c>
      <c r="N27" s="63">
        <f t="shared" si="1"/>
        <v>10</v>
      </c>
    </row>
    <row r="28" spans="3:17" outlineLevel="1">
      <c r="C28" t="s">
        <v>53</v>
      </c>
      <c r="D28" s="8" t="s">
        <v>55</v>
      </c>
      <c r="E28" s="36">
        <v>130000</v>
      </c>
      <c r="F28" s="65">
        <f>E28</f>
        <v>130000</v>
      </c>
      <c r="G28" s="65">
        <f t="shared" ref="G28:N28" si="2">F28</f>
        <v>130000</v>
      </c>
      <c r="H28" s="65">
        <f t="shared" si="2"/>
        <v>130000</v>
      </c>
      <c r="I28" s="65">
        <f t="shared" si="2"/>
        <v>130000</v>
      </c>
      <c r="J28" s="65">
        <f t="shared" si="2"/>
        <v>130000</v>
      </c>
      <c r="K28" s="65">
        <f t="shared" si="2"/>
        <v>130000</v>
      </c>
      <c r="L28" s="65">
        <f t="shared" si="2"/>
        <v>130000</v>
      </c>
      <c r="M28" s="65">
        <f t="shared" si="2"/>
        <v>130000</v>
      </c>
      <c r="N28" s="65">
        <f t="shared" si="2"/>
        <v>130000</v>
      </c>
    </row>
    <row r="29" spans="3:17" outlineLevel="1">
      <c r="D29" s="8"/>
    </row>
    <row r="30" spans="3:17" ht="20.25" outlineLevel="1">
      <c r="C30" s="7" t="s">
        <v>56</v>
      </c>
      <c r="D30" s="8"/>
    </row>
    <row r="31" spans="3:17" outlineLevel="1">
      <c r="C31" t="s">
        <v>54</v>
      </c>
      <c r="D31" s="8"/>
      <c r="F31" s="25">
        <f>YEAR(COD)</f>
        <v>2014</v>
      </c>
      <c r="G31" s="25">
        <f>F31+1</f>
        <v>2015</v>
      </c>
      <c r="H31" s="25">
        <f>G31+1</f>
        <v>2016</v>
      </c>
      <c r="I31" s="78">
        <f>H31+1</f>
        <v>2017</v>
      </c>
    </row>
    <row r="32" spans="3:17" outlineLevel="1">
      <c r="C32" s="32" t="s">
        <v>56</v>
      </c>
      <c r="D32" s="8" t="s">
        <v>57</v>
      </c>
      <c r="F32" s="60">
        <v>110</v>
      </c>
      <c r="G32" s="60">
        <v>112</v>
      </c>
      <c r="H32" s="60">
        <v>114.5</v>
      </c>
      <c r="I32" s="60">
        <v>115</v>
      </c>
    </row>
    <row r="33" spans="3:17">
      <c r="D33" s="8"/>
    </row>
    <row r="34" spans="3:17" ht="24" thickBot="1">
      <c r="C34" s="31" t="s">
        <v>58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spans="3:17" ht="20.25" outlineLevel="1">
      <c r="C35" s="7" t="s">
        <v>18</v>
      </c>
      <c r="D35" s="8"/>
    </row>
    <row r="36" spans="3:17" ht="15" outlineLevel="1">
      <c r="C36" s="4" t="s">
        <v>59</v>
      </c>
      <c r="D36" s="8"/>
      <c r="E36" s="26">
        <v>1</v>
      </c>
      <c r="F36" s="26">
        <f>E36+1</f>
        <v>2</v>
      </c>
      <c r="G36" s="26">
        <f t="shared" ref="G36" si="3">F36+1</f>
        <v>3</v>
      </c>
      <c r="H36" s="26">
        <f t="shared" ref="H36" si="4">G36+1</f>
        <v>4</v>
      </c>
      <c r="I36" s="26">
        <f t="shared" ref="I36" si="5">H36+1</f>
        <v>5</v>
      </c>
      <c r="J36" s="26">
        <f t="shared" ref="J36" si="6">I36+1</f>
        <v>6</v>
      </c>
      <c r="K36" s="26">
        <f t="shared" ref="K36" si="7">J36+1</f>
        <v>7</v>
      </c>
      <c r="L36" s="26">
        <f t="shared" ref="L36" si="8">K36+1</f>
        <v>8</v>
      </c>
      <c r="M36" s="26">
        <f t="shared" ref="M36" si="9">L36+1</f>
        <v>9</v>
      </c>
      <c r="N36" s="63">
        <f t="shared" ref="N36" si="10">M36+1</f>
        <v>10</v>
      </c>
    </row>
    <row r="37" spans="3:17" outlineLevel="1">
      <c r="C37" t="s">
        <v>60</v>
      </c>
      <c r="D37" s="8" t="s">
        <v>48</v>
      </c>
      <c r="E37" s="28">
        <v>0.51500000000000001</v>
      </c>
      <c r="F37" s="28">
        <v>0.53044999999999998</v>
      </c>
      <c r="G37" s="28">
        <v>0.5463635</v>
      </c>
      <c r="H37" s="28">
        <v>0.56275440500000007</v>
      </c>
      <c r="I37" s="28">
        <v>0.57963703715000003</v>
      </c>
      <c r="J37" s="28">
        <v>0.59702614826450007</v>
      </c>
      <c r="K37" s="28">
        <v>0.6149369327124351</v>
      </c>
      <c r="L37" s="28">
        <v>0.63338504069380819</v>
      </c>
      <c r="M37" s="28">
        <v>0.65238659191462245</v>
      </c>
      <c r="N37" s="28">
        <v>0.67195818967206111</v>
      </c>
    </row>
    <row r="38" spans="3:17" outlineLevel="1">
      <c r="C38" t="s">
        <v>61</v>
      </c>
      <c r="D38" s="8" t="s">
        <v>48</v>
      </c>
      <c r="E38" s="28">
        <v>1.03</v>
      </c>
      <c r="F38" s="28">
        <v>1.0609</v>
      </c>
      <c r="G38" s="28">
        <v>1.092727</v>
      </c>
      <c r="H38" s="28">
        <v>1.1255088100000001</v>
      </c>
      <c r="I38" s="28">
        <v>1.1592740743000001</v>
      </c>
      <c r="J38" s="28">
        <v>1.1940522965290001</v>
      </c>
      <c r="K38" s="28">
        <v>1.2298738654248702</v>
      </c>
      <c r="L38" s="28">
        <v>1.2667700813876164</v>
      </c>
      <c r="M38" s="28">
        <v>1.3047731838292449</v>
      </c>
      <c r="N38" s="28">
        <v>1.3439163793441222</v>
      </c>
    </row>
    <row r="39" spans="3:17" outlineLevel="1">
      <c r="C39" t="s">
        <v>62</v>
      </c>
      <c r="D39" s="8" t="s">
        <v>48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spans="3:17" outlineLevel="1">
      <c r="D40" s="8"/>
    </row>
    <row r="41" spans="3:17" ht="20.25" outlineLevel="1">
      <c r="C41" s="7" t="s">
        <v>19</v>
      </c>
      <c r="D41" s="8"/>
    </row>
    <row r="42" spans="3:17" ht="15" outlineLevel="1">
      <c r="C42" s="4" t="s">
        <v>63</v>
      </c>
      <c r="D42" s="8"/>
      <c r="E42" s="26">
        <v>1</v>
      </c>
      <c r="F42" s="26">
        <f>E42+1</f>
        <v>2</v>
      </c>
      <c r="G42" s="26">
        <f t="shared" ref="G42" si="11">F42+1</f>
        <v>3</v>
      </c>
      <c r="H42" s="26">
        <f t="shared" ref="H42" si="12">G42+1</f>
        <v>4</v>
      </c>
      <c r="I42" s="26">
        <f t="shared" ref="I42" si="13">H42+1</f>
        <v>5</v>
      </c>
      <c r="J42" s="26">
        <f t="shared" ref="J42" si="14">I42+1</f>
        <v>6</v>
      </c>
      <c r="K42" s="26">
        <f t="shared" ref="K42" si="15">J42+1</f>
        <v>7</v>
      </c>
      <c r="L42" s="26">
        <f t="shared" ref="L42" si="16">K42+1</f>
        <v>8</v>
      </c>
      <c r="M42" s="26">
        <f t="shared" ref="M42" si="17">L42+1</f>
        <v>9</v>
      </c>
      <c r="N42" s="63">
        <f t="shared" ref="N42" si="18">M42+1</f>
        <v>10</v>
      </c>
    </row>
    <row r="43" spans="3:17" outlineLevel="1">
      <c r="C43" t="s">
        <v>64</v>
      </c>
      <c r="D43" s="8" t="s">
        <v>65</v>
      </c>
      <c r="E43" s="28">
        <v>1.5449999999999999</v>
      </c>
      <c r="F43" s="28">
        <v>1.5913499999999998</v>
      </c>
      <c r="G43" s="28">
        <v>1.6390905</v>
      </c>
      <c r="H43" s="28">
        <v>1.6882632150000001</v>
      </c>
      <c r="I43" s="28">
        <v>1.7389111114500002</v>
      </c>
      <c r="J43" s="28">
        <v>1.7910784447935002</v>
      </c>
      <c r="K43" s="28">
        <v>1.8448107981373054</v>
      </c>
      <c r="L43" s="28">
        <v>1.9001551220814246</v>
      </c>
      <c r="M43" s="28">
        <v>1.9571597757438672</v>
      </c>
      <c r="N43" s="28">
        <v>2.0158745690161832</v>
      </c>
    </row>
    <row r="44" spans="3:17" outlineLevel="1">
      <c r="C44" t="s">
        <v>62</v>
      </c>
      <c r="D44" s="8" t="s">
        <v>65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3:17" outlineLevel="1">
      <c r="C45" t="s">
        <v>62</v>
      </c>
      <c r="D45" s="8" t="s">
        <v>65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3:17">
      <c r="D46" s="8"/>
    </row>
    <row r="47" spans="3:17" ht="24" thickBot="1">
      <c r="C47" s="31" t="s">
        <v>23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3:17" ht="20.25" outlineLevel="1">
      <c r="C48" s="7" t="s">
        <v>66</v>
      </c>
      <c r="D48" s="8"/>
    </row>
    <row r="49" spans="3:17" outlineLevel="1">
      <c r="C49" t="s">
        <v>67</v>
      </c>
      <c r="D49" s="8" t="s">
        <v>48</v>
      </c>
      <c r="E49" s="28">
        <v>50</v>
      </c>
    </row>
    <row r="50" spans="3:17" outlineLevel="1">
      <c r="D50" s="8"/>
    </row>
    <row r="51" spans="3:17" outlineLevel="1">
      <c r="C51" t="s">
        <v>54</v>
      </c>
      <c r="D51" s="8"/>
      <c r="E51" s="25" t="s">
        <v>68</v>
      </c>
      <c r="F51" s="26">
        <v>1</v>
      </c>
      <c r="G51" s="26">
        <v>2</v>
      </c>
      <c r="H51" s="26">
        <v>3</v>
      </c>
      <c r="I51" s="27">
        <v>4</v>
      </c>
    </row>
    <row r="52" spans="3:17" outlineLevel="1">
      <c r="C52" t="s">
        <v>69</v>
      </c>
      <c r="D52" s="8" t="s">
        <v>70</v>
      </c>
      <c r="E52" s="19">
        <v>3.5000000000000003E-2</v>
      </c>
      <c r="F52" s="19">
        <v>2.5000000000000001E-2</v>
      </c>
      <c r="G52" s="19">
        <v>2.5000000000000001E-2</v>
      </c>
      <c r="H52" s="19">
        <v>2.5000000000000001E-2</v>
      </c>
      <c r="I52" s="19">
        <v>2.5000000000000001E-2</v>
      </c>
    </row>
    <row r="53" spans="3:17" outlineLevel="1">
      <c r="D53" s="8"/>
    </row>
    <row r="54" spans="3:17" ht="15" outlineLevel="1">
      <c r="C54" s="4" t="s">
        <v>71</v>
      </c>
      <c r="D54" s="8"/>
      <c r="G54" s="25" t="s">
        <v>72</v>
      </c>
      <c r="H54" s="25" t="s">
        <v>73</v>
      </c>
    </row>
    <row r="55" spans="3:17" outlineLevel="1">
      <c r="C55" t="s">
        <v>74</v>
      </c>
      <c r="D55" s="8" t="s">
        <v>45</v>
      </c>
      <c r="E55" s="30">
        <v>6</v>
      </c>
      <c r="G55" s="35">
        <f>E14</f>
        <v>41640</v>
      </c>
      <c r="H55" s="35">
        <f>EOMONTH(G55,E55*Months_Yr-1)</f>
        <v>43830</v>
      </c>
    </row>
    <row r="56" spans="3:17" outlineLevel="1">
      <c r="D56" s="8"/>
    </row>
    <row r="57" spans="3:17" ht="14.25" outlineLevel="1">
      <c r="C57" s="3" t="s">
        <v>75</v>
      </c>
      <c r="D57" s="8"/>
    </row>
    <row r="58" spans="3:17" outlineLevel="1">
      <c r="C58" t="s">
        <v>76</v>
      </c>
      <c r="D58" s="8" t="s">
        <v>70</v>
      </c>
      <c r="E58" s="64">
        <f>1/E55</f>
        <v>0.16666666666666666</v>
      </c>
    </row>
    <row r="59" spans="3:17">
      <c r="D59" s="8"/>
    </row>
    <row r="60" spans="3:17" ht="24" thickBot="1">
      <c r="C60" s="31" t="s">
        <v>77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3:17" ht="20.25" outlineLevel="1">
      <c r="C61" s="7" t="s">
        <v>78</v>
      </c>
      <c r="D61" s="8"/>
    </row>
    <row r="62" spans="3:17" outlineLevel="1">
      <c r="C62" t="s">
        <v>13</v>
      </c>
      <c r="D62" s="8" t="s">
        <v>79</v>
      </c>
      <c r="F62" s="25">
        <f>YEAR(E9)</f>
        <v>2012</v>
      </c>
      <c r="G62" s="25">
        <f>F62+1</f>
        <v>2013</v>
      </c>
      <c r="H62" s="25">
        <f>G62+1</f>
        <v>2014</v>
      </c>
      <c r="I62" s="78">
        <f>H62+1</f>
        <v>2015</v>
      </c>
    </row>
    <row r="63" spans="3:17" outlineLevel="1">
      <c r="C63" t="s">
        <v>80</v>
      </c>
      <c r="D63" s="8" t="s">
        <v>70</v>
      </c>
      <c r="F63" s="19">
        <v>3.5999999999999997E-2</v>
      </c>
      <c r="G63" s="19">
        <v>0.03</v>
      </c>
      <c r="H63" s="19">
        <v>2.9000000000000001E-2</v>
      </c>
      <c r="I63" s="19">
        <v>0.03</v>
      </c>
    </row>
    <row r="64" spans="3:17" outlineLevel="1">
      <c r="D64" s="8"/>
    </row>
  </sheetData>
  <phoneticPr fontId="4" type="noConversion"/>
  <pageMargins left="0.75" right="0.75" top="1" bottom="1" header="0.5" footer="0.5"/>
  <pageSetup paperSize="9" scale="47" orientation="portrait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58595B"/>
    <outlinePr summaryBelow="0" summaryRight="0"/>
  </sheetPr>
  <dimension ref="A1:BR49"/>
  <sheetViews>
    <sheetView zoomScaleNormal="100" workbookViewId="0">
      <pane xSplit="9" ySplit="7" topLeftCell="J8" activePane="bottomRight" state="frozen"/>
      <selection pane="bottomRight" activeCell="J46" sqref="J46"/>
      <selection pane="bottomLeft" activeCell="A3" sqref="A3"/>
      <selection pane="topRight" activeCell="A3" sqref="A3"/>
    </sheetView>
  </sheetViews>
  <sheetFormatPr defaultColWidth="0" defaultRowHeight="12.75" outlineLevelRow="1"/>
  <cols>
    <col min="1" max="2" width="2.7109375" customWidth="1"/>
    <col min="3" max="3" width="36" customWidth="1"/>
    <col min="4" max="4" width="11" customWidth="1"/>
    <col min="5" max="5" width="9.42578125" customWidth="1"/>
    <col min="6" max="8" width="1.7109375" customWidth="1"/>
    <col min="9" max="9" width="10.28515625" customWidth="1"/>
    <col min="10" max="61" width="9.7109375" customWidth="1"/>
    <col min="62" max="62" width="1.7109375" customWidth="1"/>
    <col min="63" max="70" width="0" hidden="1" customWidth="1"/>
    <col min="71" max="16384" width="9.140625" hidden="1"/>
  </cols>
  <sheetData>
    <row r="1" spans="1:61" ht="23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</row>
    <row r="4" spans="1:61">
      <c r="A4" t="str">
        <f>Timing!A4</f>
        <v>Period Start</v>
      </c>
      <c r="J4" s="6">
        <f>Timing!J4</f>
        <v>40909</v>
      </c>
      <c r="K4" s="6">
        <f>Timing!K4</f>
        <v>41000</v>
      </c>
      <c r="L4" s="6">
        <f>Timing!L4</f>
        <v>41091</v>
      </c>
      <c r="M4" s="6">
        <f>Timing!M4</f>
        <v>41183</v>
      </c>
      <c r="N4" s="6">
        <f>Timing!N4</f>
        <v>41275</v>
      </c>
      <c r="O4" s="6">
        <f>Timing!O4</f>
        <v>41365</v>
      </c>
      <c r="P4" s="6">
        <f>Timing!P4</f>
        <v>41456</v>
      </c>
      <c r="Q4" s="6">
        <f>Timing!Q4</f>
        <v>41548</v>
      </c>
      <c r="R4" s="6">
        <f>Timing!R4</f>
        <v>41640</v>
      </c>
      <c r="S4" s="6">
        <f>Timing!S4</f>
        <v>41730</v>
      </c>
      <c r="T4" s="6">
        <f>Timing!T4</f>
        <v>41821</v>
      </c>
      <c r="U4" s="6">
        <f>Timing!U4</f>
        <v>41913</v>
      </c>
      <c r="V4" s="6">
        <f>Timing!V4</f>
        <v>42005</v>
      </c>
      <c r="W4" s="6">
        <f>Timing!W4</f>
        <v>42095</v>
      </c>
      <c r="X4" s="6">
        <f>Timing!X4</f>
        <v>42186</v>
      </c>
      <c r="Y4" s="6">
        <f>Timing!Y4</f>
        <v>42278</v>
      </c>
      <c r="Z4" s="6">
        <f>Timing!Z4</f>
        <v>42370</v>
      </c>
      <c r="AA4" s="6">
        <f>Timing!AA4</f>
        <v>42461</v>
      </c>
      <c r="AB4" s="6">
        <f>Timing!AB4</f>
        <v>42552</v>
      </c>
      <c r="AC4" s="6">
        <f>Timing!AC4</f>
        <v>42644</v>
      </c>
      <c r="AD4" s="6">
        <f>Timing!AD4</f>
        <v>42736</v>
      </c>
      <c r="AE4" s="6">
        <f>Timing!AE4</f>
        <v>42826</v>
      </c>
      <c r="AF4" s="6">
        <f>Timing!AF4</f>
        <v>42917</v>
      </c>
      <c r="AG4" s="6">
        <f>Timing!AG4</f>
        <v>43009</v>
      </c>
      <c r="AH4" s="6">
        <f>Timing!AH4</f>
        <v>43101</v>
      </c>
      <c r="AI4" s="6">
        <f>Timing!AI4</f>
        <v>43191</v>
      </c>
      <c r="AJ4" s="6">
        <f>Timing!AJ4</f>
        <v>43282</v>
      </c>
      <c r="AK4" s="6">
        <f>Timing!AK4</f>
        <v>43374</v>
      </c>
      <c r="AL4" s="6">
        <f>Timing!AL4</f>
        <v>43466</v>
      </c>
      <c r="AM4" s="6">
        <f>Timing!AM4</f>
        <v>43556</v>
      </c>
      <c r="AN4" s="6">
        <f>Timing!AN4</f>
        <v>43647</v>
      </c>
      <c r="AO4" s="6">
        <f>Timing!AO4</f>
        <v>43739</v>
      </c>
      <c r="AP4" s="6">
        <f>Timing!AP4</f>
        <v>43831</v>
      </c>
      <c r="AQ4" s="6">
        <f>Timing!AQ4</f>
        <v>43922</v>
      </c>
      <c r="AR4" s="6">
        <f>Timing!AR4</f>
        <v>44013</v>
      </c>
      <c r="AS4" s="6">
        <f>Timing!AS4</f>
        <v>44105</v>
      </c>
      <c r="AT4" s="6">
        <f>Timing!AT4</f>
        <v>44197</v>
      </c>
      <c r="AU4" s="6">
        <f>Timing!AU4</f>
        <v>44287</v>
      </c>
      <c r="AV4" s="6">
        <f>Timing!AV4</f>
        <v>44378</v>
      </c>
      <c r="AW4" s="6">
        <f>Timing!AW4</f>
        <v>44470</v>
      </c>
      <c r="AX4" s="6">
        <f>Timing!AX4</f>
        <v>44562</v>
      </c>
      <c r="AY4" s="6">
        <f>Timing!AY4</f>
        <v>44652</v>
      </c>
      <c r="AZ4" s="6">
        <f>Timing!AZ4</f>
        <v>44743</v>
      </c>
      <c r="BA4" s="6">
        <f>Timing!BA4</f>
        <v>44835</v>
      </c>
      <c r="BB4" s="6">
        <f>Timing!BB4</f>
        <v>44927</v>
      </c>
      <c r="BC4" s="6">
        <f>Timing!BC4</f>
        <v>45017</v>
      </c>
      <c r="BD4" s="6">
        <f>Timing!BD4</f>
        <v>45108</v>
      </c>
      <c r="BE4" s="6">
        <f>Timing!BE4</f>
        <v>45200</v>
      </c>
      <c r="BF4" s="6">
        <f>Timing!BF4</f>
        <v>45292</v>
      </c>
      <c r="BG4" s="6">
        <f>Timing!BG4</f>
        <v>45383</v>
      </c>
      <c r="BH4" s="6">
        <f>Timing!BH4</f>
        <v>45474</v>
      </c>
      <c r="BI4" s="6">
        <f>Timing!BI4</f>
        <v>45566</v>
      </c>
    </row>
    <row r="5" spans="1:61">
      <c r="A5" t="str">
        <f>Timing!A5</f>
        <v>Period End</v>
      </c>
      <c r="I5" s="38">
        <f>Timing!I5</f>
        <v>40908</v>
      </c>
      <c r="J5" s="37">
        <f>Timing!J5</f>
        <v>40999</v>
      </c>
      <c r="K5" s="37">
        <f>Timing!K5</f>
        <v>41090</v>
      </c>
      <c r="L5" s="37">
        <f>Timing!L5</f>
        <v>41182</v>
      </c>
      <c r="M5" s="37">
        <f>Timing!M5</f>
        <v>41274</v>
      </c>
      <c r="N5" s="37">
        <f>Timing!N5</f>
        <v>41364</v>
      </c>
      <c r="O5" s="37">
        <f>Timing!O5</f>
        <v>41455</v>
      </c>
      <c r="P5" s="37">
        <f>Timing!P5</f>
        <v>41547</v>
      </c>
      <c r="Q5" s="37">
        <f>Timing!Q5</f>
        <v>41639</v>
      </c>
      <c r="R5" s="37">
        <f>Timing!R5</f>
        <v>41729</v>
      </c>
      <c r="S5" s="37">
        <f>Timing!S5</f>
        <v>41820</v>
      </c>
      <c r="T5" s="37">
        <f>Timing!T5</f>
        <v>41912</v>
      </c>
      <c r="U5" s="37">
        <f>Timing!U5</f>
        <v>42004</v>
      </c>
      <c r="V5" s="37">
        <f>Timing!V5</f>
        <v>42094</v>
      </c>
      <c r="W5" s="37">
        <f>Timing!W5</f>
        <v>42185</v>
      </c>
      <c r="X5" s="37">
        <f>Timing!X5</f>
        <v>42277</v>
      </c>
      <c r="Y5" s="37">
        <f>Timing!Y5</f>
        <v>42369</v>
      </c>
      <c r="Z5" s="37">
        <f>Timing!Z5</f>
        <v>42460</v>
      </c>
      <c r="AA5" s="37">
        <f>Timing!AA5</f>
        <v>42551</v>
      </c>
      <c r="AB5" s="37">
        <f>Timing!AB5</f>
        <v>42643</v>
      </c>
      <c r="AC5" s="37">
        <f>Timing!AC5</f>
        <v>42735</v>
      </c>
      <c r="AD5" s="37">
        <f>Timing!AD5</f>
        <v>42825</v>
      </c>
      <c r="AE5" s="37">
        <f>Timing!AE5</f>
        <v>42916</v>
      </c>
      <c r="AF5" s="37">
        <f>Timing!AF5</f>
        <v>43008</v>
      </c>
      <c r="AG5" s="37">
        <f>Timing!AG5</f>
        <v>43100</v>
      </c>
      <c r="AH5" s="37">
        <f>Timing!AH5</f>
        <v>43190</v>
      </c>
      <c r="AI5" s="37">
        <f>Timing!AI5</f>
        <v>43281</v>
      </c>
      <c r="AJ5" s="37">
        <f>Timing!AJ5</f>
        <v>43373</v>
      </c>
      <c r="AK5" s="37">
        <f>Timing!AK5</f>
        <v>43465</v>
      </c>
      <c r="AL5" s="37">
        <f>Timing!AL5</f>
        <v>43555</v>
      </c>
      <c r="AM5" s="37">
        <f>Timing!AM5</f>
        <v>43646</v>
      </c>
      <c r="AN5" s="37">
        <f>Timing!AN5</f>
        <v>43738</v>
      </c>
      <c r="AO5" s="37">
        <f>Timing!AO5</f>
        <v>43830</v>
      </c>
      <c r="AP5" s="37">
        <f>Timing!AP5</f>
        <v>43921</v>
      </c>
      <c r="AQ5" s="37">
        <f>Timing!AQ5</f>
        <v>44012</v>
      </c>
      <c r="AR5" s="37">
        <f>Timing!AR5</f>
        <v>44104</v>
      </c>
      <c r="AS5" s="37">
        <f>Timing!AS5</f>
        <v>44196</v>
      </c>
      <c r="AT5" s="37">
        <f>Timing!AT5</f>
        <v>44286</v>
      </c>
      <c r="AU5" s="37">
        <f>Timing!AU5</f>
        <v>44377</v>
      </c>
      <c r="AV5" s="37">
        <f>Timing!AV5</f>
        <v>44469</v>
      </c>
      <c r="AW5" s="37">
        <f>Timing!AW5</f>
        <v>44561</v>
      </c>
      <c r="AX5" s="37">
        <f>Timing!AX5</f>
        <v>44651</v>
      </c>
      <c r="AY5" s="37">
        <f>Timing!AY5</f>
        <v>44742</v>
      </c>
      <c r="AZ5" s="37">
        <f>Timing!AZ5</f>
        <v>44834</v>
      </c>
      <c r="BA5" s="37">
        <f>Timing!BA5</f>
        <v>44926</v>
      </c>
      <c r="BB5" s="37">
        <f>Timing!BB5</f>
        <v>45016</v>
      </c>
      <c r="BC5" s="37">
        <f>Timing!BC5</f>
        <v>45107</v>
      </c>
      <c r="BD5" s="37">
        <f>Timing!BD5</f>
        <v>45199</v>
      </c>
      <c r="BE5" s="37">
        <f>Timing!BE5</f>
        <v>45291</v>
      </c>
      <c r="BF5" s="37">
        <f>Timing!BF5</f>
        <v>45382</v>
      </c>
      <c r="BG5" s="37">
        <f>Timing!BG5</f>
        <v>45473</v>
      </c>
      <c r="BH5" s="37">
        <f>Timing!BH5</f>
        <v>45565</v>
      </c>
      <c r="BI5" s="37">
        <f>Timing!BI5</f>
        <v>45657</v>
      </c>
    </row>
    <row r="6" spans="1:61">
      <c r="A6" t="str">
        <f>Timing!A6</f>
        <v>Construction</v>
      </c>
      <c r="J6" s="39">
        <f>Timing!J6</f>
        <v>1</v>
      </c>
      <c r="K6" s="39">
        <f>Timing!K6</f>
        <v>1</v>
      </c>
      <c r="L6" s="39">
        <f>Timing!L6</f>
        <v>1</v>
      </c>
      <c r="M6" s="39">
        <f>Timing!M6</f>
        <v>1</v>
      </c>
      <c r="N6" s="39">
        <f>Timing!N6</f>
        <v>1</v>
      </c>
      <c r="O6" s="39">
        <f>Timing!O6</f>
        <v>1</v>
      </c>
      <c r="P6" s="39">
        <f>Timing!P6</f>
        <v>1</v>
      </c>
      <c r="Q6" s="39">
        <f>Timing!Q6</f>
        <v>1</v>
      </c>
      <c r="R6" s="39">
        <f>Timing!R6</f>
        <v>0</v>
      </c>
      <c r="S6" s="39">
        <f>Timing!S6</f>
        <v>0</v>
      </c>
      <c r="T6" s="39">
        <f>Timing!T6</f>
        <v>0</v>
      </c>
      <c r="U6" s="39">
        <f>Timing!U6</f>
        <v>0</v>
      </c>
      <c r="V6" s="39">
        <f>Timing!V6</f>
        <v>0</v>
      </c>
      <c r="W6" s="39">
        <f>Timing!W6</f>
        <v>0</v>
      </c>
      <c r="X6" s="39">
        <f>Timing!X6</f>
        <v>0</v>
      </c>
      <c r="Y6" s="39">
        <f>Timing!Y6</f>
        <v>0</v>
      </c>
      <c r="Z6" s="39">
        <f>Timing!Z6</f>
        <v>0</v>
      </c>
      <c r="AA6" s="39">
        <f>Timing!AA6</f>
        <v>0</v>
      </c>
      <c r="AB6" s="39">
        <f>Timing!AB6</f>
        <v>0</v>
      </c>
      <c r="AC6" s="39">
        <f>Timing!AC6</f>
        <v>0</v>
      </c>
      <c r="AD6" s="39">
        <f>Timing!AD6</f>
        <v>0</v>
      </c>
      <c r="AE6" s="39">
        <f>Timing!AE6</f>
        <v>0</v>
      </c>
      <c r="AF6" s="39">
        <f>Timing!AF6</f>
        <v>0</v>
      </c>
      <c r="AG6" s="39">
        <f>Timing!AG6</f>
        <v>0</v>
      </c>
      <c r="AH6" s="39">
        <f>Timing!AH6</f>
        <v>0</v>
      </c>
      <c r="AI6" s="39">
        <f>Timing!AI6</f>
        <v>0</v>
      </c>
      <c r="AJ6" s="39">
        <f>Timing!AJ6</f>
        <v>0</v>
      </c>
      <c r="AK6" s="39">
        <f>Timing!AK6</f>
        <v>0</v>
      </c>
      <c r="AL6" s="39">
        <f>Timing!AL6</f>
        <v>0</v>
      </c>
      <c r="AM6" s="39">
        <f>Timing!AM6</f>
        <v>0</v>
      </c>
      <c r="AN6" s="39">
        <f>Timing!AN6</f>
        <v>0</v>
      </c>
      <c r="AO6" s="39">
        <f>Timing!AO6</f>
        <v>0</v>
      </c>
      <c r="AP6" s="39">
        <f>Timing!AP6</f>
        <v>0</v>
      </c>
      <c r="AQ6" s="39">
        <f>Timing!AQ6</f>
        <v>0</v>
      </c>
      <c r="AR6" s="39">
        <f>Timing!AR6</f>
        <v>0</v>
      </c>
      <c r="AS6" s="39">
        <f>Timing!AS6</f>
        <v>0</v>
      </c>
      <c r="AT6" s="39">
        <f>Timing!AT6</f>
        <v>0</v>
      </c>
      <c r="AU6" s="39">
        <f>Timing!AU6</f>
        <v>0</v>
      </c>
      <c r="AV6" s="39">
        <f>Timing!AV6</f>
        <v>0</v>
      </c>
      <c r="AW6" s="39">
        <f>Timing!AW6</f>
        <v>0</v>
      </c>
      <c r="AX6" s="39">
        <f>Timing!AX6</f>
        <v>0</v>
      </c>
      <c r="AY6" s="39">
        <f>Timing!AY6</f>
        <v>0</v>
      </c>
      <c r="AZ6" s="39">
        <f>Timing!AZ6</f>
        <v>0</v>
      </c>
      <c r="BA6" s="39">
        <f>Timing!BA6</f>
        <v>0</v>
      </c>
      <c r="BB6" s="39">
        <f>Timing!BB6</f>
        <v>0</v>
      </c>
      <c r="BC6" s="39">
        <f>Timing!BC6</f>
        <v>0</v>
      </c>
      <c r="BD6" s="39">
        <f>Timing!BD6</f>
        <v>0</v>
      </c>
      <c r="BE6" s="39">
        <f>Timing!BE6</f>
        <v>0</v>
      </c>
      <c r="BF6" s="39">
        <f>Timing!BF6</f>
        <v>0</v>
      </c>
      <c r="BG6" s="39">
        <f>Timing!BG6</f>
        <v>0</v>
      </c>
      <c r="BH6" s="39">
        <f>Timing!BH6</f>
        <v>0</v>
      </c>
      <c r="BI6" s="39">
        <f>Timing!BI6</f>
        <v>0</v>
      </c>
    </row>
    <row r="7" spans="1:61">
      <c r="A7" t="str">
        <f>Timing!A7</f>
        <v>Operations</v>
      </c>
      <c r="J7" s="39">
        <f>Timing!J7</f>
        <v>0</v>
      </c>
      <c r="K7" s="39">
        <f>Timing!K7</f>
        <v>0</v>
      </c>
      <c r="L7" s="39">
        <f>Timing!L7</f>
        <v>0</v>
      </c>
      <c r="M7" s="39">
        <f>Timing!M7</f>
        <v>0</v>
      </c>
      <c r="N7" s="39">
        <f>Timing!N7</f>
        <v>0</v>
      </c>
      <c r="O7" s="39">
        <f>Timing!O7</f>
        <v>0</v>
      </c>
      <c r="P7" s="39">
        <f>Timing!P7</f>
        <v>0</v>
      </c>
      <c r="Q7" s="39">
        <f>Timing!Q7</f>
        <v>0</v>
      </c>
      <c r="R7" s="39">
        <f>Timing!R7</f>
        <v>1</v>
      </c>
      <c r="S7" s="39">
        <f>Timing!S7</f>
        <v>1</v>
      </c>
      <c r="T7" s="39">
        <f>Timing!T7</f>
        <v>1</v>
      </c>
      <c r="U7" s="39">
        <f>Timing!U7</f>
        <v>1</v>
      </c>
      <c r="V7" s="39">
        <f>Timing!V7</f>
        <v>1</v>
      </c>
      <c r="W7" s="39">
        <f>Timing!W7</f>
        <v>1</v>
      </c>
      <c r="X7" s="39">
        <f>Timing!X7</f>
        <v>1</v>
      </c>
      <c r="Y7" s="39">
        <f>Timing!Y7</f>
        <v>1</v>
      </c>
      <c r="Z7" s="39">
        <f>Timing!Z7</f>
        <v>1</v>
      </c>
      <c r="AA7" s="39">
        <f>Timing!AA7</f>
        <v>1</v>
      </c>
      <c r="AB7" s="39">
        <f>Timing!AB7</f>
        <v>1</v>
      </c>
      <c r="AC7" s="39">
        <f>Timing!AC7</f>
        <v>1</v>
      </c>
      <c r="AD7" s="39">
        <f>Timing!AD7</f>
        <v>1</v>
      </c>
      <c r="AE7" s="39">
        <f>Timing!AE7</f>
        <v>1</v>
      </c>
      <c r="AF7" s="39">
        <f>Timing!AF7</f>
        <v>1</v>
      </c>
      <c r="AG7" s="39">
        <f>Timing!AG7</f>
        <v>1</v>
      </c>
      <c r="AH7" s="39">
        <f>Timing!AH7</f>
        <v>1</v>
      </c>
      <c r="AI7" s="39">
        <f>Timing!AI7</f>
        <v>1</v>
      </c>
      <c r="AJ7" s="39">
        <f>Timing!AJ7</f>
        <v>1</v>
      </c>
      <c r="AK7" s="39">
        <f>Timing!AK7</f>
        <v>1</v>
      </c>
      <c r="AL7" s="39">
        <f>Timing!AL7</f>
        <v>1</v>
      </c>
      <c r="AM7" s="39">
        <f>Timing!AM7</f>
        <v>1</v>
      </c>
      <c r="AN7" s="39">
        <f>Timing!AN7</f>
        <v>1</v>
      </c>
      <c r="AO7" s="39">
        <f>Timing!AO7</f>
        <v>1</v>
      </c>
      <c r="AP7" s="39">
        <f>Timing!AP7</f>
        <v>1</v>
      </c>
      <c r="AQ7" s="39">
        <f>Timing!AQ7</f>
        <v>1</v>
      </c>
      <c r="AR7" s="39">
        <f>Timing!AR7</f>
        <v>1</v>
      </c>
      <c r="AS7" s="39">
        <f>Timing!AS7</f>
        <v>1</v>
      </c>
      <c r="AT7" s="39">
        <f>Timing!AT7</f>
        <v>1</v>
      </c>
      <c r="AU7" s="39">
        <f>Timing!AU7</f>
        <v>1</v>
      </c>
      <c r="AV7" s="39">
        <f>Timing!AV7</f>
        <v>1</v>
      </c>
      <c r="AW7" s="39">
        <f>Timing!AW7</f>
        <v>1</v>
      </c>
      <c r="AX7" s="39">
        <f>Timing!AX7</f>
        <v>1</v>
      </c>
      <c r="AY7" s="39">
        <f>Timing!AY7</f>
        <v>1</v>
      </c>
      <c r="AZ7" s="39">
        <f>Timing!AZ7</f>
        <v>1</v>
      </c>
      <c r="BA7" s="39">
        <f>Timing!BA7</f>
        <v>1</v>
      </c>
      <c r="BB7" s="39">
        <f>Timing!BB7</f>
        <v>1</v>
      </c>
      <c r="BC7" s="39">
        <f>Timing!BC7</f>
        <v>1</v>
      </c>
      <c r="BD7" s="39">
        <f>Timing!BD7</f>
        <v>1</v>
      </c>
      <c r="BE7" s="39">
        <f>Timing!BE7</f>
        <v>1</v>
      </c>
      <c r="BF7" s="39">
        <f>Timing!BF7</f>
        <v>0</v>
      </c>
      <c r="BG7" s="39">
        <f>Timing!BG7</f>
        <v>0</v>
      </c>
      <c r="BH7" s="39">
        <f>Timing!BH7</f>
        <v>0</v>
      </c>
      <c r="BI7" s="39">
        <f>Timing!BI7</f>
        <v>0</v>
      </c>
    </row>
    <row r="9" spans="1:61" ht="20.25">
      <c r="C9" s="7" t="str">
        <f>Timing!C9</f>
        <v>Counters</v>
      </c>
    </row>
    <row r="10" spans="1:61" outlineLevel="1">
      <c r="C10" s="32" t="str">
        <f>Timing!C10</f>
        <v>Construction Quarters</v>
      </c>
      <c r="D10" s="8" t="s">
        <v>81</v>
      </c>
      <c r="J10" s="41">
        <f>Timing!J10</f>
        <v>1</v>
      </c>
      <c r="K10" s="41">
        <f>Timing!K10</f>
        <v>2</v>
      </c>
      <c r="L10" s="41">
        <f>Timing!L10</f>
        <v>3</v>
      </c>
      <c r="M10" s="41">
        <f>Timing!M10</f>
        <v>4</v>
      </c>
      <c r="N10" s="41">
        <f>Timing!N10</f>
        <v>5</v>
      </c>
      <c r="O10" s="41">
        <f>Timing!O10</f>
        <v>6</v>
      </c>
      <c r="P10" s="41">
        <f>Timing!P10</f>
        <v>7</v>
      </c>
      <c r="Q10" s="41">
        <f>Timing!Q10</f>
        <v>8</v>
      </c>
      <c r="R10" s="41">
        <f>Timing!R10</f>
        <v>0</v>
      </c>
      <c r="S10" s="41">
        <f>Timing!S10</f>
        <v>0</v>
      </c>
      <c r="T10" s="41">
        <f>Timing!T10</f>
        <v>0</v>
      </c>
      <c r="U10" s="41">
        <f>Timing!U10</f>
        <v>0</v>
      </c>
      <c r="V10" s="41">
        <f>Timing!V10</f>
        <v>0</v>
      </c>
      <c r="W10" s="41">
        <f>Timing!W10</f>
        <v>0</v>
      </c>
      <c r="X10" s="41">
        <f>Timing!X10</f>
        <v>0</v>
      </c>
      <c r="Y10" s="41">
        <f>Timing!Y10</f>
        <v>0</v>
      </c>
      <c r="Z10" s="41">
        <f>Timing!Z10</f>
        <v>0</v>
      </c>
      <c r="AA10" s="41">
        <f>Timing!AA10</f>
        <v>0</v>
      </c>
      <c r="AB10" s="41">
        <f>Timing!AB10</f>
        <v>0</v>
      </c>
      <c r="AC10" s="41">
        <f>Timing!AC10</f>
        <v>0</v>
      </c>
      <c r="AD10" s="41">
        <f>Timing!AD10</f>
        <v>0</v>
      </c>
      <c r="AE10" s="41">
        <f>Timing!AE10</f>
        <v>0</v>
      </c>
      <c r="AF10" s="41">
        <f>Timing!AF10</f>
        <v>0</v>
      </c>
      <c r="AG10" s="41">
        <f>Timing!AG10</f>
        <v>0</v>
      </c>
      <c r="AH10" s="41">
        <f>Timing!AH10</f>
        <v>0</v>
      </c>
      <c r="AI10" s="41">
        <f>Timing!AI10</f>
        <v>0</v>
      </c>
      <c r="AJ10" s="41">
        <f>Timing!AJ10</f>
        <v>0</v>
      </c>
      <c r="AK10" s="41">
        <f>Timing!AK10</f>
        <v>0</v>
      </c>
      <c r="AL10" s="41">
        <f>Timing!AL10</f>
        <v>0</v>
      </c>
      <c r="AM10" s="41">
        <f>Timing!AM10</f>
        <v>0</v>
      </c>
      <c r="AN10" s="41">
        <f>Timing!AN10</f>
        <v>0</v>
      </c>
      <c r="AO10" s="41">
        <f>Timing!AO10</f>
        <v>0</v>
      </c>
      <c r="AP10" s="41">
        <f>Timing!AP10</f>
        <v>0</v>
      </c>
      <c r="AQ10" s="41">
        <f>Timing!AQ10</f>
        <v>0</v>
      </c>
      <c r="AR10" s="41">
        <f>Timing!AR10</f>
        <v>0</v>
      </c>
      <c r="AS10" s="41">
        <f>Timing!AS10</f>
        <v>0</v>
      </c>
      <c r="AT10" s="41">
        <f>Timing!AT10</f>
        <v>0</v>
      </c>
      <c r="AU10" s="41">
        <f>Timing!AU10</f>
        <v>0</v>
      </c>
      <c r="AV10" s="41">
        <f>Timing!AV10</f>
        <v>0</v>
      </c>
      <c r="AW10" s="41">
        <f>Timing!AW10</f>
        <v>0</v>
      </c>
      <c r="AX10" s="41">
        <f>Timing!AX10</f>
        <v>0</v>
      </c>
      <c r="AY10" s="41">
        <f>Timing!AY10</f>
        <v>0</v>
      </c>
      <c r="AZ10" s="41">
        <f>Timing!AZ10</f>
        <v>0</v>
      </c>
      <c r="BA10" s="41">
        <f>Timing!BA10</f>
        <v>0</v>
      </c>
      <c r="BB10" s="41">
        <f>Timing!BB10</f>
        <v>0</v>
      </c>
      <c r="BC10" s="41">
        <f>Timing!BC10</f>
        <v>0</v>
      </c>
      <c r="BD10" s="41">
        <f>Timing!BD10</f>
        <v>0</v>
      </c>
      <c r="BE10" s="41">
        <f>Timing!BE10</f>
        <v>0</v>
      </c>
      <c r="BF10" s="41">
        <f>Timing!BF10</f>
        <v>0</v>
      </c>
      <c r="BG10" s="41">
        <f>Timing!BG10</f>
        <v>0</v>
      </c>
      <c r="BH10" s="41">
        <f>Timing!BH10</f>
        <v>0</v>
      </c>
      <c r="BI10" s="41">
        <f>Timing!BI10</f>
        <v>0</v>
      </c>
    </row>
    <row r="11" spans="1:61" outlineLevel="1">
      <c r="C11" s="32" t="str">
        <f>Timing!C13</f>
        <v>Calendar Year</v>
      </c>
      <c r="D11" s="8" t="s">
        <v>82</v>
      </c>
      <c r="J11">
        <f>Timing!J13</f>
        <v>2012</v>
      </c>
      <c r="K11">
        <f>Timing!K13</f>
        <v>2012</v>
      </c>
      <c r="L11">
        <f>Timing!L13</f>
        <v>2012</v>
      </c>
      <c r="M11">
        <f>Timing!M13</f>
        <v>2012</v>
      </c>
      <c r="N11">
        <f>Timing!N13</f>
        <v>2013</v>
      </c>
      <c r="O11">
        <f>Timing!O13</f>
        <v>2013</v>
      </c>
      <c r="P11">
        <f>Timing!P13</f>
        <v>2013</v>
      </c>
      <c r="Q11">
        <f>Timing!Q13</f>
        <v>2013</v>
      </c>
      <c r="R11">
        <f>Timing!R13</f>
        <v>2014</v>
      </c>
      <c r="S11">
        <f>Timing!S13</f>
        <v>2014</v>
      </c>
      <c r="T11">
        <f>Timing!T13</f>
        <v>2014</v>
      </c>
      <c r="U11">
        <f>Timing!U13</f>
        <v>2014</v>
      </c>
      <c r="V11">
        <f>Timing!V13</f>
        <v>2015</v>
      </c>
      <c r="W11">
        <f>Timing!W13</f>
        <v>2015</v>
      </c>
      <c r="X11">
        <f>Timing!X13</f>
        <v>2015</v>
      </c>
      <c r="Y11">
        <f>Timing!Y13</f>
        <v>2015</v>
      </c>
      <c r="Z11">
        <f>Timing!Z13</f>
        <v>2016</v>
      </c>
      <c r="AA11">
        <f>Timing!AA13</f>
        <v>2016</v>
      </c>
      <c r="AB11">
        <f>Timing!AB13</f>
        <v>2016</v>
      </c>
      <c r="AC11">
        <f>Timing!AC13</f>
        <v>2016</v>
      </c>
      <c r="AD11">
        <f>Timing!AD13</f>
        <v>2017</v>
      </c>
      <c r="AE11">
        <f>Timing!AE13</f>
        <v>2017</v>
      </c>
      <c r="AF11">
        <f>Timing!AF13</f>
        <v>2017</v>
      </c>
      <c r="AG11">
        <f>Timing!AG13</f>
        <v>2017</v>
      </c>
      <c r="AH11">
        <f>Timing!AH13</f>
        <v>2018</v>
      </c>
      <c r="AI11">
        <f>Timing!AI13</f>
        <v>2018</v>
      </c>
      <c r="AJ11">
        <f>Timing!AJ13</f>
        <v>2018</v>
      </c>
      <c r="AK11">
        <f>Timing!AK13</f>
        <v>2018</v>
      </c>
      <c r="AL11">
        <f>Timing!AL13</f>
        <v>2019</v>
      </c>
      <c r="AM11">
        <f>Timing!AM13</f>
        <v>2019</v>
      </c>
      <c r="AN11">
        <f>Timing!AN13</f>
        <v>2019</v>
      </c>
      <c r="AO11">
        <f>Timing!AO13</f>
        <v>2019</v>
      </c>
      <c r="AP11">
        <f>Timing!AP13</f>
        <v>2020</v>
      </c>
      <c r="AQ11">
        <f>Timing!AQ13</f>
        <v>2020</v>
      </c>
      <c r="AR11">
        <f>Timing!AR13</f>
        <v>2020</v>
      </c>
      <c r="AS11">
        <f>Timing!AS13</f>
        <v>2020</v>
      </c>
      <c r="AT11">
        <f>Timing!AT13</f>
        <v>2021</v>
      </c>
      <c r="AU11">
        <f>Timing!AU13</f>
        <v>2021</v>
      </c>
      <c r="AV11">
        <f>Timing!AV13</f>
        <v>2021</v>
      </c>
      <c r="AW11">
        <f>Timing!AW13</f>
        <v>2021</v>
      </c>
      <c r="AX11">
        <f>Timing!AX13</f>
        <v>2022</v>
      </c>
      <c r="AY11">
        <f>Timing!AY13</f>
        <v>2022</v>
      </c>
      <c r="AZ11">
        <f>Timing!AZ13</f>
        <v>2022</v>
      </c>
      <c r="BA11">
        <f>Timing!BA13</f>
        <v>2022</v>
      </c>
      <c r="BB11">
        <f>Timing!BB13</f>
        <v>2023</v>
      </c>
      <c r="BC11">
        <f>Timing!BC13</f>
        <v>2023</v>
      </c>
      <c r="BD11">
        <f>Timing!BD13</f>
        <v>2023</v>
      </c>
      <c r="BE11">
        <f>Timing!BE13</f>
        <v>2023</v>
      </c>
      <c r="BF11">
        <f>Timing!BF13</f>
        <v>2024</v>
      </c>
      <c r="BG11">
        <f>Timing!BG13</f>
        <v>2024</v>
      </c>
      <c r="BH11">
        <f>Timing!BH13</f>
        <v>2024</v>
      </c>
      <c r="BI11">
        <f>Timing!BI13</f>
        <v>2024</v>
      </c>
    </row>
    <row r="12" spans="1:61" outlineLevel="1">
      <c r="C12" s="32" t="str">
        <f>Timing!C14</f>
        <v>Days in Period</v>
      </c>
      <c r="D12" s="8" t="s">
        <v>83</v>
      </c>
      <c r="J12">
        <f>Timing!J14</f>
        <v>91</v>
      </c>
      <c r="K12">
        <f>Timing!K14</f>
        <v>91</v>
      </c>
      <c r="L12">
        <f>Timing!L14</f>
        <v>92</v>
      </c>
      <c r="M12">
        <f>Timing!M14</f>
        <v>92</v>
      </c>
      <c r="N12">
        <f>Timing!N14</f>
        <v>90</v>
      </c>
      <c r="O12">
        <f>Timing!O14</f>
        <v>91</v>
      </c>
      <c r="P12">
        <f>Timing!P14</f>
        <v>92</v>
      </c>
      <c r="Q12">
        <f>Timing!Q14</f>
        <v>92</v>
      </c>
      <c r="R12">
        <f>Timing!R14</f>
        <v>90</v>
      </c>
      <c r="S12">
        <f>Timing!S14</f>
        <v>91</v>
      </c>
      <c r="T12">
        <f>Timing!T14</f>
        <v>92</v>
      </c>
      <c r="U12">
        <f>Timing!U14</f>
        <v>92</v>
      </c>
      <c r="V12">
        <f>Timing!V14</f>
        <v>90</v>
      </c>
      <c r="W12">
        <f>Timing!W14</f>
        <v>91</v>
      </c>
      <c r="X12">
        <f>Timing!X14</f>
        <v>92</v>
      </c>
      <c r="Y12">
        <f>Timing!Y14</f>
        <v>92</v>
      </c>
      <c r="Z12">
        <f>Timing!Z14</f>
        <v>91</v>
      </c>
      <c r="AA12">
        <f>Timing!AA14</f>
        <v>91</v>
      </c>
      <c r="AB12">
        <f>Timing!AB14</f>
        <v>92</v>
      </c>
      <c r="AC12">
        <f>Timing!AC14</f>
        <v>92</v>
      </c>
      <c r="AD12">
        <f>Timing!AD14</f>
        <v>90</v>
      </c>
      <c r="AE12">
        <f>Timing!AE14</f>
        <v>91</v>
      </c>
      <c r="AF12">
        <f>Timing!AF14</f>
        <v>92</v>
      </c>
      <c r="AG12">
        <f>Timing!AG14</f>
        <v>92</v>
      </c>
      <c r="AH12">
        <f>Timing!AH14</f>
        <v>90</v>
      </c>
      <c r="AI12">
        <f>Timing!AI14</f>
        <v>91</v>
      </c>
      <c r="AJ12">
        <f>Timing!AJ14</f>
        <v>92</v>
      </c>
      <c r="AK12">
        <f>Timing!AK14</f>
        <v>92</v>
      </c>
      <c r="AL12">
        <f>Timing!AL14</f>
        <v>90</v>
      </c>
      <c r="AM12">
        <f>Timing!AM14</f>
        <v>91</v>
      </c>
      <c r="AN12">
        <f>Timing!AN14</f>
        <v>92</v>
      </c>
      <c r="AO12">
        <f>Timing!AO14</f>
        <v>92</v>
      </c>
      <c r="AP12">
        <f>Timing!AP14</f>
        <v>91</v>
      </c>
      <c r="AQ12">
        <f>Timing!AQ14</f>
        <v>91</v>
      </c>
      <c r="AR12">
        <f>Timing!AR14</f>
        <v>92</v>
      </c>
      <c r="AS12">
        <f>Timing!AS14</f>
        <v>92</v>
      </c>
      <c r="AT12">
        <f>Timing!AT14</f>
        <v>90</v>
      </c>
      <c r="AU12">
        <f>Timing!AU14</f>
        <v>91</v>
      </c>
      <c r="AV12">
        <f>Timing!AV14</f>
        <v>92</v>
      </c>
      <c r="AW12">
        <f>Timing!AW14</f>
        <v>92</v>
      </c>
      <c r="AX12">
        <f>Timing!AX14</f>
        <v>90</v>
      </c>
      <c r="AY12">
        <f>Timing!AY14</f>
        <v>91</v>
      </c>
      <c r="AZ12">
        <f>Timing!AZ14</f>
        <v>92</v>
      </c>
      <c r="BA12">
        <f>Timing!BA14</f>
        <v>92</v>
      </c>
      <c r="BB12">
        <f>Timing!BB14</f>
        <v>90</v>
      </c>
      <c r="BC12">
        <f>Timing!BC14</f>
        <v>91</v>
      </c>
      <c r="BD12">
        <f>Timing!BD14</f>
        <v>92</v>
      </c>
      <c r="BE12">
        <f>Timing!BE14</f>
        <v>92</v>
      </c>
      <c r="BF12">
        <f>Timing!BF14</f>
        <v>91</v>
      </c>
      <c r="BG12">
        <f>Timing!BG14</f>
        <v>91</v>
      </c>
      <c r="BH12">
        <f>Timing!BH14</f>
        <v>92</v>
      </c>
      <c r="BI12">
        <f>Timing!BI14</f>
        <v>92</v>
      </c>
    </row>
    <row r="13" spans="1:61" outlineLevel="1"/>
    <row r="14" spans="1:61" ht="20.25">
      <c r="C14" s="7" t="s">
        <v>84</v>
      </c>
    </row>
    <row r="15" spans="1:61" ht="15" outlineLevel="1">
      <c r="C15" s="4" t="s">
        <v>85</v>
      </c>
    </row>
    <row r="16" spans="1:61" outlineLevel="1">
      <c r="C16" t="str">
        <f>Inputs!C20</f>
        <v>All construction costs</v>
      </c>
      <c r="D16" s="8" t="s">
        <v>51</v>
      </c>
      <c r="I16" s="24">
        <f>SUM(J16:BI16)</f>
        <v>1</v>
      </c>
      <c r="J16" s="42">
        <f>IF(J$10=0,0,LOOKUP(J$10,Inputs!$F$22:$Q$22,Inputs!$F23:$Q23))</f>
        <v>0.125</v>
      </c>
      <c r="K16" s="42">
        <f>IF(K$10=0,0,LOOKUP(K$10,Inputs!$F$22:$Q$22,Inputs!$F23:$Q23))</f>
        <v>0.125</v>
      </c>
      <c r="L16" s="42">
        <f>IF(L$10=0,0,LOOKUP(L$10,Inputs!$F$22:$Q$22,Inputs!$F23:$Q23))</f>
        <v>0.125</v>
      </c>
      <c r="M16" s="42">
        <f>IF(M$10=0,0,LOOKUP(M$10,Inputs!$F$22:$Q$22,Inputs!$F23:$Q23))</f>
        <v>0.125</v>
      </c>
      <c r="N16" s="42">
        <f>IF(N$10=0,0,LOOKUP(N$10,Inputs!$F$22:$Q$22,Inputs!$F23:$Q23))</f>
        <v>0.125</v>
      </c>
      <c r="O16" s="42">
        <f>IF(O$10=0,0,LOOKUP(O$10,Inputs!$F$22:$Q$22,Inputs!$F23:$Q23))</f>
        <v>0.125</v>
      </c>
      <c r="P16" s="42">
        <f>IF(P$10=0,0,LOOKUP(P$10,Inputs!$F$22:$Q$22,Inputs!$F23:$Q23))</f>
        <v>0.125</v>
      </c>
      <c r="Q16" s="42">
        <f>IF(Q$10=0,0,LOOKUP(Q$10,Inputs!$F$22:$Q$22,Inputs!$F23:$Q23))</f>
        <v>0.125</v>
      </c>
      <c r="R16" s="42">
        <f>IF(R$10=0,0,LOOKUP(R$10,Inputs!$F$22:$Q$22,Inputs!$F23:$Q23))</f>
        <v>0</v>
      </c>
      <c r="S16" s="42">
        <f>IF(S$10=0,0,LOOKUP(S$10,Inputs!$F$22:$Q$22,Inputs!$F23:$Q23))</f>
        <v>0</v>
      </c>
      <c r="T16" s="42">
        <f>IF(T$10=0,0,LOOKUP(T$10,Inputs!$F$22:$Q$22,Inputs!$F23:$Q23))</f>
        <v>0</v>
      </c>
      <c r="U16" s="42">
        <f>IF(U$10=0,0,LOOKUP(U$10,Inputs!$F$22:$Q$22,Inputs!$F23:$Q23))</f>
        <v>0</v>
      </c>
      <c r="V16" s="42">
        <f>IF(V$10=0,0,LOOKUP(V$10,Inputs!$F$22:$Q$22,Inputs!$F23:$Q23))</f>
        <v>0</v>
      </c>
      <c r="W16" s="42">
        <f>IF(W$10=0,0,LOOKUP(W$10,Inputs!$F$22:$Q$22,Inputs!$F23:$Q23))</f>
        <v>0</v>
      </c>
      <c r="X16" s="42">
        <f>IF(X$10=0,0,LOOKUP(X$10,Inputs!$F$22:$Q$22,Inputs!$F23:$Q23))</f>
        <v>0</v>
      </c>
      <c r="Y16" s="42">
        <f>IF(Y$10=0,0,LOOKUP(Y$10,Inputs!$F$22:$Q$22,Inputs!$F23:$Q23))</f>
        <v>0</v>
      </c>
      <c r="Z16" s="42">
        <f>IF(Z$10=0,0,LOOKUP(Z$10,Inputs!$F$22:$Q$22,Inputs!$F23:$Q23))</f>
        <v>0</v>
      </c>
      <c r="AA16" s="42">
        <f>IF(AA$10=0,0,LOOKUP(AA$10,Inputs!$F$22:$Q$22,Inputs!$F23:$Q23))</f>
        <v>0</v>
      </c>
      <c r="AB16" s="42">
        <f>IF(AB$10=0,0,LOOKUP(AB$10,Inputs!$F$22:$Q$22,Inputs!$F23:$Q23))</f>
        <v>0</v>
      </c>
      <c r="AC16" s="42">
        <f>IF(AC$10=0,0,LOOKUP(AC$10,Inputs!$F$22:$Q$22,Inputs!$F23:$Q23))</f>
        <v>0</v>
      </c>
      <c r="AD16" s="42">
        <f>IF(AD$10=0,0,LOOKUP(AD$10,Inputs!$F$22:$Q$22,Inputs!$F23:$Q23))</f>
        <v>0</v>
      </c>
      <c r="AE16" s="42">
        <f>IF(AE$10=0,0,LOOKUP(AE$10,Inputs!$F$22:$Q$22,Inputs!$F23:$Q23))</f>
        <v>0</v>
      </c>
      <c r="AF16" s="42">
        <f>IF(AF$10=0,0,LOOKUP(AF$10,Inputs!$F$22:$Q$22,Inputs!$F23:$Q23))</f>
        <v>0</v>
      </c>
      <c r="AG16" s="42">
        <f>IF(AG$10=0,0,LOOKUP(AG$10,Inputs!$F$22:$Q$22,Inputs!$F23:$Q23))</f>
        <v>0</v>
      </c>
      <c r="AH16" s="42">
        <f>IF(AH$10=0,0,LOOKUP(AH$10,Inputs!$F$22:$Q$22,Inputs!$F23:$Q23))</f>
        <v>0</v>
      </c>
      <c r="AI16" s="42">
        <f>IF(AI$10=0,0,LOOKUP(AI$10,Inputs!$F$22:$Q$22,Inputs!$F23:$Q23))</f>
        <v>0</v>
      </c>
      <c r="AJ16" s="42">
        <f>IF(AJ$10=0,0,LOOKUP(AJ$10,Inputs!$F$22:$Q$22,Inputs!$F23:$Q23))</f>
        <v>0</v>
      </c>
      <c r="AK16" s="42">
        <f>IF(AK$10=0,0,LOOKUP(AK$10,Inputs!$F$22:$Q$22,Inputs!$F23:$Q23))</f>
        <v>0</v>
      </c>
      <c r="AL16" s="42">
        <f>IF(AL$10=0,0,LOOKUP(AL$10,Inputs!$F$22:$Q$22,Inputs!$F23:$Q23))</f>
        <v>0</v>
      </c>
      <c r="AM16" s="42">
        <f>IF(AM$10=0,0,LOOKUP(AM$10,Inputs!$F$22:$Q$22,Inputs!$F23:$Q23))</f>
        <v>0</v>
      </c>
      <c r="AN16" s="42">
        <f>IF(AN$10=0,0,LOOKUP(AN$10,Inputs!$F$22:$Q$22,Inputs!$F23:$Q23))</f>
        <v>0</v>
      </c>
      <c r="AO16" s="42">
        <f>IF(AO$10=0,0,LOOKUP(AO$10,Inputs!$F$22:$Q$22,Inputs!$F23:$Q23))</f>
        <v>0</v>
      </c>
      <c r="AP16" s="42">
        <f>IF(AP$10=0,0,LOOKUP(AP$10,Inputs!$F$22:$Q$22,Inputs!$F23:$Q23))</f>
        <v>0</v>
      </c>
      <c r="AQ16" s="42">
        <f>IF(AQ$10=0,0,LOOKUP(AQ$10,Inputs!$F$22:$Q$22,Inputs!$F23:$Q23))</f>
        <v>0</v>
      </c>
      <c r="AR16" s="42">
        <f>IF(AR$10=0,0,LOOKUP(AR$10,Inputs!$F$22:$Q$22,Inputs!$F23:$Q23))</f>
        <v>0</v>
      </c>
      <c r="AS16" s="42">
        <f>IF(AS$10=0,0,LOOKUP(AS$10,Inputs!$F$22:$Q$22,Inputs!$F23:$Q23))</f>
        <v>0</v>
      </c>
      <c r="AT16" s="42">
        <f>IF(AT$10=0,0,LOOKUP(AT$10,Inputs!$F$22:$Q$22,Inputs!$F23:$Q23))</f>
        <v>0</v>
      </c>
      <c r="AU16" s="42">
        <f>IF(AU$10=0,0,LOOKUP(AU$10,Inputs!$F$22:$Q$22,Inputs!$F23:$Q23))</f>
        <v>0</v>
      </c>
      <c r="AV16" s="42">
        <f>IF(AV$10=0,0,LOOKUP(AV$10,Inputs!$F$22:$Q$22,Inputs!$F23:$Q23))</f>
        <v>0</v>
      </c>
      <c r="AW16" s="42">
        <f>IF(AW$10=0,0,LOOKUP(AW$10,Inputs!$F$22:$Q$22,Inputs!$F23:$Q23))</f>
        <v>0</v>
      </c>
      <c r="AX16" s="42">
        <f>IF(AX$10=0,0,LOOKUP(AX$10,Inputs!$F$22:$Q$22,Inputs!$F23:$Q23))</f>
        <v>0</v>
      </c>
      <c r="AY16" s="42">
        <f>IF(AY$10=0,0,LOOKUP(AY$10,Inputs!$F$22:$Q$22,Inputs!$F23:$Q23))</f>
        <v>0</v>
      </c>
      <c r="AZ16" s="42">
        <f>IF(AZ$10=0,0,LOOKUP(AZ$10,Inputs!$F$22:$Q$22,Inputs!$F23:$Q23))</f>
        <v>0</v>
      </c>
      <c r="BA16" s="42">
        <f>IF(BA$10=0,0,LOOKUP(BA$10,Inputs!$F$22:$Q$22,Inputs!$F23:$Q23))</f>
        <v>0</v>
      </c>
      <c r="BB16" s="42">
        <f>IF(BB$10=0,0,LOOKUP(BB$10,Inputs!$F$22:$Q$22,Inputs!$F23:$Q23))</f>
        <v>0</v>
      </c>
      <c r="BC16" s="42">
        <f>IF(BC$10=0,0,LOOKUP(BC$10,Inputs!$F$22:$Q$22,Inputs!$F23:$Q23))</f>
        <v>0</v>
      </c>
      <c r="BD16" s="42">
        <f>IF(BD$10=0,0,LOOKUP(BD$10,Inputs!$F$22:$Q$22,Inputs!$F23:$Q23))</f>
        <v>0</v>
      </c>
      <c r="BE16" s="42">
        <f>IF(BE$10=0,0,LOOKUP(BE$10,Inputs!$F$22:$Q$22,Inputs!$F23:$Q23))</f>
        <v>0</v>
      </c>
      <c r="BF16" s="42">
        <f>IF(BF$10=0,0,LOOKUP(BF$10,Inputs!$F$22:$Q$22,Inputs!$F23:$Q23))</f>
        <v>0</v>
      </c>
      <c r="BG16" s="42">
        <f>IF(BG$10=0,0,LOOKUP(BG$10,Inputs!$F$22:$Q$22,Inputs!$F23:$Q23))</f>
        <v>0</v>
      </c>
      <c r="BH16" s="42">
        <f>IF(BH$10=0,0,LOOKUP(BH$10,Inputs!$F$22:$Q$22,Inputs!$F23:$Q23))</f>
        <v>0</v>
      </c>
      <c r="BI16" s="42">
        <f>IF(BI$10=0,0,LOOKUP(BI$10,Inputs!$F$22:$Q$22,Inputs!$F23:$Q23))</f>
        <v>0</v>
      </c>
    </row>
    <row r="17" spans="3:61" outlineLevel="1"/>
    <row r="18" spans="3:61" ht="15" outlineLevel="1">
      <c r="C18" s="4" t="s">
        <v>86</v>
      </c>
    </row>
    <row r="19" spans="3:61" outlineLevel="1">
      <c r="C19" t="str">
        <f>C16</f>
        <v>All construction costs</v>
      </c>
      <c r="D19" s="8" t="s">
        <v>48</v>
      </c>
      <c r="E19" s="43">
        <f>Inputs!E20</f>
        <v>60</v>
      </c>
      <c r="I19" s="46">
        <f>SUM(J19:BI19)</f>
        <v>60</v>
      </c>
      <c r="J19" s="21">
        <f>$E19*J16*(1+$F$19)</f>
        <v>7.5</v>
      </c>
      <c r="K19" s="21">
        <f t="shared" ref="K19:BI19" si="0">$E19*K16*(1+$F$19)</f>
        <v>7.5</v>
      </c>
      <c r="L19" s="21">
        <f t="shared" si="0"/>
        <v>7.5</v>
      </c>
      <c r="M19" s="21">
        <f t="shared" si="0"/>
        <v>7.5</v>
      </c>
      <c r="N19" s="21">
        <f t="shared" si="0"/>
        <v>7.5</v>
      </c>
      <c r="O19" s="21">
        <f t="shared" si="0"/>
        <v>7.5</v>
      </c>
      <c r="P19" s="21">
        <f t="shared" si="0"/>
        <v>7.5</v>
      </c>
      <c r="Q19" s="21">
        <f t="shared" si="0"/>
        <v>7.5</v>
      </c>
      <c r="R19" s="21">
        <f t="shared" si="0"/>
        <v>0</v>
      </c>
      <c r="S19" s="21">
        <f t="shared" si="0"/>
        <v>0</v>
      </c>
      <c r="T19" s="21">
        <f t="shared" si="0"/>
        <v>0</v>
      </c>
      <c r="U19" s="21">
        <f t="shared" si="0"/>
        <v>0</v>
      </c>
      <c r="V19" s="21">
        <f t="shared" si="0"/>
        <v>0</v>
      </c>
      <c r="W19" s="21">
        <f t="shared" si="0"/>
        <v>0</v>
      </c>
      <c r="X19" s="21">
        <f t="shared" si="0"/>
        <v>0</v>
      </c>
      <c r="Y19" s="21">
        <f t="shared" si="0"/>
        <v>0</v>
      </c>
      <c r="Z19" s="21">
        <f t="shared" si="0"/>
        <v>0</v>
      </c>
      <c r="AA19" s="21">
        <f t="shared" si="0"/>
        <v>0</v>
      </c>
      <c r="AB19" s="21">
        <f t="shared" si="0"/>
        <v>0</v>
      </c>
      <c r="AC19" s="21">
        <f t="shared" si="0"/>
        <v>0</v>
      </c>
      <c r="AD19" s="21">
        <f t="shared" si="0"/>
        <v>0</v>
      </c>
      <c r="AE19" s="21">
        <f t="shared" si="0"/>
        <v>0</v>
      </c>
      <c r="AF19" s="21">
        <f t="shared" si="0"/>
        <v>0</v>
      </c>
      <c r="AG19" s="21">
        <f t="shared" si="0"/>
        <v>0</v>
      </c>
      <c r="AH19" s="21">
        <f t="shared" si="0"/>
        <v>0</v>
      </c>
      <c r="AI19" s="21">
        <f t="shared" si="0"/>
        <v>0</v>
      </c>
      <c r="AJ19" s="21">
        <f t="shared" si="0"/>
        <v>0</v>
      </c>
      <c r="AK19" s="21">
        <f t="shared" si="0"/>
        <v>0</v>
      </c>
      <c r="AL19" s="21">
        <f t="shared" si="0"/>
        <v>0</v>
      </c>
      <c r="AM19" s="21">
        <f t="shared" si="0"/>
        <v>0</v>
      </c>
      <c r="AN19" s="21">
        <f t="shared" si="0"/>
        <v>0</v>
      </c>
      <c r="AO19" s="21">
        <f t="shared" si="0"/>
        <v>0</v>
      </c>
      <c r="AP19" s="21">
        <f t="shared" si="0"/>
        <v>0</v>
      </c>
      <c r="AQ19" s="21">
        <f t="shared" si="0"/>
        <v>0</v>
      </c>
      <c r="AR19" s="21">
        <f t="shared" si="0"/>
        <v>0</v>
      </c>
      <c r="AS19" s="21">
        <f t="shared" si="0"/>
        <v>0</v>
      </c>
      <c r="AT19" s="21">
        <f t="shared" si="0"/>
        <v>0</v>
      </c>
      <c r="AU19" s="21">
        <f t="shared" si="0"/>
        <v>0</v>
      </c>
      <c r="AV19" s="21">
        <f t="shared" si="0"/>
        <v>0</v>
      </c>
      <c r="AW19" s="21">
        <f t="shared" si="0"/>
        <v>0</v>
      </c>
      <c r="AX19" s="21">
        <f t="shared" si="0"/>
        <v>0</v>
      </c>
      <c r="AY19" s="21">
        <f t="shared" si="0"/>
        <v>0</v>
      </c>
      <c r="AZ19" s="21">
        <f t="shared" si="0"/>
        <v>0</v>
      </c>
      <c r="BA19" s="21">
        <f t="shared" si="0"/>
        <v>0</v>
      </c>
      <c r="BB19" s="21">
        <f t="shared" si="0"/>
        <v>0</v>
      </c>
      <c r="BC19" s="21">
        <f t="shared" si="0"/>
        <v>0</v>
      </c>
      <c r="BD19" s="21">
        <f t="shared" si="0"/>
        <v>0</v>
      </c>
      <c r="BE19" s="21">
        <f t="shared" si="0"/>
        <v>0</v>
      </c>
      <c r="BF19" s="21">
        <f t="shared" si="0"/>
        <v>0</v>
      </c>
      <c r="BG19" s="21">
        <f t="shared" si="0"/>
        <v>0</v>
      </c>
      <c r="BH19" s="21">
        <f t="shared" si="0"/>
        <v>0</v>
      </c>
      <c r="BI19" s="21">
        <f t="shared" si="0"/>
        <v>0</v>
      </c>
    </row>
    <row r="20" spans="3:61" outlineLevel="1"/>
    <row r="21" spans="3:61" ht="20.25">
      <c r="C21" s="7" t="s">
        <v>23</v>
      </c>
    </row>
    <row r="22" spans="3:61" ht="15" outlineLevel="1">
      <c r="C22" s="4" t="s">
        <v>87</v>
      </c>
    </row>
    <row r="23" spans="3:61" outlineLevel="1">
      <c r="C23" t="s">
        <v>88</v>
      </c>
      <c r="D23" s="8" t="s">
        <v>48</v>
      </c>
      <c r="I23" s="46">
        <f t="shared" ref="I23:I25" si="1">SUM(J23:BI23)</f>
        <v>60</v>
      </c>
      <c r="J23" s="21">
        <f>J19</f>
        <v>7.5</v>
      </c>
      <c r="K23" s="21">
        <f t="shared" ref="K23:BI23" si="2">K19</f>
        <v>7.5</v>
      </c>
      <c r="L23" s="21">
        <f t="shared" si="2"/>
        <v>7.5</v>
      </c>
      <c r="M23" s="21">
        <f t="shared" si="2"/>
        <v>7.5</v>
      </c>
      <c r="N23" s="21">
        <f t="shared" si="2"/>
        <v>7.5</v>
      </c>
      <c r="O23" s="21">
        <f t="shared" si="2"/>
        <v>7.5</v>
      </c>
      <c r="P23" s="21">
        <f t="shared" si="2"/>
        <v>7.5</v>
      </c>
      <c r="Q23" s="21">
        <f t="shared" si="2"/>
        <v>7.5</v>
      </c>
      <c r="R23" s="21">
        <f t="shared" si="2"/>
        <v>0</v>
      </c>
      <c r="S23" s="21">
        <f t="shared" si="2"/>
        <v>0</v>
      </c>
      <c r="T23" s="21">
        <f t="shared" si="2"/>
        <v>0</v>
      </c>
      <c r="U23" s="21">
        <f t="shared" si="2"/>
        <v>0</v>
      </c>
      <c r="V23" s="21">
        <f t="shared" si="2"/>
        <v>0</v>
      </c>
      <c r="W23" s="21">
        <f t="shared" si="2"/>
        <v>0</v>
      </c>
      <c r="X23" s="21">
        <f t="shared" si="2"/>
        <v>0</v>
      </c>
      <c r="Y23" s="21">
        <f t="shared" si="2"/>
        <v>0</v>
      </c>
      <c r="Z23" s="21">
        <f t="shared" si="2"/>
        <v>0</v>
      </c>
      <c r="AA23" s="21">
        <f t="shared" si="2"/>
        <v>0</v>
      </c>
      <c r="AB23" s="21">
        <f t="shared" si="2"/>
        <v>0</v>
      </c>
      <c r="AC23" s="21">
        <f t="shared" si="2"/>
        <v>0</v>
      </c>
      <c r="AD23" s="21">
        <f t="shared" si="2"/>
        <v>0</v>
      </c>
      <c r="AE23" s="21">
        <f t="shared" si="2"/>
        <v>0</v>
      </c>
      <c r="AF23" s="21">
        <f t="shared" si="2"/>
        <v>0</v>
      </c>
      <c r="AG23" s="21">
        <f t="shared" si="2"/>
        <v>0</v>
      </c>
      <c r="AH23" s="21">
        <f t="shared" si="2"/>
        <v>0</v>
      </c>
      <c r="AI23" s="21">
        <f t="shared" si="2"/>
        <v>0</v>
      </c>
      <c r="AJ23" s="21">
        <f t="shared" si="2"/>
        <v>0</v>
      </c>
      <c r="AK23" s="21">
        <f t="shared" si="2"/>
        <v>0</v>
      </c>
      <c r="AL23" s="21">
        <f t="shared" si="2"/>
        <v>0</v>
      </c>
      <c r="AM23" s="21">
        <f t="shared" si="2"/>
        <v>0</v>
      </c>
      <c r="AN23" s="21">
        <f t="shared" si="2"/>
        <v>0</v>
      </c>
      <c r="AO23" s="21">
        <f t="shared" si="2"/>
        <v>0</v>
      </c>
      <c r="AP23" s="21">
        <f t="shared" si="2"/>
        <v>0</v>
      </c>
      <c r="AQ23" s="21">
        <f t="shared" si="2"/>
        <v>0</v>
      </c>
      <c r="AR23" s="21">
        <f t="shared" si="2"/>
        <v>0</v>
      </c>
      <c r="AS23" s="21">
        <f t="shared" si="2"/>
        <v>0</v>
      </c>
      <c r="AT23" s="21">
        <f t="shared" si="2"/>
        <v>0</v>
      </c>
      <c r="AU23" s="21">
        <f t="shared" si="2"/>
        <v>0</v>
      </c>
      <c r="AV23" s="21">
        <f t="shared" si="2"/>
        <v>0</v>
      </c>
      <c r="AW23" s="21">
        <f t="shared" si="2"/>
        <v>0</v>
      </c>
      <c r="AX23" s="21">
        <f t="shared" si="2"/>
        <v>0</v>
      </c>
      <c r="AY23" s="21">
        <f t="shared" si="2"/>
        <v>0</v>
      </c>
      <c r="AZ23" s="21">
        <f t="shared" si="2"/>
        <v>0</v>
      </c>
      <c r="BA23" s="21">
        <f t="shared" si="2"/>
        <v>0</v>
      </c>
      <c r="BB23" s="21">
        <f t="shared" si="2"/>
        <v>0</v>
      </c>
      <c r="BC23" s="21">
        <f t="shared" si="2"/>
        <v>0</v>
      </c>
      <c r="BD23" s="21">
        <f t="shared" si="2"/>
        <v>0</v>
      </c>
      <c r="BE23" s="21">
        <f t="shared" si="2"/>
        <v>0</v>
      </c>
      <c r="BF23" s="21">
        <f t="shared" si="2"/>
        <v>0</v>
      </c>
      <c r="BG23" s="21">
        <f t="shared" si="2"/>
        <v>0</v>
      </c>
      <c r="BH23" s="21">
        <f t="shared" si="2"/>
        <v>0</v>
      </c>
      <c r="BI23" s="21">
        <f t="shared" si="2"/>
        <v>0</v>
      </c>
    </row>
    <row r="24" spans="3:61" outlineLevel="1">
      <c r="C24" t="s">
        <v>89</v>
      </c>
      <c r="D24" s="8" t="s">
        <v>48</v>
      </c>
      <c r="I24" s="46">
        <f t="shared" si="1"/>
        <v>3.4380985945792064</v>
      </c>
      <c r="J24" s="21">
        <f>J48</f>
        <v>0</v>
      </c>
      <c r="K24" s="21">
        <f t="shared" ref="K24:BI24" si="3">K48</f>
        <v>0.12936209570681423</v>
      </c>
      <c r="L24" s="21">
        <f t="shared" si="3"/>
        <v>0.26384796921344794</v>
      </c>
      <c r="M24" s="21">
        <f t="shared" si="3"/>
        <v>0.3992453182226442</v>
      </c>
      <c r="N24" s="21">
        <f t="shared" si="3"/>
        <v>0.48187787841044294</v>
      </c>
      <c r="O24" s="21">
        <f t="shared" si="3"/>
        <v>0.61358319011183682</v>
      </c>
      <c r="P24" s="21">
        <f t="shared" si="3"/>
        <v>0.75019479687207835</v>
      </c>
      <c r="Q24" s="21">
        <f t="shared" si="3"/>
        <v>0.79998734604194155</v>
      </c>
      <c r="R24" s="21">
        <f t="shared" si="3"/>
        <v>0</v>
      </c>
      <c r="S24" s="21">
        <f t="shared" si="3"/>
        <v>0</v>
      </c>
      <c r="T24" s="21">
        <f t="shared" si="3"/>
        <v>0</v>
      </c>
      <c r="U24" s="21">
        <f t="shared" si="3"/>
        <v>0</v>
      </c>
      <c r="V24" s="21">
        <f t="shared" si="3"/>
        <v>0</v>
      </c>
      <c r="W24" s="21">
        <f t="shared" si="3"/>
        <v>0</v>
      </c>
      <c r="X24" s="21">
        <f t="shared" si="3"/>
        <v>0</v>
      </c>
      <c r="Y24" s="21">
        <f t="shared" si="3"/>
        <v>0</v>
      </c>
      <c r="Z24" s="21">
        <f t="shared" si="3"/>
        <v>0</v>
      </c>
      <c r="AA24" s="21">
        <f t="shared" si="3"/>
        <v>0</v>
      </c>
      <c r="AB24" s="21">
        <f t="shared" si="3"/>
        <v>0</v>
      </c>
      <c r="AC24" s="21">
        <f t="shared" si="3"/>
        <v>0</v>
      </c>
      <c r="AD24" s="21">
        <f t="shared" si="3"/>
        <v>0</v>
      </c>
      <c r="AE24" s="21">
        <f t="shared" si="3"/>
        <v>0</v>
      </c>
      <c r="AF24" s="21">
        <f t="shared" si="3"/>
        <v>0</v>
      </c>
      <c r="AG24" s="21">
        <f t="shared" si="3"/>
        <v>0</v>
      </c>
      <c r="AH24" s="21">
        <f t="shared" si="3"/>
        <v>0</v>
      </c>
      <c r="AI24" s="21">
        <f t="shared" si="3"/>
        <v>0</v>
      </c>
      <c r="AJ24" s="21">
        <f t="shared" si="3"/>
        <v>0</v>
      </c>
      <c r="AK24" s="21">
        <f t="shared" si="3"/>
        <v>0</v>
      </c>
      <c r="AL24" s="21">
        <f t="shared" si="3"/>
        <v>0</v>
      </c>
      <c r="AM24" s="21">
        <f t="shared" si="3"/>
        <v>0</v>
      </c>
      <c r="AN24" s="21">
        <f t="shared" si="3"/>
        <v>0</v>
      </c>
      <c r="AO24" s="21">
        <f t="shared" si="3"/>
        <v>0</v>
      </c>
      <c r="AP24" s="21">
        <f t="shared" si="3"/>
        <v>0</v>
      </c>
      <c r="AQ24" s="21">
        <f t="shared" si="3"/>
        <v>0</v>
      </c>
      <c r="AR24" s="21">
        <f t="shared" si="3"/>
        <v>0</v>
      </c>
      <c r="AS24" s="21">
        <f t="shared" si="3"/>
        <v>0</v>
      </c>
      <c r="AT24" s="21">
        <f t="shared" si="3"/>
        <v>0</v>
      </c>
      <c r="AU24" s="21">
        <f t="shared" si="3"/>
        <v>0</v>
      </c>
      <c r="AV24" s="21">
        <f t="shared" si="3"/>
        <v>0</v>
      </c>
      <c r="AW24" s="21">
        <f t="shared" si="3"/>
        <v>0</v>
      </c>
      <c r="AX24" s="21">
        <f t="shared" si="3"/>
        <v>0</v>
      </c>
      <c r="AY24" s="21">
        <f t="shared" si="3"/>
        <v>0</v>
      </c>
      <c r="AZ24" s="21">
        <f t="shared" si="3"/>
        <v>0</v>
      </c>
      <c r="BA24" s="21">
        <f t="shared" si="3"/>
        <v>0</v>
      </c>
      <c r="BB24" s="21">
        <f t="shared" si="3"/>
        <v>0</v>
      </c>
      <c r="BC24" s="21">
        <f t="shared" si="3"/>
        <v>0</v>
      </c>
      <c r="BD24" s="21">
        <f t="shared" si="3"/>
        <v>0</v>
      </c>
      <c r="BE24" s="21">
        <f t="shared" si="3"/>
        <v>0</v>
      </c>
      <c r="BF24" s="21">
        <f t="shared" si="3"/>
        <v>0</v>
      </c>
      <c r="BG24" s="21">
        <f t="shared" si="3"/>
        <v>0</v>
      </c>
      <c r="BH24" s="21">
        <f t="shared" si="3"/>
        <v>0</v>
      </c>
      <c r="BI24" s="21">
        <f t="shared" si="3"/>
        <v>0</v>
      </c>
    </row>
    <row r="25" spans="3:61" outlineLevel="1">
      <c r="C25" t="s">
        <v>20</v>
      </c>
      <c r="D25" s="8" t="s">
        <v>48</v>
      </c>
      <c r="I25" s="46">
        <f t="shared" si="1"/>
        <v>63.438098594579202</v>
      </c>
      <c r="J25" s="51">
        <f t="shared" ref="J25:AO25" si="4">SUM(J23:J24)</f>
        <v>7.5</v>
      </c>
      <c r="K25" s="51">
        <f t="shared" si="4"/>
        <v>7.6293620957068145</v>
      </c>
      <c r="L25" s="51">
        <f t="shared" si="4"/>
        <v>7.7638479692134483</v>
      </c>
      <c r="M25" s="51">
        <f t="shared" si="4"/>
        <v>7.8992453182226443</v>
      </c>
      <c r="N25" s="51">
        <f t="shared" si="4"/>
        <v>7.9818778784104429</v>
      </c>
      <c r="O25" s="51">
        <f t="shared" si="4"/>
        <v>8.1135831901118376</v>
      </c>
      <c r="P25" s="51">
        <f t="shared" si="4"/>
        <v>8.2501947968720781</v>
      </c>
      <c r="Q25" s="51">
        <f t="shared" si="4"/>
        <v>8.2999873460419415</v>
      </c>
      <c r="R25" s="51">
        <f t="shared" si="4"/>
        <v>0</v>
      </c>
      <c r="S25" s="51">
        <f t="shared" si="4"/>
        <v>0</v>
      </c>
      <c r="T25" s="51">
        <f t="shared" si="4"/>
        <v>0</v>
      </c>
      <c r="U25" s="51">
        <f t="shared" si="4"/>
        <v>0</v>
      </c>
      <c r="V25" s="51">
        <f t="shared" si="4"/>
        <v>0</v>
      </c>
      <c r="W25" s="51">
        <f t="shared" si="4"/>
        <v>0</v>
      </c>
      <c r="X25" s="51">
        <f t="shared" si="4"/>
        <v>0</v>
      </c>
      <c r="Y25" s="51">
        <f t="shared" si="4"/>
        <v>0</v>
      </c>
      <c r="Z25" s="51">
        <f t="shared" si="4"/>
        <v>0</v>
      </c>
      <c r="AA25" s="51">
        <f t="shared" si="4"/>
        <v>0</v>
      </c>
      <c r="AB25" s="51">
        <f t="shared" si="4"/>
        <v>0</v>
      </c>
      <c r="AC25" s="51">
        <f t="shared" si="4"/>
        <v>0</v>
      </c>
      <c r="AD25" s="51">
        <f t="shared" si="4"/>
        <v>0</v>
      </c>
      <c r="AE25" s="51">
        <f t="shared" si="4"/>
        <v>0</v>
      </c>
      <c r="AF25" s="51">
        <f t="shared" si="4"/>
        <v>0</v>
      </c>
      <c r="AG25" s="51">
        <f t="shared" si="4"/>
        <v>0</v>
      </c>
      <c r="AH25" s="51">
        <f t="shared" si="4"/>
        <v>0</v>
      </c>
      <c r="AI25" s="51">
        <f t="shared" si="4"/>
        <v>0</v>
      </c>
      <c r="AJ25" s="51">
        <f t="shared" si="4"/>
        <v>0</v>
      </c>
      <c r="AK25" s="51">
        <f t="shared" si="4"/>
        <v>0</v>
      </c>
      <c r="AL25" s="51">
        <f t="shared" si="4"/>
        <v>0</v>
      </c>
      <c r="AM25" s="51">
        <f t="shared" si="4"/>
        <v>0</v>
      </c>
      <c r="AN25" s="51">
        <f t="shared" si="4"/>
        <v>0</v>
      </c>
      <c r="AO25" s="51">
        <f t="shared" si="4"/>
        <v>0</v>
      </c>
      <c r="AP25" s="51">
        <f t="shared" ref="AP25:BI25" si="5">SUM(AP23:AP24)</f>
        <v>0</v>
      </c>
      <c r="AQ25" s="51">
        <f t="shared" si="5"/>
        <v>0</v>
      </c>
      <c r="AR25" s="51">
        <f t="shared" si="5"/>
        <v>0</v>
      </c>
      <c r="AS25" s="51">
        <f t="shared" si="5"/>
        <v>0</v>
      </c>
      <c r="AT25" s="51">
        <f t="shared" si="5"/>
        <v>0</v>
      </c>
      <c r="AU25" s="51">
        <f t="shared" si="5"/>
        <v>0</v>
      </c>
      <c r="AV25" s="51">
        <f t="shared" si="5"/>
        <v>0</v>
      </c>
      <c r="AW25" s="51">
        <f t="shared" si="5"/>
        <v>0</v>
      </c>
      <c r="AX25" s="51">
        <f t="shared" si="5"/>
        <v>0</v>
      </c>
      <c r="AY25" s="51">
        <f t="shared" si="5"/>
        <v>0</v>
      </c>
      <c r="AZ25" s="51">
        <f t="shared" si="5"/>
        <v>0</v>
      </c>
      <c r="BA25" s="51">
        <f t="shared" si="5"/>
        <v>0</v>
      </c>
      <c r="BB25" s="51">
        <f t="shared" si="5"/>
        <v>0</v>
      </c>
      <c r="BC25" s="51">
        <f t="shared" si="5"/>
        <v>0</v>
      </c>
      <c r="BD25" s="51">
        <f t="shared" si="5"/>
        <v>0</v>
      </c>
      <c r="BE25" s="51">
        <f t="shared" si="5"/>
        <v>0</v>
      </c>
      <c r="BF25" s="51">
        <f t="shared" si="5"/>
        <v>0</v>
      </c>
      <c r="BG25" s="51">
        <f t="shared" si="5"/>
        <v>0</v>
      </c>
      <c r="BH25" s="51">
        <f t="shared" si="5"/>
        <v>0</v>
      </c>
      <c r="BI25" s="51">
        <f t="shared" si="5"/>
        <v>0</v>
      </c>
    </row>
    <row r="26" spans="3:61" outlineLevel="1"/>
    <row r="27" spans="3:61" ht="15" outlineLevel="1">
      <c r="C27" s="4" t="s">
        <v>90</v>
      </c>
    </row>
    <row r="28" spans="3:61" outlineLevel="1">
      <c r="C28" t="s">
        <v>24</v>
      </c>
      <c r="D28" s="8" t="s">
        <v>48</v>
      </c>
      <c r="I28" s="46">
        <f t="shared" ref="I28:I29" si="6">SUM(J28:BI28)</f>
        <v>50</v>
      </c>
      <c r="J28" s="21">
        <f>MIN(J25,J40)</f>
        <v>7.5</v>
      </c>
      <c r="K28" s="21">
        <f t="shared" ref="K28:BI28" si="7">MIN(K25,K40)</f>
        <v>7.6293620957068145</v>
      </c>
      <c r="L28" s="21">
        <f t="shared" si="7"/>
        <v>7.7638479692134483</v>
      </c>
      <c r="M28" s="21">
        <f t="shared" si="7"/>
        <v>7.8992453182226443</v>
      </c>
      <c r="N28" s="21">
        <f t="shared" si="7"/>
        <v>7.9818778784104429</v>
      </c>
      <c r="O28" s="21">
        <f t="shared" si="7"/>
        <v>8.1135831901118376</v>
      </c>
      <c r="P28" s="21">
        <f t="shared" si="7"/>
        <v>3.1120835483348159</v>
      </c>
      <c r="Q28" s="21">
        <f t="shared" si="7"/>
        <v>0</v>
      </c>
      <c r="R28" s="21">
        <f t="shared" si="7"/>
        <v>0</v>
      </c>
      <c r="S28" s="21">
        <f t="shared" si="7"/>
        <v>0</v>
      </c>
      <c r="T28" s="21">
        <f t="shared" si="7"/>
        <v>0</v>
      </c>
      <c r="U28" s="21">
        <f t="shared" si="7"/>
        <v>0</v>
      </c>
      <c r="V28" s="21">
        <f t="shared" si="7"/>
        <v>0</v>
      </c>
      <c r="W28" s="21">
        <f t="shared" si="7"/>
        <v>0</v>
      </c>
      <c r="X28" s="21">
        <f t="shared" si="7"/>
        <v>0</v>
      </c>
      <c r="Y28" s="21">
        <f t="shared" si="7"/>
        <v>0</v>
      </c>
      <c r="Z28" s="21">
        <f t="shared" si="7"/>
        <v>0</v>
      </c>
      <c r="AA28" s="21">
        <f t="shared" si="7"/>
        <v>0</v>
      </c>
      <c r="AB28" s="21">
        <f t="shared" si="7"/>
        <v>0</v>
      </c>
      <c r="AC28" s="21">
        <f t="shared" si="7"/>
        <v>0</v>
      </c>
      <c r="AD28" s="21">
        <f t="shared" si="7"/>
        <v>0</v>
      </c>
      <c r="AE28" s="21">
        <f t="shared" si="7"/>
        <v>0</v>
      </c>
      <c r="AF28" s="21">
        <f t="shared" si="7"/>
        <v>0</v>
      </c>
      <c r="AG28" s="21">
        <f t="shared" si="7"/>
        <v>0</v>
      </c>
      <c r="AH28" s="21">
        <f t="shared" si="7"/>
        <v>0</v>
      </c>
      <c r="AI28" s="21">
        <f t="shared" si="7"/>
        <v>0</v>
      </c>
      <c r="AJ28" s="21">
        <f t="shared" si="7"/>
        <v>0</v>
      </c>
      <c r="AK28" s="21">
        <f t="shared" si="7"/>
        <v>0</v>
      </c>
      <c r="AL28" s="21">
        <f t="shared" si="7"/>
        <v>0</v>
      </c>
      <c r="AM28" s="21">
        <f t="shared" si="7"/>
        <v>0</v>
      </c>
      <c r="AN28" s="21">
        <f t="shared" si="7"/>
        <v>0</v>
      </c>
      <c r="AO28" s="21">
        <f t="shared" si="7"/>
        <v>0</v>
      </c>
      <c r="AP28" s="21">
        <f t="shared" si="7"/>
        <v>0</v>
      </c>
      <c r="AQ28" s="21">
        <f t="shared" si="7"/>
        <v>0</v>
      </c>
      <c r="AR28" s="21">
        <f t="shared" si="7"/>
        <v>0</v>
      </c>
      <c r="AS28" s="21">
        <f t="shared" si="7"/>
        <v>0</v>
      </c>
      <c r="AT28" s="21">
        <f t="shared" si="7"/>
        <v>0</v>
      </c>
      <c r="AU28" s="21">
        <f t="shared" si="7"/>
        <v>0</v>
      </c>
      <c r="AV28" s="21">
        <f t="shared" si="7"/>
        <v>0</v>
      </c>
      <c r="AW28" s="21">
        <f t="shared" si="7"/>
        <v>0</v>
      </c>
      <c r="AX28" s="21">
        <f t="shared" si="7"/>
        <v>0</v>
      </c>
      <c r="AY28" s="21">
        <f t="shared" si="7"/>
        <v>0</v>
      </c>
      <c r="AZ28" s="21">
        <f t="shared" si="7"/>
        <v>0</v>
      </c>
      <c r="BA28" s="21">
        <f t="shared" si="7"/>
        <v>0</v>
      </c>
      <c r="BB28" s="21">
        <f t="shared" si="7"/>
        <v>0</v>
      </c>
      <c r="BC28" s="21">
        <f t="shared" si="7"/>
        <v>0</v>
      </c>
      <c r="BD28" s="21">
        <f t="shared" si="7"/>
        <v>0</v>
      </c>
      <c r="BE28" s="21">
        <f t="shared" si="7"/>
        <v>0</v>
      </c>
      <c r="BF28" s="21">
        <f t="shared" si="7"/>
        <v>0</v>
      </c>
      <c r="BG28" s="21">
        <f t="shared" si="7"/>
        <v>0</v>
      </c>
      <c r="BH28" s="21">
        <f t="shared" si="7"/>
        <v>0</v>
      </c>
      <c r="BI28" s="21">
        <f t="shared" si="7"/>
        <v>0</v>
      </c>
    </row>
    <row r="29" spans="3:61" outlineLevel="1">
      <c r="C29" t="s">
        <v>91</v>
      </c>
      <c r="D29" s="8" t="s">
        <v>48</v>
      </c>
      <c r="I29" s="46">
        <f t="shared" si="6"/>
        <v>13.438098594579204</v>
      </c>
      <c r="J29" s="52">
        <f>J25-J28</f>
        <v>0</v>
      </c>
      <c r="K29" s="52">
        <f t="shared" ref="K29:BI29" si="8">K25-K28</f>
        <v>0</v>
      </c>
      <c r="L29" s="52">
        <f t="shared" si="8"/>
        <v>0</v>
      </c>
      <c r="M29" s="52">
        <f t="shared" si="8"/>
        <v>0</v>
      </c>
      <c r="N29" s="52">
        <f t="shared" si="8"/>
        <v>0</v>
      </c>
      <c r="O29" s="52">
        <f t="shared" si="8"/>
        <v>0</v>
      </c>
      <c r="P29" s="52">
        <f t="shared" si="8"/>
        <v>5.1381112485372622</v>
      </c>
      <c r="Q29" s="52">
        <f t="shared" si="8"/>
        <v>8.2999873460419415</v>
      </c>
      <c r="R29" s="52">
        <f t="shared" si="8"/>
        <v>0</v>
      </c>
      <c r="S29" s="52">
        <f t="shared" si="8"/>
        <v>0</v>
      </c>
      <c r="T29" s="52">
        <f t="shared" si="8"/>
        <v>0</v>
      </c>
      <c r="U29" s="52">
        <f t="shared" si="8"/>
        <v>0</v>
      </c>
      <c r="V29" s="52">
        <f t="shared" si="8"/>
        <v>0</v>
      </c>
      <c r="W29" s="52">
        <f t="shared" si="8"/>
        <v>0</v>
      </c>
      <c r="X29" s="52">
        <f t="shared" si="8"/>
        <v>0</v>
      </c>
      <c r="Y29" s="52">
        <f t="shared" si="8"/>
        <v>0</v>
      </c>
      <c r="Z29" s="52">
        <f t="shared" si="8"/>
        <v>0</v>
      </c>
      <c r="AA29" s="52">
        <f t="shared" si="8"/>
        <v>0</v>
      </c>
      <c r="AB29" s="52">
        <f t="shared" si="8"/>
        <v>0</v>
      </c>
      <c r="AC29" s="52">
        <f t="shared" si="8"/>
        <v>0</v>
      </c>
      <c r="AD29" s="52">
        <f t="shared" si="8"/>
        <v>0</v>
      </c>
      <c r="AE29" s="52">
        <f t="shared" si="8"/>
        <v>0</v>
      </c>
      <c r="AF29" s="52">
        <f t="shared" si="8"/>
        <v>0</v>
      </c>
      <c r="AG29" s="52">
        <f t="shared" si="8"/>
        <v>0</v>
      </c>
      <c r="AH29" s="52">
        <f t="shared" si="8"/>
        <v>0</v>
      </c>
      <c r="AI29" s="52">
        <f t="shared" si="8"/>
        <v>0</v>
      </c>
      <c r="AJ29" s="52">
        <f t="shared" si="8"/>
        <v>0</v>
      </c>
      <c r="AK29" s="52">
        <f t="shared" si="8"/>
        <v>0</v>
      </c>
      <c r="AL29" s="52">
        <f t="shared" si="8"/>
        <v>0</v>
      </c>
      <c r="AM29" s="52">
        <f t="shared" si="8"/>
        <v>0</v>
      </c>
      <c r="AN29" s="52">
        <f t="shared" si="8"/>
        <v>0</v>
      </c>
      <c r="AO29" s="52">
        <f t="shared" si="8"/>
        <v>0</v>
      </c>
      <c r="AP29" s="52">
        <f t="shared" si="8"/>
        <v>0</v>
      </c>
      <c r="AQ29" s="52">
        <f t="shared" si="8"/>
        <v>0</v>
      </c>
      <c r="AR29" s="52">
        <f t="shared" si="8"/>
        <v>0</v>
      </c>
      <c r="AS29" s="52">
        <f t="shared" si="8"/>
        <v>0</v>
      </c>
      <c r="AT29" s="52">
        <f t="shared" si="8"/>
        <v>0</v>
      </c>
      <c r="AU29" s="52">
        <f t="shared" si="8"/>
        <v>0</v>
      </c>
      <c r="AV29" s="52">
        <f t="shared" si="8"/>
        <v>0</v>
      </c>
      <c r="AW29" s="52">
        <f t="shared" si="8"/>
        <v>0</v>
      </c>
      <c r="AX29" s="52">
        <f t="shared" si="8"/>
        <v>0</v>
      </c>
      <c r="AY29" s="52">
        <f t="shared" si="8"/>
        <v>0</v>
      </c>
      <c r="AZ29" s="52">
        <f t="shared" si="8"/>
        <v>0</v>
      </c>
      <c r="BA29" s="52">
        <f t="shared" si="8"/>
        <v>0</v>
      </c>
      <c r="BB29" s="52">
        <f t="shared" si="8"/>
        <v>0</v>
      </c>
      <c r="BC29" s="52">
        <f t="shared" si="8"/>
        <v>0</v>
      </c>
      <c r="BD29" s="52">
        <f t="shared" si="8"/>
        <v>0</v>
      </c>
      <c r="BE29" s="52">
        <f t="shared" si="8"/>
        <v>0</v>
      </c>
      <c r="BF29" s="52">
        <f t="shared" si="8"/>
        <v>0</v>
      </c>
      <c r="BG29" s="52">
        <f t="shared" si="8"/>
        <v>0</v>
      </c>
      <c r="BH29" s="52">
        <f t="shared" si="8"/>
        <v>0</v>
      </c>
      <c r="BI29" s="52">
        <f t="shared" si="8"/>
        <v>0</v>
      </c>
    </row>
    <row r="30" spans="3:61" outlineLevel="1"/>
    <row r="31" spans="3:61" outlineLevel="1">
      <c r="C31" t="s">
        <v>25</v>
      </c>
      <c r="D31" s="8" t="s">
        <v>48</v>
      </c>
      <c r="I31" s="46">
        <f t="shared" ref="I31:I32" si="9">SUM(J31:BI31)</f>
        <v>13.438098594579204</v>
      </c>
      <c r="J31" s="21">
        <f>J29</f>
        <v>0</v>
      </c>
      <c r="K31" s="21">
        <f t="shared" ref="K31:BI31" si="10">K29</f>
        <v>0</v>
      </c>
      <c r="L31" s="21">
        <f t="shared" si="10"/>
        <v>0</v>
      </c>
      <c r="M31" s="21">
        <f t="shared" si="10"/>
        <v>0</v>
      </c>
      <c r="N31" s="21">
        <f t="shared" si="10"/>
        <v>0</v>
      </c>
      <c r="O31" s="21">
        <f t="shared" si="10"/>
        <v>0</v>
      </c>
      <c r="P31" s="21">
        <f t="shared" si="10"/>
        <v>5.1381112485372622</v>
      </c>
      <c r="Q31" s="21">
        <f t="shared" si="10"/>
        <v>8.2999873460419415</v>
      </c>
      <c r="R31" s="21">
        <f t="shared" si="10"/>
        <v>0</v>
      </c>
      <c r="S31" s="21">
        <f t="shared" si="10"/>
        <v>0</v>
      </c>
      <c r="T31" s="21">
        <f t="shared" si="10"/>
        <v>0</v>
      </c>
      <c r="U31" s="21">
        <f t="shared" si="10"/>
        <v>0</v>
      </c>
      <c r="V31" s="21">
        <f t="shared" si="10"/>
        <v>0</v>
      </c>
      <c r="W31" s="21">
        <f t="shared" si="10"/>
        <v>0</v>
      </c>
      <c r="X31" s="21">
        <f t="shared" si="10"/>
        <v>0</v>
      </c>
      <c r="Y31" s="21">
        <f t="shared" si="10"/>
        <v>0</v>
      </c>
      <c r="Z31" s="21">
        <f t="shared" si="10"/>
        <v>0</v>
      </c>
      <c r="AA31" s="21">
        <f t="shared" si="10"/>
        <v>0</v>
      </c>
      <c r="AB31" s="21">
        <f t="shared" si="10"/>
        <v>0</v>
      </c>
      <c r="AC31" s="21">
        <f t="shared" si="10"/>
        <v>0</v>
      </c>
      <c r="AD31" s="21">
        <f t="shared" si="10"/>
        <v>0</v>
      </c>
      <c r="AE31" s="21">
        <f t="shared" si="10"/>
        <v>0</v>
      </c>
      <c r="AF31" s="21">
        <f t="shared" si="10"/>
        <v>0</v>
      </c>
      <c r="AG31" s="21">
        <f t="shared" si="10"/>
        <v>0</v>
      </c>
      <c r="AH31" s="21">
        <f t="shared" si="10"/>
        <v>0</v>
      </c>
      <c r="AI31" s="21">
        <f t="shared" si="10"/>
        <v>0</v>
      </c>
      <c r="AJ31" s="21">
        <f t="shared" si="10"/>
        <v>0</v>
      </c>
      <c r="AK31" s="21">
        <f t="shared" si="10"/>
        <v>0</v>
      </c>
      <c r="AL31" s="21">
        <f t="shared" si="10"/>
        <v>0</v>
      </c>
      <c r="AM31" s="21">
        <f t="shared" si="10"/>
        <v>0</v>
      </c>
      <c r="AN31" s="21">
        <f t="shared" si="10"/>
        <v>0</v>
      </c>
      <c r="AO31" s="21">
        <f t="shared" si="10"/>
        <v>0</v>
      </c>
      <c r="AP31" s="21">
        <f t="shared" si="10"/>
        <v>0</v>
      </c>
      <c r="AQ31" s="21">
        <f t="shared" si="10"/>
        <v>0</v>
      </c>
      <c r="AR31" s="21">
        <f t="shared" si="10"/>
        <v>0</v>
      </c>
      <c r="AS31" s="21">
        <f t="shared" si="10"/>
        <v>0</v>
      </c>
      <c r="AT31" s="21">
        <f t="shared" si="10"/>
        <v>0</v>
      </c>
      <c r="AU31" s="21">
        <f t="shared" si="10"/>
        <v>0</v>
      </c>
      <c r="AV31" s="21">
        <f t="shared" si="10"/>
        <v>0</v>
      </c>
      <c r="AW31" s="21">
        <f t="shared" si="10"/>
        <v>0</v>
      </c>
      <c r="AX31" s="21">
        <f t="shared" si="10"/>
        <v>0</v>
      </c>
      <c r="AY31" s="21">
        <f t="shared" si="10"/>
        <v>0</v>
      </c>
      <c r="AZ31" s="21">
        <f t="shared" si="10"/>
        <v>0</v>
      </c>
      <c r="BA31" s="21">
        <f t="shared" si="10"/>
        <v>0</v>
      </c>
      <c r="BB31" s="21">
        <f t="shared" si="10"/>
        <v>0</v>
      </c>
      <c r="BC31" s="21">
        <f t="shared" si="10"/>
        <v>0</v>
      </c>
      <c r="BD31" s="21">
        <f t="shared" si="10"/>
        <v>0</v>
      </c>
      <c r="BE31" s="21">
        <f t="shared" si="10"/>
        <v>0</v>
      </c>
      <c r="BF31" s="21">
        <f t="shared" si="10"/>
        <v>0</v>
      </c>
      <c r="BG31" s="21">
        <f t="shared" si="10"/>
        <v>0</v>
      </c>
      <c r="BH31" s="21">
        <f t="shared" si="10"/>
        <v>0</v>
      </c>
      <c r="BI31" s="21">
        <f t="shared" si="10"/>
        <v>0</v>
      </c>
    </row>
    <row r="32" spans="3:61" outlineLevel="1">
      <c r="C32" s="32" t="s">
        <v>92</v>
      </c>
      <c r="D32" s="8" t="s">
        <v>48</v>
      </c>
      <c r="I32" s="46">
        <f t="shared" si="9"/>
        <v>0</v>
      </c>
      <c r="J32" s="52">
        <f>J29-J31</f>
        <v>0</v>
      </c>
      <c r="K32" s="52">
        <f t="shared" ref="K32" si="11">K29-K31</f>
        <v>0</v>
      </c>
      <c r="L32" s="52">
        <f t="shared" ref="L32" si="12">L29-L31</f>
        <v>0</v>
      </c>
      <c r="M32" s="52">
        <f t="shared" ref="M32" si="13">M29-M31</f>
        <v>0</v>
      </c>
      <c r="N32" s="52">
        <f t="shared" ref="N32" si="14">N29-N31</f>
        <v>0</v>
      </c>
      <c r="O32" s="52">
        <f t="shared" ref="O32" si="15">O29-O31</f>
        <v>0</v>
      </c>
      <c r="P32" s="52">
        <f t="shared" ref="P32" si="16">P29-P31</f>
        <v>0</v>
      </c>
      <c r="Q32" s="52">
        <f t="shared" ref="Q32" si="17">Q29-Q31</f>
        <v>0</v>
      </c>
      <c r="R32" s="52">
        <f t="shared" ref="R32" si="18">R29-R31</f>
        <v>0</v>
      </c>
      <c r="S32" s="52">
        <f t="shared" ref="S32" si="19">S29-S31</f>
        <v>0</v>
      </c>
      <c r="T32" s="52">
        <f t="shared" ref="T32" si="20">T29-T31</f>
        <v>0</v>
      </c>
      <c r="U32" s="52">
        <f t="shared" ref="U32" si="21">U29-U31</f>
        <v>0</v>
      </c>
      <c r="V32" s="52">
        <f t="shared" ref="V32" si="22">V29-V31</f>
        <v>0</v>
      </c>
      <c r="W32" s="52">
        <f t="shared" ref="W32" si="23">W29-W31</f>
        <v>0</v>
      </c>
      <c r="X32" s="52">
        <f t="shared" ref="X32" si="24">X29-X31</f>
        <v>0</v>
      </c>
      <c r="Y32" s="52">
        <f t="shared" ref="Y32" si="25">Y29-Y31</f>
        <v>0</v>
      </c>
      <c r="Z32" s="52">
        <f t="shared" ref="Z32" si="26">Z29-Z31</f>
        <v>0</v>
      </c>
      <c r="AA32" s="52">
        <f t="shared" ref="AA32" si="27">AA29-AA31</f>
        <v>0</v>
      </c>
      <c r="AB32" s="52">
        <f t="shared" ref="AB32" si="28">AB29-AB31</f>
        <v>0</v>
      </c>
      <c r="AC32" s="52">
        <f t="shared" ref="AC32" si="29">AC29-AC31</f>
        <v>0</v>
      </c>
      <c r="AD32" s="52">
        <f t="shared" ref="AD32" si="30">AD29-AD31</f>
        <v>0</v>
      </c>
      <c r="AE32" s="52">
        <f t="shared" ref="AE32" si="31">AE29-AE31</f>
        <v>0</v>
      </c>
      <c r="AF32" s="52">
        <f t="shared" ref="AF32" si="32">AF29-AF31</f>
        <v>0</v>
      </c>
      <c r="AG32" s="52">
        <f t="shared" ref="AG32" si="33">AG29-AG31</f>
        <v>0</v>
      </c>
      <c r="AH32" s="52">
        <f t="shared" ref="AH32" si="34">AH29-AH31</f>
        <v>0</v>
      </c>
      <c r="AI32" s="52">
        <f t="shared" ref="AI32" si="35">AI29-AI31</f>
        <v>0</v>
      </c>
      <c r="AJ32" s="52">
        <f t="shared" ref="AJ32" si="36">AJ29-AJ31</f>
        <v>0</v>
      </c>
      <c r="AK32" s="52">
        <f t="shared" ref="AK32" si="37">AK29-AK31</f>
        <v>0</v>
      </c>
      <c r="AL32" s="52">
        <f t="shared" ref="AL32" si="38">AL29-AL31</f>
        <v>0</v>
      </c>
      <c r="AM32" s="52">
        <f t="shared" ref="AM32" si="39">AM29-AM31</f>
        <v>0</v>
      </c>
      <c r="AN32" s="52">
        <f t="shared" ref="AN32" si="40">AN29-AN31</f>
        <v>0</v>
      </c>
      <c r="AO32" s="52">
        <f t="shared" ref="AO32" si="41">AO29-AO31</f>
        <v>0</v>
      </c>
      <c r="AP32" s="52">
        <f t="shared" ref="AP32" si="42">AP29-AP31</f>
        <v>0</v>
      </c>
      <c r="AQ32" s="52">
        <f t="shared" ref="AQ32" si="43">AQ29-AQ31</f>
        <v>0</v>
      </c>
      <c r="AR32" s="52">
        <f t="shared" ref="AR32" si="44">AR29-AR31</f>
        <v>0</v>
      </c>
      <c r="AS32" s="52">
        <f t="shared" ref="AS32" si="45">AS29-AS31</f>
        <v>0</v>
      </c>
      <c r="AT32" s="52">
        <f t="shared" ref="AT32" si="46">AT29-AT31</f>
        <v>0</v>
      </c>
      <c r="AU32" s="52">
        <f t="shared" ref="AU32" si="47">AU29-AU31</f>
        <v>0</v>
      </c>
      <c r="AV32" s="52">
        <f t="shared" ref="AV32" si="48">AV29-AV31</f>
        <v>0</v>
      </c>
      <c r="AW32" s="52">
        <f t="shared" ref="AW32" si="49">AW29-AW31</f>
        <v>0</v>
      </c>
      <c r="AX32" s="52">
        <f t="shared" ref="AX32" si="50">AX29-AX31</f>
        <v>0</v>
      </c>
      <c r="AY32" s="52">
        <f t="shared" ref="AY32" si="51">AY29-AY31</f>
        <v>0</v>
      </c>
      <c r="AZ32" s="52">
        <f t="shared" ref="AZ32" si="52">AZ29-AZ31</f>
        <v>0</v>
      </c>
      <c r="BA32" s="52">
        <f t="shared" ref="BA32" si="53">BA29-BA31</f>
        <v>0</v>
      </c>
      <c r="BB32" s="52">
        <f t="shared" ref="BB32" si="54">BB29-BB31</f>
        <v>0</v>
      </c>
      <c r="BC32" s="52">
        <f t="shared" ref="BC32" si="55">BC29-BC31</f>
        <v>0</v>
      </c>
      <c r="BD32" s="52">
        <f t="shared" ref="BD32" si="56">BD29-BD31</f>
        <v>0</v>
      </c>
      <c r="BE32" s="52">
        <f t="shared" ref="BE32" si="57">BE29-BE31</f>
        <v>0</v>
      </c>
      <c r="BF32" s="52">
        <f t="shared" ref="BF32" si="58">BF29-BF31</f>
        <v>0</v>
      </c>
      <c r="BG32" s="52">
        <f t="shared" ref="BG32" si="59">BG29-BG31</f>
        <v>0</v>
      </c>
      <c r="BH32" s="52">
        <f t="shared" ref="BH32" si="60">BH29-BH31</f>
        <v>0</v>
      </c>
      <c r="BI32" s="52">
        <f t="shared" ref="BI32" si="61">BI29-BI31</f>
        <v>0</v>
      </c>
    </row>
    <row r="33" spans="3:61" outlineLevel="1"/>
    <row r="34" spans="3:61" ht="15" outlineLevel="1">
      <c r="C34" s="4" t="s">
        <v>24</v>
      </c>
    </row>
    <row r="35" spans="3:61" outlineLevel="1">
      <c r="C35" t="s">
        <v>93</v>
      </c>
      <c r="D35" s="8" t="s">
        <v>48</v>
      </c>
      <c r="J35" s="21">
        <f>I38</f>
        <v>0</v>
      </c>
      <c r="K35" s="21">
        <f t="shared" ref="K35:BI35" si="62">J38</f>
        <v>7.5</v>
      </c>
      <c r="L35" s="21">
        <f t="shared" si="62"/>
        <v>15.129362095706814</v>
      </c>
      <c r="M35" s="21">
        <f t="shared" si="62"/>
        <v>22.893210064920261</v>
      </c>
      <c r="N35" s="21">
        <f t="shared" si="62"/>
        <v>30.792455383142904</v>
      </c>
      <c r="O35" s="21">
        <f t="shared" si="62"/>
        <v>38.774333261553345</v>
      </c>
      <c r="P35" s="21">
        <f t="shared" si="62"/>
        <v>46.887916451665184</v>
      </c>
      <c r="Q35" s="21">
        <f t="shared" si="62"/>
        <v>50</v>
      </c>
      <c r="R35" s="21">
        <f t="shared" si="62"/>
        <v>0</v>
      </c>
      <c r="S35" s="21">
        <f t="shared" si="62"/>
        <v>0</v>
      </c>
      <c r="T35" s="21">
        <f t="shared" si="62"/>
        <v>0</v>
      </c>
      <c r="U35" s="21">
        <f t="shared" si="62"/>
        <v>0</v>
      </c>
      <c r="V35" s="21">
        <f t="shared" si="62"/>
        <v>0</v>
      </c>
      <c r="W35" s="21">
        <f t="shared" si="62"/>
        <v>0</v>
      </c>
      <c r="X35" s="21">
        <f t="shared" si="62"/>
        <v>0</v>
      </c>
      <c r="Y35" s="21">
        <f t="shared" si="62"/>
        <v>0</v>
      </c>
      <c r="Z35" s="21">
        <f t="shared" si="62"/>
        <v>0</v>
      </c>
      <c r="AA35" s="21">
        <f t="shared" si="62"/>
        <v>0</v>
      </c>
      <c r="AB35" s="21">
        <f t="shared" si="62"/>
        <v>0</v>
      </c>
      <c r="AC35" s="21">
        <f t="shared" si="62"/>
        <v>0</v>
      </c>
      <c r="AD35" s="21">
        <f t="shared" si="62"/>
        <v>0</v>
      </c>
      <c r="AE35" s="21">
        <f t="shared" si="62"/>
        <v>0</v>
      </c>
      <c r="AF35" s="21">
        <f t="shared" si="62"/>
        <v>0</v>
      </c>
      <c r="AG35" s="21">
        <f t="shared" si="62"/>
        <v>0</v>
      </c>
      <c r="AH35" s="21">
        <f t="shared" si="62"/>
        <v>0</v>
      </c>
      <c r="AI35" s="21">
        <f t="shared" si="62"/>
        <v>0</v>
      </c>
      <c r="AJ35" s="21">
        <f t="shared" si="62"/>
        <v>0</v>
      </c>
      <c r="AK35" s="21">
        <f t="shared" si="62"/>
        <v>0</v>
      </c>
      <c r="AL35" s="21">
        <f t="shared" si="62"/>
        <v>0</v>
      </c>
      <c r="AM35" s="21">
        <f t="shared" si="62"/>
        <v>0</v>
      </c>
      <c r="AN35" s="21">
        <f t="shared" si="62"/>
        <v>0</v>
      </c>
      <c r="AO35" s="21">
        <f t="shared" si="62"/>
        <v>0</v>
      </c>
      <c r="AP35" s="21">
        <f t="shared" si="62"/>
        <v>0</v>
      </c>
      <c r="AQ35" s="21">
        <f t="shared" si="62"/>
        <v>0</v>
      </c>
      <c r="AR35" s="21">
        <f t="shared" si="62"/>
        <v>0</v>
      </c>
      <c r="AS35" s="21">
        <f t="shared" si="62"/>
        <v>0</v>
      </c>
      <c r="AT35" s="21">
        <f t="shared" si="62"/>
        <v>0</v>
      </c>
      <c r="AU35" s="21">
        <f t="shared" si="62"/>
        <v>0</v>
      </c>
      <c r="AV35" s="21">
        <f t="shared" si="62"/>
        <v>0</v>
      </c>
      <c r="AW35" s="21">
        <f t="shared" si="62"/>
        <v>0</v>
      </c>
      <c r="AX35" s="21">
        <f t="shared" si="62"/>
        <v>0</v>
      </c>
      <c r="AY35" s="21">
        <f t="shared" si="62"/>
        <v>0</v>
      </c>
      <c r="AZ35" s="21">
        <f t="shared" si="62"/>
        <v>0</v>
      </c>
      <c r="BA35" s="21">
        <f t="shared" si="62"/>
        <v>0</v>
      </c>
      <c r="BB35" s="21">
        <f t="shared" si="62"/>
        <v>0</v>
      </c>
      <c r="BC35" s="21">
        <f t="shared" si="62"/>
        <v>0</v>
      </c>
      <c r="BD35" s="21">
        <f t="shared" si="62"/>
        <v>0</v>
      </c>
      <c r="BE35" s="21">
        <f t="shared" si="62"/>
        <v>0</v>
      </c>
      <c r="BF35" s="21">
        <f t="shared" si="62"/>
        <v>0</v>
      </c>
      <c r="BG35" s="21">
        <f t="shared" si="62"/>
        <v>0</v>
      </c>
      <c r="BH35" s="21">
        <f t="shared" si="62"/>
        <v>0</v>
      </c>
      <c r="BI35" s="21">
        <f t="shared" si="62"/>
        <v>0</v>
      </c>
    </row>
    <row r="36" spans="3:61" outlineLevel="1">
      <c r="C36" t="s">
        <v>94</v>
      </c>
      <c r="D36" s="8" t="s">
        <v>48</v>
      </c>
      <c r="I36" s="46">
        <f t="shared" ref="I36:I37" si="63">SUM(J36:BI36)</f>
        <v>50</v>
      </c>
      <c r="J36" s="21">
        <f t="shared" ref="J36:AO36" si="64">J28</f>
        <v>7.5</v>
      </c>
      <c r="K36" s="21">
        <f t="shared" si="64"/>
        <v>7.6293620957068145</v>
      </c>
      <c r="L36" s="21">
        <f t="shared" si="64"/>
        <v>7.7638479692134483</v>
      </c>
      <c r="M36" s="21">
        <f t="shared" si="64"/>
        <v>7.8992453182226443</v>
      </c>
      <c r="N36" s="21">
        <f t="shared" si="64"/>
        <v>7.9818778784104429</v>
      </c>
      <c r="O36" s="21">
        <f t="shared" si="64"/>
        <v>8.1135831901118376</v>
      </c>
      <c r="P36" s="21">
        <f t="shared" si="64"/>
        <v>3.1120835483348159</v>
      </c>
      <c r="Q36" s="21">
        <f t="shared" si="64"/>
        <v>0</v>
      </c>
      <c r="R36" s="21">
        <f t="shared" si="64"/>
        <v>0</v>
      </c>
      <c r="S36" s="21">
        <f t="shared" si="64"/>
        <v>0</v>
      </c>
      <c r="T36" s="21">
        <f t="shared" si="64"/>
        <v>0</v>
      </c>
      <c r="U36" s="21">
        <f t="shared" si="64"/>
        <v>0</v>
      </c>
      <c r="V36" s="21">
        <f t="shared" si="64"/>
        <v>0</v>
      </c>
      <c r="W36" s="21">
        <f t="shared" si="64"/>
        <v>0</v>
      </c>
      <c r="X36" s="21">
        <f t="shared" si="64"/>
        <v>0</v>
      </c>
      <c r="Y36" s="21">
        <f t="shared" si="64"/>
        <v>0</v>
      </c>
      <c r="Z36" s="21">
        <f t="shared" si="64"/>
        <v>0</v>
      </c>
      <c r="AA36" s="21">
        <f t="shared" si="64"/>
        <v>0</v>
      </c>
      <c r="AB36" s="21">
        <f t="shared" si="64"/>
        <v>0</v>
      </c>
      <c r="AC36" s="21">
        <f t="shared" si="64"/>
        <v>0</v>
      </c>
      <c r="AD36" s="21">
        <f t="shared" si="64"/>
        <v>0</v>
      </c>
      <c r="AE36" s="21">
        <f t="shared" si="64"/>
        <v>0</v>
      </c>
      <c r="AF36" s="21">
        <f t="shared" si="64"/>
        <v>0</v>
      </c>
      <c r="AG36" s="21">
        <f t="shared" si="64"/>
        <v>0</v>
      </c>
      <c r="AH36" s="21">
        <f t="shared" si="64"/>
        <v>0</v>
      </c>
      <c r="AI36" s="21">
        <f t="shared" si="64"/>
        <v>0</v>
      </c>
      <c r="AJ36" s="21">
        <f t="shared" si="64"/>
        <v>0</v>
      </c>
      <c r="AK36" s="21">
        <f t="shared" si="64"/>
        <v>0</v>
      </c>
      <c r="AL36" s="21">
        <f t="shared" si="64"/>
        <v>0</v>
      </c>
      <c r="AM36" s="21">
        <f t="shared" si="64"/>
        <v>0</v>
      </c>
      <c r="AN36" s="21">
        <f t="shared" si="64"/>
        <v>0</v>
      </c>
      <c r="AO36" s="21">
        <f t="shared" si="64"/>
        <v>0</v>
      </c>
      <c r="AP36" s="21">
        <f t="shared" ref="AP36:BI36" si="65">AP28</f>
        <v>0</v>
      </c>
      <c r="AQ36" s="21">
        <f t="shared" si="65"/>
        <v>0</v>
      </c>
      <c r="AR36" s="21">
        <f t="shared" si="65"/>
        <v>0</v>
      </c>
      <c r="AS36" s="21">
        <f t="shared" si="65"/>
        <v>0</v>
      </c>
      <c r="AT36" s="21">
        <f t="shared" si="65"/>
        <v>0</v>
      </c>
      <c r="AU36" s="21">
        <f t="shared" si="65"/>
        <v>0</v>
      </c>
      <c r="AV36" s="21">
        <f t="shared" si="65"/>
        <v>0</v>
      </c>
      <c r="AW36" s="21">
        <f t="shared" si="65"/>
        <v>0</v>
      </c>
      <c r="AX36" s="21">
        <f t="shared" si="65"/>
        <v>0</v>
      </c>
      <c r="AY36" s="21">
        <f t="shared" si="65"/>
        <v>0</v>
      </c>
      <c r="AZ36" s="21">
        <f t="shared" si="65"/>
        <v>0</v>
      </c>
      <c r="BA36" s="21">
        <f t="shared" si="65"/>
        <v>0</v>
      </c>
      <c r="BB36" s="21">
        <f t="shared" si="65"/>
        <v>0</v>
      </c>
      <c r="BC36" s="21">
        <f t="shared" si="65"/>
        <v>0</v>
      </c>
      <c r="BD36" s="21">
        <f t="shared" si="65"/>
        <v>0</v>
      </c>
      <c r="BE36" s="21">
        <f t="shared" si="65"/>
        <v>0</v>
      </c>
      <c r="BF36" s="21">
        <f t="shared" si="65"/>
        <v>0</v>
      </c>
      <c r="BG36" s="21">
        <f t="shared" si="65"/>
        <v>0</v>
      </c>
      <c r="BH36" s="21">
        <f t="shared" si="65"/>
        <v>0</v>
      </c>
      <c r="BI36" s="21">
        <f t="shared" si="65"/>
        <v>0</v>
      </c>
    </row>
    <row r="37" spans="3:61" outlineLevel="1">
      <c r="C37" t="s">
        <v>95</v>
      </c>
      <c r="D37" s="8" t="s">
        <v>48</v>
      </c>
      <c r="E37" s="38">
        <f>Inputs!E11</f>
        <v>41639</v>
      </c>
      <c r="I37" s="46">
        <f t="shared" si="63"/>
        <v>-50</v>
      </c>
      <c r="J37" s="21">
        <f t="shared" ref="J37:AO37" si="66">-IF(J5=$E37,SUM(J35:J36),0)</f>
        <v>0</v>
      </c>
      <c r="K37" s="21">
        <f t="shared" si="66"/>
        <v>0</v>
      </c>
      <c r="L37" s="21">
        <f t="shared" si="66"/>
        <v>0</v>
      </c>
      <c r="M37" s="21">
        <f t="shared" si="66"/>
        <v>0</v>
      </c>
      <c r="N37" s="21">
        <f t="shared" si="66"/>
        <v>0</v>
      </c>
      <c r="O37" s="21">
        <f t="shared" si="66"/>
        <v>0</v>
      </c>
      <c r="P37" s="21">
        <f t="shared" si="66"/>
        <v>0</v>
      </c>
      <c r="Q37" s="21">
        <f t="shared" si="66"/>
        <v>-50</v>
      </c>
      <c r="R37" s="21">
        <f t="shared" si="66"/>
        <v>0</v>
      </c>
      <c r="S37" s="21">
        <f t="shared" si="66"/>
        <v>0</v>
      </c>
      <c r="T37" s="21">
        <f t="shared" si="66"/>
        <v>0</v>
      </c>
      <c r="U37" s="21">
        <f t="shared" si="66"/>
        <v>0</v>
      </c>
      <c r="V37" s="21">
        <f t="shared" si="66"/>
        <v>0</v>
      </c>
      <c r="W37" s="21">
        <f t="shared" si="66"/>
        <v>0</v>
      </c>
      <c r="X37" s="21">
        <f t="shared" si="66"/>
        <v>0</v>
      </c>
      <c r="Y37" s="21">
        <f t="shared" si="66"/>
        <v>0</v>
      </c>
      <c r="Z37" s="21">
        <f t="shared" si="66"/>
        <v>0</v>
      </c>
      <c r="AA37" s="21">
        <f t="shared" si="66"/>
        <v>0</v>
      </c>
      <c r="AB37" s="21">
        <f t="shared" si="66"/>
        <v>0</v>
      </c>
      <c r="AC37" s="21">
        <f t="shared" si="66"/>
        <v>0</v>
      </c>
      <c r="AD37" s="21">
        <f t="shared" si="66"/>
        <v>0</v>
      </c>
      <c r="AE37" s="21">
        <f t="shared" si="66"/>
        <v>0</v>
      </c>
      <c r="AF37" s="21">
        <f t="shared" si="66"/>
        <v>0</v>
      </c>
      <c r="AG37" s="21">
        <f t="shared" si="66"/>
        <v>0</v>
      </c>
      <c r="AH37" s="21">
        <f t="shared" si="66"/>
        <v>0</v>
      </c>
      <c r="AI37" s="21">
        <f t="shared" si="66"/>
        <v>0</v>
      </c>
      <c r="AJ37" s="21">
        <f t="shared" si="66"/>
        <v>0</v>
      </c>
      <c r="AK37" s="21">
        <f t="shared" si="66"/>
        <v>0</v>
      </c>
      <c r="AL37" s="21">
        <f t="shared" si="66"/>
        <v>0</v>
      </c>
      <c r="AM37" s="21">
        <f t="shared" si="66"/>
        <v>0</v>
      </c>
      <c r="AN37" s="21">
        <f t="shared" si="66"/>
        <v>0</v>
      </c>
      <c r="AO37" s="21">
        <f t="shared" si="66"/>
        <v>0</v>
      </c>
      <c r="AP37" s="21">
        <f t="shared" ref="AP37:BI37" si="67">-IF(AP5=$E37,SUM(AP35:AP36),0)</f>
        <v>0</v>
      </c>
      <c r="AQ37" s="21">
        <f t="shared" si="67"/>
        <v>0</v>
      </c>
      <c r="AR37" s="21">
        <f t="shared" si="67"/>
        <v>0</v>
      </c>
      <c r="AS37" s="21">
        <f t="shared" si="67"/>
        <v>0</v>
      </c>
      <c r="AT37" s="21">
        <f t="shared" si="67"/>
        <v>0</v>
      </c>
      <c r="AU37" s="21">
        <f t="shared" si="67"/>
        <v>0</v>
      </c>
      <c r="AV37" s="21">
        <f t="shared" si="67"/>
        <v>0</v>
      </c>
      <c r="AW37" s="21">
        <f t="shared" si="67"/>
        <v>0</v>
      </c>
      <c r="AX37" s="21">
        <f t="shared" si="67"/>
        <v>0</v>
      </c>
      <c r="AY37" s="21">
        <f t="shared" si="67"/>
        <v>0</v>
      </c>
      <c r="AZ37" s="21">
        <f t="shared" si="67"/>
        <v>0</v>
      </c>
      <c r="BA37" s="21">
        <f t="shared" si="67"/>
        <v>0</v>
      </c>
      <c r="BB37" s="21">
        <f t="shared" si="67"/>
        <v>0</v>
      </c>
      <c r="BC37" s="21">
        <f t="shared" si="67"/>
        <v>0</v>
      </c>
      <c r="BD37" s="21">
        <f t="shared" si="67"/>
        <v>0</v>
      </c>
      <c r="BE37" s="21">
        <f t="shared" si="67"/>
        <v>0</v>
      </c>
      <c r="BF37" s="21">
        <f t="shared" si="67"/>
        <v>0</v>
      </c>
      <c r="BG37" s="21">
        <f t="shared" si="67"/>
        <v>0</v>
      </c>
      <c r="BH37" s="21">
        <f t="shared" si="67"/>
        <v>0</v>
      </c>
      <c r="BI37" s="21">
        <f t="shared" si="67"/>
        <v>0</v>
      </c>
    </row>
    <row r="38" spans="3:61" ht="13.5" outlineLevel="1" thickBot="1">
      <c r="C38" t="s">
        <v>96</v>
      </c>
      <c r="D38" s="8" t="s">
        <v>48</v>
      </c>
      <c r="I38" s="18"/>
      <c r="J38" s="47">
        <f>SUM(J35:J37)</f>
        <v>7.5</v>
      </c>
      <c r="K38" s="47">
        <f t="shared" ref="K38:BI38" si="68">SUM(K35:K37)</f>
        <v>15.129362095706814</v>
      </c>
      <c r="L38" s="47">
        <f t="shared" si="68"/>
        <v>22.893210064920261</v>
      </c>
      <c r="M38" s="47">
        <f t="shared" si="68"/>
        <v>30.792455383142904</v>
      </c>
      <c r="N38" s="47">
        <f t="shared" si="68"/>
        <v>38.774333261553345</v>
      </c>
      <c r="O38" s="47">
        <f t="shared" si="68"/>
        <v>46.887916451665184</v>
      </c>
      <c r="P38" s="47">
        <f t="shared" si="68"/>
        <v>50</v>
      </c>
      <c r="Q38" s="47">
        <f t="shared" si="68"/>
        <v>0</v>
      </c>
      <c r="R38" s="47">
        <f t="shared" si="68"/>
        <v>0</v>
      </c>
      <c r="S38" s="47">
        <f t="shared" si="68"/>
        <v>0</v>
      </c>
      <c r="T38" s="47">
        <f t="shared" si="68"/>
        <v>0</v>
      </c>
      <c r="U38" s="47">
        <f t="shared" si="68"/>
        <v>0</v>
      </c>
      <c r="V38" s="47">
        <f t="shared" si="68"/>
        <v>0</v>
      </c>
      <c r="W38" s="47">
        <f t="shared" si="68"/>
        <v>0</v>
      </c>
      <c r="X38" s="47">
        <f t="shared" si="68"/>
        <v>0</v>
      </c>
      <c r="Y38" s="47">
        <f t="shared" si="68"/>
        <v>0</v>
      </c>
      <c r="Z38" s="47">
        <f t="shared" si="68"/>
        <v>0</v>
      </c>
      <c r="AA38" s="47">
        <f t="shared" si="68"/>
        <v>0</v>
      </c>
      <c r="AB38" s="47">
        <f t="shared" si="68"/>
        <v>0</v>
      </c>
      <c r="AC38" s="47">
        <f t="shared" si="68"/>
        <v>0</v>
      </c>
      <c r="AD38" s="47">
        <f t="shared" si="68"/>
        <v>0</v>
      </c>
      <c r="AE38" s="47">
        <f t="shared" si="68"/>
        <v>0</v>
      </c>
      <c r="AF38" s="47">
        <f t="shared" si="68"/>
        <v>0</v>
      </c>
      <c r="AG38" s="47">
        <f t="shared" si="68"/>
        <v>0</v>
      </c>
      <c r="AH38" s="47">
        <f t="shared" si="68"/>
        <v>0</v>
      </c>
      <c r="AI38" s="47">
        <f t="shared" si="68"/>
        <v>0</v>
      </c>
      <c r="AJ38" s="47">
        <f t="shared" si="68"/>
        <v>0</v>
      </c>
      <c r="AK38" s="47">
        <f t="shared" si="68"/>
        <v>0</v>
      </c>
      <c r="AL38" s="47">
        <f t="shared" si="68"/>
        <v>0</v>
      </c>
      <c r="AM38" s="47">
        <f t="shared" si="68"/>
        <v>0</v>
      </c>
      <c r="AN38" s="47">
        <f t="shared" si="68"/>
        <v>0</v>
      </c>
      <c r="AO38" s="47">
        <f t="shared" si="68"/>
        <v>0</v>
      </c>
      <c r="AP38" s="47">
        <f t="shared" si="68"/>
        <v>0</v>
      </c>
      <c r="AQ38" s="47">
        <f t="shared" si="68"/>
        <v>0</v>
      </c>
      <c r="AR38" s="47">
        <f t="shared" si="68"/>
        <v>0</v>
      </c>
      <c r="AS38" s="47">
        <f t="shared" si="68"/>
        <v>0</v>
      </c>
      <c r="AT38" s="47">
        <f t="shared" si="68"/>
        <v>0</v>
      </c>
      <c r="AU38" s="47">
        <f t="shared" si="68"/>
        <v>0</v>
      </c>
      <c r="AV38" s="47">
        <f t="shared" si="68"/>
        <v>0</v>
      </c>
      <c r="AW38" s="47">
        <f t="shared" si="68"/>
        <v>0</v>
      </c>
      <c r="AX38" s="47">
        <f t="shared" si="68"/>
        <v>0</v>
      </c>
      <c r="AY38" s="47">
        <f t="shared" si="68"/>
        <v>0</v>
      </c>
      <c r="AZ38" s="47">
        <f t="shared" si="68"/>
        <v>0</v>
      </c>
      <c r="BA38" s="47">
        <f t="shared" si="68"/>
        <v>0</v>
      </c>
      <c r="BB38" s="47">
        <f t="shared" si="68"/>
        <v>0</v>
      </c>
      <c r="BC38" s="47">
        <f t="shared" si="68"/>
        <v>0</v>
      </c>
      <c r="BD38" s="47">
        <f t="shared" si="68"/>
        <v>0</v>
      </c>
      <c r="BE38" s="47">
        <f t="shared" si="68"/>
        <v>0</v>
      </c>
      <c r="BF38" s="47">
        <f t="shared" si="68"/>
        <v>0</v>
      </c>
      <c r="BG38" s="47">
        <f t="shared" si="68"/>
        <v>0</v>
      </c>
      <c r="BH38" s="47">
        <f t="shared" si="68"/>
        <v>0</v>
      </c>
      <c r="BI38" s="47">
        <f t="shared" si="68"/>
        <v>0</v>
      </c>
    </row>
    <row r="39" spans="3:61" ht="13.5" outlineLevel="1" thickTop="1">
      <c r="D39" s="8"/>
    </row>
    <row r="40" spans="3:61" outlineLevel="1">
      <c r="C40" t="s">
        <v>97</v>
      </c>
      <c r="D40" s="8" t="s">
        <v>48</v>
      </c>
      <c r="E40" s="43">
        <f>Inputs!E49</f>
        <v>50</v>
      </c>
      <c r="J40" s="21">
        <f>($E40-J35)*J$6</f>
        <v>50</v>
      </c>
      <c r="K40" s="21">
        <f t="shared" ref="K40:BI40" si="69">($E40-K35)*K$6</f>
        <v>42.5</v>
      </c>
      <c r="L40" s="21">
        <f t="shared" si="69"/>
        <v>34.87063790429319</v>
      </c>
      <c r="M40" s="21">
        <f t="shared" si="69"/>
        <v>27.106789935079739</v>
      </c>
      <c r="N40" s="21">
        <f t="shared" si="69"/>
        <v>19.207544616857096</v>
      </c>
      <c r="O40" s="21">
        <f t="shared" si="69"/>
        <v>11.225666738446655</v>
      </c>
      <c r="P40" s="21">
        <f t="shared" si="69"/>
        <v>3.1120835483348159</v>
      </c>
      <c r="Q40" s="21">
        <f t="shared" si="69"/>
        <v>0</v>
      </c>
      <c r="R40" s="21">
        <f t="shared" si="69"/>
        <v>0</v>
      </c>
      <c r="S40" s="21">
        <f t="shared" si="69"/>
        <v>0</v>
      </c>
      <c r="T40" s="21">
        <f t="shared" si="69"/>
        <v>0</v>
      </c>
      <c r="U40" s="21">
        <f t="shared" si="69"/>
        <v>0</v>
      </c>
      <c r="V40" s="21">
        <f t="shared" si="69"/>
        <v>0</v>
      </c>
      <c r="W40" s="21">
        <f t="shared" si="69"/>
        <v>0</v>
      </c>
      <c r="X40" s="21">
        <f t="shared" si="69"/>
        <v>0</v>
      </c>
      <c r="Y40" s="21">
        <f t="shared" si="69"/>
        <v>0</v>
      </c>
      <c r="Z40" s="21">
        <f t="shared" si="69"/>
        <v>0</v>
      </c>
      <c r="AA40" s="21">
        <f t="shared" si="69"/>
        <v>0</v>
      </c>
      <c r="AB40" s="21">
        <f t="shared" si="69"/>
        <v>0</v>
      </c>
      <c r="AC40" s="21">
        <f t="shared" si="69"/>
        <v>0</v>
      </c>
      <c r="AD40" s="21">
        <f t="shared" si="69"/>
        <v>0</v>
      </c>
      <c r="AE40" s="21">
        <f t="shared" si="69"/>
        <v>0</v>
      </c>
      <c r="AF40" s="21">
        <f t="shared" si="69"/>
        <v>0</v>
      </c>
      <c r="AG40" s="21">
        <f t="shared" si="69"/>
        <v>0</v>
      </c>
      <c r="AH40" s="21">
        <f t="shared" si="69"/>
        <v>0</v>
      </c>
      <c r="AI40" s="21">
        <f t="shared" si="69"/>
        <v>0</v>
      </c>
      <c r="AJ40" s="21">
        <f t="shared" si="69"/>
        <v>0</v>
      </c>
      <c r="AK40" s="21">
        <f t="shared" si="69"/>
        <v>0</v>
      </c>
      <c r="AL40" s="21">
        <f t="shared" si="69"/>
        <v>0</v>
      </c>
      <c r="AM40" s="21">
        <f t="shared" si="69"/>
        <v>0</v>
      </c>
      <c r="AN40" s="21">
        <f t="shared" si="69"/>
        <v>0</v>
      </c>
      <c r="AO40" s="21">
        <f t="shared" si="69"/>
        <v>0</v>
      </c>
      <c r="AP40" s="21">
        <f t="shared" si="69"/>
        <v>0</v>
      </c>
      <c r="AQ40" s="21">
        <f t="shared" si="69"/>
        <v>0</v>
      </c>
      <c r="AR40" s="21">
        <f t="shared" si="69"/>
        <v>0</v>
      </c>
      <c r="AS40" s="21">
        <f t="shared" si="69"/>
        <v>0</v>
      </c>
      <c r="AT40" s="21">
        <f t="shared" si="69"/>
        <v>0</v>
      </c>
      <c r="AU40" s="21">
        <f t="shared" si="69"/>
        <v>0</v>
      </c>
      <c r="AV40" s="21">
        <f t="shared" si="69"/>
        <v>0</v>
      </c>
      <c r="AW40" s="21">
        <f t="shared" si="69"/>
        <v>0</v>
      </c>
      <c r="AX40" s="21">
        <f t="shared" si="69"/>
        <v>0</v>
      </c>
      <c r="AY40" s="21">
        <f t="shared" si="69"/>
        <v>0</v>
      </c>
      <c r="AZ40" s="21">
        <f t="shared" si="69"/>
        <v>0</v>
      </c>
      <c r="BA40" s="21">
        <f t="shared" si="69"/>
        <v>0</v>
      </c>
      <c r="BB40" s="21">
        <f t="shared" si="69"/>
        <v>0</v>
      </c>
      <c r="BC40" s="21">
        <f t="shared" si="69"/>
        <v>0</v>
      </c>
      <c r="BD40" s="21">
        <f t="shared" si="69"/>
        <v>0</v>
      </c>
      <c r="BE40" s="21">
        <f t="shared" si="69"/>
        <v>0</v>
      </c>
      <c r="BF40" s="21">
        <f t="shared" si="69"/>
        <v>0</v>
      </c>
      <c r="BG40" s="21">
        <f t="shared" si="69"/>
        <v>0</v>
      </c>
      <c r="BH40" s="21">
        <f t="shared" si="69"/>
        <v>0</v>
      </c>
      <c r="BI40" s="21">
        <f t="shared" si="69"/>
        <v>0</v>
      </c>
    </row>
    <row r="41" spans="3:61" outlineLevel="1">
      <c r="D41" s="8"/>
    </row>
    <row r="42" spans="3:61" ht="14.25" outlineLevel="1">
      <c r="C42" s="3" t="s">
        <v>29</v>
      </c>
      <c r="D42" s="8"/>
    </row>
    <row r="43" spans="3:61" outlineLevel="1">
      <c r="C43" t="s">
        <v>80</v>
      </c>
      <c r="D43" s="8" t="s">
        <v>70</v>
      </c>
      <c r="J43" s="42">
        <f>LOOKUP(J$11,Inputs!$F$62:$I$62,Inputs!$F$63:$I$63)</f>
        <v>3.5999999999999997E-2</v>
      </c>
      <c r="K43" s="42">
        <f>LOOKUP(K$11,Inputs!$F$62:$I$62,Inputs!$F$63:$I$63)</f>
        <v>3.5999999999999997E-2</v>
      </c>
      <c r="L43" s="42">
        <f>LOOKUP(L$11,Inputs!$F$62:$I$62,Inputs!$F$63:$I$63)</f>
        <v>3.5999999999999997E-2</v>
      </c>
      <c r="M43" s="42">
        <f>LOOKUP(M$11,Inputs!$F$62:$I$62,Inputs!$F$63:$I$63)</f>
        <v>3.5999999999999997E-2</v>
      </c>
      <c r="N43" s="42">
        <f>LOOKUP(N$11,Inputs!$F$62:$I$62,Inputs!$F$63:$I$63)</f>
        <v>0.03</v>
      </c>
      <c r="O43" s="42">
        <f>LOOKUP(O$11,Inputs!$F$62:$I$62,Inputs!$F$63:$I$63)</f>
        <v>0.03</v>
      </c>
      <c r="P43" s="42">
        <f>LOOKUP(P$11,Inputs!$F$62:$I$62,Inputs!$F$63:$I$63)</f>
        <v>0.03</v>
      </c>
      <c r="Q43" s="42">
        <f>LOOKUP(Q$11,Inputs!$F$62:$I$62,Inputs!$F$63:$I$63)</f>
        <v>0.03</v>
      </c>
      <c r="R43" s="42">
        <f>LOOKUP(R$11,Inputs!$F$62:$I$62,Inputs!$F$63:$I$63)</f>
        <v>2.9000000000000001E-2</v>
      </c>
      <c r="S43" s="42">
        <f>LOOKUP(S$11,Inputs!$F$62:$I$62,Inputs!$F$63:$I$63)</f>
        <v>2.9000000000000001E-2</v>
      </c>
      <c r="T43" s="42">
        <f>LOOKUP(T$11,Inputs!$F$62:$I$62,Inputs!$F$63:$I$63)</f>
        <v>2.9000000000000001E-2</v>
      </c>
      <c r="U43" s="42">
        <f>LOOKUP(U$11,Inputs!$F$62:$I$62,Inputs!$F$63:$I$63)</f>
        <v>2.9000000000000001E-2</v>
      </c>
      <c r="V43" s="42">
        <f>LOOKUP(V$11,Inputs!$F$62:$I$62,Inputs!$F$63:$I$63)</f>
        <v>0.03</v>
      </c>
      <c r="W43" s="42">
        <f>LOOKUP(W$11,Inputs!$F$62:$I$62,Inputs!$F$63:$I$63)</f>
        <v>0.03</v>
      </c>
      <c r="X43" s="42">
        <f>LOOKUP(X$11,Inputs!$F$62:$I$62,Inputs!$F$63:$I$63)</f>
        <v>0.03</v>
      </c>
      <c r="Y43" s="42">
        <f>LOOKUP(Y$11,Inputs!$F$62:$I$62,Inputs!$F$63:$I$63)</f>
        <v>0.03</v>
      </c>
      <c r="Z43" s="42">
        <f>LOOKUP(Z$11,Inputs!$F$62:$I$62,Inputs!$F$63:$I$63)</f>
        <v>0.03</v>
      </c>
      <c r="AA43" s="42">
        <f>LOOKUP(AA$11,Inputs!$F$62:$I$62,Inputs!$F$63:$I$63)</f>
        <v>0.03</v>
      </c>
      <c r="AB43" s="42">
        <f>LOOKUP(AB$11,Inputs!$F$62:$I$62,Inputs!$F$63:$I$63)</f>
        <v>0.03</v>
      </c>
      <c r="AC43" s="42">
        <f>LOOKUP(AC$11,Inputs!$F$62:$I$62,Inputs!$F$63:$I$63)</f>
        <v>0.03</v>
      </c>
      <c r="AD43" s="42">
        <f>LOOKUP(AD$11,Inputs!$F$62:$I$62,Inputs!$F$63:$I$63)</f>
        <v>0.03</v>
      </c>
      <c r="AE43" s="42">
        <f>LOOKUP(AE$11,Inputs!$F$62:$I$62,Inputs!$F$63:$I$63)</f>
        <v>0.03</v>
      </c>
      <c r="AF43" s="42">
        <f>LOOKUP(AF$11,Inputs!$F$62:$I$62,Inputs!$F$63:$I$63)</f>
        <v>0.03</v>
      </c>
      <c r="AG43" s="42">
        <f>LOOKUP(AG$11,Inputs!$F$62:$I$62,Inputs!$F$63:$I$63)</f>
        <v>0.03</v>
      </c>
      <c r="AH43" s="42">
        <f>LOOKUP(AH$11,Inputs!$F$62:$I$62,Inputs!$F$63:$I$63)</f>
        <v>0.03</v>
      </c>
      <c r="AI43" s="42">
        <f>LOOKUP(AI$11,Inputs!$F$62:$I$62,Inputs!$F$63:$I$63)</f>
        <v>0.03</v>
      </c>
      <c r="AJ43" s="42">
        <f>LOOKUP(AJ$11,Inputs!$F$62:$I$62,Inputs!$F$63:$I$63)</f>
        <v>0.03</v>
      </c>
      <c r="AK43" s="42">
        <f>LOOKUP(AK$11,Inputs!$F$62:$I$62,Inputs!$F$63:$I$63)</f>
        <v>0.03</v>
      </c>
      <c r="AL43" s="42">
        <f>LOOKUP(AL$11,Inputs!$F$62:$I$62,Inputs!$F$63:$I$63)</f>
        <v>0.03</v>
      </c>
      <c r="AM43" s="42">
        <f>LOOKUP(AM$11,Inputs!$F$62:$I$62,Inputs!$F$63:$I$63)</f>
        <v>0.03</v>
      </c>
      <c r="AN43" s="42">
        <f>LOOKUP(AN$11,Inputs!$F$62:$I$62,Inputs!$F$63:$I$63)</f>
        <v>0.03</v>
      </c>
      <c r="AO43" s="42">
        <f>LOOKUP(AO$11,Inputs!$F$62:$I$62,Inputs!$F$63:$I$63)</f>
        <v>0.03</v>
      </c>
      <c r="AP43" s="42">
        <f>LOOKUP(AP$11,Inputs!$F$62:$I$62,Inputs!$F$63:$I$63)</f>
        <v>0.03</v>
      </c>
      <c r="AQ43" s="42">
        <f>LOOKUP(AQ$11,Inputs!$F$62:$I$62,Inputs!$F$63:$I$63)</f>
        <v>0.03</v>
      </c>
      <c r="AR43" s="42">
        <f>LOOKUP(AR$11,Inputs!$F$62:$I$62,Inputs!$F$63:$I$63)</f>
        <v>0.03</v>
      </c>
      <c r="AS43" s="42">
        <f>LOOKUP(AS$11,Inputs!$F$62:$I$62,Inputs!$F$63:$I$63)</f>
        <v>0.03</v>
      </c>
      <c r="AT43" s="42">
        <f>LOOKUP(AT$11,Inputs!$F$62:$I$62,Inputs!$F$63:$I$63)</f>
        <v>0.03</v>
      </c>
      <c r="AU43" s="42">
        <f>LOOKUP(AU$11,Inputs!$F$62:$I$62,Inputs!$F$63:$I$63)</f>
        <v>0.03</v>
      </c>
      <c r="AV43" s="42">
        <f>LOOKUP(AV$11,Inputs!$F$62:$I$62,Inputs!$F$63:$I$63)</f>
        <v>0.03</v>
      </c>
      <c r="AW43" s="42">
        <f>LOOKUP(AW$11,Inputs!$F$62:$I$62,Inputs!$F$63:$I$63)</f>
        <v>0.03</v>
      </c>
      <c r="AX43" s="42">
        <f>LOOKUP(AX$11,Inputs!$F$62:$I$62,Inputs!$F$63:$I$63)</f>
        <v>0.03</v>
      </c>
      <c r="AY43" s="42">
        <f>LOOKUP(AY$11,Inputs!$F$62:$I$62,Inputs!$F$63:$I$63)</f>
        <v>0.03</v>
      </c>
      <c r="AZ43" s="42">
        <f>LOOKUP(AZ$11,Inputs!$F$62:$I$62,Inputs!$F$63:$I$63)</f>
        <v>0.03</v>
      </c>
      <c r="BA43" s="42">
        <f>LOOKUP(BA$11,Inputs!$F$62:$I$62,Inputs!$F$63:$I$63)</f>
        <v>0.03</v>
      </c>
      <c r="BB43" s="42">
        <f>LOOKUP(BB$11,Inputs!$F$62:$I$62,Inputs!$F$63:$I$63)</f>
        <v>0.03</v>
      </c>
      <c r="BC43" s="42">
        <f>LOOKUP(BC$11,Inputs!$F$62:$I$62,Inputs!$F$63:$I$63)</f>
        <v>0.03</v>
      </c>
      <c r="BD43" s="42">
        <f>LOOKUP(BD$11,Inputs!$F$62:$I$62,Inputs!$F$63:$I$63)</f>
        <v>0.03</v>
      </c>
      <c r="BE43" s="42">
        <f>LOOKUP(BE$11,Inputs!$F$62:$I$62,Inputs!$F$63:$I$63)</f>
        <v>0.03</v>
      </c>
      <c r="BF43" s="42">
        <f>LOOKUP(BF$11,Inputs!$F$62:$I$62,Inputs!$F$63:$I$63)</f>
        <v>0.03</v>
      </c>
      <c r="BG43" s="42">
        <f>LOOKUP(BG$11,Inputs!$F$62:$I$62,Inputs!$F$63:$I$63)</f>
        <v>0.03</v>
      </c>
      <c r="BH43" s="42">
        <f>LOOKUP(BH$11,Inputs!$F$62:$I$62,Inputs!$F$63:$I$63)</f>
        <v>0.03</v>
      </c>
      <c r="BI43" s="42">
        <f>LOOKUP(BI$11,Inputs!$F$62:$I$62,Inputs!$F$63:$I$63)</f>
        <v>0.03</v>
      </c>
    </row>
    <row r="44" spans="3:61" outlineLevel="1">
      <c r="C44" t="s">
        <v>69</v>
      </c>
      <c r="D44" s="8" t="s">
        <v>70</v>
      </c>
      <c r="E44" s="45">
        <f>Inputs!E52</f>
        <v>3.5000000000000003E-2</v>
      </c>
      <c r="J44" s="42">
        <f>$E44*J$6</f>
        <v>3.5000000000000003E-2</v>
      </c>
      <c r="K44" s="42">
        <f t="shared" ref="K44:BI44" si="70">$E44*K$6</f>
        <v>3.5000000000000003E-2</v>
      </c>
      <c r="L44" s="42">
        <f t="shared" si="70"/>
        <v>3.5000000000000003E-2</v>
      </c>
      <c r="M44" s="42">
        <f t="shared" si="70"/>
        <v>3.5000000000000003E-2</v>
      </c>
      <c r="N44" s="42">
        <f t="shared" si="70"/>
        <v>3.5000000000000003E-2</v>
      </c>
      <c r="O44" s="42">
        <f t="shared" si="70"/>
        <v>3.5000000000000003E-2</v>
      </c>
      <c r="P44" s="42">
        <f t="shared" si="70"/>
        <v>3.5000000000000003E-2</v>
      </c>
      <c r="Q44" s="42">
        <f t="shared" si="70"/>
        <v>3.5000000000000003E-2</v>
      </c>
      <c r="R44" s="42">
        <f t="shared" si="70"/>
        <v>0</v>
      </c>
      <c r="S44" s="42">
        <f t="shared" si="70"/>
        <v>0</v>
      </c>
      <c r="T44" s="42">
        <f t="shared" si="70"/>
        <v>0</v>
      </c>
      <c r="U44" s="42">
        <f t="shared" si="70"/>
        <v>0</v>
      </c>
      <c r="V44" s="42">
        <f t="shared" si="70"/>
        <v>0</v>
      </c>
      <c r="W44" s="42">
        <f t="shared" si="70"/>
        <v>0</v>
      </c>
      <c r="X44" s="42">
        <f t="shared" si="70"/>
        <v>0</v>
      </c>
      <c r="Y44" s="42">
        <f t="shared" si="70"/>
        <v>0</v>
      </c>
      <c r="Z44" s="42">
        <f t="shared" si="70"/>
        <v>0</v>
      </c>
      <c r="AA44" s="42">
        <f t="shared" si="70"/>
        <v>0</v>
      </c>
      <c r="AB44" s="42">
        <f t="shared" si="70"/>
        <v>0</v>
      </c>
      <c r="AC44" s="42">
        <f t="shared" si="70"/>
        <v>0</v>
      </c>
      <c r="AD44" s="42">
        <f t="shared" si="70"/>
        <v>0</v>
      </c>
      <c r="AE44" s="42">
        <f t="shared" si="70"/>
        <v>0</v>
      </c>
      <c r="AF44" s="42">
        <f t="shared" si="70"/>
        <v>0</v>
      </c>
      <c r="AG44" s="42">
        <f t="shared" si="70"/>
        <v>0</v>
      </c>
      <c r="AH44" s="42">
        <f t="shared" si="70"/>
        <v>0</v>
      </c>
      <c r="AI44" s="42">
        <f t="shared" si="70"/>
        <v>0</v>
      </c>
      <c r="AJ44" s="42">
        <f t="shared" si="70"/>
        <v>0</v>
      </c>
      <c r="AK44" s="42">
        <f t="shared" si="70"/>
        <v>0</v>
      </c>
      <c r="AL44" s="42">
        <f t="shared" si="70"/>
        <v>0</v>
      </c>
      <c r="AM44" s="42">
        <f t="shared" si="70"/>
        <v>0</v>
      </c>
      <c r="AN44" s="42">
        <f t="shared" si="70"/>
        <v>0</v>
      </c>
      <c r="AO44" s="42">
        <f t="shared" si="70"/>
        <v>0</v>
      </c>
      <c r="AP44" s="42">
        <f t="shared" si="70"/>
        <v>0</v>
      </c>
      <c r="AQ44" s="42">
        <f t="shared" si="70"/>
        <v>0</v>
      </c>
      <c r="AR44" s="42">
        <f t="shared" si="70"/>
        <v>0</v>
      </c>
      <c r="AS44" s="42">
        <f t="shared" si="70"/>
        <v>0</v>
      </c>
      <c r="AT44" s="42">
        <f t="shared" si="70"/>
        <v>0</v>
      </c>
      <c r="AU44" s="42">
        <f t="shared" si="70"/>
        <v>0</v>
      </c>
      <c r="AV44" s="42">
        <f t="shared" si="70"/>
        <v>0</v>
      </c>
      <c r="AW44" s="42">
        <f t="shared" si="70"/>
        <v>0</v>
      </c>
      <c r="AX44" s="42">
        <f t="shared" si="70"/>
        <v>0</v>
      </c>
      <c r="AY44" s="42">
        <f t="shared" si="70"/>
        <v>0</v>
      </c>
      <c r="AZ44" s="42">
        <f t="shared" si="70"/>
        <v>0</v>
      </c>
      <c r="BA44" s="42">
        <f t="shared" si="70"/>
        <v>0</v>
      </c>
      <c r="BB44" s="42">
        <f t="shared" si="70"/>
        <v>0</v>
      </c>
      <c r="BC44" s="42">
        <f t="shared" si="70"/>
        <v>0</v>
      </c>
      <c r="BD44" s="42">
        <f t="shared" si="70"/>
        <v>0</v>
      </c>
      <c r="BE44" s="42">
        <f t="shared" si="70"/>
        <v>0</v>
      </c>
      <c r="BF44" s="42">
        <f t="shared" si="70"/>
        <v>0</v>
      </c>
      <c r="BG44" s="42">
        <f t="shared" si="70"/>
        <v>0</v>
      </c>
      <c r="BH44" s="42">
        <f t="shared" si="70"/>
        <v>0</v>
      </c>
      <c r="BI44" s="42">
        <f t="shared" si="70"/>
        <v>0</v>
      </c>
    </row>
    <row r="45" spans="3:61" outlineLevel="1">
      <c r="C45" t="s">
        <v>98</v>
      </c>
      <c r="D45" s="8" t="s">
        <v>70</v>
      </c>
      <c r="J45" s="49">
        <f>SUM(J43:J44)*J6</f>
        <v>7.1000000000000008E-2</v>
      </c>
      <c r="K45" s="49">
        <f t="shared" ref="K45:BI45" si="71">SUM(K43:K44)*K6</f>
        <v>7.1000000000000008E-2</v>
      </c>
      <c r="L45" s="49">
        <f t="shared" si="71"/>
        <v>7.1000000000000008E-2</v>
      </c>
      <c r="M45" s="49">
        <f t="shared" si="71"/>
        <v>7.1000000000000008E-2</v>
      </c>
      <c r="N45" s="49">
        <f t="shared" si="71"/>
        <v>6.5000000000000002E-2</v>
      </c>
      <c r="O45" s="49">
        <f t="shared" si="71"/>
        <v>6.5000000000000002E-2</v>
      </c>
      <c r="P45" s="49">
        <f t="shared" si="71"/>
        <v>6.5000000000000002E-2</v>
      </c>
      <c r="Q45" s="49">
        <f t="shared" si="71"/>
        <v>6.5000000000000002E-2</v>
      </c>
      <c r="R45" s="49">
        <f t="shared" si="71"/>
        <v>0</v>
      </c>
      <c r="S45" s="49">
        <f t="shared" si="71"/>
        <v>0</v>
      </c>
      <c r="T45" s="49">
        <f t="shared" si="71"/>
        <v>0</v>
      </c>
      <c r="U45" s="49">
        <f t="shared" si="71"/>
        <v>0</v>
      </c>
      <c r="V45" s="49">
        <f t="shared" si="71"/>
        <v>0</v>
      </c>
      <c r="W45" s="49">
        <f t="shared" si="71"/>
        <v>0</v>
      </c>
      <c r="X45" s="49">
        <f t="shared" si="71"/>
        <v>0</v>
      </c>
      <c r="Y45" s="49">
        <f t="shared" si="71"/>
        <v>0</v>
      </c>
      <c r="Z45" s="49">
        <f t="shared" si="71"/>
        <v>0</v>
      </c>
      <c r="AA45" s="49">
        <f t="shared" si="71"/>
        <v>0</v>
      </c>
      <c r="AB45" s="49">
        <f t="shared" si="71"/>
        <v>0</v>
      </c>
      <c r="AC45" s="49">
        <f t="shared" si="71"/>
        <v>0</v>
      </c>
      <c r="AD45" s="49">
        <f t="shared" si="71"/>
        <v>0</v>
      </c>
      <c r="AE45" s="49">
        <f t="shared" si="71"/>
        <v>0</v>
      </c>
      <c r="AF45" s="49">
        <f t="shared" si="71"/>
        <v>0</v>
      </c>
      <c r="AG45" s="49">
        <f t="shared" si="71"/>
        <v>0</v>
      </c>
      <c r="AH45" s="49">
        <f t="shared" si="71"/>
        <v>0</v>
      </c>
      <c r="AI45" s="49">
        <f t="shared" si="71"/>
        <v>0</v>
      </c>
      <c r="AJ45" s="49">
        <f t="shared" si="71"/>
        <v>0</v>
      </c>
      <c r="AK45" s="49">
        <f t="shared" si="71"/>
        <v>0</v>
      </c>
      <c r="AL45" s="49">
        <f t="shared" si="71"/>
        <v>0</v>
      </c>
      <c r="AM45" s="49">
        <f t="shared" si="71"/>
        <v>0</v>
      </c>
      <c r="AN45" s="49">
        <f t="shared" si="71"/>
        <v>0</v>
      </c>
      <c r="AO45" s="49">
        <f t="shared" si="71"/>
        <v>0</v>
      </c>
      <c r="AP45" s="49">
        <f t="shared" si="71"/>
        <v>0</v>
      </c>
      <c r="AQ45" s="49">
        <f t="shared" si="71"/>
        <v>0</v>
      </c>
      <c r="AR45" s="49">
        <f t="shared" si="71"/>
        <v>0</v>
      </c>
      <c r="AS45" s="49">
        <f t="shared" si="71"/>
        <v>0</v>
      </c>
      <c r="AT45" s="49">
        <f t="shared" si="71"/>
        <v>0</v>
      </c>
      <c r="AU45" s="49">
        <f t="shared" si="71"/>
        <v>0</v>
      </c>
      <c r="AV45" s="49">
        <f t="shared" si="71"/>
        <v>0</v>
      </c>
      <c r="AW45" s="49">
        <f t="shared" si="71"/>
        <v>0</v>
      </c>
      <c r="AX45" s="49">
        <f t="shared" si="71"/>
        <v>0</v>
      </c>
      <c r="AY45" s="49">
        <f t="shared" si="71"/>
        <v>0</v>
      </c>
      <c r="AZ45" s="49">
        <f t="shared" si="71"/>
        <v>0</v>
      </c>
      <c r="BA45" s="49">
        <f t="shared" si="71"/>
        <v>0</v>
      </c>
      <c r="BB45" s="49">
        <f t="shared" si="71"/>
        <v>0</v>
      </c>
      <c r="BC45" s="49">
        <f t="shared" si="71"/>
        <v>0</v>
      </c>
      <c r="BD45" s="49">
        <f t="shared" si="71"/>
        <v>0</v>
      </c>
      <c r="BE45" s="49">
        <f t="shared" si="71"/>
        <v>0</v>
      </c>
      <c r="BF45" s="49">
        <f t="shared" si="71"/>
        <v>0</v>
      </c>
      <c r="BG45" s="49">
        <f t="shared" si="71"/>
        <v>0</v>
      </c>
      <c r="BH45" s="49">
        <f t="shared" si="71"/>
        <v>0</v>
      </c>
      <c r="BI45" s="49">
        <f t="shared" si="71"/>
        <v>0</v>
      </c>
    </row>
    <row r="46" spans="3:61" outlineLevel="1">
      <c r="C46" t="s">
        <v>98</v>
      </c>
      <c r="D46" s="8" t="s">
        <v>99</v>
      </c>
      <c r="J46" s="53">
        <f t="shared" ref="J46:AO46" si="72">(1+J45)^(J$12/Days_Year) - 1</f>
        <v>1.724827942757523E-2</v>
      </c>
      <c r="K46" s="53">
        <f t="shared" si="72"/>
        <v>1.724827942757523E-2</v>
      </c>
      <c r="L46" s="53">
        <f t="shared" si="72"/>
        <v>1.7439464238106828E-2</v>
      </c>
      <c r="M46" s="53">
        <f t="shared" si="72"/>
        <v>1.7439464238106828E-2</v>
      </c>
      <c r="N46" s="53">
        <f t="shared" si="72"/>
        <v>1.564921901857308E-2</v>
      </c>
      <c r="O46" s="53">
        <f t="shared" si="72"/>
        <v>1.5824467850237278E-2</v>
      </c>
      <c r="P46" s="53">
        <f t="shared" si="72"/>
        <v>1.5999746920838831E-2</v>
      </c>
      <c r="Q46" s="53">
        <f t="shared" si="72"/>
        <v>1.5999746920838831E-2</v>
      </c>
      <c r="R46" s="53">
        <f t="shared" si="72"/>
        <v>0</v>
      </c>
      <c r="S46" s="53">
        <f t="shared" si="72"/>
        <v>0</v>
      </c>
      <c r="T46" s="53">
        <f t="shared" si="72"/>
        <v>0</v>
      </c>
      <c r="U46" s="53">
        <f t="shared" si="72"/>
        <v>0</v>
      </c>
      <c r="V46" s="53">
        <f t="shared" si="72"/>
        <v>0</v>
      </c>
      <c r="W46" s="53">
        <f t="shared" si="72"/>
        <v>0</v>
      </c>
      <c r="X46" s="53">
        <f t="shared" si="72"/>
        <v>0</v>
      </c>
      <c r="Y46" s="53">
        <f t="shared" si="72"/>
        <v>0</v>
      </c>
      <c r="Z46" s="53">
        <f t="shared" si="72"/>
        <v>0</v>
      </c>
      <c r="AA46" s="53">
        <f t="shared" si="72"/>
        <v>0</v>
      </c>
      <c r="AB46" s="53">
        <f t="shared" si="72"/>
        <v>0</v>
      </c>
      <c r="AC46" s="53">
        <f t="shared" si="72"/>
        <v>0</v>
      </c>
      <c r="AD46" s="53">
        <f t="shared" si="72"/>
        <v>0</v>
      </c>
      <c r="AE46" s="53">
        <f t="shared" si="72"/>
        <v>0</v>
      </c>
      <c r="AF46" s="53">
        <f t="shared" si="72"/>
        <v>0</v>
      </c>
      <c r="AG46" s="53">
        <f t="shared" si="72"/>
        <v>0</v>
      </c>
      <c r="AH46" s="53">
        <f t="shared" si="72"/>
        <v>0</v>
      </c>
      <c r="AI46" s="53">
        <f t="shared" si="72"/>
        <v>0</v>
      </c>
      <c r="AJ46" s="53">
        <f t="shared" si="72"/>
        <v>0</v>
      </c>
      <c r="AK46" s="53">
        <f t="shared" si="72"/>
        <v>0</v>
      </c>
      <c r="AL46" s="53">
        <f t="shared" si="72"/>
        <v>0</v>
      </c>
      <c r="AM46" s="53">
        <f t="shared" si="72"/>
        <v>0</v>
      </c>
      <c r="AN46" s="53">
        <f t="shared" si="72"/>
        <v>0</v>
      </c>
      <c r="AO46" s="53">
        <f t="shared" si="72"/>
        <v>0</v>
      </c>
      <c r="AP46" s="53">
        <f t="shared" ref="AP46:BI46" si="73">(1+AP45)^(AP$12/Days_Year) - 1</f>
        <v>0</v>
      </c>
      <c r="AQ46" s="53">
        <f t="shared" si="73"/>
        <v>0</v>
      </c>
      <c r="AR46" s="53">
        <f t="shared" si="73"/>
        <v>0</v>
      </c>
      <c r="AS46" s="53">
        <f t="shared" si="73"/>
        <v>0</v>
      </c>
      <c r="AT46" s="53">
        <f t="shared" si="73"/>
        <v>0</v>
      </c>
      <c r="AU46" s="53">
        <f t="shared" si="73"/>
        <v>0</v>
      </c>
      <c r="AV46" s="53">
        <f t="shared" si="73"/>
        <v>0</v>
      </c>
      <c r="AW46" s="53">
        <f t="shared" si="73"/>
        <v>0</v>
      </c>
      <c r="AX46" s="53">
        <f t="shared" si="73"/>
        <v>0</v>
      </c>
      <c r="AY46" s="53">
        <f t="shared" si="73"/>
        <v>0</v>
      </c>
      <c r="AZ46" s="53">
        <f t="shared" si="73"/>
        <v>0</v>
      </c>
      <c r="BA46" s="53">
        <f t="shared" si="73"/>
        <v>0</v>
      </c>
      <c r="BB46" s="53">
        <f t="shared" si="73"/>
        <v>0</v>
      </c>
      <c r="BC46" s="53">
        <f t="shared" si="73"/>
        <v>0</v>
      </c>
      <c r="BD46" s="53">
        <f t="shared" si="73"/>
        <v>0</v>
      </c>
      <c r="BE46" s="53">
        <f t="shared" si="73"/>
        <v>0</v>
      </c>
      <c r="BF46" s="53">
        <f t="shared" si="73"/>
        <v>0</v>
      </c>
      <c r="BG46" s="53">
        <f t="shared" si="73"/>
        <v>0</v>
      </c>
      <c r="BH46" s="53">
        <f t="shared" si="73"/>
        <v>0</v>
      </c>
      <c r="BI46" s="53">
        <f t="shared" si="73"/>
        <v>0</v>
      </c>
    </row>
    <row r="47" spans="3:61" outlineLevel="1">
      <c r="D47" s="8"/>
    </row>
    <row r="48" spans="3:61" outlineLevel="1">
      <c r="C48" t="s">
        <v>89</v>
      </c>
      <c r="D48" s="8" t="s">
        <v>48</v>
      </c>
      <c r="I48" s="46">
        <f t="shared" ref="I48" si="74">SUM(J48:BI48)</f>
        <v>3.4380985945792064</v>
      </c>
      <c r="J48" s="44">
        <f>J35*J46</f>
        <v>0</v>
      </c>
      <c r="K48" s="44">
        <f t="shared" ref="K48:BI48" si="75">K35*K46</f>
        <v>0.12936209570681423</v>
      </c>
      <c r="L48" s="44">
        <f t="shared" si="75"/>
        <v>0.26384796921344794</v>
      </c>
      <c r="M48" s="44">
        <f t="shared" si="75"/>
        <v>0.3992453182226442</v>
      </c>
      <c r="N48" s="44">
        <f t="shared" si="75"/>
        <v>0.48187787841044294</v>
      </c>
      <c r="O48" s="44">
        <f t="shared" si="75"/>
        <v>0.61358319011183682</v>
      </c>
      <c r="P48" s="44">
        <f t="shared" si="75"/>
        <v>0.75019479687207835</v>
      </c>
      <c r="Q48" s="44">
        <f t="shared" si="75"/>
        <v>0.79998734604194155</v>
      </c>
      <c r="R48" s="44">
        <f t="shared" si="75"/>
        <v>0</v>
      </c>
      <c r="S48" s="44">
        <f t="shared" si="75"/>
        <v>0</v>
      </c>
      <c r="T48" s="44">
        <f t="shared" si="75"/>
        <v>0</v>
      </c>
      <c r="U48" s="44">
        <f t="shared" si="75"/>
        <v>0</v>
      </c>
      <c r="V48" s="44">
        <f t="shared" si="75"/>
        <v>0</v>
      </c>
      <c r="W48" s="44">
        <f t="shared" si="75"/>
        <v>0</v>
      </c>
      <c r="X48" s="44">
        <f t="shared" si="75"/>
        <v>0</v>
      </c>
      <c r="Y48" s="44">
        <f t="shared" si="75"/>
        <v>0</v>
      </c>
      <c r="Z48" s="44">
        <f t="shared" si="75"/>
        <v>0</v>
      </c>
      <c r="AA48" s="44">
        <f t="shared" si="75"/>
        <v>0</v>
      </c>
      <c r="AB48" s="44">
        <f t="shared" si="75"/>
        <v>0</v>
      </c>
      <c r="AC48" s="44">
        <f t="shared" si="75"/>
        <v>0</v>
      </c>
      <c r="AD48" s="44">
        <f t="shared" si="75"/>
        <v>0</v>
      </c>
      <c r="AE48" s="44">
        <f t="shared" si="75"/>
        <v>0</v>
      </c>
      <c r="AF48" s="44">
        <f t="shared" si="75"/>
        <v>0</v>
      </c>
      <c r="AG48" s="44">
        <f t="shared" si="75"/>
        <v>0</v>
      </c>
      <c r="AH48" s="44">
        <f t="shared" si="75"/>
        <v>0</v>
      </c>
      <c r="AI48" s="44">
        <f t="shared" si="75"/>
        <v>0</v>
      </c>
      <c r="AJ48" s="44">
        <f t="shared" si="75"/>
        <v>0</v>
      </c>
      <c r="AK48" s="44">
        <f t="shared" si="75"/>
        <v>0</v>
      </c>
      <c r="AL48" s="44">
        <f t="shared" si="75"/>
        <v>0</v>
      </c>
      <c r="AM48" s="44">
        <f t="shared" si="75"/>
        <v>0</v>
      </c>
      <c r="AN48" s="44">
        <f t="shared" si="75"/>
        <v>0</v>
      </c>
      <c r="AO48" s="44">
        <f t="shared" si="75"/>
        <v>0</v>
      </c>
      <c r="AP48" s="44">
        <f t="shared" si="75"/>
        <v>0</v>
      </c>
      <c r="AQ48" s="44">
        <f t="shared" si="75"/>
        <v>0</v>
      </c>
      <c r="AR48" s="44">
        <f t="shared" si="75"/>
        <v>0</v>
      </c>
      <c r="AS48" s="44">
        <f t="shared" si="75"/>
        <v>0</v>
      </c>
      <c r="AT48" s="44">
        <f t="shared" si="75"/>
        <v>0</v>
      </c>
      <c r="AU48" s="44">
        <f t="shared" si="75"/>
        <v>0</v>
      </c>
      <c r="AV48" s="44">
        <f t="shared" si="75"/>
        <v>0</v>
      </c>
      <c r="AW48" s="44">
        <f t="shared" si="75"/>
        <v>0</v>
      </c>
      <c r="AX48" s="44">
        <f t="shared" si="75"/>
        <v>0</v>
      </c>
      <c r="AY48" s="44">
        <f t="shared" si="75"/>
        <v>0</v>
      </c>
      <c r="AZ48" s="44">
        <f t="shared" si="75"/>
        <v>0</v>
      </c>
      <c r="BA48" s="44">
        <f t="shared" si="75"/>
        <v>0</v>
      </c>
      <c r="BB48" s="44">
        <f t="shared" si="75"/>
        <v>0</v>
      </c>
      <c r="BC48" s="44">
        <f t="shared" si="75"/>
        <v>0</v>
      </c>
      <c r="BD48" s="44">
        <f t="shared" si="75"/>
        <v>0</v>
      </c>
      <c r="BE48" s="44">
        <f t="shared" si="75"/>
        <v>0</v>
      </c>
      <c r="BF48" s="44">
        <f t="shared" si="75"/>
        <v>0</v>
      </c>
      <c r="BG48" s="44">
        <f t="shared" si="75"/>
        <v>0</v>
      </c>
      <c r="BH48" s="44">
        <f t="shared" si="75"/>
        <v>0</v>
      </c>
      <c r="BI48" s="44">
        <f t="shared" si="75"/>
        <v>0</v>
      </c>
    </row>
    <row r="49" outlineLevel="1"/>
  </sheetData>
  <conditionalFormatting sqref="J6:BI6">
    <cfRule type="cellIs" dxfId="9" priority="9" operator="equal">
      <formula>1</formula>
    </cfRule>
  </conditionalFormatting>
  <conditionalFormatting sqref="J7:BI7">
    <cfRule type="cellIs" dxfId="8" priority="8" operator="equal">
      <formula>1</formula>
    </cfRule>
  </conditionalFormatting>
  <conditionalFormatting sqref="J16:BI16 J43:BI46">
    <cfRule type="cellIs" dxfId="7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58595B"/>
    <outlinePr summaryBelow="0" summaryRight="0"/>
  </sheetPr>
  <dimension ref="A1:BI60"/>
  <sheetViews>
    <sheetView zoomScaleNormal="100" workbookViewId="0">
      <pane xSplit="9" ySplit="7" topLeftCell="J8" activePane="bottomRight" state="frozen"/>
      <selection pane="bottomRight" activeCell="I19" sqref="I19"/>
      <selection pane="bottomLeft" activeCell="A3" sqref="A3"/>
      <selection pane="topRight" activeCell="A3" sqref="A3"/>
    </sheetView>
  </sheetViews>
  <sheetFormatPr defaultColWidth="0" defaultRowHeight="12.75" outlineLevelRow="1"/>
  <cols>
    <col min="1" max="2" width="2.7109375" customWidth="1"/>
    <col min="3" max="3" width="36" customWidth="1"/>
    <col min="4" max="4" width="11" customWidth="1"/>
    <col min="5" max="8" width="1.7109375" customWidth="1"/>
    <col min="9" max="9" width="15" bestFit="1" customWidth="1"/>
    <col min="10" max="10" width="9.28515625" bestFit="1" customWidth="1"/>
    <col min="11" max="11" width="9" bestFit="1" customWidth="1"/>
    <col min="12" max="13" width="9.42578125" bestFit="1" customWidth="1"/>
    <col min="14" max="14" width="9.28515625" bestFit="1" customWidth="1"/>
    <col min="15" max="15" width="9" bestFit="1" customWidth="1"/>
    <col min="16" max="17" width="9.42578125" bestFit="1" customWidth="1"/>
    <col min="18" max="57" width="12.85546875" bestFit="1" customWidth="1"/>
    <col min="58" max="58" width="9.28515625" bestFit="1" customWidth="1"/>
    <col min="59" max="59" width="9" bestFit="1" customWidth="1"/>
    <col min="60" max="61" width="9.42578125" bestFit="1" customWidth="1"/>
    <col min="62" max="62" width="1.7109375" customWidth="1"/>
  </cols>
  <sheetData>
    <row r="1" spans="1:61" ht="23.2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</row>
    <row r="4" spans="1:61">
      <c r="A4" t="str">
        <f>Timing!A4</f>
        <v>Period Start</v>
      </c>
      <c r="J4" s="6">
        <f>Timing!J4</f>
        <v>40909</v>
      </c>
      <c r="K4" s="6">
        <f>Timing!K4</f>
        <v>41000</v>
      </c>
      <c r="L4" s="6">
        <f>Timing!L4</f>
        <v>41091</v>
      </c>
      <c r="M4" s="6">
        <f>Timing!M4</f>
        <v>41183</v>
      </c>
      <c r="N4" s="6">
        <f>Timing!N4</f>
        <v>41275</v>
      </c>
      <c r="O4" s="6">
        <f>Timing!O4</f>
        <v>41365</v>
      </c>
      <c r="P4" s="6">
        <f>Timing!P4</f>
        <v>41456</v>
      </c>
      <c r="Q4" s="6">
        <f>Timing!Q4</f>
        <v>41548</v>
      </c>
      <c r="R4" s="6">
        <f>Timing!R4</f>
        <v>41640</v>
      </c>
      <c r="S4" s="6">
        <f>Timing!S4</f>
        <v>41730</v>
      </c>
      <c r="T4" s="6">
        <f>Timing!T4</f>
        <v>41821</v>
      </c>
      <c r="U4" s="6">
        <f>Timing!U4</f>
        <v>41913</v>
      </c>
      <c r="V4" s="6">
        <f>Timing!V4</f>
        <v>42005</v>
      </c>
      <c r="W4" s="6">
        <f>Timing!W4</f>
        <v>42095</v>
      </c>
      <c r="X4" s="6">
        <f>Timing!X4</f>
        <v>42186</v>
      </c>
      <c r="Y4" s="6">
        <f>Timing!Y4</f>
        <v>42278</v>
      </c>
      <c r="Z4" s="6">
        <f>Timing!Z4</f>
        <v>42370</v>
      </c>
      <c r="AA4" s="6">
        <f>Timing!AA4</f>
        <v>42461</v>
      </c>
      <c r="AB4" s="6">
        <f>Timing!AB4</f>
        <v>42552</v>
      </c>
      <c r="AC4" s="6">
        <f>Timing!AC4</f>
        <v>42644</v>
      </c>
      <c r="AD4" s="6">
        <f>Timing!AD4</f>
        <v>42736</v>
      </c>
      <c r="AE4" s="6">
        <f>Timing!AE4</f>
        <v>42826</v>
      </c>
      <c r="AF4" s="6">
        <f>Timing!AF4</f>
        <v>42917</v>
      </c>
      <c r="AG4" s="6">
        <f>Timing!AG4</f>
        <v>43009</v>
      </c>
      <c r="AH4" s="6">
        <f>Timing!AH4</f>
        <v>43101</v>
      </c>
      <c r="AI4" s="6">
        <f>Timing!AI4</f>
        <v>43191</v>
      </c>
      <c r="AJ4" s="6">
        <f>Timing!AJ4</f>
        <v>43282</v>
      </c>
      <c r="AK4" s="6">
        <f>Timing!AK4</f>
        <v>43374</v>
      </c>
      <c r="AL4" s="6">
        <f>Timing!AL4</f>
        <v>43466</v>
      </c>
      <c r="AM4" s="6">
        <f>Timing!AM4</f>
        <v>43556</v>
      </c>
      <c r="AN4" s="6">
        <f>Timing!AN4</f>
        <v>43647</v>
      </c>
      <c r="AO4" s="6">
        <f>Timing!AO4</f>
        <v>43739</v>
      </c>
      <c r="AP4" s="6">
        <f>Timing!AP4</f>
        <v>43831</v>
      </c>
      <c r="AQ4" s="6">
        <f>Timing!AQ4</f>
        <v>43922</v>
      </c>
      <c r="AR4" s="6">
        <f>Timing!AR4</f>
        <v>44013</v>
      </c>
      <c r="AS4" s="6">
        <f>Timing!AS4</f>
        <v>44105</v>
      </c>
      <c r="AT4" s="6">
        <f>Timing!AT4</f>
        <v>44197</v>
      </c>
      <c r="AU4" s="6">
        <f>Timing!AU4</f>
        <v>44287</v>
      </c>
      <c r="AV4" s="6">
        <f>Timing!AV4</f>
        <v>44378</v>
      </c>
      <c r="AW4" s="6">
        <f>Timing!AW4</f>
        <v>44470</v>
      </c>
      <c r="AX4" s="6">
        <f>Timing!AX4</f>
        <v>44562</v>
      </c>
      <c r="AY4" s="6">
        <f>Timing!AY4</f>
        <v>44652</v>
      </c>
      <c r="AZ4" s="6">
        <f>Timing!AZ4</f>
        <v>44743</v>
      </c>
      <c r="BA4" s="6">
        <f>Timing!BA4</f>
        <v>44835</v>
      </c>
      <c r="BB4" s="6">
        <f>Timing!BB4</f>
        <v>44927</v>
      </c>
      <c r="BC4" s="6">
        <f>Timing!BC4</f>
        <v>45017</v>
      </c>
      <c r="BD4" s="6">
        <f>Timing!BD4</f>
        <v>45108</v>
      </c>
      <c r="BE4" s="6">
        <f>Timing!BE4</f>
        <v>45200</v>
      </c>
      <c r="BF4" s="6">
        <f>Timing!BF4</f>
        <v>45292</v>
      </c>
      <c r="BG4" s="6">
        <f>Timing!BG4</f>
        <v>45383</v>
      </c>
      <c r="BH4" s="6">
        <f>Timing!BH4</f>
        <v>45474</v>
      </c>
      <c r="BI4" s="6">
        <f>Timing!BI4</f>
        <v>45566</v>
      </c>
    </row>
    <row r="5" spans="1:61">
      <c r="A5" t="str">
        <f>Timing!A5</f>
        <v>Period End</v>
      </c>
      <c r="I5" s="38">
        <f>Timing!I5</f>
        <v>40908</v>
      </c>
      <c r="J5" s="37">
        <f>Timing!J5</f>
        <v>40999</v>
      </c>
      <c r="K5" s="37">
        <f>Timing!K5</f>
        <v>41090</v>
      </c>
      <c r="L5" s="37">
        <f>Timing!L5</f>
        <v>41182</v>
      </c>
      <c r="M5" s="37">
        <f>Timing!M5</f>
        <v>41274</v>
      </c>
      <c r="N5" s="37">
        <f>Timing!N5</f>
        <v>41364</v>
      </c>
      <c r="O5" s="37">
        <f>Timing!O5</f>
        <v>41455</v>
      </c>
      <c r="P5" s="37">
        <f>Timing!P5</f>
        <v>41547</v>
      </c>
      <c r="Q5" s="37">
        <f>Timing!Q5</f>
        <v>41639</v>
      </c>
      <c r="R5" s="37">
        <f>Timing!R5</f>
        <v>41729</v>
      </c>
      <c r="S5" s="37">
        <f>Timing!S5</f>
        <v>41820</v>
      </c>
      <c r="T5" s="37">
        <f>Timing!T5</f>
        <v>41912</v>
      </c>
      <c r="U5" s="37">
        <f>Timing!U5</f>
        <v>42004</v>
      </c>
      <c r="V5" s="37">
        <f>Timing!V5</f>
        <v>42094</v>
      </c>
      <c r="W5" s="37">
        <f>Timing!W5</f>
        <v>42185</v>
      </c>
      <c r="X5" s="37">
        <f>Timing!X5</f>
        <v>42277</v>
      </c>
      <c r="Y5" s="37">
        <f>Timing!Y5</f>
        <v>42369</v>
      </c>
      <c r="Z5" s="37">
        <f>Timing!Z5</f>
        <v>42460</v>
      </c>
      <c r="AA5" s="37">
        <f>Timing!AA5</f>
        <v>42551</v>
      </c>
      <c r="AB5" s="37">
        <f>Timing!AB5</f>
        <v>42643</v>
      </c>
      <c r="AC5" s="37">
        <f>Timing!AC5</f>
        <v>42735</v>
      </c>
      <c r="AD5" s="37">
        <f>Timing!AD5</f>
        <v>42825</v>
      </c>
      <c r="AE5" s="37">
        <f>Timing!AE5</f>
        <v>42916</v>
      </c>
      <c r="AF5" s="37">
        <f>Timing!AF5</f>
        <v>43008</v>
      </c>
      <c r="AG5" s="37">
        <f>Timing!AG5</f>
        <v>43100</v>
      </c>
      <c r="AH5" s="37">
        <f>Timing!AH5</f>
        <v>43190</v>
      </c>
      <c r="AI5" s="37">
        <f>Timing!AI5</f>
        <v>43281</v>
      </c>
      <c r="AJ5" s="37">
        <f>Timing!AJ5</f>
        <v>43373</v>
      </c>
      <c r="AK5" s="37">
        <f>Timing!AK5</f>
        <v>43465</v>
      </c>
      <c r="AL5" s="37">
        <f>Timing!AL5</f>
        <v>43555</v>
      </c>
      <c r="AM5" s="37">
        <f>Timing!AM5</f>
        <v>43646</v>
      </c>
      <c r="AN5" s="37">
        <f>Timing!AN5</f>
        <v>43738</v>
      </c>
      <c r="AO5" s="37">
        <f>Timing!AO5</f>
        <v>43830</v>
      </c>
      <c r="AP5" s="37">
        <f>Timing!AP5</f>
        <v>43921</v>
      </c>
      <c r="AQ5" s="37">
        <f>Timing!AQ5</f>
        <v>44012</v>
      </c>
      <c r="AR5" s="37">
        <f>Timing!AR5</f>
        <v>44104</v>
      </c>
      <c r="AS5" s="37">
        <f>Timing!AS5</f>
        <v>44196</v>
      </c>
      <c r="AT5" s="37">
        <f>Timing!AT5</f>
        <v>44286</v>
      </c>
      <c r="AU5" s="37">
        <f>Timing!AU5</f>
        <v>44377</v>
      </c>
      <c r="AV5" s="37">
        <f>Timing!AV5</f>
        <v>44469</v>
      </c>
      <c r="AW5" s="37">
        <f>Timing!AW5</f>
        <v>44561</v>
      </c>
      <c r="AX5" s="37">
        <f>Timing!AX5</f>
        <v>44651</v>
      </c>
      <c r="AY5" s="37">
        <f>Timing!AY5</f>
        <v>44742</v>
      </c>
      <c r="AZ5" s="37">
        <f>Timing!AZ5</f>
        <v>44834</v>
      </c>
      <c r="BA5" s="37">
        <f>Timing!BA5</f>
        <v>44926</v>
      </c>
      <c r="BB5" s="37">
        <f>Timing!BB5</f>
        <v>45016</v>
      </c>
      <c r="BC5" s="37">
        <f>Timing!BC5</f>
        <v>45107</v>
      </c>
      <c r="BD5" s="37">
        <f>Timing!BD5</f>
        <v>45199</v>
      </c>
      <c r="BE5" s="37">
        <f>Timing!BE5</f>
        <v>45291</v>
      </c>
      <c r="BF5" s="37">
        <f>Timing!BF5</f>
        <v>45382</v>
      </c>
      <c r="BG5" s="37">
        <f>Timing!BG5</f>
        <v>45473</v>
      </c>
      <c r="BH5" s="37">
        <f>Timing!BH5</f>
        <v>45565</v>
      </c>
      <c r="BI5" s="37">
        <f>Timing!BI5</f>
        <v>45657</v>
      </c>
    </row>
    <row r="6" spans="1:61">
      <c r="A6" t="str">
        <f>Timing!A6</f>
        <v>Construction</v>
      </c>
      <c r="J6" s="39">
        <f>Timing!J6</f>
        <v>1</v>
      </c>
      <c r="K6" s="39">
        <f>Timing!K6</f>
        <v>1</v>
      </c>
      <c r="L6" s="39">
        <f>Timing!L6</f>
        <v>1</v>
      </c>
      <c r="M6" s="39">
        <f>Timing!M6</f>
        <v>1</v>
      </c>
      <c r="N6" s="39">
        <f>Timing!N6</f>
        <v>1</v>
      </c>
      <c r="O6" s="39">
        <f>Timing!O6</f>
        <v>1</v>
      </c>
      <c r="P6" s="39">
        <f>Timing!P6</f>
        <v>1</v>
      </c>
      <c r="Q6" s="39">
        <f>Timing!Q6</f>
        <v>1</v>
      </c>
      <c r="R6" s="39">
        <f>Timing!R6</f>
        <v>0</v>
      </c>
      <c r="S6" s="39">
        <f>Timing!S6</f>
        <v>0</v>
      </c>
      <c r="T6" s="39">
        <f>Timing!T6</f>
        <v>0</v>
      </c>
      <c r="U6" s="39">
        <f>Timing!U6</f>
        <v>0</v>
      </c>
      <c r="V6" s="39">
        <f>Timing!V6</f>
        <v>0</v>
      </c>
      <c r="W6" s="39">
        <f>Timing!W6</f>
        <v>0</v>
      </c>
      <c r="X6" s="39">
        <f>Timing!X6</f>
        <v>0</v>
      </c>
      <c r="Y6" s="39">
        <f>Timing!Y6</f>
        <v>0</v>
      </c>
      <c r="Z6" s="39">
        <f>Timing!Z6</f>
        <v>0</v>
      </c>
      <c r="AA6" s="39">
        <f>Timing!AA6</f>
        <v>0</v>
      </c>
      <c r="AB6" s="39">
        <f>Timing!AB6</f>
        <v>0</v>
      </c>
      <c r="AC6" s="39">
        <f>Timing!AC6</f>
        <v>0</v>
      </c>
      <c r="AD6" s="39">
        <f>Timing!AD6</f>
        <v>0</v>
      </c>
      <c r="AE6" s="39">
        <f>Timing!AE6</f>
        <v>0</v>
      </c>
      <c r="AF6" s="39">
        <f>Timing!AF6</f>
        <v>0</v>
      </c>
      <c r="AG6" s="39">
        <f>Timing!AG6</f>
        <v>0</v>
      </c>
      <c r="AH6" s="39">
        <f>Timing!AH6</f>
        <v>0</v>
      </c>
      <c r="AI6" s="39">
        <f>Timing!AI6</f>
        <v>0</v>
      </c>
      <c r="AJ6" s="39">
        <f>Timing!AJ6</f>
        <v>0</v>
      </c>
      <c r="AK6" s="39">
        <f>Timing!AK6</f>
        <v>0</v>
      </c>
      <c r="AL6" s="39">
        <f>Timing!AL6</f>
        <v>0</v>
      </c>
      <c r="AM6" s="39">
        <f>Timing!AM6</f>
        <v>0</v>
      </c>
      <c r="AN6" s="39">
        <f>Timing!AN6</f>
        <v>0</v>
      </c>
      <c r="AO6" s="39">
        <f>Timing!AO6</f>
        <v>0</v>
      </c>
      <c r="AP6" s="39">
        <f>Timing!AP6</f>
        <v>0</v>
      </c>
      <c r="AQ6" s="39">
        <f>Timing!AQ6</f>
        <v>0</v>
      </c>
      <c r="AR6" s="39">
        <f>Timing!AR6</f>
        <v>0</v>
      </c>
      <c r="AS6" s="39">
        <f>Timing!AS6</f>
        <v>0</v>
      </c>
      <c r="AT6" s="39">
        <f>Timing!AT6</f>
        <v>0</v>
      </c>
      <c r="AU6" s="39">
        <f>Timing!AU6</f>
        <v>0</v>
      </c>
      <c r="AV6" s="39">
        <f>Timing!AV6</f>
        <v>0</v>
      </c>
      <c r="AW6" s="39">
        <f>Timing!AW6</f>
        <v>0</v>
      </c>
      <c r="AX6" s="39">
        <f>Timing!AX6</f>
        <v>0</v>
      </c>
      <c r="AY6" s="39">
        <f>Timing!AY6</f>
        <v>0</v>
      </c>
      <c r="AZ6" s="39">
        <f>Timing!AZ6</f>
        <v>0</v>
      </c>
      <c r="BA6" s="39">
        <f>Timing!BA6</f>
        <v>0</v>
      </c>
      <c r="BB6" s="39">
        <f>Timing!BB6</f>
        <v>0</v>
      </c>
      <c r="BC6" s="39">
        <f>Timing!BC6</f>
        <v>0</v>
      </c>
      <c r="BD6" s="39">
        <f>Timing!BD6</f>
        <v>0</v>
      </c>
      <c r="BE6" s="39">
        <f>Timing!BE6</f>
        <v>0</v>
      </c>
      <c r="BF6" s="39">
        <f>Timing!BF6</f>
        <v>0</v>
      </c>
      <c r="BG6" s="39">
        <f>Timing!BG6</f>
        <v>0</v>
      </c>
      <c r="BH6" s="39">
        <f>Timing!BH6</f>
        <v>0</v>
      </c>
      <c r="BI6" s="39">
        <f>Timing!BI6</f>
        <v>0</v>
      </c>
    </row>
    <row r="7" spans="1:61">
      <c r="A7" t="str">
        <f>Timing!A7</f>
        <v>Operations</v>
      </c>
      <c r="J7" s="39">
        <f>Timing!J7</f>
        <v>0</v>
      </c>
      <c r="K7" s="39">
        <f>Timing!K7</f>
        <v>0</v>
      </c>
      <c r="L7" s="39">
        <f>Timing!L7</f>
        <v>0</v>
      </c>
      <c r="M7" s="39">
        <f>Timing!M7</f>
        <v>0</v>
      </c>
      <c r="N7" s="39">
        <f>Timing!N7</f>
        <v>0</v>
      </c>
      <c r="O7" s="39">
        <f>Timing!O7</f>
        <v>0</v>
      </c>
      <c r="P7" s="39">
        <f>Timing!P7</f>
        <v>0</v>
      </c>
      <c r="Q7" s="39">
        <f>Timing!Q7</f>
        <v>0</v>
      </c>
      <c r="R7" s="39">
        <f>Timing!R7</f>
        <v>1</v>
      </c>
      <c r="S7" s="39">
        <f>Timing!S7</f>
        <v>1</v>
      </c>
      <c r="T7" s="39">
        <f>Timing!T7</f>
        <v>1</v>
      </c>
      <c r="U7" s="39">
        <f>Timing!U7</f>
        <v>1</v>
      </c>
      <c r="V7" s="39">
        <f>Timing!V7</f>
        <v>1</v>
      </c>
      <c r="W7" s="39">
        <f>Timing!W7</f>
        <v>1</v>
      </c>
      <c r="X7" s="39">
        <f>Timing!X7</f>
        <v>1</v>
      </c>
      <c r="Y7" s="39">
        <f>Timing!Y7</f>
        <v>1</v>
      </c>
      <c r="Z7" s="39">
        <f>Timing!Z7</f>
        <v>1</v>
      </c>
      <c r="AA7" s="39">
        <f>Timing!AA7</f>
        <v>1</v>
      </c>
      <c r="AB7" s="39">
        <f>Timing!AB7</f>
        <v>1</v>
      </c>
      <c r="AC7" s="39">
        <f>Timing!AC7</f>
        <v>1</v>
      </c>
      <c r="AD7" s="39">
        <f>Timing!AD7</f>
        <v>1</v>
      </c>
      <c r="AE7" s="39">
        <f>Timing!AE7</f>
        <v>1</v>
      </c>
      <c r="AF7" s="39">
        <f>Timing!AF7</f>
        <v>1</v>
      </c>
      <c r="AG7" s="39">
        <f>Timing!AG7</f>
        <v>1</v>
      </c>
      <c r="AH7" s="39">
        <f>Timing!AH7</f>
        <v>1</v>
      </c>
      <c r="AI7" s="39">
        <f>Timing!AI7</f>
        <v>1</v>
      </c>
      <c r="AJ7" s="39">
        <f>Timing!AJ7</f>
        <v>1</v>
      </c>
      <c r="AK7" s="39">
        <f>Timing!AK7</f>
        <v>1</v>
      </c>
      <c r="AL7" s="39">
        <f>Timing!AL7</f>
        <v>1</v>
      </c>
      <c r="AM7" s="39">
        <f>Timing!AM7</f>
        <v>1</v>
      </c>
      <c r="AN7" s="39">
        <f>Timing!AN7</f>
        <v>1</v>
      </c>
      <c r="AO7" s="39">
        <f>Timing!AO7</f>
        <v>1</v>
      </c>
      <c r="AP7" s="39">
        <f>Timing!AP7</f>
        <v>1</v>
      </c>
      <c r="AQ7" s="39">
        <f>Timing!AQ7</f>
        <v>1</v>
      </c>
      <c r="AR7" s="39">
        <f>Timing!AR7</f>
        <v>1</v>
      </c>
      <c r="AS7" s="39">
        <f>Timing!AS7</f>
        <v>1</v>
      </c>
      <c r="AT7" s="39">
        <f>Timing!AT7</f>
        <v>1</v>
      </c>
      <c r="AU7" s="39">
        <f>Timing!AU7</f>
        <v>1</v>
      </c>
      <c r="AV7" s="39">
        <f>Timing!AV7</f>
        <v>1</v>
      </c>
      <c r="AW7" s="39">
        <f>Timing!AW7</f>
        <v>1</v>
      </c>
      <c r="AX7" s="39">
        <f>Timing!AX7</f>
        <v>1</v>
      </c>
      <c r="AY7" s="39">
        <f>Timing!AY7</f>
        <v>1</v>
      </c>
      <c r="AZ7" s="39">
        <f>Timing!AZ7</f>
        <v>1</v>
      </c>
      <c r="BA7" s="39">
        <f>Timing!BA7</f>
        <v>1</v>
      </c>
      <c r="BB7" s="39">
        <f>Timing!BB7</f>
        <v>1</v>
      </c>
      <c r="BC7" s="39">
        <f>Timing!BC7</f>
        <v>1</v>
      </c>
      <c r="BD7" s="39">
        <f>Timing!BD7</f>
        <v>1</v>
      </c>
      <c r="BE7" s="39">
        <f>Timing!BE7</f>
        <v>1</v>
      </c>
      <c r="BF7" s="39">
        <f>Timing!BF7</f>
        <v>0</v>
      </c>
      <c r="BG7" s="39">
        <f>Timing!BG7</f>
        <v>0</v>
      </c>
      <c r="BH7" s="39">
        <f>Timing!BH7</f>
        <v>0</v>
      </c>
      <c r="BI7" s="39">
        <f>Timing!BI7</f>
        <v>0</v>
      </c>
    </row>
    <row r="9" spans="1:61" ht="20.25">
      <c r="C9" s="7" t="str">
        <f>Timing!C9</f>
        <v>Counters</v>
      </c>
    </row>
    <row r="10" spans="1:61" outlineLevel="1">
      <c r="C10" s="32" t="str">
        <f>Timing!C12</f>
        <v>Operations Year</v>
      </c>
      <c r="D10" s="8" t="s">
        <v>81</v>
      </c>
      <c r="J10" s="41">
        <f>Timing!J12</f>
        <v>0</v>
      </c>
      <c r="K10" s="41">
        <f>Timing!K12</f>
        <v>0</v>
      </c>
      <c r="L10" s="41">
        <f>Timing!L12</f>
        <v>0</v>
      </c>
      <c r="M10" s="41">
        <f>Timing!M12</f>
        <v>0</v>
      </c>
      <c r="N10" s="41">
        <f>Timing!N12</f>
        <v>0</v>
      </c>
      <c r="O10" s="41">
        <f>Timing!O12</f>
        <v>0</v>
      </c>
      <c r="P10" s="41">
        <f>Timing!P12</f>
        <v>0</v>
      </c>
      <c r="Q10" s="41">
        <f>Timing!Q12</f>
        <v>0</v>
      </c>
      <c r="R10" s="41">
        <f>Timing!R12</f>
        <v>1</v>
      </c>
      <c r="S10" s="41">
        <f>Timing!S12</f>
        <v>1</v>
      </c>
      <c r="T10" s="41">
        <f>Timing!T12</f>
        <v>1</v>
      </c>
      <c r="U10" s="41">
        <f>Timing!U12</f>
        <v>1</v>
      </c>
      <c r="V10" s="41">
        <f>Timing!V12</f>
        <v>2</v>
      </c>
      <c r="W10" s="41">
        <f>Timing!W12</f>
        <v>2</v>
      </c>
      <c r="X10" s="41">
        <f>Timing!X12</f>
        <v>2</v>
      </c>
      <c r="Y10" s="41">
        <f>Timing!Y12</f>
        <v>2</v>
      </c>
      <c r="Z10" s="41">
        <f>Timing!Z12</f>
        <v>3</v>
      </c>
      <c r="AA10" s="41">
        <f>Timing!AA12</f>
        <v>3</v>
      </c>
      <c r="AB10" s="41">
        <f>Timing!AB12</f>
        <v>3</v>
      </c>
      <c r="AC10" s="41">
        <f>Timing!AC12</f>
        <v>3</v>
      </c>
      <c r="AD10" s="41">
        <f>Timing!AD12</f>
        <v>4</v>
      </c>
      <c r="AE10" s="41">
        <f>Timing!AE12</f>
        <v>4</v>
      </c>
      <c r="AF10" s="41">
        <f>Timing!AF12</f>
        <v>4</v>
      </c>
      <c r="AG10" s="41">
        <f>Timing!AG12</f>
        <v>4</v>
      </c>
      <c r="AH10" s="41">
        <f>Timing!AH12</f>
        <v>5</v>
      </c>
      <c r="AI10" s="41">
        <f>Timing!AI12</f>
        <v>5</v>
      </c>
      <c r="AJ10" s="41">
        <f>Timing!AJ12</f>
        <v>5</v>
      </c>
      <c r="AK10" s="41">
        <f>Timing!AK12</f>
        <v>5</v>
      </c>
      <c r="AL10" s="41">
        <f>Timing!AL12</f>
        <v>6</v>
      </c>
      <c r="AM10" s="41">
        <f>Timing!AM12</f>
        <v>6</v>
      </c>
      <c r="AN10" s="41">
        <f>Timing!AN12</f>
        <v>6</v>
      </c>
      <c r="AO10" s="41">
        <f>Timing!AO12</f>
        <v>6</v>
      </c>
      <c r="AP10" s="41">
        <f>Timing!AP12</f>
        <v>7</v>
      </c>
      <c r="AQ10" s="41">
        <f>Timing!AQ12</f>
        <v>7</v>
      </c>
      <c r="AR10" s="41">
        <f>Timing!AR12</f>
        <v>7</v>
      </c>
      <c r="AS10" s="41">
        <f>Timing!AS12</f>
        <v>7</v>
      </c>
      <c r="AT10" s="41">
        <f>Timing!AT12</f>
        <v>8</v>
      </c>
      <c r="AU10" s="41">
        <f>Timing!AU12</f>
        <v>8</v>
      </c>
      <c r="AV10" s="41">
        <f>Timing!AV12</f>
        <v>8</v>
      </c>
      <c r="AW10" s="41">
        <f>Timing!AW12</f>
        <v>8</v>
      </c>
      <c r="AX10" s="41">
        <f>Timing!AX12</f>
        <v>9</v>
      </c>
      <c r="AY10" s="41">
        <f>Timing!AY12</f>
        <v>9</v>
      </c>
      <c r="AZ10" s="41">
        <f>Timing!AZ12</f>
        <v>9</v>
      </c>
      <c r="BA10" s="41">
        <f>Timing!BA12</f>
        <v>9</v>
      </c>
      <c r="BB10" s="41">
        <f>Timing!BB12</f>
        <v>10</v>
      </c>
      <c r="BC10" s="41">
        <f>Timing!BC12</f>
        <v>10</v>
      </c>
      <c r="BD10" s="41">
        <f>Timing!BD12</f>
        <v>10</v>
      </c>
      <c r="BE10" s="41">
        <f>Timing!BE12</f>
        <v>10</v>
      </c>
      <c r="BF10" s="41">
        <f>Timing!BF12</f>
        <v>0</v>
      </c>
      <c r="BG10" s="41">
        <f>Timing!BG12</f>
        <v>0</v>
      </c>
      <c r="BH10" s="41">
        <f>Timing!BH12</f>
        <v>0</v>
      </c>
      <c r="BI10" s="41">
        <f>Timing!BI12</f>
        <v>0</v>
      </c>
    </row>
    <row r="11" spans="1:61" outlineLevel="1">
      <c r="C11" s="32" t="str">
        <f>Timing!C13</f>
        <v>Calendar Year</v>
      </c>
      <c r="D11" s="8" t="s">
        <v>82</v>
      </c>
      <c r="J11">
        <f>Timing!J13</f>
        <v>2012</v>
      </c>
      <c r="K11">
        <f>Timing!K13</f>
        <v>2012</v>
      </c>
      <c r="L11">
        <f>Timing!L13</f>
        <v>2012</v>
      </c>
      <c r="M11">
        <f>Timing!M13</f>
        <v>2012</v>
      </c>
      <c r="N11">
        <f>Timing!N13</f>
        <v>2013</v>
      </c>
      <c r="O11">
        <f>Timing!O13</f>
        <v>2013</v>
      </c>
      <c r="P11">
        <f>Timing!P13</f>
        <v>2013</v>
      </c>
      <c r="Q11">
        <f>Timing!Q13</f>
        <v>2013</v>
      </c>
      <c r="R11">
        <f>Timing!R13</f>
        <v>2014</v>
      </c>
      <c r="S11">
        <f>Timing!S13</f>
        <v>2014</v>
      </c>
      <c r="T11">
        <f>Timing!T13</f>
        <v>2014</v>
      </c>
      <c r="U11">
        <f>Timing!U13</f>
        <v>2014</v>
      </c>
      <c r="V11">
        <f>Timing!V13</f>
        <v>2015</v>
      </c>
      <c r="W11">
        <f>Timing!W13</f>
        <v>2015</v>
      </c>
      <c r="X11">
        <f>Timing!X13</f>
        <v>2015</v>
      </c>
      <c r="Y11">
        <f>Timing!Y13</f>
        <v>2015</v>
      </c>
      <c r="Z11">
        <f>Timing!Z13</f>
        <v>2016</v>
      </c>
      <c r="AA11">
        <f>Timing!AA13</f>
        <v>2016</v>
      </c>
      <c r="AB11">
        <f>Timing!AB13</f>
        <v>2016</v>
      </c>
      <c r="AC11">
        <f>Timing!AC13</f>
        <v>2016</v>
      </c>
      <c r="AD11">
        <f>Timing!AD13</f>
        <v>2017</v>
      </c>
      <c r="AE11">
        <f>Timing!AE13</f>
        <v>2017</v>
      </c>
      <c r="AF11">
        <f>Timing!AF13</f>
        <v>2017</v>
      </c>
      <c r="AG11">
        <f>Timing!AG13</f>
        <v>2017</v>
      </c>
      <c r="AH11">
        <f>Timing!AH13</f>
        <v>2018</v>
      </c>
      <c r="AI11">
        <f>Timing!AI13</f>
        <v>2018</v>
      </c>
      <c r="AJ11">
        <f>Timing!AJ13</f>
        <v>2018</v>
      </c>
      <c r="AK11">
        <f>Timing!AK13</f>
        <v>2018</v>
      </c>
      <c r="AL11">
        <f>Timing!AL13</f>
        <v>2019</v>
      </c>
      <c r="AM11">
        <f>Timing!AM13</f>
        <v>2019</v>
      </c>
      <c r="AN11">
        <f>Timing!AN13</f>
        <v>2019</v>
      </c>
      <c r="AO11">
        <f>Timing!AO13</f>
        <v>2019</v>
      </c>
      <c r="AP11">
        <f>Timing!AP13</f>
        <v>2020</v>
      </c>
      <c r="AQ11">
        <f>Timing!AQ13</f>
        <v>2020</v>
      </c>
      <c r="AR11">
        <f>Timing!AR13</f>
        <v>2020</v>
      </c>
      <c r="AS11">
        <f>Timing!AS13</f>
        <v>2020</v>
      </c>
      <c r="AT11">
        <f>Timing!AT13</f>
        <v>2021</v>
      </c>
      <c r="AU11">
        <f>Timing!AU13</f>
        <v>2021</v>
      </c>
      <c r="AV11">
        <f>Timing!AV13</f>
        <v>2021</v>
      </c>
      <c r="AW11">
        <f>Timing!AW13</f>
        <v>2021</v>
      </c>
      <c r="AX11">
        <f>Timing!AX13</f>
        <v>2022</v>
      </c>
      <c r="AY11">
        <f>Timing!AY13</f>
        <v>2022</v>
      </c>
      <c r="AZ11">
        <f>Timing!AZ13</f>
        <v>2022</v>
      </c>
      <c r="BA11">
        <f>Timing!BA13</f>
        <v>2022</v>
      </c>
      <c r="BB11">
        <f>Timing!BB13</f>
        <v>2023</v>
      </c>
      <c r="BC11">
        <f>Timing!BC13</f>
        <v>2023</v>
      </c>
      <c r="BD11">
        <f>Timing!BD13</f>
        <v>2023</v>
      </c>
      <c r="BE11">
        <f>Timing!BE13</f>
        <v>2023</v>
      </c>
      <c r="BF11">
        <f>Timing!BF13</f>
        <v>2024</v>
      </c>
      <c r="BG11">
        <f>Timing!BG13</f>
        <v>2024</v>
      </c>
      <c r="BH11">
        <f>Timing!BH13</f>
        <v>2024</v>
      </c>
      <c r="BI11">
        <f>Timing!BI13</f>
        <v>2024</v>
      </c>
    </row>
    <row r="12" spans="1:61" outlineLevel="1"/>
    <row r="13" spans="1:61" ht="20.25">
      <c r="C13" s="7" t="s">
        <v>15</v>
      </c>
    </row>
    <row r="14" spans="1:61" ht="15" outlineLevel="1">
      <c r="C14" s="4" t="s">
        <v>101</v>
      </c>
    </row>
    <row r="15" spans="1:61" outlineLevel="1">
      <c r="C15" s="32" t="s">
        <v>53</v>
      </c>
      <c r="D15" s="8" t="s">
        <v>102</v>
      </c>
      <c r="I15" s="50">
        <f>SUM(J15:BI15)</f>
        <v>1499042.8246962647</v>
      </c>
      <c r="J15" s="79">
        <f>IF(J$10=0,0,LOOKUP(J$10,Inputs!$E$27:$M$27,Inputs!$E$28:$M$28))/Qtrs_Yr</f>
        <v>0</v>
      </c>
      <c r="K15" s="79">
        <f>IF(K$10=0,0,LOOKUP(K$10,Inputs!$E$27:$M$27,Inputs!$E$28:$M$28))/Qtrs_Yr</f>
        <v>0</v>
      </c>
      <c r="L15" s="79">
        <f>IF(L$10=0,0,LOOKUP(L$10,Inputs!$E$27:$M$27,Inputs!$E$28:$M$28))/Qtrs_Yr</f>
        <v>0</v>
      </c>
      <c r="M15" s="79">
        <f>IF(M$10=0,0,LOOKUP(M$10,Inputs!$E$27:$M$27,Inputs!$E$28:$M$28))/Qtrs_Yr</f>
        <v>0</v>
      </c>
      <c r="N15" s="79">
        <f>IF(N$10=0,0,LOOKUP(N$10,Inputs!$E$27:$M$27,Inputs!$E$28:$M$28))/Qtrs_Yr</f>
        <v>0</v>
      </c>
      <c r="O15" s="79">
        <f>IF(O$10=0,0,LOOKUP(O$10,Inputs!$E$27:$M$27,Inputs!$E$28:$M$28))/Qtrs_Yr</f>
        <v>0</v>
      </c>
      <c r="P15" s="79">
        <f>IF(P$10=0,0,LOOKUP(P$10,Inputs!$E$27:$M$27,Inputs!$E$28:$M$28))/Qtrs_Yr</f>
        <v>0</v>
      </c>
      <c r="Q15" s="79">
        <f>IF(Q$10=0,0,LOOKUP(Q$10,Inputs!$E$27:$M$27,Inputs!$E$28:$M$28))/Qtrs_Yr</f>
        <v>0</v>
      </c>
      <c r="R15" s="79">
        <f>IF(R$10=0,0,LOOKUP(R$10,Inputs!$E$27:$M$27,Inputs!$E$28:$M$28))/Qtrs_Yr</f>
        <v>32500</v>
      </c>
      <c r="S15" s="79">
        <f>IF(S$10=0,0,LOOKUP(S$10,Inputs!$E$27:$M$27,Inputs!$E$28:$M$28))/Qtrs_Yr</f>
        <v>32500</v>
      </c>
      <c r="T15" s="79">
        <f>IF(T$10=0,0,LOOKUP(T$10,Inputs!$E$27:$M$27,Inputs!$E$28:$M$28))/Qtrs_Yr</f>
        <v>32500</v>
      </c>
      <c r="U15" s="79">
        <f>IF(U$10=0,0,LOOKUP(U$10,Inputs!$E$27:$M$27,Inputs!$E$28:$M$28))/Qtrs_Yr</f>
        <v>32500</v>
      </c>
      <c r="V15" s="79">
        <f>IF(V$10=0,0,LOOKUP(V$10,Inputs!$E$27:$M$27,Inputs!$E$28:$M$28))/Qtrs_Yr</f>
        <v>32500</v>
      </c>
      <c r="W15" s="79">
        <f>IF(W$10=0,0,LOOKUP(W$10,Inputs!$E$27:$M$27,Inputs!$E$28:$M$28))/Qtrs_Yr</f>
        <v>32500</v>
      </c>
      <c r="X15" s="79">
        <f>IF(X$10=0,0,LOOKUP(X$10,Inputs!$E$27:$M$27,Inputs!$E$28:$M$28))/Qtrs_Yr</f>
        <v>32500</v>
      </c>
      <c r="Y15" s="79">
        <f>IF(Y$10=0,0,LOOKUP(Y$10,Inputs!$E$27:$M$27,Inputs!$E$28:$M$28))/Qtrs_Yr</f>
        <v>32500</v>
      </c>
      <c r="Z15" s="79">
        <f>IF(Z$10=0,0,LOOKUP(Z$10,Inputs!$E$27:$M$27,Inputs!$E$28:$M$28))/Qtrs_Yr</f>
        <v>32500</v>
      </c>
      <c r="AA15" s="79">
        <f>IF(AA$10=0,0,LOOKUP(AA$10,Inputs!$E$27:$M$27,Inputs!$E$28:$M$28))/Qtrs_Yr</f>
        <v>32500</v>
      </c>
      <c r="AB15" s="79">
        <f>IF(AB$10=0,0,LOOKUP(AB$10,Inputs!$E$27:$M$27,Inputs!$E$28:$M$28))/Qtrs_Yr</f>
        <v>32500</v>
      </c>
      <c r="AC15" s="79">
        <f>IF(AC$10=0,0,LOOKUP(AC$10,Inputs!$E$27:$M$27,Inputs!$E$28:$M$28))/Qtrs_Yr</f>
        <v>32500</v>
      </c>
      <c r="AD15" s="79">
        <f>IF(AD$10=0,0,LOOKUP(AD$10,Inputs!$E$27:$M$27,Inputs!$E$28:$M$28))/Qtrs_Yr</f>
        <v>32500</v>
      </c>
      <c r="AE15" s="79">
        <f>IF(AE$10=0,0,LOOKUP(AE$10,Inputs!$E$27:$M$27,Inputs!$E$28:$M$28))/Qtrs_Yr</f>
        <v>32500</v>
      </c>
      <c r="AF15" s="79">
        <f>IF(AF$10=0,0,LOOKUP(AF$10,Inputs!$E$27:$M$27,Inputs!$E$28:$M$28))/Qtrs_Yr</f>
        <v>32500</v>
      </c>
      <c r="AG15" s="79">
        <f>IF(AG$10=0,0,LOOKUP(AG$10,Inputs!$E$27:$M$27,Inputs!$E$28:$M$28))/Qtrs_Yr</f>
        <v>32500</v>
      </c>
      <c r="AH15" s="79">
        <f>AG15*(1+0.5%)</f>
        <v>32662.499999999996</v>
      </c>
      <c r="AI15" s="79">
        <f t="shared" ref="AI15:BI15" si="0">AH15*(1+0.5%)</f>
        <v>32825.812499999993</v>
      </c>
      <c r="AJ15" s="79">
        <f t="shared" si="0"/>
        <v>32989.941562499989</v>
      </c>
      <c r="AK15" s="79">
        <f t="shared" si="0"/>
        <v>33154.891270312488</v>
      </c>
      <c r="AL15" s="79">
        <f t="shared" si="0"/>
        <v>33320.665726664047</v>
      </c>
      <c r="AM15" s="79">
        <f t="shared" si="0"/>
        <v>33487.269055297365</v>
      </c>
      <c r="AN15" s="79">
        <f t="shared" si="0"/>
        <v>33654.705400573846</v>
      </c>
      <c r="AO15" s="79">
        <f t="shared" si="0"/>
        <v>33822.978927576711</v>
      </c>
      <c r="AP15" s="79">
        <f t="shared" si="0"/>
        <v>33992.093822214592</v>
      </c>
      <c r="AQ15" s="79">
        <f t="shared" si="0"/>
        <v>34162.054291325665</v>
      </c>
      <c r="AR15" s="79">
        <f t="shared" si="0"/>
        <v>34332.864562782292</v>
      </c>
      <c r="AS15" s="79">
        <f t="shared" si="0"/>
        <v>34504.528885596199</v>
      </c>
      <c r="AT15" s="79">
        <f t="shared" si="0"/>
        <v>34677.051530024175</v>
      </c>
      <c r="AU15" s="79">
        <f t="shared" si="0"/>
        <v>34850.436787674291</v>
      </c>
      <c r="AV15" s="79">
        <f t="shared" si="0"/>
        <v>35024.688971612661</v>
      </c>
      <c r="AW15" s="79">
        <f t="shared" si="0"/>
        <v>35199.812416470719</v>
      </c>
      <c r="AX15" s="79">
        <f t="shared" si="0"/>
        <v>35375.811478553071</v>
      </c>
      <c r="AY15" s="79">
        <f t="shared" si="0"/>
        <v>35552.690535945832</v>
      </c>
      <c r="AZ15" s="79">
        <f t="shared" si="0"/>
        <v>35730.453988625559</v>
      </c>
      <c r="BA15" s="79">
        <f t="shared" si="0"/>
        <v>35909.106258568681</v>
      </c>
      <c r="BB15" s="79">
        <f t="shared" si="0"/>
        <v>36088.65178986152</v>
      </c>
      <c r="BC15" s="79">
        <f t="shared" si="0"/>
        <v>36269.095048810821</v>
      </c>
      <c r="BD15" s="79">
        <f t="shared" si="0"/>
        <v>36450.440524054873</v>
      </c>
      <c r="BE15" s="79">
        <f t="shared" si="0"/>
        <v>36632.692726675145</v>
      </c>
      <c r="BF15" s="79">
        <f t="shared" si="0"/>
        <v>36815.856190308514</v>
      </c>
      <c r="BG15" s="79">
        <f t="shared" si="0"/>
        <v>36999.935471260054</v>
      </c>
      <c r="BH15" s="79">
        <f t="shared" si="0"/>
        <v>37184.93514861635</v>
      </c>
      <c r="BI15" s="79">
        <f t="shared" si="0"/>
        <v>37370.859824359432</v>
      </c>
    </row>
    <row r="16" spans="1:61" outlineLevel="1">
      <c r="D16" s="8"/>
    </row>
    <row r="17" spans="3:61" ht="15" outlineLevel="1">
      <c r="C17" s="4" t="s">
        <v>56</v>
      </c>
      <c r="D17" s="8"/>
      <c r="J17" s="80"/>
    </row>
    <row r="18" spans="3:61" outlineLevel="1">
      <c r="C18" t="s">
        <v>103</v>
      </c>
      <c r="D18" s="8" t="s">
        <v>57</v>
      </c>
      <c r="J18" s="81">
        <f>LOOKUP(J11,Inputs!$F$32:$I$32)*J7</f>
        <v>0</v>
      </c>
      <c r="K18" s="81">
        <f>LOOKUP(K11,Inputs!$F$32:$I$32)*K7</f>
        <v>0</v>
      </c>
      <c r="L18" s="81">
        <f>LOOKUP(L11,Inputs!$F$32:$I$32)*L7</f>
        <v>0</v>
      </c>
      <c r="M18" s="81">
        <f>LOOKUP(M11,Inputs!$F$32:$I$32)*M7</f>
        <v>0</v>
      </c>
      <c r="N18" s="81">
        <f>LOOKUP(N11,Inputs!$F$32:$I$32)*N7</f>
        <v>0</v>
      </c>
      <c r="O18" s="81">
        <f>LOOKUP(O11,Inputs!$F$32:$I$32)*O7</f>
        <v>0</v>
      </c>
      <c r="P18" s="81">
        <f>LOOKUP(P11,Inputs!$F$32:$I$32)*P7</f>
        <v>0</v>
      </c>
      <c r="Q18" s="81">
        <f>LOOKUP(Q11,Inputs!$F$32:$I$32)*Q7</f>
        <v>0</v>
      </c>
      <c r="R18" s="81">
        <f>LOOKUP(R11,Inputs!$F$32:$I$32)*R7</f>
        <v>115</v>
      </c>
      <c r="S18" s="81">
        <f>LOOKUP(S11,Inputs!$F$32:$I$32)*S7</f>
        <v>115</v>
      </c>
      <c r="T18" s="81">
        <f>LOOKUP(T11,Inputs!$F$32:$I$32)*T7</f>
        <v>115</v>
      </c>
      <c r="U18" s="81">
        <f>LOOKUP(U11,Inputs!$F$32:$I$32)*U7</f>
        <v>115</v>
      </c>
      <c r="V18" s="81">
        <f>LOOKUP(V11,Inputs!$F$32:$I$32)*V7</f>
        <v>115</v>
      </c>
      <c r="W18" s="81">
        <f>LOOKUP(W11,Inputs!$F$32:$I$32)*W7</f>
        <v>115</v>
      </c>
      <c r="X18" s="81">
        <f>LOOKUP(X11,Inputs!$F$32:$I$32)*X7</f>
        <v>115</v>
      </c>
      <c r="Y18" s="81">
        <f>LOOKUP(Y11,Inputs!$F$32:$I$32)*Y7</f>
        <v>115</v>
      </c>
      <c r="Z18" s="81">
        <f>LOOKUP(Z11,Inputs!$F$32:$I$32)*Z7</f>
        <v>115</v>
      </c>
      <c r="AA18" s="81">
        <f>LOOKUP(AA11,Inputs!$F$32:$I$32)*AA7</f>
        <v>115</v>
      </c>
      <c r="AB18" s="81">
        <f>LOOKUP(AB11,Inputs!$F$32:$I$32)*AB7</f>
        <v>115</v>
      </c>
      <c r="AC18" s="81">
        <f>LOOKUP(AC11,Inputs!$F$32:$I$32)*AC7</f>
        <v>115</v>
      </c>
      <c r="AD18" s="81">
        <f>LOOKUP(AD11,Inputs!$F$32:$I$32)*AD7</f>
        <v>115</v>
      </c>
      <c r="AE18" s="81">
        <f>LOOKUP(AE11,Inputs!$F$32:$I$32)*AE7</f>
        <v>115</v>
      </c>
      <c r="AF18" s="81">
        <f>LOOKUP(AF11,Inputs!$F$32:$I$32)*AF7</f>
        <v>115</v>
      </c>
      <c r="AG18" s="81">
        <f>LOOKUP(AG11,Inputs!$F$32:$I$32)*AG7</f>
        <v>115</v>
      </c>
      <c r="AH18" s="81">
        <f>LOOKUP(AH11,Inputs!$F$32:$I$32)*AH7</f>
        <v>115</v>
      </c>
      <c r="AI18" s="81">
        <f>LOOKUP(AI11,Inputs!$F$32:$I$32)*AI7</f>
        <v>115</v>
      </c>
      <c r="AJ18" s="81">
        <f>LOOKUP(AJ11,Inputs!$F$32:$I$32)*AJ7</f>
        <v>115</v>
      </c>
      <c r="AK18" s="81">
        <f>LOOKUP(AK11,Inputs!$F$32:$I$32)*AK7</f>
        <v>115</v>
      </c>
      <c r="AL18" s="81">
        <f>LOOKUP(AL11,Inputs!$F$32:$I$32)*AL7</f>
        <v>115</v>
      </c>
      <c r="AM18" s="81">
        <f>LOOKUP(AM11,Inputs!$F$32:$I$32)*AM7</f>
        <v>115</v>
      </c>
      <c r="AN18" s="81">
        <f>LOOKUP(AN11,Inputs!$F$32:$I$32)*AN7</f>
        <v>115</v>
      </c>
      <c r="AO18" s="81">
        <f>LOOKUP(AO11,Inputs!$F$32:$I$32)*AO7</f>
        <v>115</v>
      </c>
      <c r="AP18" s="81">
        <f>LOOKUP(AP11,Inputs!$F$32:$I$32)*AP7</f>
        <v>115</v>
      </c>
      <c r="AQ18" s="81">
        <f>LOOKUP(AQ11,Inputs!$F$32:$I$32)*AQ7</f>
        <v>115</v>
      </c>
      <c r="AR18" s="81">
        <f>LOOKUP(AR11,Inputs!$F$32:$I$32)*AR7</f>
        <v>115</v>
      </c>
      <c r="AS18" s="81">
        <f>LOOKUP(AS11,Inputs!$F$32:$I$32)*AS7</f>
        <v>115</v>
      </c>
      <c r="AT18" s="81">
        <f>LOOKUP(AT11,Inputs!$F$32:$I$32)*AT7</f>
        <v>115</v>
      </c>
      <c r="AU18" s="81">
        <f>LOOKUP(AU11,Inputs!$F$32:$I$32)*AU7</f>
        <v>115</v>
      </c>
      <c r="AV18" s="81">
        <f>LOOKUP(AV11,Inputs!$F$32:$I$32)*AV7</f>
        <v>115</v>
      </c>
      <c r="AW18" s="81">
        <f>LOOKUP(AW11,Inputs!$F$32:$I$32)*AW7</f>
        <v>115</v>
      </c>
      <c r="AX18" s="81">
        <f>LOOKUP(AX11,Inputs!$F$32:$I$32)*AX7</f>
        <v>115</v>
      </c>
      <c r="AY18" s="81">
        <f>LOOKUP(AY11,Inputs!$F$32:$I$32)*AY7</f>
        <v>115</v>
      </c>
      <c r="AZ18" s="81">
        <f>LOOKUP(AZ11,Inputs!$F$32:$I$32)*AZ7</f>
        <v>115</v>
      </c>
      <c r="BA18" s="81">
        <f>LOOKUP(BA11,Inputs!$F$32:$I$32)*BA7</f>
        <v>115</v>
      </c>
      <c r="BB18" s="81">
        <f>LOOKUP(BB11,Inputs!$F$32:$I$32)*BB7</f>
        <v>115</v>
      </c>
      <c r="BC18" s="81">
        <f>LOOKUP(BC11,Inputs!$F$32:$I$32)*BC7</f>
        <v>115</v>
      </c>
      <c r="BD18" s="81">
        <f>LOOKUP(BD11,Inputs!$F$32:$I$32)*BD7</f>
        <v>115</v>
      </c>
      <c r="BE18" s="81">
        <f>LOOKUP(BE11,Inputs!$F$32:$I$32)*BE7</f>
        <v>115</v>
      </c>
      <c r="BF18" s="81">
        <f>LOOKUP(BF11,Inputs!$F$32:$I$32)*BF7</f>
        <v>0</v>
      </c>
      <c r="BG18" s="81">
        <f>LOOKUP(BG11,Inputs!$F$32:$I$32)*BG7</f>
        <v>0</v>
      </c>
      <c r="BH18" s="81">
        <f>LOOKUP(BH11,Inputs!$F$32:$I$32)*BH7</f>
        <v>0</v>
      </c>
      <c r="BI18" s="81">
        <f>LOOKUP(BI11,Inputs!$F$32:$I$32)*BI7</f>
        <v>0</v>
      </c>
    </row>
    <row r="19" spans="3:61" outlineLevel="1">
      <c r="C19" s="32" t="s">
        <v>15</v>
      </c>
      <c r="D19" s="8" t="s">
        <v>48</v>
      </c>
      <c r="I19" s="50">
        <f>SUM(J19:BI19)</f>
        <v>155327192.37709782</v>
      </c>
      <c r="J19" s="82">
        <f>J15*J18</f>
        <v>0</v>
      </c>
      <c r="K19" s="82">
        <f t="shared" ref="K19:BI19" si="1">K15*K18</f>
        <v>0</v>
      </c>
      <c r="L19" s="82">
        <f t="shared" si="1"/>
        <v>0</v>
      </c>
      <c r="M19" s="82">
        <f t="shared" si="1"/>
        <v>0</v>
      </c>
      <c r="N19" s="82">
        <f t="shared" si="1"/>
        <v>0</v>
      </c>
      <c r="O19" s="82">
        <f t="shared" si="1"/>
        <v>0</v>
      </c>
      <c r="P19" s="82">
        <f t="shared" si="1"/>
        <v>0</v>
      </c>
      <c r="Q19" s="82">
        <f t="shared" si="1"/>
        <v>0</v>
      </c>
      <c r="R19" s="82">
        <f t="shared" si="1"/>
        <v>3737500</v>
      </c>
      <c r="S19" s="82">
        <f t="shared" si="1"/>
        <v>3737500</v>
      </c>
      <c r="T19" s="82">
        <f t="shared" si="1"/>
        <v>3737500</v>
      </c>
      <c r="U19" s="82">
        <f t="shared" si="1"/>
        <v>3737500</v>
      </c>
      <c r="V19" s="82">
        <f t="shared" si="1"/>
        <v>3737500</v>
      </c>
      <c r="W19" s="82">
        <f t="shared" si="1"/>
        <v>3737500</v>
      </c>
      <c r="X19" s="82">
        <f t="shared" si="1"/>
        <v>3737500</v>
      </c>
      <c r="Y19" s="82">
        <f t="shared" si="1"/>
        <v>3737500</v>
      </c>
      <c r="Z19" s="82">
        <f t="shared" si="1"/>
        <v>3737500</v>
      </c>
      <c r="AA19" s="82">
        <f t="shared" si="1"/>
        <v>3737500</v>
      </c>
      <c r="AB19" s="82">
        <f t="shared" si="1"/>
        <v>3737500</v>
      </c>
      <c r="AC19" s="82">
        <f t="shared" si="1"/>
        <v>3737500</v>
      </c>
      <c r="AD19" s="82">
        <f t="shared" si="1"/>
        <v>3737500</v>
      </c>
      <c r="AE19" s="82">
        <f t="shared" si="1"/>
        <v>3737500</v>
      </c>
      <c r="AF19" s="82">
        <f t="shared" si="1"/>
        <v>3737500</v>
      </c>
      <c r="AG19" s="82">
        <f t="shared" si="1"/>
        <v>3737500</v>
      </c>
      <c r="AH19" s="82">
        <f t="shared" si="1"/>
        <v>3756187.4999999995</v>
      </c>
      <c r="AI19" s="82">
        <f t="shared" si="1"/>
        <v>3774968.4374999991</v>
      </c>
      <c r="AJ19" s="82">
        <f t="shared" si="1"/>
        <v>3793843.2796874987</v>
      </c>
      <c r="AK19" s="82">
        <f t="shared" si="1"/>
        <v>3812812.4960859362</v>
      </c>
      <c r="AL19" s="82">
        <f t="shared" si="1"/>
        <v>3831876.5585663654</v>
      </c>
      <c r="AM19" s="82">
        <f t="shared" si="1"/>
        <v>3851035.9413591968</v>
      </c>
      <c r="AN19" s="82">
        <f t="shared" si="1"/>
        <v>3870291.1210659924</v>
      </c>
      <c r="AO19" s="82">
        <f t="shared" si="1"/>
        <v>3889642.5766713219</v>
      </c>
      <c r="AP19" s="82">
        <f t="shared" si="1"/>
        <v>3909090.7895546779</v>
      </c>
      <c r="AQ19" s="82">
        <f t="shared" si="1"/>
        <v>3928636.2435024516</v>
      </c>
      <c r="AR19" s="82">
        <f t="shared" si="1"/>
        <v>3948279.4247199637</v>
      </c>
      <c r="AS19" s="82">
        <f t="shared" si="1"/>
        <v>3968020.8218435626</v>
      </c>
      <c r="AT19" s="82">
        <f t="shared" si="1"/>
        <v>3987860.9259527801</v>
      </c>
      <c r="AU19" s="82">
        <f t="shared" si="1"/>
        <v>4007800.2305825436</v>
      </c>
      <c r="AV19" s="82">
        <f t="shared" si="1"/>
        <v>4027839.2317354558</v>
      </c>
      <c r="AW19" s="82">
        <f t="shared" si="1"/>
        <v>4047978.4278941327</v>
      </c>
      <c r="AX19" s="82">
        <f t="shared" si="1"/>
        <v>4068218.3200336033</v>
      </c>
      <c r="AY19" s="82">
        <f t="shared" si="1"/>
        <v>4088559.4116337709</v>
      </c>
      <c r="AZ19" s="82">
        <f t="shared" si="1"/>
        <v>4109002.2086919392</v>
      </c>
      <c r="BA19" s="82">
        <f t="shared" si="1"/>
        <v>4129547.2197353984</v>
      </c>
      <c r="BB19" s="82">
        <f t="shared" si="1"/>
        <v>4150194.9558340749</v>
      </c>
      <c r="BC19" s="82">
        <f t="shared" si="1"/>
        <v>4170945.9306132444</v>
      </c>
      <c r="BD19" s="82">
        <f t="shared" si="1"/>
        <v>4191800.6602663104</v>
      </c>
      <c r="BE19" s="82">
        <f t="shared" si="1"/>
        <v>4212759.6635676417</v>
      </c>
      <c r="BF19" s="82">
        <f t="shared" si="1"/>
        <v>0</v>
      </c>
      <c r="BG19" s="82">
        <f t="shared" si="1"/>
        <v>0</v>
      </c>
      <c r="BH19" s="82">
        <f t="shared" si="1"/>
        <v>0</v>
      </c>
      <c r="BI19" s="82">
        <f t="shared" si="1"/>
        <v>0</v>
      </c>
    </row>
    <row r="20" spans="3:61" outlineLevel="1"/>
    <row r="21" spans="3:61" ht="20.25">
      <c r="C21" s="7" t="s">
        <v>17</v>
      </c>
    </row>
    <row r="22" spans="3:61" ht="15" outlineLevel="1">
      <c r="C22" s="4" t="s">
        <v>104</v>
      </c>
    </row>
    <row r="23" spans="3:61" outlineLevel="1">
      <c r="C23" t="str">
        <f>Inputs!C37</f>
        <v>Labour</v>
      </c>
      <c r="D23" s="8" t="s">
        <v>48</v>
      </c>
      <c r="I23" s="59">
        <f t="shared" ref="I23:I26" si="2">SUM(J23:BI23)</f>
        <v>23.615591381629724</v>
      </c>
      <c r="J23" s="83">
        <f>IF(J$10=0,0,LOOKUP(J$10,Inputs!$E$36:$N$36,Inputs!$E37:$N37))</f>
        <v>0</v>
      </c>
      <c r="K23" s="83">
        <f>IF(K$10=0,0,LOOKUP(K$10,Inputs!$E$36:$N$36,Inputs!$E37:$N37))</f>
        <v>0</v>
      </c>
      <c r="L23" s="83">
        <f>IF(L$10=0,0,LOOKUP(L$10,Inputs!$E$36:$N$36,Inputs!$E37:$N37))</f>
        <v>0</v>
      </c>
      <c r="M23" s="83">
        <f>IF(M$10=0,0,LOOKUP(M$10,Inputs!$E$36:$N$36,Inputs!$E37:$N37))</f>
        <v>0</v>
      </c>
      <c r="N23" s="83">
        <f>IF(N$10=0,0,LOOKUP(N$10,Inputs!$E$36:$N$36,Inputs!$E37:$N37))</f>
        <v>0</v>
      </c>
      <c r="O23" s="83">
        <f>IF(O$10=0,0,LOOKUP(O$10,Inputs!$E$36:$N$36,Inputs!$E37:$N37))</f>
        <v>0</v>
      </c>
      <c r="P23" s="83">
        <f>IF(P$10=0,0,LOOKUP(P$10,Inputs!$E$36:$N$36,Inputs!$E37:$N37))</f>
        <v>0</v>
      </c>
      <c r="Q23" s="83">
        <f>IF(Q$10=0,0,LOOKUP(Q$10,Inputs!$E$36:$N$36,Inputs!$E37:$N37))</f>
        <v>0</v>
      </c>
      <c r="R23" s="83">
        <f>IF(R$10=0,0,LOOKUP(R$10,Inputs!$E$36:$N$36,Inputs!$E37:$N37))</f>
        <v>0.51500000000000001</v>
      </c>
      <c r="S23" s="83">
        <f>IF(S$10=0,0,LOOKUP(S$10,Inputs!$E$36:$N$36,Inputs!$E37:$N37))</f>
        <v>0.51500000000000001</v>
      </c>
      <c r="T23" s="83">
        <f>IF(T$10=0,0,LOOKUP(T$10,Inputs!$E$36:$N$36,Inputs!$E37:$N37))</f>
        <v>0.51500000000000001</v>
      </c>
      <c r="U23" s="83">
        <f>IF(U$10=0,0,LOOKUP(U$10,Inputs!$E$36:$N$36,Inputs!$E37:$N37))</f>
        <v>0.51500000000000001</v>
      </c>
      <c r="V23" s="83">
        <f>IF(V$10=0,0,LOOKUP(V$10,Inputs!$E$36:$N$36,Inputs!$E37:$N37))</f>
        <v>0.53044999999999998</v>
      </c>
      <c r="W23" s="83">
        <f>IF(W$10=0,0,LOOKUP(W$10,Inputs!$E$36:$N$36,Inputs!$E37:$N37))</f>
        <v>0.53044999999999998</v>
      </c>
      <c r="X23" s="83">
        <f>IF(X$10=0,0,LOOKUP(X$10,Inputs!$E$36:$N$36,Inputs!$E37:$N37))</f>
        <v>0.53044999999999998</v>
      </c>
      <c r="Y23" s="83">
        <f>IF(Y$10=0,0,LOOKUP(Y$10,Inputs!$E$36:$N$36,Inputs!$E37:$N37))</f>
        <v>0.53044999999999998</v>
      </c>
      <c r="Z23" s="83">
        <f>IF(Z$10=0,0,LOOKUP(Z$10,Inputs!$E$36:$N$36,Inputs!$E37:$N37))</f>
        <v>0.5463635</v>
      </c>
      <c r="AA23" s="83">
        <f>IF(AA$10=0,0,LOOKUP(AA$10,Inputs!$E$36:$N$36,Inputs!$E37:$N37))</f>
        <v>0.5463635</v>
      </c>
      <c r="AB23" s="83">
        <f>IF(AB$10=0,0,LOOKUP(AB$10,Inputs!$E$36:$N$36,Inputs!$E37:$N37))</f>
        <v>0.5463635</v>
      </c>
      <c r="AC23" s="83">
        <f>IF(AC$10=0,0,LOOKUP(AC$10,Inputs!$E$36:$N$36,Inputs!$E37:$N37))</f>
        <v>0.5463635</v>
      </c>
      <c r="AD23" s="83">
        <f>IF(AD$10=0,0,LOOKUP(AD$10,Inputs!$E$36:$N$36,Inputs!$E37:$N37))</f>
        <v>0.56275440500000007</v>
      </c>
      <c r="AE23" s="83">
        <f>IF(AE$10=0,0,LOOKUP(AE$10,Inputs!$E$36:$N$36,Inputs!$E37:$N37))</f>
        <v>0.56275440500000007</v>
      </c>
      <c r="AF23" s="83">
        <f>IF(AF$10=0,0,LOOKUP(AF$10,Inputs!$E$36:$N$36,Inputs!$E37:$N37))</f>
        <v>0.56275440500000007</v>
      </c>
      <c r="AG23" s="83">
        <f>IF(AG$10=0,0,LOOKUP(AG$10,Inputs!$E$36:$N$36,Inputs!$E37:$N37))</f>
        <v>0.56275440500000007</v>
      </c>
      <c r="AH23" s="83">
        <f>IF(AH$10=0,0,LOOKUP(AH$10,Inputs!$E$36:$N$36,Inputs!$E37:$N37))</f>
        <v>0.57963703715000003</v>
      </c>
      <c r="AI23" s="83">
        <f>IF(AI$10=0,0,LOOKUP(AI$10,Inputs!$E$36:$N$36,Inputs!$E37:$N37))</f>
        <v>0.57963703715000003</v>
      </c>
      <c r="AJ23" s="83">
        <f>IF(AJ$10=0,0,LOOKUP(AJ$10,Inputs!$E$36:$N$36,Inputs!$E37:$N37))</f>
        <v>0.57963703715000003</v>
      </c>
      <c r="AK23" s="83">
        <f>IF(AK$10=0,0,LOOKUP(AK$10,Inputs!$E$36:$N$36,Inputs!$E37:$N37))</f>
        <v>0.57963703715000003</v>
      </c>
      <c r="AL23" s="83">
        <f>IF(AL$10=0,0,LOOKUP(AL$10,Inputs!$E$36:$N$36,Inputs!$E37:$N37))</f>
        <v>0.59702614826450007</v>
      </c>
      <c r="AM23" s="83">
        <f>IF(AM$10=0,0,LOOKUP(AM$10,Inputs!$E$36:$N$36,Inputs!$E37:$N37))</f>
        <v>0.59702614826450007</v>
      </c>
      <c r="AN23" s="83">
        <f>IF(AN$10=0,0,LOOKUP(AN$10,Inputs!$E$36:$N$36,Inputs!$E37:$N37))</f>
        <v>0.59702614826450007</v>
      </c>
      <c r="AO23" s="83">
        <f>IF(AO$10=0,0,LOOKUP(AO$10,Inputs!$E$36:$N$36,Inputs!$E37:$N37))</f>
        <v>0.59702614826450007</v>
      </c>
      <c r="AP23" s="83">
        <f>IF(AP$10=0,0,LOOKUP(AP$10,Inputs!$E$36:$N$36,Inputs!$E37:$N37))</f>
        <v>0.6149369327124351</v>
      </c>
      <c r="AQ23" s="83">
        <f>IF(AQ$10=0,0,LOOKUP(AQ$10,Inputs!$E$36:$N$36,Inputs!$E37:$N37))</f>
        <v>0.6149369327124351</v>
      </c>
      <c r="AR23" s="83">
        <f>IF(AR$10=0,0,LOOKUP(AR$10,Inputs!$E$36:$N$36,Inputs!$E37:$N37))</f>
        <v>0.6149369327124351</v>
      </c>
      <c r="AS23" s="83">
        <f>IF(AS$10=0,0,LOOKUP(AS$10,Inputs!$E$36:$N$36,Inputs!$E37:$N37))</f>
        <v>0.6149369327124351</v>
      </c>
      <c r="AT23" s="83">
        <f>IF(AT$10=0,0,LOOKUP(AT$10,Inputs!$E$36:$N$36,Inputs!$E37:$N37))</f>
        <v>0.63338504069380819</v>
      </c>
      <c r="AU23" s="83">
        <f>IF(AU$10=0,0,LOOKUP(AU$10,Inputs!$E$36:$N$36,Inputs!$E37:$N37))</f>
        <v>0.63338504069380819</v>
      </c>
      <c r="AV23" s="83">
        <f>IF(AV$10=0,0,LOOKUP(AV$10,Inputs!$E$36:$N$36,Inputs!$E37:$N37))</f>
        <v>0.63338504069380819</v>
      </c>
      <c r="AW23" s="83">
        <f>IF(AW$10=0,0,LOOKUP(AW$10,Inputs!$E$36:$N$36,Inputs!$E37:$N37))</f>
        <v>0.63338504069380819</v>
      </c>
      <c r="AX23" s="83">
        <f>IF(AX$10=0,0,LOOKUP(AX$10,Inputs!$E$36:$N$36,Inputs!$E37:$N37))</f>
        <v>0.65238659191462245</v>
      </c>
      <c r="AY23" s="83">
        <f>IF(AY$10=0,0,LOOKUP(AY$10,Inputs!$E$36:$N$36,Inputs!$E37:$N37))</f>
        <v>0.65238659191462245</v>
      </c>
      <c r="AZ23" s="83">
        <f>IF(AZ$10=0,0,LOOKUP(AZ$10,Inputs!$E$36:$N$36,Inputs!$E37:$N37))</f>
        <v>0.65238659191462245</v>
      </c>
      <c r="BA23" s="83">
        <f>IF(BA$10=0,0,LOOKUP(BA$10,Inputs!$E$36:$N$36,Inputs!$E37:$N37))</f>
        <v>0.65238659191462245</v>
      </c>
      <c r="BB23" s="83">
        <f>IF(BB$10=0,0,LOOKUP(BB$10,Inputs!$E$36:$N$36,Inputs!$E37:$N37))</f>
        <v>0.67195818967206111</v>
      </c>
      <c r="BC23" s="83">
        <f>IF(BC$10=0,0,LOOKUP(BC$10,Inputs!$E$36:$N$36,Inputs!$E37:$N37))</f>
        <v>0.67195818967206111</v>
      </c>
      <c r="BD23" s="83">
        <f>IF(BD$10=0,0,LOOKUP(BD$10,Inputs!$E$36:$N$36,Inputs!$E37:$N37))</f>
        <v>0.67195818967206111</v>
      </c>
      <c r="BE23" s="83">
        <f>IF(BE$10=0,0,LOOKUP(BE$10,Inputs!$E$36:$N$36,Inputs!$E37:$N37))</f>
        <v>0.67195818967206111</v>
      </c>
      <c r="BF23" s="83">
        <f>IF(BF$10=0,0,LOOKUP(BF$10,Inputs!$E$36:$N$36,Inputs!$E37:$N37))</f>
        <v>0</v>
      </c>
      <c r="BG23" s="83">
        <f>IF(BG$10=0,0,LOOKUP(BG$10,Inputs!$E$36:$N$36,Inputs!$E37:$N37))</f>
        <v>0</v>
      </c>
      <c r="BH23" s="83">
        <f>IF(BH$10=0,0,LOOKUP(BH$10,Inputs!$E$36:$N$36,Inputs!$E37:$N37))</f>
        <v>0</v>
      </c>
      <c r="BI23" s="83">
        <f>IF(BI$10=0,0,LOOKUP(BI$10,Inputs!$E$36:$N$36,Inputs!$E37:$N37))</f>
        <v>0</v>
      </c>
    </row>
    <row r="24" spans="3:61" outlineLevel="1">
      <c r="C24" t="str">
        <f>Inputs!C38</f>
        <v>Land &amp; Leasing</v>
      </c>
      <c r="D24" s="8" t="s">
        <v>48</v>
      </c>
      <c r="I24" s="59">
        <f t="shared" si="2"/>
        <v>47.231182763259447</v>
      </c>
      <c r="J24" s="83">
        <f>IF(J$10=0,0,LOOKUP(J$10,Inputs!$E$36:$N$36,Inputs!$E38:$N38))</f>
        <v>0</v>
      </c>
      <c r="K24" s="83">
        <f>IF(K$10=0,0,LOOKUP(K$10,Inputs!$E$36:$N$36,Inputs!$E38:$N38))</f>
        <v>0</v>
      </c>
      <c r="L24" s="83">
        <f>IF(L$10=0,0,LOOKUP(L$10,Inputs!$E$36:$N$36,Inputs!$E38:$N38))</f>
        <v>0</v>
      </c>
      <c r="M24" s="83">
        <f>IF(M$10=0,0,LOOKUP(M$10,Inputs!$E$36:$N$36,Inputs!$E38:$N38))</f>
        <v>0</v>
      </c>
      <c r="N24" s="83">
        <f>IF(N$10=0,0,LOOKUP(N$10,Inputs!$E$36:$N$36,Inputs!$E38:$N38))</f>
        <v>0</v>
      </c>
      <c r="O24" s="83">
        <f>IF(O$10=0,0,LOOKUP(O$10,Inputs!$E$36:$N$36,Inputs!$E38:$N38))</f>
        <v>0</v>
      </c>
      <c r="P24" s="83">
        <f>IF(P$10=0,0,LOOKUP(P$10,Inputs!$E$36:$N$36,Inputs!$E38:$N38))</f>
        <v>0</v>
      </c>
      <c r="Q24" s="83">
        <f>IF(Q$10=0,0,LOOKUP(Q$10,Inputs!$E$36:$N$36,Inputs!$E38:$N38))</f>
        <v>0</v>
      </c>
      <c r="R24" s="83">
        <f>IF(R$10=0,0,LOOKUP(R$10,Inputs!$E$36:$N$36,Inputs!$E38:$N38))</f>
        <v>1.03</v>
      </c>
      <c r="S24" s="83">
        <f>IF(S$10=0,0,LOOKUP(S$10,Inputs!$E$36:$N$36,Inputs!$E38:$N38))</f>
        <v>1.03</v>
      </c>
      <c r="T24" s="83">
        <f>IF(T$10=0,0,LOOKUP(T$10,Inputs!$E$36:$N$36,Inputs!$E38:$N38))</f>
        <v>1.03</v>
      </c>
      <c r="U24" s="83">
        <f>IF(U$10=0,0,LOOKUP(U$10,Inputs!$E$36:$N$36,Inputs!$E38:$N38))</f>
        <v>1.03</v>
      </c>
      <c r="V24" s="83">
        <f>IF(V$10=0,0,LOOKUP(V$10,Inputs!$E$36:$N$36,Inputs!$E38:$N38))</f>
        <v>1.0609</v>
      </c>
      <c r="W24" s="83">
        <f>IF(W$10=0,0,LOOKUP(W$10,Inputs!$E$36:$N$36,Inputs!$E38:$N38))</f>
        <v>1.0609</v>
      </c>
      <c r="X24" s="83">
        <f>IF(X$10=0,0,LOOKUP(X$10,Inputs!$E$36:$N$36,Inputs!$E38:$N38))</f>
        <v>1.0609</v>
      </c>
      <c r="Y24" s="83">
        <f>IF(Y$10=0,0,LOOKUP(Y$10,Inputs!$E$36:$N$36,Inputs!$E38:$N38))</f>
        <v>1.0609</v>
      </c>
      <c r="Z24" s="83">
        <f>IF(Z$10=0,0,LOOKUP(Z$10,Inputs!$E$36:$N$36,Inputs!$E38:$N38))</f>
        <v>1.092727</v>
      </c>
      <c r="AA24" s="83">
        <f>IF(AA$10=0,0,LOOKUP(AA$10,Inputs!$E$36:$N$36,Inputs!$E38:$N38))</f>
        <v>1.092727</v>
      </c>
      <c r="AB24" s="83">
        <f>IF(AB$10=0,0,LOOKUP(AB$10,Inputs!$E$36:$N$36,Inputs!$E38:$N38))</f>
        <v>1.092727</v>
      </c>
      <c r="AC24" s="83">
        <f>IF(AC$10=0,0,LOOKUP(AC$10,Inputs!$E$36:$N$36,Inputs!$E38:$N38))</f>
        <v>1.092727</v>
      </c>
      <c r="AD24" s="83">
        <f>IF(AD$10=0,0,LOOKUP(AD$10,Inputs!$E$36:$N$36,Inputs!$E38:$N38))</f>
        <v>1.1255088100000001</v>
      </c>
      <c r="AE24" s="83">
        <f>IF(AE$10=0,0,LOOKUP(AE$10,Inputs!$E$36:$N$36,Inputs!$E38:$N38))</f>
        <v>1.1255088100000001</v>
      </c>
      <c r="AF24" s="83">
        <f>IF(AF$10=0,0,LOOKUP(AF$10,Inputs!$E$36:$N$36,Inputs!$E38:$N38))</f>
        <v>1.1255088100000001</v>
      </c>
      <c r="AG24" s="83">
        <f>IF(AG$10=0,0,LOOKUP(AG$10,Inputs!$E$36:$N$36,Inputs!$E38:$N38))</f>
        <v>1.1255088100000001</v>
      </c>
      <c r="AH24" s="83">
        <f>IF(AH$10=0,0,LOOKUP(AH$10,Inputs!$E$36:$N$36,Inputs!$E38:$N38))</f>
        <v>1.1592740743000001</v>
      </c>
      <c r="AI24" s="83">
        <f>IF(AI$10=0,0,LOOKUP(AI$10,Inputs!$E$36:$N$36,Inputs!$E38:$N38))</f>
        <v>1.1592740743000001</v>
      </c>
      <c r="AJ24" s="83">
        <f>IF(AJ$10=0,0,LOOKUP(AJ$10,Inputs!$E$36:$N$36,Inputs!$E38:$N38))</f>
        <v>1.1592740743000001</v>
      </c>
      <c r="AK24" s="83">
        <f>IF(AK$10=0,0,LOOKUP(AK$10,Inputs!$E$36:$N$36,Inputs!$E38:$N38))</f>
        <v>1.1592740743000001</v>
      </c>
      <c r="AL24" s="83">
        <f>IF(AL$10=0,0,LOOKUP(AL$10,Inputs!$E$36:$N$36,Inputs!$E38:$N38))</f>
        <v>1.1940522965290001</v>
      </c>
      <c r="AM24" s="83">
        <f>IF(AM$10=0,0,LOOKUP(AM$10,Inputs!$E$36:$N$36,Inputs!$E38:$N38))</f>
        <v>1.1940522965290001</v>
      </c>
      <c r="AN24" s="83">
        <f>IF(AN$10=0,0,LOOKUP(AN$10,Inputs!$E$36:$N$36,Inputs!$E38:$N38))</f>
        <v>1.1940522965290001</v>
      </c>
      <c r="AO24" s="83">
        <f>IF(AO$10=0,0,LOOKUP(AO$10,Inputs!$E$36:$N$36,Inputs!$E38:$N38))</f>
        <v>1.1940522965290001</v>
      </c>
      <c r="AP24" s="83">
        <f>IF(AP$10=0,0,LOOKUP(AP$10,Inputs!$E$36:$N$36,Inputs!$E38:$N38))</f>
        <v>1.2298738654248702</v>
      </c>
      <c r="AQ24" s="83">
        <f>IF(AQ$10=0,0,LOOKUP(AQ$10,Inputs!$E$36:$N$36,Inputs!$E38:$N38))</f>
        <v>1.2298738654248702</v>
      </c>
      <c r="AR24" s="83">
        <f>IF(AR$10=0,0,LOOKUP(AR$10,Inputs!$E$36:$N$36,Inputs!$E38:$N38))</f>
        <v>1.2298738654248702</v>
      </c>
      <c r="AS24" s="83">
        <f>IF(AS$10=0,0,LOOKUP(AS$10,Inputs!$E$36:$N$36,Inputs!$E38:$N38))</f>
        <v>1.2298738654248702</v>
      </c>
      <c r="AT24" s="83">
        <f>IF(AT$10=0,0,LOOKUP(AT$10,Inputs!$E$36:$N$36,Inputs!$E38:$N38))</f>
        <v>1.2667700813876164</v>
      </c>
      <c r="AU24" s="83">
        <f>IF(AU$10=0,0,LOOKUP(AU$10,Inputs!$E$36:$N$36,Inputs!$E38:$N38))</f>
        <v>1.2667700813876164</v>
      </c>
      <c r="AV24" s="83">
        <f>IF(AV$10=0,0,LOOKUP(AV$10,Inputs!$E$36:$N$36,Inputs!$E38:$N38))</f>
        <v>1.2667700813876164</v>
      </c>
      <c r="AW24" s="83">
        <f>IF(AW$10=0,0,LOOKUP(AW$10,Inputs!$E$36:$N$36,Inputs!$E38:$N38))</f>
        <v>1.2667700813876164</v>
      </c>
      <c r="AX24" s="83">
        <f>IF(AX$10=0,0,LOOKUP(AX$10,Inputs!$E$36:$N$36,Inputs!$E38:$N38))</f>
        <v>1.3047731838292449</v>
      </c>
      <c r="AY24" s="83">
        <f>IF(AY$10=0,0,LOOKUP(AY$10,Inputs!$E$36:$N$36,Inputs!$E38:$N38))</f>
        <v>1.3047731838292449</v>
      </c>
      <c r="AZ24" s="83">
        <f>IF(AZ$10=0,0,LOOKUP(AZ$10,Inputs!$E$36:$N$36,Inputs!$E38:$N38))</f>
        <v>1.3047731838292449</v>
      </c>
      <c r="BA24" s="83">
        <f>IF(BA$10=0,0,LOOKUP(BA$10,Inputs!$E$36:$N$36,Inputs!$E38:$N38))</f>
        <v>1.3047731838292449</v>
      </c>
      <c r="BB24" s="83">
        <f>IF(BB$10=0,0,LOOKUP(BB$10,Inputs!$E$36:$N$36,Inputs!$E38:$N38))</f>
        <v>1.3439163793441222</v>
      </c>
      <c r="BC24" s="83">
        <f>IF(BC$10=0,0,LOOKUP(BC$10,Inputs!$E$36:$N$36,Inputs!$E38:$N38))</f>
        <v>1.3439163793441222</v>
      </c>
      <c r="BD24" s="83">
        <f>IF(BD$10=0,0,LOOKUP(BD$10,Inputs!$E$36:$N$36,Inputs!$E38:$N38))</f>
        <v>1.3439163793441222</v>
      </c>
      <c r="BE24" s="83">
        <f>IF(BE$10=0,0,LOOKUP(BE$10,Inputs!$E$36:$N$36,Inputs!$E38:$N38))</f>
        <v>1.3439163793441222</v>
      </c>
      <c r="BF24" s="83">
        <f>IF(BF$10=0,0,LOOKUP(BF$10,Inputs!$E$36:$N$36,Inputs!$E38:$N38))</f>
        <v>0</v>
      </c>
      <c r="BG24" s="83">
        <f>IF(BG$10=0,0,LOOKUP(BG$10,Inputs!$E$36:$N$36,Inputs!$E38:$N38))</f>
        <v>0</v>
      </c>
      <c r="BH24" s="83">
        <f>IF(BH$10=0,0,LOOKUP(BH$10,Inputs!$E$36:$N$36,Inputs!$E38:$N38))</f>
        <v>0</v>
      </c>
      <c r="BI24" s="83">
        <f>IF(BI$10=0,0,LOOKUP(BI$10,Inputs!$E$36:$N$36,Inputs!$E38:$N38))</f>
        <v>0</v>
      </c>
    </row>
    <row r="25" spans="3:61" outlineLevel="1">
      <c r="C25" t="str">
        <f>Inputs!C39</f>
        <v>Spare</v>
      </c>
      <c r="D25" s="8" t="s">
        <v>48</v>
      </c>
      <c r="I25" s="59">
        <f t="shared" si="2"/>
        <v>0</v>
      </c>
      <c r="J25" s="83">
        <f>IF(J$10=0,0,LOOKUP(J$10,Inputs!$E$36:$N$36,Inputs!$E39:$N39))</f>
        <v>0</v>
      </c>
      <c r="K25" s="83">
        <f>IF(K$10=0,0,LOOKUP(K$10,Inputs!$E$36:$N$36,Inputs!$E39:$N39))</f>
        <v>0</v>
      </c>
      <c r="L25" s="83">
        <f>IF(L$10=0,0,LOOKUP(L$10,Inputs!$E$36:$N$36,Inputs!$E39:$N39))</f>
        <v>0</v>
      </c>
      <c r="M25" s="83">
        <f>IF(M$10=0,0,LOOKUP(M$10,Inputs!$E$36:$N$36,Inputs!$E39:$N39))</f>
        <v>0</v>
      </c>
      <c r="N25" s="83">
        <f>IF(N$10=0,0,LOOKUP(N$10,Inputs!$E$36:$N$36,Inputs!$E39:$N39))</f>
        <v>0</v>
      </c>
      <c r="O25" s="83">
        <f>IF(O$10=0,0,LOOKUP(O$10,Inputs!$E$36:$N$36,Inputs!$E39:$N39))</f>
        <v>0</v>
      </c>
      <c r="P25" s="83">
        <f>IF(P$10=0,0,LOOKUP(P$10,Inputs!$E$36:$N$36,Inputs!$E39:$N39))</f>
        <v>0</v>
      </c>
      <c r="Q25" s="83">
        <f>IF(Q$10=0,0,LOOKUP(Q$10,Inputs!$E$36:$N$36,Inputs!$E39:$N39))</f>
        <v>0</v>
      </c>
      <c r="R25" s="83">
        <f>IF(R$10=0,0,LOOKUP(R$10,Inputs!$E$36:$N$36,Inputs!$E39:$N39))</f>
        <v>0</v>
      </c>
      <c r="S25" s="83">
        <f>IF(S$10=0,0,LOOKUP(S$10,Inputs!$E$36:$N$36,Inputs!$E39:$N39))</f>
        <v>0</v>
      </c>
      <c r="T25" s="83">
        <f>IF(T$10=0,0,LOOKUP(T$10,Inputs!$E$36:$N$36,Inputs!$E39:$N39))</f>
        <v>0</v>
      </c>
      <c r="U25" s="83">
        <f>IF(U$10=0,0,LOOKUP(U$10,Inputs!$E$36:$N$36,Inputs!$E39:$N39))</f>
        <v>0</v>
      </c>
      <c r="V25" s="83">
        <f>IF(V$10=0,0,LOOKUP(V$10,Inputs!$E$36:$N$36,Inputs!$E39:$N39))</f>
        <v>0</v>
      </c>
      <c r="W25" s="83">
        <f>IF(W$10=0,0,LOOKUP(W$10,Inputs!$E$36:$N$36,Inputs!$E39:$N39))</f>
        <v>0</v>
      </c>
      <c r="X25" s="83">
        <f>IF(X$10=0,0,LOOKUP(X$10,Inputs!$E$36:$N$36,Inputs!$E39:$N39))</f>
        <v>0</v>
      </c>
      <c r="Y25" s="83">
        <f>IF(Y$10=0,0,LOOKUP(Y$10,Inputs!$E$36:$N$36,Inputs!$E39:$N39))</f>
        <v>0</v>
      </c>
      <c r="Z25" s="83">
        <f>IF(Z$10=0,0,LOOKUP(Z$10,Inputs!$E$36:$N$36,Inputs!$E39:$N39))</f>
        <v>0</v>
      </c>
      <c r="AA25" s="83">
        <f>IF(AA$10=0,0,LOOKUP(AA$10,Inputs!$E$36:$N$36,Inputs!$E39:$N39))</f>
        <v>0</v>
      </c>
      <c r="AB25" s="83">
        <f>IF(AB$10=0,0,LOOKUP(AB$10,Inputs!$E$36:$N$36,Inputs!$E39:$N39))</f>
        <v>0</v>
      </c>
      <c r="AC25" s="83">
        <f>IF(AC$10=0,0,LOOKUP(AC$10,Inputs!$E$36:$N$36,Inputs!$E39:$N39))</f>
        <v>0</v>
      </c>
      <c r="AD25" s="83">
        <f>IF(AD$10=0,0,LOOKUP(AD$10,Inputs!$E$36:$N$36,Inputs!$E39:$N39))</f>
        <v>0</v>
      </c>
      <c r="AE25" s="83">
        <f>IF(AE$10=0,0,LOOKUP(AE$10,Inputs!$E$36:$N$36,Inputs!$E39:$N39))</f>
        <v>0</v>
      </c>
      <c r="AF25" s="83">
        <f>IF(AF$10=0,0,LOOKUP(AF$10,Inputs!$E$36:$N$36,Inputs!$E39:$N39))</f>
        <v>0</v>
      </c>
      <c r="AG25" s="83">
        <f>IF(AG$10=0,0,LOOKUP(AG$10,Inputs!$E$36:$N$36,Inputs!$E39:$N39))</f>
        <v>0</v>
      </c>
      <c r="AH25" s="83">
        <f>IF(AH$10=0,0,LOOKUP(AH$10,Inputs!$E$36:$N$36,Inputs!$E39:$N39))</f>
        <v>0</v>
      </c>
      <c r="AI25" s="83">
        <f>IF(AI$10=0,0,LOOKUP(AI$10,Inputs!$E$36:$N$36,Inputs!$E39:$N39))</f>
        <v>0</v>
      </c>
      <c r="AJ25" s="83">
        <f>IF(AJ$10=0,0,LOOKUP(AJ$10,Inputs!$E$36:$N$36,Inputs!$E39:$N39))</f>
        <v>0</v>
      </c>
      <c r="AK25" s="83">
        <f>IF(AK$10=0,0,LOOKUP(AK$10,Inputs!$E$36:$N$36,Inputs!$E39:$N39))</f>
        <v>0</v>
      </c>
      <c r="AL25" s="83">
        <f>IF(AL$10=0,0,LOOKUP(AL$10,Inputs!$E$36:$N$36,Inputs!$E39:$N39))</f>
        <v>0</v>
      </c>
      <c r="AM25" s="83">
        <f>IF(AM$10=0,0,LOOKUP(AM$10,Inputs!$E$36:$N$36,Inputs!$E39:$N39))</f>
        <v>0</v>
      </c>
      <c r="AN25" s="83">
        <f>IF(AN$10=0,0,LOOKUP(AN$10,Inputs!$E$36:$N$36,Inputs!$E39:$N39))</f>
        <v>0</v>
      </c>
      <c r="AO25" s="83">
        <f>IF(AO$10=0,0,LOOKUP(AO$10,Inputs!$E$36:$N$36,Inputs!$E39:$N39))</f>
        <v>0</v>
      </c>
      <c r="AP25" s="83">
        <f>IF(AP$10=0,0,LOOKUP(AP$10,Inputs!$E$36:$N$36,Inputs!$E39:$N39))</f>
        <v>0</v>
      </c>
      <c r="AQ25" s="83">
        <f>IF(AQ$10=0,0,LOOKUP(AQ$10,Inputs!$E$36:$N$36,Inputs!$E39:$N39))</f>
        <v>0</v>
      </c>
      <c r="AR25" s="83">
        <f>IF(AR$10=0,0,LOOKUP(AR$10,Inputs!$E$36:$N$36,Inputs!$E39:$N39))</f>
        <v>0</v>
      </c>
      <c r="AS25" s="83">
        <f>IF(AS$10=0,0,LOOKUP(AS$10,Inputs!$E$36:$N$36,Inputs!$E39:$N39))</f>
        <v>0</v>
      </c>
      <c r="AT25" s="83">
        <f>IF(AT$10=0,0,LOOKUP(AT$10,Inputs!$E$36:$N$36,Inputs!$E39:$N39))</f>
        <v>0</v>
      </c>
      <c r="AU25" s="83">
        <f>IF(AU$10=0,0,LOOKUP(AU$10,Inputs!$E$36:$N$36,Inputs!$E39:$N39))</f>
        <v>0</v>
      </c>
      <c r="AV25" s="83">
        <f>IF(AV$10=0,0,LOOKUP(AV$10,Inputs!$E$36:$N$36,Inputs!$E39:$N39))</f>
        <v>0</v>
      </c>
      <c r="AW25" s="83">
        <f>IF(AW$10=0,0,LOOKUP(AW$10,Inputs!$E$36:$N$36,Inputs!$E39:$N39))</f>
        <v>0</v>
      </c>
      <c r="AX25" s="83">
        <f>IF(AX$10=0,0,LOOKUP(AX$10,Inputs!$E$36:$N$36,Inputs!$E39:$N39))</f>
        <v>0</v>
      </c>
      <c r="AY25" s="83">
        <f>IF(AY$10=0,0,LOOKUP(AY$10,Inputs!$E$36:$N$36,Inputs!$E39:$N39))</f>
        <v>0</v>
      </c>
      <c r="AZ25" s="83">
        <f>IF(AZ$10=0,0,LOOKUP(AZ$10,Inputs!$E$36:$N$36,Inputs!$E39:$N39))</f>
        <v>0</v>
      </c>
      <c r="BA25" s="83">
        <f>IF(BA$10=0,0,LOOKUP(BA$10,Inputs!$E$36:$N$36,Inputs!$E39:$N39))</f>
        <v>0</v>
      </c>
      <c r="BB25" s="83">
        <f>IF(BB$10=0,0,LOOKUP(BB$10,Inputs!$E$36:$N$36,Inputs!$E39:$N39))</f>
        <v>0</v>
      </c>
      <c r="BC25" s="83">
        <f>IF(BC$10=0,0,LOOKUP(BC$10,Inputs!$E$36:$N$36,Inputs!$E39:$N39))</f>
        <v>0</v>
      </c>
      <c r="BD25" s="83">
        <f>IF(BD$10=0,0,LOOKUP(BD$10,Inputs!$E$36:$N$36,Inputs!$E39:$N39))</f>
        <v>0</v>
      </c>
      <c r="BE25" s="83">
        <f>IF(BE$10=0,0,LOOKUP(BE$10,Inputs!$E$36:$N$36,Inputs!$E39:$N39))</f>
        <v>0</v>
      </c>
      <c r="BF25" s="83">
        <f>IF(BF$10=0,0,LOOKUP(BF$10,Inputs!$E$36:$N$36,Inputs!$E39:$N39))</f>
        <v>0</v>
      </c>
      <c r="BG25" s="83">
        <f>IF(BG$10=0,0,LOOKUP(BG$10,Inputs!$E$36:$N$36,Inputs!$E39:$N39))</f>
        <v>0</v>
      </c>
      <c r="BH25" s="83">
        <f>IF(BH$10=0,0,LOOKUP(BH$10,Inputs!$E$36:$N$36,Inputs!$E39:$N39))</f>
        <v>0</v>
      </c>
      <c r="BI25" s="83">
        <f>IF(BI$10=0,0,LOOKUP(BI$10,Inputs!$E$36:$N$36,Inputs!$E39:$N39))</f>
        <v>0</v>
      </c>
    </row>
    <row r="26" spans="3:61" outlineLevel="1">
      <c r="C26" s="32" t="s">
        <v>20</v>
      </c>
      <c r="D26" s="8" t="s">
        <v>48</v>
      </c>
      <c r="I26" s="59">
        <f t="shared" si="2"/>
        <v>70.846774144889082</v>
      </c>
      <c r="J26" s="84">
        <f>SUM(J23:J25)</f>
        <v>0</v>
      </c>
      <c r="K26" s="84">
        <f>SUM(K23:K24)</f>
        <v>0</v>
      </c>
      <c r="L26" s="84">
        <f t="shared" ref="L26:BI26" si="3">SUM(L23:L24)</f>
        <v>0</v>
      </c>
      <c r="M26" s="84">
        <f t="shared" si="3"/>
        <v>0</v>
      </c>
      <c r="N26" s="84">
        <f t="shared" si="3"/>
        <v>0</v>
      </c>
      <c r="O26" s="84">
        <f t="shared" si="3"/>
        <v>0</v>
      </c>
      <c r="P26" s="84">
        <f t="shared" si="3"/>
        <v>0</v>
      </c>
      <c r="Q26" s="84">
        <f t="shared" si="3"/>
        <v>0</v>
      </c>
      <c r="R26" s="84">
        <f t="shared" si="3"/>
        <v>1.5449999999999999</v>
      </c>
      <c r="S26" s="84">
        <f t="shared" si="3"/>
        <v>1.5449999999999999</v>
      </c>
      <c r="T26" s="84">
        <f t="shared" si="3"/>
        <v>1.5449999999999999</v>
      </c>
      <c r="U26" s="84">
        <f t="shared" si="3"/>
        <v>1.5449999999999999</v>
      </c>
      <c r="V26" s="84">
        <f t="shared" si="3"/>
        <v>1.5913499999999998</v>
      </c>
      <c r="W26" s="84">
        <f t="shared" si="3"/>
        <v>1.5913499999999998</v>
      </c>
      <c r="X26" s="84">
        <f t="shared" si="3"/>
        <v>1.5913499999999998</v>
      </c>
      <c r="Y26" s="84">
        <f t="shared" si="3"/>
        <v>1.5913499999999998</v>
      </c>
      <c r="Z26" s="84">
        <f t="shared" si="3"/>
        <v>1.6390905</v>
      </c>
      <c r="AA26" s="84">
        <f t="shared" si="3"/>
        <v>1.6390905</v>
      </c>
      <c r="AB26" s="84">
        <f t="shared" si="3"/>
        <v>1.6390905</v>
      </c>
      <c r="AC26" s="84">
        <f t="shared" si="3"/>
        <v>1.6390905</v>
      </c>
      <c r="AD26" s="84">
        <f t="shared" si="3"/>
        <v>1.6882632150000001</v>
      </c>
      <c r="AE26" s="84">
        <f t="shared" si="3"/>
        <v>1.6882632150000001</v>
      </c>
      <c r="AF26" s="84">
        <f t="shared" si="3"/>
        <v>1.6882632150000001</v>
      </c>
      <c r="AG26" s="84">
        <f t="shared" si="3"/>
        <v>1.6882632150000001</v>
      </c>
      <c r="AH26" s="84">
        <f t="shared" si="3"/>
        <v>1.7389111114500002</v>
      </c>
      <c r="AI26" s="84">
        <f t="shared" si="3"/>
        <v>1.7389111114500002</v>
      </c>
      <c r="AJ26" s="84">
        <f t="shared" si="3"/>
        <v>1.7389111114500002</v>
      </c>
      <c r="AK26" s="84">
        <f t="shared" si="3"/>
        <v>1.7389111114500002</v>
      </c>
      <c r="AL26" s="84">
        <f t="shared" si="3"/>
        <v>1.7910784447935002</v>
      </c>
      <c r="AM26" s="84">
        <f t="shared" si="3"/>
        <v>1.7910784447935002</v>
      </c>
      <c r="AN26" s="84">
        <f t="shared" si="3"/>
        <v>1.7910784447935002</v>
      </c>
      <c r="AO26" s="84">
        <f t="shared" si="3"/>
        <v>1.7910784447935002</v>
      </c>
      <c r="AP26" s="84">
        <f t="shared" si="3"/>
        <v>1.8448107981373054</v>
      </c>
      <c r="AQ26" s="84">
        <f t="shared" si="3"/>
        <v>1.8448107981373054</v>
      </c>
      <c r="AR26" s="84">
        <f t="shared" si="3"/>
        <v>1.8448107981373054</v>
      </c>
      <c r="AS26" s="84">
        <f t="shared" si="3"/>
        <v>1.8448107981373054</v>
      </c>
      <c r="AT26" s="84">
        <f t="shared" si="3"/>
        <v>1.9001551220814246</v>
      </c>
      <c r="AU26" s="84">
        <f t="shared" si="3"/>
        <v>1.9001551220814246</v>
      </c>
      <c r="AV26" s="84">
        <f t="shared" si="3"/>
        <v>1.9001551220814246</v>
      </c>
      <c r="AW26" s="84">
        <f t="shared" si="3"/>
        <v>1.9001551220814246</v>
      </c>
      <c r="AX26" s="84">
        <f t="shared" si="3"/>
        <v>1.9571597757438672</v>
      </c>
      <c r="AY26" s="84">
        <f t="shared" si="3"/>
        <v>1.9571597757438672</v>
      </c>
      <c r="AZ26" s="84">
        <f t="shared" si="3"/>
        <v>1.9571597757438672</v>
      </c>
      <c r="BA26" s="84">
        <f t="shared" si="3"/>
        <v>1.9571597757438672</v>
      </c>
      <c r="BB26" s="84">
        <f t="shared" si="3"/>
        <v>2.0158745690161832</v>
      </c>
      <c r="BC26" s="84">
        <f t="shared" si="3"/>
        <v>2.0158745690161832</v>
      </c>
      <c r="BD26" s="84">
        <f t="shared" si="3"/>
        <v>2.0158745690161832</v>
      </c>
      <c r="BE26" s="84">
        <f t="shared" si="3"/>
        <v>2.0158745690161832</v>
      </c>
      <c r="BF26" s="84">
        <f t="shared" si="3"/>
        <v>0</v>
      </c>
      <c r="BG26" s="84">
        <f t="shared" si="3"/>
        <v>0</v>
      </c>
      <c r="BH26" s="84">
        <f t="shared" si="3"/>
        <v>0</v>
      </c>
      <c r="BI26" s="84">
        <f t="shared" si="3"/>
        <v>0</v>
      </c>
    </row>
    <row r="27" spans="3:61" outlineLevel="1"/>
    <row r="28" spans="3:61" ht="15" outlineLevel="1">
      <c r="C28" s="4" t="s">
        <v>105</v>
      </c>
    </row>
    <row r="29" spans="3:61" ht="14.25" outlineLevel="1">
      <c r="C29" s="3" t="s">
        <v>63</v>
      </c>
    </row>
    <row r="30" spans="3:61" outlineLevel="1">
      <c r="C30" t="str">
        <f>Inputs!C43</f>
        <v xml:space="preserve">Other </v>
      </c>
      <c r="D30" s="8" t="s">
        <v>106</v>
      </c>
      <c r="J30" s="44">
        <f>Inputs!E43*$J7</f>
        <v>0</v>
      </c>
      <c r="K30" s="44">
        <f>Inputs!F43*$J7</f>
        <v>0</v>
      </c>
      <c r="L30" s="44">
        <f>Inputs!G43*$J7</f>
        <v>0</v>
      </c>
      <c r="M30" s="44">
        <f>Inputs!H43*$J7</f>
        <v>0</v>
      </c>
      <c r="N30" s="44">
        <f>Inputs!I43*$J7</f>
        <v>0</v>
      </c>
      <c r="O30" s="44">
        <f>Inputs!J43*$J7</f>
        <v>0</v>
      </c>
      <c r="P30" s="44">
        <f>Inputs!K43*$J7</f>
        <v>0</v>
      </c>
      <c r="Q30" s="44">
        <f>Inputs!L43*$J7</f>
        <v>0</v>
      </c>
      <c r="R30" s="44">
        <f>Inputs!M43*$J7</f>
        <v>0</v>
      </c>
      <c r="S30" s="44">
        <f>Inputs!N43*$J7</f>
        <v>0</v>
      </c>
      <c r="T30" s="44">
        <f>Inputs!O43*$J7</f>
        <v>0</v>
      </c>
      <c r="U30" s="44">
        <f>Inputs!P43*$J7</f>
        <v>0</v>
      </c>
      <c r="V30" s="44">
        <f>Inputs!Q43*$J7</f>
        <v>0</v>
      </c>
      <c r="W30" s="44">
        <f>Inputs!R43*$J7</f>
        <v>0</v>
      </c>
      <c r="X30" s="44">
        <f>Inputs!S43*$J7</f>
        <v>0</v>
      </c>
      <c r="Y30" s="44">
        <f>Inputs!T43*$J7</f>
        <v>0</v>
      </c>
      <c r="Z30" s="44">
        <f>Inputs!U43*$J7</f>
        <v>0</v>
      </c>
      <c r="AA30" s="44">
        <f>Inputs!V43*$J7</f>
        <v>0</v>
      </c>
      <c r="AB30" s="44">
        <f>Inputs!W43*$J7</f>
        <v>0</v>
      </c>
      <c r="AC30" s="44">
        <f>Inputs!X43*$J7</f>
        <v>0</v>
      </c>
      <c r="AD30" s="44">
        <f>Inputs!Y43*$J7</f>
        <v>0</v>
      </c>
      <c r="AE30" s="44">
        <f>Inputs!Z43*$J7</f>
        <v>0</v>
      </c>
      <c r="AF30" s="44">
        <f>Inputs!AA43*$J7</f>
        <v>0</v>
      </c>
      <c r="AG30" s="44">
        <f>Inputs!AB43*$J7</f>
        <v>0</v>
      </c>
      <c r="AH30" s="44">
        <f>Inputs!AC43*$J7</f>
        <v>0</v>
      </c>
      <c r="AI30" s="44">
        <f>Inputs!AD43*$J7</f>
        <v>0</v>
      </c>
      <c r="AJ30" s="44">
        <f>Inputs!AE43*$J7</f>
        <v>0</v>
      </c>
      <c r="AK30" s="44">
        <f>Inputs!AF43*$J7</f>
        <v>0</v>
      </c>
      <c r="AL30" s="44">
        <f>Inputs!AG43*$J7</f>
        <v>0</v>
      </c>
      <c r="AM30" s="44">
        <f>Inputs!AH43*$J7</f>
        <v>0</v>
      </c>
      <c r="AN30" s="44">
        <f>Inputs!AI43*$J7</f>
        <v>0</v>
      </c>
      <c r="AO30" s="44">
        <f>Inputs!AJ43*$J7</f>
        <v>0</v>
      </c>
      <c r="AP30" s="44">
        <f>Inputs!AK43*$J7</f>
        <v>0</v>
      </c>
      <c r="AQ30" s="44">
        <f>Inputs!AL43*$J7</f>
        <v>0</v>
      </c>
      <c r="AR30" s="44">
        <f>Inputs!AM43*$J7</f>
        <v>0</v>
      </c>
      <c r="AS30" s="44">
        <f>Inputs!AN43*$J7</f>
        <v>0</v>
      </c>
      <c r="AT30" s="44">
        <f>Inputs!AO43*$J7</f>
        <v>0</v>
      </c>
      <c r="AU30" s="44">
        <f>Inputs!AP43*$J7</f>
        <v>0</v>
      </c>
      <c r="AV30" s="44">
        <f>Inputs!AQ43*$J7</f>
        <v>0</v>
      </c>
      <c r="AW30" s="44">
        <f>Inputs!AR43*$J7</f>
        <v>0</v>
      </c>
      <c r="AX30" s="44">
        <f>Inputs!AS43*$J7</f>
        <v>0</v>
      </c>
      <c r="AY30" s="44">
        <f>Inputs!AT43*$J7</f>
        <v>0</v>
      </c>
      <c r="AZ30" s="44">
        <f>Inputs!AU43*$J7</f>
        <v>0</v>
      </c>
      <c r="BA30" s="44">
        <f>Inputs!AV43*$J7</f>
        <v>0</v>
      </c>
      <c r="BB30" s="44">
        <f>Inputs!AW43*$J7</f>
        <v>0</v>
      </c>
      <c r="BC30" s="44">
        <f>Inputs!AX43*$J7</f>
        <v>0</v>
      </c>
      <c r="BD30" s="44">
        <f>Inputs!AY43*$J7</f>
        <v>0</v>
      </c>
      <c r="BE30" s="44">
        <f>Inputs!AZ43*$J7</f>
        <v>0</v>
      </c>
      <c r="BF30" s="44">
        <f>Inputs!BA43*$J7</f>
        <v>0</v>
      </c>
      <c r="BG30" s="44">
        <f>Inputs!BB43*$J7</f>
        <v>0</v>
      </c>
      <c r="BH30" s="44">
        <f>Inputs!BC43*$J7</f>
        <v>0</v>
      </c>
      <c r="BI30" s="44">
        <f>Inputs!BD43*$J7</f>
        <v>0</v>
      </c>
    </row>
    <row r="31" spans="3:61" outlineLevel="1">
      <c r="C31" t="str">
        <f>Inputs!C44</f>
        <v>Spare</v>
      </c>
      <c r="D31" s="8" t="s">
        <v>106</v>
      </c>
      <c r="J31" s="44">
        <f>Inputs!E44*$J8</f>
        <v>0</v>
      </c>
      <c r="K31" s="44">
        <f>Inputs!F44*$J8</f>
        <v>0</v>
      </c>
      <c r="L31" s="44">
        <f>Inputs!G44*$J8</f>
        <v>0</v>
      </c>
      <c r="M31" s="44">
        <f>Inputs!H44*$J8</f>
        <v>0</v>
      </c>
      <c r="N31" s="44">
        <f>Inputs!I44*$J8</f>
        <v>0</v>
      </c>
      <c r="O31" s="44">
        <f>Inputs!J44*$J8</f>
        <v>0</v>
      </c>
      <c r="P31" s="44">
        <f>Inputs!K44*$J8</f>
        <v>0</v>
      </c>
      <c r="Q31" s="44">
        <f>Inputs!L44*$J8</f>
        <v>0</v>
      </c>
      <c r="R31" s="44">
        <f>Inputs!M44*$J8</f>
        <v>0</v>
      </c>
      <c r="S31" s="44">
        <f>Inputs!N44*$J8</f>
        <v>0</v>
      </c>
      <c r="T31" s="44">
        <f>Inputs!O44*$J8</f>
        <v>0</v>
      </c>
      <c r="U31" s="44">
        <f>Inputs!P44*$J8</f>
        <v>0</v>
      </c>
      <c r="V31" s="44">
        <f>Inputs!Q44*$J8</f>
        <v>0</v>
      </c>
      <c r="W31" s="44">
        <f>Inputs!R44*$J8</f>
        <v>0</v>
      </c>
      <c r="X31" s="44">
        <f>Inputs!S44*$J8</f>
        <v>0</v>
      </c>
      <c r="Y31" s="44">
        <f>Inputs!T44*$J8</f>
        <v>0</v>
      </c>
      <c r="Z31" s="44">
        <f>Inputs!U44*$J8</f>
        <v>0</v>
      </c>
      <c r="AA31" s="44">
        <f>Inputs!V44*$J8</f>
        <v>0</v>
      </c>
      <c r="AB31" s="44">
        <f>Inputs!W44*$J8</f>
        <v>0</v>
      </c>
      <c r="AC31" s="44">
        <f>Inputs!X44*$J8</f>
        <v>0</v>
      </c>
      <c r="AD31" s="44">
        <f>Inputs!Y44*$J8</f>
        <v>0</v>
      </c>
      <c r="AE31" s="44">
        <f>Inputs!Z44*$J8</f>
        <v>0</v>
      </c>
      <c r="AF31" s="44">
        <f>Inputs!AA44*$J8</f>
        <v>0</v>
      </c>
      <c r="AG31" s="44">
        <f>Inputs!AB44*$J8</f>
        <v>0</v>
      </c>
      <c r="AH31" s="44">
        <f>Inputs!AC44*$J8</f>
        <v>0</v>
      </c>
      <c r="AI31" s="44">
        <f>Inputs!AD44*$J8</f>
        <v>0</v>
      </c>
      <c r="AJ31" s="44">
        <f>Inputs!AE44*$J8</f>
        <v>0</v>
      </c>
      <c r="AK31" s="44">
        <f>Inputs!AF44*$J8</f>
        <v>0</v>
      </c>
      <c r="AL31" s="44">
        <f>Inputs!AG44*$J8</f>
        <v>0</v>
      </c>
      <c r="AM31" s="44">
        <f>Inputs!AH44*$J8</f>
        <v>0</v>
      </c>
      <c r="AN31" s="44">
        <f>Inputs!AI44*$J8</f>
        <v>0</v>
      </c>
      <c r="AO31" s="44">
        <f>Inputs!AJ44*$J8</f>
        <v>0</v>
      </c>
      <c r="AP31" s="44">
        <f>Inputs!AK44*$J8</f>
        <v>0</v>
      </c>
      <c r="AQ31" s="44">
        <f>Inputs!AL44*$J8</f>
        <v>0</v>
      </c>
      <c r="AR31" s="44">
        <f>Inputs!AM44*$J8</f>
        <v>0</v>
      </c>
      <c r="AS31" s="44">
        <f>Inputs!AN44*$J8</f>
        <v>0</v>
      </c>
      <c r="AT31" s="44">
        <f>Inputs!AO44*$J8</f>
        <v>0</v>
      </c>
      <c r="AU31" s="44">
        <f>Inputs!AP44*$J8</f>
        <v>0</v>
      </c>
      <c r="AV31" s="44">
        <f>Inputs!AQ44*$J8</f>
        <v>0</v>
      </c>
      <c r="AW31" s="44">
        <f>Inputs!AR44*$J8</f>
        <v>0</v>
      </c>
      <c r="AX31" s="44">
        <f>Inputs!AS44*$J8</f>
        <v>0</v>
      </c>
      <c r="AY31" s="44">
        <f>Inputs!AT44*$J8</f>
        <v>0</v>
      </c>
      <c r="AZ31" s="44">
        <f>Inputs!AU44*$J8</f>
        <v>0</v>
      </c>
      <c r="BA31" s="44">
        <f>Inputs!AV44*$J8</f>
        <v>0</v>
      </c>
      <c r="BB31" s="44">
        <f>Inputs!AW44*$J8</f>
        <v>0</v>
      </c>
      <c r="BC31" s="44">
        <f>Inputs!AX44*$J8</f>
        <v>0</v>
      </c>
      <c r="BD31" s="44">
        <f>Inputs!AY44*$J8</f>
        <v>0</v>
      </c>
      <c r="BE31" s="44">
        <f>Inputs!AZ44*$J8</f>
        <v>0</v>
      </c>
      <c r="BF31" s="44">
        <f>Inputs!BA44*$J8</f>
        <v>0</v>
      </c>
      <c r="BG31" s="44">
        <f>Inputs!BB44*$J8</f>
        <v>0</v>
      </c>
      <c r="BH31" s="44">
        <f>Inputs!BC44*$J8</f>
        <v>0</v>
      </c>
      <c r="BI31" s="44">
        <f>Inputs!BD44*$J8</f>
        <v>0</v>
      </c>
    </row>
    <row r="32" spans="3:61" outlineLevel="1">
      <c r="C32" t="str">
        <f>Inputs!C45</f>
        <v>Spare</v>
      </c>
      <c r="D32" s="8" t="s">
        <v>106</v>
      </c>
      <c r="J32" s="44">
        <f>Inputs!E45*$J9</f>
        <v>0</v>
      </c>
      <c r="K32" s="44">
        <f>Inputs!F45*$J9</f>
        <v>0</v>
      </c>
      <c r="L32" s="44">
        <f>Inputs!G45*$J9</f>
        <v>0</v>
      </c>
      <c r="M32" s="44">
        <f>Inputs!H45*$J9</f>
        <v>0</v>
      </c>
      <c r="N32" s="44">
        <f>Inputs!I45*$J9</f>
        <v>0</v>
      </c>
      <c r="O32" s="44">
        <f>Inputs!J45*$J9</f>
        <v>0</v>
      </c>
      <c r="P32" s="44">
        <f>Inputs!K45*$J9</f>
        <v>0</v>
      </c>
      <c r="Q32" s="44">
        <f>Inputs!L45*$J9</f>
        <v>0</v>
      </c>
      <c r="R32" s="44">
        <f>Inputs!M45*$J9</f>
        <v>0</v>
      </c>
      <c r="S32" s="44">
        <f>Inputs!N45*$J9</f>
        <v>0</v>
      </c>
      <c r="T32" s="44">
        <f>Inputs!O45*$J9</f>
        <v>0</v>
      </c>
      <c r="U32" s="44">
        <f>Inputs!P45*$J9</f>
        <v>0</v>
      </c>
      <c r="V32" s="44">
        <f>Inputs!Q45*$J9</f>
        <v>0</v>
      </c>
      <c r="W32" s="44">
        <f>Inputs!R45*$J9</f>
        <v>0</v>
      </c>
      <c r="X32" s="44">
        <f>Inputs!S45*$J9</f>
        <v>0</v>
      </c>
      <c r="Y32" s="44">
        <f>Inputs!T45*$J9</f>
        <v>0</v>
      </c>
      <c r="Z32" s="44">
        <f>Inputs!U45*$J9</f>
        <v>0</v>
      </c>
      <c r="AA32" s="44">
        <f>Inputs!V45*$J9</f>
        <v>0</v>
      </c>
      <c r="AB32" s="44">
        <f>Inputs!W45*$J9</f>
        <v>0</v>
      </c>
      <c r="AC32" s="44">
        <f>Inputs!X45*$J9</f>
        <v>0</v>
      </c>
      <c r="AD32" s="44">
        <f>Inputs!Y45*$J9</f>
        <v>0</v>
      </c>
      <c r="AE32" s="44">
        <f>Inputs!Z45*$J9</f>
        <v>0</v>
      </c>
      <c r="AF32" s="44">
        <f>Inputs!AA45*$J9</f>
        <v>0</v>
      </c>
      <c r="AG32" s="44">
        <f>Inputs!AB45*$J9</f>
        <v>0</v>
      </c>
      <c r="AH32" s="44">
        <f>Inputs!AC45*$J9</f>
        <v>0</v>
      </c>
      <c r="AI32" s="44">
        <f>Inputs!AD45*$J9</f>
        <v>0</v>
      </c>
      <c r="AJ32" s="44">
        <f>Inputs!AE45*$J9</f>
        <v>0</v>
      </c>
      <c r="AK32" s="44">
        <f>Inputs!AF45*$J9</f>
        <v>0</v>
      </c>
      <c r="AL32" s="44">
        <f>Inputs!AG45*$J9</f>
        <v>0</v>
      </c>
      <c r="AM32" s="44">
        <f>Inputs!AH45*$J9</f>
        <v>0</v>
      </c>
      <c r="AN32" s="44">
        <f>Inputs!AI45*$J9</f>
        <v>0</v>
      </c>
      <c r="AO32" s="44">
        <f>Inputs!AJ45*$J9</f>
        <v>0</v>
      </c>
      <c r="AP32" s="44">
        <f>Inputs!AK45*$J9</f>
        <v>0</v>
      </c>
      <c r="AQ32" s="44">
        <f>Inputs!AL45*$J9</f>
        <v>0</v>
      </c>
      <c r="AR32" s="44">
        <f>Inputs!AM45*$J9</f>
        <v>0</v>
      </c>
      <c r="AS32" s="44">
        <f>Inputs!AN45*$J9</f>
        <v>0</v>
      </c>
      <c r="AT32" s="44">
        <f>Inputs!AO45*$J9</f>
        <v>0</v>
      </c>
      <c r="AU32" s="44">
        <f>Inputs!AP45*$J9</f>
        <v>0</v>
      </c>
      <c r="AV32" s="44">
        <f>Inputs!AQ45*$J9</f>
        <v>0</v>
      </c>
      <c r="AW32" s="44">
        <f>Inputs!AR45*$J9</f>
        <v>0</v>
      </c>
      <c r="AX32" s="44">
        <f>Inputs!AS45*$J9</f>
        <v>0</v>
      </c>
      <c r="AY32" s="44">
        <f>Inputs!AT45*$J9</f>
        <v>0</v>
      </c>
      <c r="AZ32" s="44">
        <f>Inputs!AU45*$J9</f>
        <v>0</v>
      </c>
      <c r="BA32" s="44">
        <f>Inputs!AV45*$J9</f>
        <v>0</v>
      </c>
      <c r="BB32" s="44">
        <f>Inputs!AW45*$J9</f>
        <v>0</v>
      </c>
      <c r="BC32" s="44">
        <f>Inputs!AX45*$J9</f>
        <v>0</v>
      </c>
      <c r="BD32" s="44">
        <f>Inputs!AY45*$J9</f>
        <v>0</v>
      </c>
      <c r="BE32" s="44">
        <f>Inputs!AZ45*$J9</f>
        <v>0</v>
      </c>
      <c r="BF32" s="44">
        <f>Inputs!BA45*$J9</f>
        <v>0</v>
      </c>
      <c r="BG32" s="44">
        <f>Inputs!BB45*$J9</f>
        <v>0</v>
      </c>
      <c r="BH32" s="44">
        <f>Inputs!BC45*$J9</f>
        <v>0</v>
      </c>
      <c r="BI32" s="44">
        <f>Inputs!BD45*$J9</f>
        <v>0</v>
      </c>
    </row>
    <row r="33" spans="3:61" outlineLevel="1"/>
    <row r="34" spans="3:61" ht="14.25" outlineLevel="1">
      <c r="C34" s="3" t="s">
        <v>19</v>
      </c>
    </row>
    <row r="35" spans="3:61" outlineLevel="1">
      <c r="C35" s="32" t="s">
        <v>53</v>
      </c>
      <c r="D35" s="8" t="s">
        <v>107</v>
      </c>
      <c r="J35" s="85">
        <f>J15</f>
        <v>0</v>
      </c>
      <c r="K35" s="85">
        <f t="shared" ref="K35:BI35" si="4">K15</f>
        <v>0</v>
      </c>
      <c r="L35" s="85">
        <f t="shared" si="4"/>
        <v>0</v>
      </c>
      <c r="M35" s="85">
        <f t="shared" si="4"/>
        <v>0</v>
      </c>
      <c r="N35" s="85">
        <f t="shared" si="4"/>
        <v>0</v>
      </c>
      <c r="O35" s="85">
        <f t="shared" si="4"/>
        <v>0</v>
      </c>
      <c r="P35" s="85">
        <f t="shared" si="4"/>
        <v>0</v>
      </c>
      <c r="Q35" s="85">
        <f t="shared" si="4"/>
        <v>0</v>
      </c>
      <c r="R35" s="85">
        <f t="shared" si="4"/>
        <v>32500</v>
      </c>
      <c r="S35" s="85">
        <f t="shared" si="4"/>
        <v>32500</v>
      </c>
      <c r="T35" s="85">
        <f t="shared" si="4"/>
        <v>32500</v>
      </c>
      <c r="U35" s="85">
        <f t="shared" si="4"/>
        <v>32500</v>
      </c>
      <c r="V35" s="85">
        <f t="shared" si="4"/>
        <v>32500</v>
      </c>
      <c r="W35" s="85">
        <f t="shared" si="4"/>
        <v>32500</v>
      </c>
      <c r="X35" s="85">
        <f t="shared" si="4"/>
        <v>32500</v>
      </c>
      <c r="Y35" s="85">
        <f t="shared" si="4"/>
        <v>32500</v>
      </c>
      <c r="Z35" s="85">
        <f t="shared" si="4"/>
        <v>32500</v>
      </c>
      <c r="AA35" s="85">
        <f t="shared" si="4"/>
        <v>32500</v>
      </c>
      <c r="AB35" s="85">
        <f t="shared" si="4"/>
        <v>32500</v>
      </c>
      <c r="AC35" s="85">
        <f t="shared" si="4"/>
        <v>32500</v>
      </c>
      <c r="AD35" s="85">
        <f t="shared" si="4"/>
        <v>32500</v>
      </c>
      <c r="AE35" s="85">
        <f t="shared" si="4"/>
        <v>32500</v>
      </c>
      <c r="AF35" s="85">
        <f t="shared" si="4"/>
        <v>32500</v>
      </c>
      <c r="AG35" s="85">
        <f t="shared" si="4"/>
        <v>32500</v>
      </c>
      <c r="AH35" s="85">
        <f t="shared" si="4"/>
        <v>32662.499999999996</v>
      </c>
      <c r="AI35" s="85">
        <f t="shared" si="4"/>
        <v>32825.812499999993</v>
      </c>
      <c r="AJ35" s="85">
        <f t="shared" si="4"/>
        <v>32989.941562499989</v>
      </c>
      <c r="AK35" s="85">
        <f t="shared" si="4"/>
        <v>33154.891270312488</v>
      </c>
      <c r="AL35" s="85">
        <f t="shared" si="4"/>
        <v>33320.665726664047</v>
      </c>
      <c r="AM35" s="85">
        <f t="shared" si="4"/>
        <v>33487.269055297365</v>
      </c>
      <c r="AN35" s="85">
        <f t="shared" si="4"/>
        <v>33654.705400573846</v>
      </c>
      <c r="AO35" s="85">
        <f t="shared" si="4"/>
        <v>33822.978927576711</v>
      </c>
      <c r="AP35" s="85">
        <f t="shared" si="4"/>
        <v>33992.093822214592</v>
      </c>
      <c r="AQ35" s="85">
        <f t="shared" si="4"/>
        <v>34162.054291325665</v>
      </c>
      <c r="AR35" s="85">
        <f t="shared" si="4"/>
        <v>34332.864562782292</v>
      </c>
      <c r="AS35" s="85">
        <f t="shared" si="4"/>
        <v>34504.528885596199</v>
      </c>
      <c r="AT35" s="85">
        <f t="shared" si="4"/>
        <v>34677.051530024175</v>
      </c>
      <c r="AU35" s="85">
        <f t="shared" si="4"/>
        <v>34850.436787674291</v>
      </c>
      <c r="AV35" s="85">
        <f t="shared" si="4"/>
        <v>35024.688971612661</v>
      </c>
      <c r="AW35" s="85">
        <f t="shared" si="4"/>
        <v>35199.812416470719</v>
      </c>
      <c r="AX35" s="85">
        <f t="shared" si="4"/>
        <v>35375.811478553071</v>
      </c>
      <c r="AY35" s="85">
        <f t="shared" si="4"/>
        <v>35552.690535945832</v>
      </c>
      <c r="AZ35" s="85">
        <f t="shared" si="4"/>
        <v>35730.453988625559</v>
      </c>
      <c r="BA35" s="85">
        <f t="shared" si="4"/>
        <v>35909.106258568681</v>
      </c>
      <c r="BB35" s="85">
        <f t="shared" si="4"/>
        <v>36088.65178986152</v>
      </c>
      <c r="BC35" s="85">
        <f t="shared" si="4"/>
        <v>36269.095048810821</v>
      </c>
      <c r="BD35" s="85">
        <f t="shared" si="4"/>
        <v>36450.440524054873</v>
      </c>
      <c r="BE35" s="85">
        <f t="shared" si="4"/>
        <v>36632.692726675145</v>
      </c>
      <c r="BF35" s="85">
        <f t="shared" si="4"/>
        <v>36815.856190308514</v>
      </c>
      <c r="BG35" s="85">
        <f t="shared" si="4"/>
        <v>36999.935471260054</v>
      </c>
      <c r="BH35" s="85">
        <f t="shared" si="4"/>
        <v>37184.93514861635</v>
      </c>
      <c r="BI35" s="85">
        <f t="shared" si="4"/>
        <v>37370.859824359432</v>
      </c>
    </row>
    <row r="36" spans="3:61" outlineLevel="1"/>
    <row r="37" spans="3:61" outlineLevel="1">
      <c r="C37" t="str">
        <f>C30</f>
        <v xml:space="preserve">Other </v>
      </c>
      <c r="D37" s="8" t="s">
        <v>48</v>
      </c>
      <c r="I37" s="59">
        <f t="shared" ref="I37:I40" si="5">SUM(J37:BI37)</f>
        <v>0</v>
      </c>
      <c r="J37" s="83">
        <f t="shared" ref="J37:AO37" si="6">J30*J$35/Million</f>
        <v>0</v>
      </c>
      <c r="K37" s="83">
        <f t="shared" si="6"/>
        <v>0</v>
      </c>
      <c r="L37" s="83">
        <f t="shared" si="6"/>
        <v>0</v>
      </c>
      <c r="M37" s="83">
        <f t="shared" si="6"/>
        <v>0</v>
      </c>
      <c r="N37" s="83">
        <f t="shared" si="6"/>
        <v>0</v>
      </c>
      <c r="O37" s="83">
        <f t="shared" si="6"/>
        <v>0</v>
      </c>
      <c r="P37" s="83">
        <f t="shared" si="6"/>
        <v>0</v>
      </c>
      <c r="Q37" s="83">
        <f t="shared" si="6"/>
        <v>0</v>
      </c>
      <c r="R37" s="83">
        <f t="shared" si="6"/>
        <v>0</v>
      </c>
      <c r="S37" s="83">
        <f t="shared" si="6"/>
        <v>0</v>
      </c>
      <c r="T37" s="83">
        <f t="shared" si="6"/>
        <v>0</v>
      </c>
      <c r="U37" s="83">
        <f t="shared" si="6"/>
        <v>0</v>
      </c>
      <c r="V37" s="83">
        <f t="shared" si="6"/>
        <v>0</v>
      </c>
      <c r="W37" s="83">
        <f t="shared" si="6"/>
        <v>0</v>
      </c>
      <c r="X37" s="83">
        <f t="shared" si="6"/>
        <v>0</v>
      </c>
      <c r="Y37" s="83">
        <f t="shared" si="6"/>
        <v>0</v>
      </c>
      <c r="Z37" s="83">
        <f t="shared" si="6"/>
        <v>0</v>
      </c>
      <c r="AA37" s="83">
        <f t="shared" si="6"/>
        <v>0</v>
      </c>
      <c r="AB37" s="83">
        <f t="shared" si="6"/>
        <v>0</v>
      </c>
      <c r="AC37" s="83">
        <f t="shared" si="6"/>
        <v>0</v>
      </c>
      <c r="AD37" s="83">
        <f t="shared" si="6"/>
        <v>0</v>
      </c>
      <c r="AE37" s="83">
        <f t="shared" si="6"/>
        <v>0</v>
      </c>
      <c r="AF37" s="83">
        <f t="shared" si="6"/>
        <v>0</v>
      </c>
      <c r="AG37" s="83">
        <f t="shared" si="6"/>
        <v>0</v>
      </c>
      <c r="AH37" s="83">
        <f t="shared" si="6"/>
        <v>0</v>
      </c>
      <c r="AI37" s="83">
        <f t="shared" si="6"/>
        <v>0</v>
      </c>
      <c r="AJ37" s="83">
        <f t="shared" si="6"/>
        <v>0</v>
      </c>
      <c r="AK37" s="83">
        <f t="shared" si="6"/>
        <v>0</v>
      </c>
      <c r="AL37" s="83">
        <f t="shared" si="6"/>
        <v>0</v>
      </c>
      <c r="AM37" s="83">
        <f t="shared" si="6"/>
        <v>0</v>
      </c>
      <c r="AN37" s="83">
        <f t="shared" si="6"/>
        <v>0</v>
      </c>
      <c r="AO37" s="83">
        <f t="shared" si="6"/>
        <v>0</v>
      </c>
      <c r="AP37" s="83">
        <f t="shared" ref="AP37:BI37" si="7">AP30*AP$35/Million</f>
        <v>0</v>
      </c>
      <c r="AQ37" s="83">
        <f t="shared" si="7"/>
        <v>0</v>
      </c>
      <c r="AR37" s="83">
        <f t="shared" si="7"/>
        <v>0</v>
      </c>
      <c r="AS37" s="83">
        <f t="shared" si="7"/>
        <v>0</v>
      </c>
      <c r="AT37" s="83">
        <f t="shared" si="7"/>
        <v>0</v>
      </c>
      <c r="AU37" s="83">
        <f t="shared" si="7"/>
        <v>0</v>
      </c>
      <c r="AV37" s="83">
        <f t="shared" si="7"/>
        <v>0</v>
      </c>
      <c r="AW37" s="83">
        <f t="shared" si="7"/>
        <v>0</v>
      </c>
      <c r="AX37" s="83">
        <f t="shared" si="7"/>
        <v>0</v>
      </c>
      <c r="AY37" s="83">
        <f t="shared" si="7"/>
        <v>0</v>
      </c>
      <c r="AZ37" s="83">
        <f t="shared" si="7"/>
        <v>0</v>
      </c>
      <c r="BA37" s="83">
        <f t="shared" si="7"/>
        <v>0</v>
      </c>
      <c r="BB37" s="83">
        <f t="shared" si="7"/>
        <v>0</v>
      </c>
      <c r="BC37" s="83">
        <f t="shared" si="7"/>
        <v>0</v>
      </c>
      <c r="BD37" s="83">
        <f t="shared" si="7"/>
        <v>0</v>
      </c>
      <c r="BE37" s="83">
        <f t="shared" si="7"/>
        <v>0</v>
      </c>
      <c r="BF37" s="83">
        <f t="shared" si="7"/>
        <v>0</v>
      </c>
      <c r="BG37" s="83">
        <f t="shared" si="7"/>
        <v>0</v>
      </c>
      <c r="BH37" s="83">
        <f t="shared" si="7"/>
        <v>0</v>
      </c>
      <c r="BI37" s="83">
        <f t="shared" si="7"/>
        <v>0</v>
      </c>
    </row>
    <row r="38" spans="3:61" outlineLevel="1">
      <c r="C38" t="str">
        <f>C31</f>
        <v>Spare</v>
      </c>
      <c r="D38" s="8" t="s">
        <v>48</v>
      </c>
      <c r="I38" s="59">
        <f t="shared" si="5"/>
        <v>0</v>
      </c>
      <c r="J38" s="83">
        <f t="shared" ref="J38:AO38" si="8">J31*J$35/Million</f>
        <v>0</v>
      </c>
      <c r="K38" s="83">
        <f t="shared" si="8"/>
        <v>0</v>
      </c>
      <c r="L38" s="83">
        <f t="shared" si="8"/>
        <v>0</v>
      </c>
      <c r="M38" s="83">
        <f t="shared" si="8"/>
        <v>0</v>
      </c>
      <c r="N38" s="83">
        <f t="shared" si="8"/>
        <v>0</v>
      </c>
      <c r="O38" s="83">
        <f t="shared" si="8"/>
        <v>0</v>
      </c>
      <c r="P38" s="83">
        <f t="shared" si="8"/>
        <v>0</v>
      </c>
      <c r="Q38" s="83">
        <f t="shared" si="8"/>
        <v>0</v>
      </c>
      <c r="R38" s="83">
        <f t="shared" si="8"/>
        <v>0</v>
      </c>
      <c r="S38" s="83">
        <f t="shared" si="8"/>
        <v>0</v>
      </c>
      <c r="T38" s="83">
        <f t="shared" si="8"/>
        <v>0</v>
      </c>
      <c r="U38" s="83">
        <f t="shared" si="8"/>
        <v>0</v>
      </c>
      <c r="V38" s="83">
        <f t="shared" si="8"/>
        <v>0</v>
      </c>
      <c r="W38" s="83">
        <f t="shared" si="8"/>
        <v>0</v>
      </c>
      <c r="X38" s="83">
        <f t="shared" si="8"/>
        <v>0</v>
      </c>
      <c r="Y38" s="83">
        <f t="shared" si="8"/>
        <v>0</v>
      </c>
      <c r="Z38" s="83">
        <f t="shared" si="8"/>
        <v>0</v>
      </c>
      <c r="AA38" s="83">
        <f t="shared" si="8"/>
        <v>0</v>
      </c>
      <c r="AB38" s="83">
        <f t="shared" si="8"/>
        <v>0</v>
      </c>
      <c r="AC38" s="83">
        <f t="shared" si="8"/>
        <v>0</v>
      </c>
      <c r="AD38" s="83">
        <f t="shared" si="8"/>
        <v>0</v>
      </c>
      <c r="AE38" s="83">
        <f t="shared" si="8"/>
        <v>0</v>
      </c>
      <c r="AF38" s="83">
        <f t="shared" si="8"/>
        <v>0</v>
      </c>
      <c r="AG38" s="83">
        <f t="shared" si="8"/>
        <v>0</v>
      </c>
      <c r="AH38" s="83">
        <f t="shared" si="8"/>
        <v>0</v>
      </c>
      <c r="AI38" s="83">
        <f t="shared" si="8"/>
        <v>0</v>
      </c>
      <c r="AJ38" s="83">
        <f t="shared" si="8"/>
        <v>0</v>
      </c>
      <c r="AK38" s="83">
        <f t="shared" si="8"/>
        <v>0</v>
      </c>
      <c r="AL38" s="83">
        <f t="shared" si="8"/>
        <v>0</v>
      </c>
      <c r="AM38" s="83">
        <f t="shared" si="8"/>
        <v>0</v>
      </c>
      <c r="AN38" s="83">
        <f t="shared" si="8"/>
        <v>0</v>
      </c>
      <c r="AO38" s="83">
        <f t="shared" si="8"/>
        <v>0</v>
      </c>
      <c r="AP38" s="83">
        <f t="shared" ref="AP38:BI38" si="9">AP31*AP$35/Million</f>
        <v>0</v>
      </c>
      <c r="AQ38" s="83">
        <f t="shared" si="9"/>
        <v>0</v>
      </c>
      <c r="AR38" s="83">
        <f t="shared" si="9"/>
        <v>0</v>
      </c>
      <c r="AS38" s="83">
        <f t="shared" si="9"/>
        <v>0</v>
      </c>
      <c r="AT38" s="83">
        <f t="shared" si="9"/>
        <v>0</v>
      </c>
      <c r="AU38" s="83">
        <f t="shared" si="9"/>
        <v>0</v>
      </c>
      <c r="AV38" s="83">
        <f t="shared" si="9"/>
        <v>0</v>
      </c>
      <c r="AW38" s="83">
        <f t="shared" si="9"/>
        <v>0</v>
      </c>
      <c r="AX38" s="83">
        <f t="shared" si="9"/>
        <v>0</v>
      </c>
      <c r="AY38" s="83">
        <f t="shared" si="9"/>
        <v>0</v>
      </c>
      <c r="AZ38" s="83">
        <f t="shared" si="9"/>
        <v>0</v>
      </c>
      <c r="BA38" s="83">
        <f t="shared" si="9"/>
        <v>0</v>
      </c>
      <c r="BB38" s="83">
        <f t="shared" si="9"/>
        <v>0</v>
      </c>
      <c r="BC38" s="83">
        <f t="shared" si="9"/>
        <v>0</v>
      </c>
      <c r="BD38" s="83">
        <f t="shared" si="9"/>
        <v>0</v>
      </c>
      <c r="BE38" s="83">
        <f t="shared" si="9"/>
        <v>0</v>
      </c>
      <c r="BF38" s="83">
        <f t="shared" si="9"/>
        <v>0</v>
      </c>
      <c r="BG38" s="83">
        <f t="shared" si="9"/>
        <v>0</v>
      </c>
      <c r="BH38" s="83">
        <f t="shared" si="9"/>
        <v>0</v>
      </c>
      <c r="BI38" s="83">
        <f t="shared" si="9"/>
        <v>0</v>
      </c>
    </row>
    <row r="39" spans="3:61" outlineLevel="1">
      <c r="C39" t="str">
        <f>C32</f>
        <v>Spare</v>
      </c>
      <c r="D39" s="8" t="s">
        <v>48</v>
      </c>
      <c r="I39" s="59">
        <f t="shared" si="5"/>
        <v>0</v>
      </c>
      <c r="J39" s="83">
        <f>J32*J$35</f>
        <v>0</v>
      </c>
      <c r="K39" s="83">
        <f t="shared" ref="K39:BI39" si="10">K32*K$35</f>
        <v>0</v>
      </c>
      <c r="L39" s="83">
        <f t="shared" si="10"/>
        <v>0</v>
      </c>
      <c r="M39" s="83">
        <f t="shared" si="10"/>
        <v>0</v>
      </c>
      <c r="N39" s="83">
        <f t="shared" si="10"/>
        <v>0</v>
      </c>
      <c r="O39" s="83">
        <f t="shared" si="10"/>
        <v>0</v>
      </c>
      <c r="P39" s="83">
        <f t="shared" si="10"/>
        <v>0</v>
      </c>
      <c r="Q39" s="83">
        <f t="shared" si="10"/>
        <v>0</v>
      </c>
      <c r="R39" s="83">
        <f t="shared" si="10"/>
        <v>0</v>
      </c>
      <c r="S39" s="83">
        <f t="shared" si="10"/>
        <v>0</v>
      </c>
      <c r="T39" s="83">
        <f t="shared" si="10"/>
        <v>0</v>
      </c>
      <c r="U39" s="83">
        <f t="shared" si="10"/>
        <v>0</v>
      </c>
      <c r="V39" s="83">
        <f t="shared" si="10"/>
        <v>0</v>
      </c>
      <c r="W39" s="83">
        <f t="shared" si="10"/>
        <v>0</v>
      </c>
      <c r="X39" s="83">
        <f t="shared" si="10"/>
        <v>0</v>
      </c>
      <c r="Y39" s="83">
        <f t="shared" si="10"/>
        <v>0</v>
      </c>
      <c r="Z39" s="83">
        <f t="shared" si="10"/>
        <v>0</v>
      </c>
      <c r="AA39" s="83">
        <f t="shared" si="10"/>
        <v>0</v>
      </c>
      <c r="AB39" s="83">
        <f t="shared" si="10"/>
        <v>0</v>
      </c>
      <c r="AC39" s="83">
        <f t="shared" si="10"/>
        <v>0</v>
      </c>
      <c r="AD39" s="83">
        <f t="shared" si="10"/>
        <v>0</v>
      </c>
      <c r="AE39" s="83">
        <f t="shared" si="10"/>
        <v>0</v>
      </c>
      <c r="AF39" s="83">
        <f t="shared" si="10"/>
        <v>0</v>
      </c>
      <c r="AG39" s="83">
        <f t="shared" si="10"/>
        <v>0</v>
      </c>
      <c r="AH39" s="83">
        <f t="shared" si="10"/>
        <v>0</v>
      </c>
      <c r="AI39" s="83">
        <f t="shared" si="10"/>
        <v>0</v>
      </c>
      <c r="AJ39" s="83">
        <f t="shared" si="10"/>
        <v>0</v>
      </c>
      <c r="AK39" s="83">
        <f t="shared" si="10"/>
        <v>0</v>
      </c>
      <c r="AL39" s="83">
        <f t="shared" si="10"/>
        <v>0</v>
      </c>
      <c r="AM39" s="83">
        <f t="shared" si="10"/>
        <v>0</v>
      </c>
      <c r="AN39" s="83">
        <f t="shared" si="10"/>
        <v>0</v>
      </c>
      <c r="AO39" s="83">
        <f t="shared" si="10"/>
        <v>0</v>
      </c>
      <c r="AP39" s="83">
        <f t="shared" si="10"/>
        <v>0</v>
      </c>
      <c r="AQ39" s="83">
        <f t="shared" si="10"/>
        <v>0</v>
      </c>
      <c r="AR39" s="83">
        <f t="shared" si="10"/>
        <v>0</v>
      </c>
      <c r="AS39" s="83">
        <f t="shared" si="10"/>
        <v>0</v>
      </c>
      <c r="AT39" s="83">
        <f t="shared" si="10"/>
        <v>0</v>
      </c>
      <c r="AU39" s="83">
        <f t="shared" si="10"/>
        <v>0</v>
      </c>
      <c r="AV39" s="83">
        <f t="shared" si="10"/>
        <v>0</v>
      </c>
      <c r="AW39" s="83">
        <f t="shared" si="10"/>
        <v>0</v>
      </c>
      <c r="AX39" s="83">
        <f t="shared" si="10"/>
        <v>0</v>
      </c>
      <c r="AY39" s="83">
        <f t="shared" si="10"/>
        <v>0</v>
      </c>
      <c r="AZ39" s="83">
        <f t="shared" si="10"/>
        <v>0</v>
      </c>
      <c r="BA39" s="83">
        <f t="shared" si="10"/>
        <v>0</v>
      </c>
      <c r="BB39" s="83">
        <f t="shared" si="10"/>
        <v>0</v>
      </c>
      <c r="BC39" s="83">
        <f t="shared" si="10"/>
        <v>0</v>
      </c>
      <c r="BD39" s="83">
        <f t="shared" si="10"/>
        <v>0</v>
      </c>
      <c r="BE39" s="83">
        <f t="shared" si="10"/>
        <v>0</v>
      </c>
      <c r="BF39" s="83">
        <f t="shared" si="10"/>
        <v>0</v>
      </c>
      <c r="BG39" s="83">
        <f t="shared" si="10"/>
        <v>0</v>
      </c>
      <c r="BH39" s="83">
        <f t="shared" si="10"/>
        <v>0</v>
      </c>
      <c r="BI39" s="83">
        <f t="shared" si="10"/>
        <v>0</v>
      </c>
    </row>
    <row r="40" spans="3:61" outlineLevel="1">
      <c r="C40" s="32" t="s">
        <v>20</v>
      </c>
      <c r="D40" s="8" t="s">
        <v>48</v>
      </c>
      <c r="I40" s="59">
        <f t="shared" si="5"/>
        <v>0</v>
      </c>
      <c r="J40" s="84">
        <f>SUM(J37:J38)</f>
        <v>0</v>
      </c>
      <c r="K40" s="84">
        <f t="shared" ref="K40:AO40" si="11">SUM(K37:K39)</f>
        <v>0</v>
      </c>
      <c r="L40" s="84">
        <f t="shared" si="11"/>
        <v>0</v>
      </c>
      <c r="M40" s="84">
        <f t="shared" si="11"/>
        <v>0</v>
      </c>
      <c r="N40" s="84">
        <f t="shared" si="11"/>
        <v>0</v>
      </c>
      <c r="O40" s="84">
        <f t="shared" si="11"/>
        <v>0</v>
      </c>
      <c r="P40" s="84">
        <f t="shared" si="11"/>
        <v>0</v>
      </c>
      <c r="Q40" s="84">
        <f t="shared" si="11"/>
        <v>0</v>
      </c>
      <c r="R40" s="84">
        <f t="shared" si="11"/>
        <v>0</v>
      </c>
      <c r="S40" s="84">
        <f t="shared" si="11"/>
        <v>0</v>
      </c>
      <c r="T40" s="84">
        <f t="shared" si="11"/>
        <v>0</v>
      </c>
      <c r="U40" s="84">
        <f t="shared" si="11"/>
        <v>0</v>
      </c>
      <c r="V40" s="84">
        <f t="shared" si="11"/>
        <v>0</v>
      </c>
      <c r="W40" s="84">
        <f t="shared" si="11"/>
        <v>0</v>
      </c>
      <c r="X40" s="84">
        <f t="shared" si="11"/>
        <v>0</v>
      </c>
      <c r="Y40" s="84">
        <f t="shared" si="11"/>
        <v>0</v>
      </c>
      <c r="Z40" s="84">
        <f t="shared" si="11"/>
        <v>0</v>
      </c>
      <c r="AA40" s="84">
        <f t="shared" si="11"/>
        <v>0</v>
      </c>
      <c r="AB40" s="84">
        <f t="shared" si="11"/>
        <v>0</v>
      </c>
      <c r="AC40" s="84">
        <f t="shared" si="11"/>
        <v>0</v>
      </c>
      <c r="AD40" s="84">
        <f t="shared" si="11"/>
        <v>0</v>
      </c>
      <c r="AE40" s="84">
        <f t="shared" si="11"/>
        <v>0</v>
      </c>
      <c r="AF40" s="84">
        <f t="shared" si="11"/>
        <v>0</v>
      </c>
      <c r="AG40" s="84">
        <f t="shared" si="11"/>
        <v>0</v>
      </c>
      <c r="AH40" s="84">
        <f t="shared" si="11"/>
        <v>0</v>
      </c>
      <c r="AI40" s="84">
        <f t="shared" si="11"/>
        <v>0</v>
      </c>
      <c r="AJ40" s="84">
        <f t="shared" si="11"/>
        <v>0</v>
      </c>
      <c r="AK40" s="84">
        <f t="shared" si="11"/>
        <v>0</v>
      </c>
      <c r="AL40" s="84">
        <f t="shared" si="11"/>
        <v>0</v>
      </c>
      <c r="AM40" s="84">
        <f t="shared" si="11"/>
        <v>0</v>
      </c>
      <c r="AN40" s="84">
        <f t="shared" si="11"/>
        <v>0</v>
      </c>
      <c r="AO40" s="84">
        <f t="shared" si="11"/>
        <v>0</v>
      </c>
      <c r="AP40" s="84">
        <f t="shared" ref="AP40:BI40" si="12">SUM(AP37:AP39)</f>
        <v>0</v>
      </c>
      <c r="AQ40" s="84">
        <f t="shared" si="12"/>
        <v>0</v>
      </c>
      <c r="AR40" s="84">
        <f t="shared" si="12"/>
        <v>0</v>
      </c>
      <c r="AS40" s="84">
        <f t="shared" si="12"/>
        <v>0</v>
      </c>
      <c r="AT40" s="84">
        <f t="shared" si="12"/>
        <v>0</v>
      </c>
      <c r="AU40" s="84">
        <f t="shared" si="12"/>
        <v>0</v>
      </c>
      <c r="AV40" s="84">
        <f t="shared" si="12"/>
        <v>0</v>
      </c>
      <c r="AW40" s="84">
        <f t="shared" si="12"/>
        <v>0</v>
      </c>
      <c r="AX40" s="84">
        <f t="shared" si="12"/>
        <v>0</v>
      </c>
      <c r="AY40" s="84">
        <f t="shared" si="12"/>
        <v>0</v>
      </c>
      <c r="AZ40" s="84">
        <f t="shared" si="12"/>
        <v>0</v>
      </c>
      <c r="BA40" s="84">
        <f t="shared" si="12"/>
        <v>0</v>
      </c>
      <c r="BB40" s="84">
        <f t="shared" si="12"/>
        <v>0</v>
      </c>
      <c r="BC40" s="84">
        <f t="shared" si="12"/>
        <v>0</v>
      </c>
      <c r="BD40" s="84">
        <f t="shared" si="12"/>
        <v>0</v>
      </c>
      <c r="BE40" s="84">
        <f t="shared" si="12"/>
        <v>0</v>
      </c>
      <c r="BF40" s="84">
        <f t="shared" si="12"/>
        <v>0</v>
      </c>
      <c r="BG40" s="84">
        <f t="shared" si="12"/>
        <v>0</v>
      </c>
      <c r="BH40" s="84">
        <f t="shared" si="12"/>
        <v>0</v>
      </c>
      <c r="BI40" s="84">
        <f t="shared" si="12"/>
        <v>0</v>
      </c>
    </row>
    <row r="41" spans="3:61" outlineLevel="1"/>
    <row r="42" spans="3:61" ht="15" outlineLevel="1">
      <c r="C42" s="4" t="s">
        <v>108</v>
      </c>
    </row>
    <row r="43" spans="3:61" outlineLevel="1">
      <c r="C43" s="32" t="s">
        <v>18</v>
      </c>
      <c r="D43" s="8" t="s">
        <v>48</v>
      </c>
      <c r="I43" s="59">
        <f t="shared" ref="I43:I45" si="13">SUM(J43:BI43)</f>
        <v>70.846774144889082</v>
      </c>
      <c r="J43" s="54">
        <f>J26</f>
        <v>0</v>
      </c>
      <c r="K43" s="54">
        <f t="shared" ref="K43:BI43" si="14">K26</f>
        <v>0</v>
      </c>
      <c r="L43" s="54">
        <f t="shared" si="14"/>
        <v>0</v>
      </c>
      <c r="M43" s="54">
        <f t="shared" si="14"/>
        <v>0</v>
      </c>
      <c r="N43" s="54">
        <f t="shared" si="14"/>
        <v>0</v>
      </c>
      <c r="O43" s="54">
        <f t="shared" si="14"/>
        <v>0</v>
      </c>
      <c r="P43" s="54">
        <f t="shared" si="14"/>
        <v>0</v>
      </c>
      <c r="Q43" s="54">
        <f t="shared" si="14"/>
        <v>0</v>
      </c>
      <c r="R43" s="54">
        <f t="shared" si="14"/>
        <v>1.5449999999999999</v>
      </c>
      <c r="S43" s="54">
        <f t="shared" si="14"/>
        <v>1.5449999999999999</v>
      </c>
      <c r="T43" s="54">
        <f t="shared" si="14"/>
        <v>1.5449999999999999</v>
      </c>
      <c r="U43" s="54">
        <f t="shared" si="14"/>
        <v>1.5449999999999999</v>
      </c>
      <c r="V43" s="54">
        <f t="shared" si="14"/>
        <v>1.5913499999999998</v>
      </c>
      <c r="W43" s="54">
        <f t="shared" si="14"/>
        <v>1.5913499999999998</v>
      </c>
      <c r="X43" s="54">
        <f t="shared" si="14"/>
        <v>1.5913499999999998</v>
      </c>
      <c r="Y43" s="54">
        <f t="shared" si="14"/>
        <v>1.5913499999999998</v>
      </c>
      <c r="Z43" s="54">
        <f t="shared" si="14"/>
        <v>1.6390905</v>
      </c>
      <c r="AA43" s="54">
        <f t="shared" si="14"/>
        <v>1.6390905</v>
      </c>
      <c r="AB43" s="54">
        <f t="shared" si="14"/>
        <v>1.6390905</v>
      </c>
      <c r="AC43" s="54">
        <f t="shared" si="14"/>
        <v>1.6390905</v>
      </c>
      <c r="AD43" s="54">
        <f t="shared" si="14"/>
        <v>1.6882632150000001</v>
      </c>
      <c r="AE43" s="54">
        <f t="shared" si="14"/>
        <v>1.6882632150000001</v>
      </c>
      <c r="AF43" s="54">
        <f t="shared" si="14"/>
        <v>1.6882632150000001</v>
      </c>
      <c r="AG43" s="54">
        <f t="shared" si="14"/>
        <v>1.6882632150000001</v>
      </c>
      <c r="AH43" s="54">
        <f t="shared" si="14"/>
        <v>1.7389111114500002</v>
      </c>
      <c r="AI43" s="54">
        <f t="shared" si="14"/>
        <v>1.7389111114500002</v>
      </c>
      <c r="AJ43" s="54">
        <f t="shared" si="14"/>
        <v>1.7389111114500002</v>
      </c>
      <c r="AK43" s="54">
        <f t="shared" si="14"/>
        <v>1.7389111114500002</v>
      </c>
      <c r="AL43" s="54">
        <f t="shared" si="14"/>
        <v>1.7910784447935002</v>
      </c>
      <c r="AM43" s="54">
        <f t="shared" si="14"/>
        <v>1.7910784447935002</v>
      </c>
      <c r="AN43" s="54">
        <f t="shared" si="14"/>
        <v>1.7910784447935002</v>
      </c>
      <c r="AO43" s="54">
        <f t="shared" si="14"/>
        <v>1.7910784447935002</v>
      </c>
      <c r="AP43" s="54">
        <f t="shared" si="14"/>
        <v>1.8448107981373054</v>
      </c>
      <c r="AQ43" s="54">
        <f t="shared" si="14"/>
        <v>1.8448107981373054</v>
      </c>
      <c r="AR43" s="54">
        <f t="shared" si="14"/>
        <v>1.8448107981373054</v>
      </c>
      <c r="AS43" s="54">
        <f t="shared" si="14"/>
        <v>1.8448107981373054</v>
      </c>
      <c r="AT43" s="54">
        <f t="shared" si="14"/>
        <v>1.9001551220814246</v>
      </c>
      <c r="AU43" s="54">
        <f t="shared" si="14"/>
        <v>1.9001551220814246</v>
      </c>
      <c r="AV43" s="54">
        <f t="shared" si="14"/>
        <v>1.9001551220814246</v>
      </c>
      <c r="AW43" s="54">
        <f t="shared" si="14"/>
        <v>1.9001551220814246</v>
      </c>
      <c r="AX43" s="54">
        <f t="shared" si="14"/>
        <v>1.9571597757438672</v>
      </c>
      <c r="AY43" s="54">
        <f t="shared" si="14"/>
        <v>1.9571597757438672</v>
      </c>
      <c r="AZ43" s="54">
        <f t="shared" si="14"/>
        <v>1.9571597757438672</v>
      </c>
      <c r="BA43" s="54">
        <f t="shared" si="14"/>
        <v>1.9571597757438672</v>
      </c>
      <c r="BB43" s="54">
        <f t="shared" si="14"/>
        <v>2.0158745690161832</v>
      </c>
      <c r="BC43" s="54">
        <f t="shared" si="14"/>
        <v>2.0158745690161832</v>
      </c>
      <c r="BD43" s="54">
        <f t="shared" si="14"/>
        <v>2.0158745690161832</v>
      </c>
      <c r="BE43" s="54">
        <f t="shared" si="14"/>
        <v>2.0158745690161832</v>
      </c>
      <c r="BF43" s="54">
        <f t="shared" si="14"/>
        <v>0</v>
      </c>
      <c r="BG43" s="54">
        <f t="shared" si="14"/>
        <v>0</v>
      </c>
      <c r="BH43" s="54">
        <f t="shared" si="14"/>
        <v>0</v>
      </c>
      <c r="BI43" s="54">
        <f t="shared" si="14"/>
        <v>0</v>
      </c>
    </row>
    <row r="44" spans="3:61" outlineLevel="1">
      <c r="C44" s="32" t="s">
        <v>19</v>
      </c>
      <c r="D44" s="8" t="s">
        <v>48</v>
      </c>
      <c r="I44" s="59">
        <f t="shared" si="13"/>
        <v>0</v>
      </c>
      <c r="J44" s="54">
        <f>J40</f>
        <v>0</v>
      </c>
      <c r="K44" s="54">
        <f t="shared" ref="K44:BI44" si="15">K40</f>
        <v>0</v>
      </c>
      <c r="L44" s="54">
        <f t="shared" si="15"/>
        <v>0</v>
      </c>
      <c r="M44" s="54">
        <f t="shared" si="15"/>
        <v>0</v>
      </c>
      <c r="N44" s="54">
        <f t="shared" si="15"/>
        <v>0</v>
      </c>
      <c r="O44" s="54">
        <f t="shared" si="15"/>
        <v>0</v>
      </c>
      <c r="P44" s="54">
        <f t="shared" si="15"/>
        <v>0</v>
      </c>
      <c r="Q44" s="54">
        <f t="shared" si="15"/>
        <v>0</v>
      </c>
      <c r="R44" s="54">
        <f t="shared" si="15"/>
        <v>0</v>
      </c>
      <c r="S44" s="54">
        <f t="shared" si="15"/>
        <v>0</v>
      </c>
      <c r="T44" s="54">
        <f t="shared" si="15"/>
        <v>0</v>
      </c>
      <c r="U44" s="54">
        <f t="shared" si="15"/>
        <v>0</v>
      </c>
      <c r="V44" s="54">
        <f t="shared" si="15"/>
        <v>0</v>
      </c>
      <c r="W44" s="54">
        <f t="shared" si="15"/>
        <v>0</v>
      </c>
      <c r="X44" s="54">
        <f t="shared" si="15"/>
        <v>0</v>
      </c>
      <c r="Y44" s="54">
        <f t="shared" si="15"/>
        <v>0</v>
      </c>
      <c r="Z44" s="54">
        <f t="shared" si="15"/>
        <v>0</v>
      </c>
      <c r="AA44" s="54">
        <f t="shared" si="15"/>
        <v>0</v>
      </c>
      <c r="AB44" s="54">
        <f t="shared" si="15"/>
        <v>0</v>
      </c>
      <c r="AC44" s="54">
        <f t="shared" si="15"/>
        <v>0</v>
      </c>
      <c r="AD44" s="54">
        <f t="shared" si="15"/>
        <v>0</v>
      </c>
      <c r="AE44" s="54">
        <f t="shared" si="15"/>
        <v>0</v>
      </c>
      <c r="AF44" s="54">
        <f t="shared" si="15"/>
        <v>0</v>
      </c>
      <c r="AG44" s="54">
        <f t="shared" si="15"/>
        <v>0</v>
      </c>
      <c r="AH44" s="54">
        <f t="shared" si="15"/>
        <v>0</v>
      </c>
      <c r="AI44" s="54">
        <f t="shared" si="15"/>
        <v>0</v>
      </c>
      <c r="AJ44" s="54">
        <f t="shared" si="15"/>
        <v>0</v>
      </c>
      <c r="AK44" s="54">
        <f t="shared" si="15"/>
        <v>0</v>
      </c>
      <c r="AL44" s="54">
        <f t="shared" si="15"/>
        <v>0</v>
      </c>
      <c r="AM44" s="54">
        <f t="shared" si="15"/>
        <v>0</v>
      </c>
      <c r="AN44" s="54">
        <f t="shared" si="15"/>
        <v>0</v>
      </c>
      <c r="AO44" s="54">
        <f t="shared" si="15"/>
        <v>0</v>
      </c>
      <c r="AP44" s="54">
        <f t="shared" si="15"/>
        <v>0</v>
      </c>
      <c r="AQ44" s="54">
        <f t="shared" si="15"/>
        <v>0</v>
      </c>
      <c r="AR44" s="54">
        <f t="shared" si="15"/>
        <v>0</v>
      </c>
      <c r="AS44" s="54">
        <f t="shared" si="15"/>
        <v>0</v>
      </c>
      <c r="AT44" s="54">
        <f t="shared" si="15"/>
        <v>0</v>
      </c>
      <c r="AU44" s="54">
        <f t="shared" si="15"/>
        <v>0</v>
      </c>
      <c r="AV44" s="54">
        <f t="shared" si="15"/>
        <v>0</v>
      </c>
      <c r="AW44" s="54">
        <f t="shared" si="15"/>
        <v>0</v>
      </c>
      <c r="AX44" s="54">
        <f t="shared" si="15"/>
        <v>0</v>
      </c>
      <c r="AY44" s="54">
        <f t="shared" si="15"/>
        <v>0</v>
      </c>
      <c r="AZ44" s="54">
        <f t="shared" si="15"/>
        <v>0</v>
      </c>
      <c r="BA44" s="54">
        <f t="shared" si="15"/>
        <v>0</v>
      </c>
      <c r="BB44" s="54">
        <f t="shared" si="15"/>
        <v>0</v>
      </c>
      <c r="BC44" s="54">
        <f t="shared" si="15"/>
        <v>0</v>
      </c>
      <c r="BD44" s="54">
        <f t="shared" si="15"/>
        <v>0</v>
      </c>
      <c r="BE44" s="54">
        <f t="shared" si="15"/>
        <v>0</v>
      </c>
      <c r="BF44" s="54">
        <f t="shared" si="15"/>
        <v>0</v>
      </c>
      <c r="BG44" s="54">
        <f t="shared" si="15"/>
        <v>0</v>
      </c>
      <c r="BH44" s="54">
        <f t="shared" si="15"/>
        <v>0</v>
      </c>
      <c r="BI44" s="54">
        <f t="shared" si="15"/>
        <v>0</v>
      </c>
    </row>
    <row r="45" spans="3:61" outlineLevel="1">
      <c r="C45" s="32" t="s">
        <v>109</v>
      </c>
      <c r="D45" s="8" t="s">
        <v>48</v>
      </c>
      <c r="I45" s="59">
        <f t="shared" si="13"/>
        <v>70.846774144889082</v>
      </c>
      <c r="J45" s="84">
        <f>SUM(J43:J44)</f>
        <v>0</v>
      </c>
      <c r="K45" s="84">
        <f t="shared" ref="K45:BI45" si="16">SUM(K43:K44)</f>
        <v>0</v>
      </c>
      <c r="L45" s="84">
        <f t="shared" si="16"/>
        <v>0</v>
      </c>
      <c r="M45" s="84">
        <f t="shared" si="16"/>
        <v>0</v>
      </c>
      <c r="N45" s="84">
        <f t="shared" si="16"/>
        <v>0</v>
      </c>
      <c r="O45" s="84">
        <f t="shared" si="16"/>
        <v>0</v>
      </c>
      <c r="P45" s="84">
        <f t="shared" si="16"/>
        <v>0</v>
      </c>
      <c r="Q45" s="84">
        <f t="shared" si="16"/>
        <v>0</v>
      </c>
      <c r="R45" s="84">
        <f t="shared" si="16"/>
        <v>1.5449999999999999</v>
      </c>
      <c r="S45" s="84">
        <f t="shared" si="16"/>
        <v>1.5449999999999999</v>
      </c>
      <c r="T45" s="84">
        <f t="shared" si="16"/>
        <v>1.5449999999999999</v>
      </c>
      <c r="U45" s="84">
        <f t="shared" si="16"/>
        <v>1.5449999999999999</v>
      </c>
      <c r="V45" s="84">
        <f t="shared" si="16"/>
        <v>1.5913499999999998</v>
      </c>
      <c r="W45" s="84">
        <f t="shared" si="16"/>
        <v>1.5913499999999998</v>
      </c>
      <c r="X45" s="84">
        <f t="shared" si="16"/>
        <v>1.5913499999999998</v>
      </c>
      <c r="Y45" s="84">
        <f t="shared" si="16"/>
        <v>1.5913499999999998</v>
      </c>
      <c r="Z45" s="84">
        <f t="shared" si="16"/>
        <v>1.6390905</v>
      </c>
      <c r="AA45" s="84">
        <f t="shared" si="16"/>
        <v>1.6390905</v>
      </c>
      <c r="AB45" s="84">
        <f t="shared" si="16"/>
        <v>1.6390905</v>
      </c>
      <c r="AC45" s="84">
        <f t="shared" si="16"/>
        <v>1.6390905</v>
      </c>
      <c r="AD45" s="84">
        <f t="shared" si="16"/>
        <v>1.6882632150000001</v>
      </c>
      <c r="AE45" s="84">
        <f t="shared" si="16"/>
        <v>1.6882632150000001</v>
      </c>
      <c r="AF45" s="84">
        <f t="shared" si="16"/>
        <v>1.6882632150000001</v>
      </c>
      <c r="AG45" s="84">
        <f t="shared" si="16"/>
        <v>1.6882632150000001</v>
      </c>
      <c r="AH45" s="84">
        <f t="shared" si="16"/>
        <v>1.7389111114500002</v>
      </c>
      <c r="AI45" s="84">
        <f t="shared" si="16"/>
        <v>1.7389111114500002</v>
      </c>
      <c r="AJ45" s="84">
        <f t="shared" si="16"/>
        <v>1.7389111114500002</v>
      </c>
      <c r="AK45" s="84">
        <f t="shared" si="16"/>
        <v>1.7389111114500002</v>
      </c>
      <c r="AL45" s="84">
        <f t="shared" si="16"/>
        <v>1.7910784447935002</v>
      </c>
      <c r="AM45" s="84">
        <f t="shared" si="16"/>
        <v>1.7910784447935002</v>
      </c>
      <c r="AN45" s="84">
        <f t="shared" si="16"/>
        <v>1.7910784447935002</v>
      </c>
      <c r="AO45" s="84">
        <f t="shared" si="16"/>
        <v>1.7910784447935002</v>
      </c>
      <c r="AP45" s="84">
        <f t="shared" si="16"/>
        <v>1.8448107981373054</v>
      </c>
      <c r="AQ45" s="84">
        <f t="shared" si="16"/>
        <v>1.8448107981373054</v>
      </c>
      <c r="AR45" s="84">
        <f t="shared" si="16"/>
        <v>1.8448107981373054</v>
      </c>
      <c r="AS45" s="84">
        <f t="shared" si="16"/>
        <v>1.8448107981373054</v>
      </c>
      <c r="AT45" s="84">
        <f t="shared" si="16"/>
        <v>1.9001551220814246</v>
      </c>
      <c r="AU45" s="84">
        <f t="shared" si="16"/>
        <v>1.9001551220814246</v>
      </c>
      <c r="AV45" s="84">
        <f t="shared" si="16"/>
        <v>1.9001551220814246</v>
      </c>
      <c r="AW45" s="84">
        <f t="shared" si="16"/>
        <v>1.9001551220814246</v>
      </c>
      <c r="AX45" s="84">
        <f t="shared" si="16"/>
        <v>1.9571597757438672</v>
      </c>
      <c r="AY45" s="84">
        <f t="shared" si="16"/>
        <v>1.9571597757438672</v>
      </c>
      <c r="AZ45" s="84">
        <f t="shared" si="16"/>
        <v>1.9571597757438672</v>
      </c>
      <c r="BA45" s="84">
        <f t="shared" si="16"/>
        <v>1.9571597757438672</v>
      </c>
      <c r="BB45" s="84">
        <f t="shared" si="16"/>
        <v>2.0158745690161832</v>
      </c>
      <c r="BC45" s="84">
        <f t="shared" si="16"/>
        <v>2.0158745690161832</v>
      </c>
      <c r="BD45" s="84">
        <f t="shared" si="16"/>
        <v>2.0158745690161832</v>
      </c>
      <c r="BE45" s="84">
        <f t="shared" si="16"/>
        <v>2.0158745690161832</v>
      </c>
      <c r="BF45" s="84">
        <f t="shared" si="16"/>
        <v>0</v>
      </c>
      <c r="BG45" s="84">
        <f t="shared" si="16"/>
        <v>0</v>
      </c>
      <c r="BH45" s="84">
        <f t="shared" si="16"/>
        <v>0</v>
      </c>
      <c r="BI45" s="84">
        <f t="shared" si="16"/>
        <v>0</v>
      </c>
    </row>
    <row r="46" spans="3:61" outlineLevel="1"/>
    <row r="47" spans="3:61" ht="20.25">
      <c r="C47" s="7" t="s">
        <v>110</v>
      </c>
    </row>
    <row r="48" spans="3:61" outlineLevel="1">
      <c r="C48" t="s">
        <v>111</v>
      </c>
      <c r="D48" s="8" t="s">
        <v>48</v>
      </c>
      <c r="I48" s="46">
        <f>SUM(J48:BI48)</f>
        <v>155327062.98344871</v>
      </c>
      <c r="J48" s="83">
        <f>QCF!J40</f>
        <v>0</v>
      </c>
      <c r="K48" s="83">
        <f>QCF!K40</f>
        <v>0</v>
      </c>
      <c r="L48" s="83">
        <f>QCF!L40</f>
        <v>0</v>
      </c>
      <c r="M48" s="83">
        <f>QCF!M40</f>
        <v>0</v>
      </c>
      <c r="N48" s="83">
        <f>QCF!N40</f>
        <v>0</v>
      </c>
      <c r="O48" s="83">
        <f>QCF!O40</f>
        <v>0</v>
      </c>
      <c r="P48" s="83">
        <f>QCF!P40</f>
        <v>0</v>
      </c>
      <c r="Q48" s="83">
        <f>QCF!Q40</f>
        <v>0</v>
      </c>
      <c r="R48" s="83">
        <f>QCF!R40</f>
        <v>3737495.6966666668</v>
      </c>
      <c r="S48" s="83">
        <f>QCF!S40</f>
        <v>3737495.724791667</v>
      </c>
      <c r="T48" s="83">
        <f>QCF!T40</f>
        <v>3737495.7529166667</v>
      </c>
      <c r="U48" s="83">
        <f>QCF!U40</f>
        <v>3737495.7810416669</v>
      </c>
      <c r="V48" s="83">
        <f>QCF!V40</f>
        <v>3737495.7524000001</v>
      </c>
      <c r="W48" s="83">
        <f>QCF!W40</f>
        <v>3737495.7810458336</v>
      </c>
      <c r="X48" s="83">
        <f>QCF!X40</f>
        <v>3737495.8096916666</v>
      </c>
      <c r="Y48" s="83">
        <f>QCF!Y40</f>
        <v>3737495.8383375001</v>
      </c>
      <c r="Z48" s="83">
        <f>QCF!Z40</f>
        <v>3737495.8192428336</v>
      </c>
      <c r="AA48" s="83">
        <f>QCF!AA40</f>
        <v>3737495.8478886667</v>
      </c>
      <c r="AB48" s="83">
        <f>QCF!AB40</f>
        <v>3737495.8765345002</v>
      </c>
      <c r="AC48" s="83">
        <f>QCF!AC40</f>
        <v>3737495.9051803336</v>
      </c>
      <c r="AD48" s="83">
        <f>QCF!AD40</f>
        <v>3737495.8846534514</v>
      </c>
      <c r="AE48" s="83">
        <f>QCF!AE40</f>
        <v>3737495.9132992849</v>
      </c>
      <c r="AF48" s="83">
        <f>QCF!AF40</f>
        <v>3737495.9419451184</v>
      </c>
      <c r="AG48" s="83">
        <f>QCF!AG40</f>
        <v>3737495.9705909514</v>
      </c>
      <c r="AH48" s="83">
        <f>QCF!AH40</f>
        <v>3756183.4485888882</v>
      </c>
      <c r="AI48" s="83">
        <f>QCF!AI40</f>
        <v>3774964.4147347212</v>
      </c>
      <c r="AJ48" s="83">
        <f>QCF!AJ40</f>
        <v>3793839.2855680538</v>
      </c>
      <c r="AK48" s="83">
        <f>QCF!AK40</f>
        <v>3812808.5306123248</v>
      </c>
      <c r="AL48" s="83">
        <f>QCF!AL40</f>
        <v>3831872.5695712543</v>
      </c>
      <c r="AM48" s="83">
        <f>QCF!AM40</f>
        <v>3851031.9810099187</v>
      </c>
      <c r="AN48" s="83">
        <f>QCF!AN40</f>
        <v>3870287.1893625478</v>
      </c>
      <c r="AO48" s="83">
        <f>QCF!AO40</f>
        <v>3889638.6736137108</v>
      </c>
      <c r="AP48" s="83">
        <f>QCF!AP40</f>
        <v>3909088.9447438796</v>
      </c>
      <c r="AQ48" s="83">
        <f>QCF!AQ40</f>
        <v>3928634.3986916533</v>
      </c>
      <c r="AR48" s="83">
        <f>QCF!AR40</f>
        <v>3948277.5799091654</v>
      </c>
      <c r="AS48" s="83">
        <f>QCF!AS40</f>
        <v>3968018.9770327643</v>
      </c>
      <c r="AT48" s="83">
        <f>QCF!AT40</f>
        <v>3987859.0257976581</v>
      </c>
      <c r="AU48" s="83">
        <f>QCF!AU40</f>
        <v>4007798.3304274217</v>
      </c>
      <c r="AV48" s="83">
        <f>QCF!AV40</f>
        <v>4027837.3315803339</v>
      </c>
      <c r="AW48" s="83">
        <f>QCF!AW40</f>
        <v>4047976.5277390108</v>
      </c>
      <c r="AX48" s="83">
        <f>QCF!AX40</f>
        <v>4068216.3628738276</v>
      </c>
      <c r="AY48" s="83">
        <f>QCF!AY40</f>
        <v>4088557.4544739951</v>
      </c>
      <c r="AZ48" s="83">
        <f>QCF!AZ40</f>
        <v>4109000.2515321635</v>
      </c>
      <c r="BA48" s="83">
        <f>QCF!BA40</f>
        <v>4129545.2625756226</v>
      </c>
      <c r="BB48" s="83">
        <f>QCF!BB40</f>
        <v>4150192.939959506</v>
      </c>
      <c r="BC48" s="83">
        <f>QCF!BC40</f>
        <v>4170943.9147386756</v>
      </c>
      <c r="BD48" s="83">
        <f>QCF!BD40</f>
        <v>4191798.6443917416</v>
      </c>
      <c r="BE48" s="83">
        <f>QCF!BE40</f>
        <v>4212757.6476930724</v>
      </c>
      <c r="BF48" s="83">
        <f>QCF!BF40</f>
        <v>0</v>
      </c>
      <c r="BG48" s="83">
        <f>QCF!BG40</f>
        <v>0</v>
      </c>
      <c r="BH48" s="83">
        <f>QCF!BH40</f>
        <v>0</v>
      </c>
      <c r="BI48" s="83">
        <f>QCF!BI40</f>
        <v>0</v>
      </c>
    </row>
    <row r="49" spans="3:61" outlineLevel="1">
      <c r="C49" t="s">
        <v>33</v>
      </c>
      <c r="D49" s="8" t="s">
        <v>48</v>
      </c>
      <c r="J49" s="83">
        <f>QCF!J46</f>
        <v>0</v>
      </c>
      <c r="K49" s="83">
        <f>QCF!K46</f>
        <v>0</v>
      </c>
      <c r="L49" s="83">
        <f>QCF!L46</f>
        <v>0</v>
      </c>
      <c r="M49" s="83">
        <f>QCF!M46</f>
        <v>0</v>
      </c>
      <c r="N49" s="83">
        <f>QCF!N46</f>
        <v>0</v>
      </c>
      <c r="O49" s="83">
        <f>QCF!O46</f>
        <v>0</v>
      </c>
      <c r="P49" s="83">
        <f>QCF!P46</f>
        <v>0</v>
      </c>
      <c r="Q49" s="83">
        <f>QCF!Q46</f>
        <v>0</v>
      </c>
      <c r="R49" s="83">
        <f>QCF!R46</f>
        <v>0</v>
      </c>
      <c r="S49" s="83">
        <f>QCF!S46</f>
        <v>0</v>
      </c>
      <c r="T49" s="83">
        <f>QCF!T46</f>
        <v>0</v>
      </c>
      <c r="U49" s="83">
        <f>QCF!U46</f>
        <v>0</v>
      </c>
      <c r="V49" s="83">
        <f>QCF!V46</f>
        <v>0</v>
      </c>
      <c r="W49" s="83">
        <f>QCF!W46</f>
        <v>0</v>
      </c>
      <c r="X49" s="83">
        <f>QCF!X46</f>
        <v>0</v>
      </c>
      <c r="Y49" s="83">
        <f>QCF!Y46</f>
        <v>0</v>
      </c>
      <c r="Z49" s="83">
        <f>QCF!Z46</f>
        <v>0</v>
      </c>
      <c r="AA49" s="83">
        <f>QCF!AA46</f>
        <v>0</v>
      </c>
      <c r="AB49" s="83">
        <f>QCF!AB46</f>
        <v>0</v>
      </c>
      <c r="AC49" s="83">
        <f>QCF!AC46</f>
        <v>0</v>
      </c>
      <c r="AD49" s="83">
        <f>QCF!AD46</f>
        <v>0</v>
      </c>
      <c r="AE49" s="83">
        <f>QCF!AE46</f>
        <v>0</v>
      </c>
      <c r="AF49" s="83">
        <f>QCF!AF46</f>
        <v>0</v>
      </c>
      <c r="AG49" s="83">
        <f>QCF!AG46</f>
        <v>0</v>
      </c>
      <c r="AH49" s="83">
        <f>QCF!AH46</f>
        <v>0</v>
      </c>
      <c r="AI49" s="83">
        <f>QCF!AI46</f>
        <v>0</v>
      </c>
      <c r="AJ49" s="83">
        <f>QCF!AJ46</f>
        <v>0</v>
      </c>
      <c r="AK49" s="83">
        <f>QCF!AK46</f>
        <v>0</v>
      </c>
      <c r="AL49" s="83">
        <f>QCF!AL46</f>
        <v>0</v>
      </c>
      <c r="AM49" s="83">
        <f>QCF!AM46</f>
        <v>0</v>
      </c>
      <c r="AN49" s="83">
        <f>QCF!AN46</f>
        <v>0</v>
      </c>
      <c r="AO49" s="83">
        <f>QCF!AO46</f>
        <v>0</v>
      </c>
      <c r="AP49" s="83">
        <f>QCF!AP46</f>
        <v>0</v>
      </c>
      <c r="AQ49" s="83">
        <f>QCF!AQ46</f>
        <v>0</v>
      </c>
      <c r="AR49" s="83">
        <f>QCF!AR46</f>
        <v>0</v>
      </c>
      <c r="AS49" s="83">
        <f>QCF!AS46</f>
        <v>0</v>
      </c>
      <c r="AT49" s="83">
        <f>QCF!AT46</f>
        <v>0</v>
      </c>
      <c r="AU49" s="83">
        <f>QCF!AU46</f>
        <v>0</v>
      </c>
      <c r="AV49" s="83">
        <f>QCF!AV46</f>
        <v>0</v>
      </c>
      <c r="AW49" s="83">
        <f>QCF!AW46</f>
        <v>0</v>
      </c>
      <c r="AX49" s="83">
        <f>QCF!AX46</f>
        <v>0</v>
      </c>
      <c r="AY49" s="83">
        <f>QCF!AY46</f>
        <v>0</v>
      </c>
      <c r="AZ49" s="83">
        <f>QCF!AZ46</f>
        <v>0</v>
      </c>
      <c r="BA49" s="83">
        <f>QCF!BA46</f>
        <v>0</v>
      </c>
      <c r="BB49" s="83">
        <f>QCF!BB46</f>
        <v>0</v>
      </c>
      <c r="BC49" s="83">
        <f>QCF!BC46</f>
        <v>0</v>
      </c>
      <c r="BD49" s="83">
        <f>QCF!BD46</f>
        <v>0</v>
      </c>
      <c r="BE49" s="83">
        <f>QCF!BE46</f>
        <v>0</v>
      </c>
      <c r="BF49" s="83">
        <f>QCF!BF46</f>
        <v>0</v>
      </c>
      <c r="BG49" s="83">
        <f>QCF!BG46</f>
        <v>0</v>
      </c>
      <c r="BH49" s="83">
        <f>QCF!BH46</f>
        <v>0</v>
      </c>
      <c r="BI49" s="83">
        <f>QCF!BI46</f>
        <v>0</v>
      </c>
    </row>
    <row r="50" spans="3:61" outlineLevel="1">
      <c r="C50" t="s">
        <v>110</v>
      </c>
      <c r="D50" s="8" t="s">
        <v>48</v>
      </c>
      <c r="I50" s="46">
        <f>SUM(J50:BI50)</f>
        <v>155327062.98344871</v>
      </c>
      <c r="J50" s="86">
        <f t="shared" ref="J50:AO50" si="17">MAX(J48+J49,0)</f>
        <v>0</v>
      </c>
      <c r="K50" s="86">
        <f t="shared" si="17"/>
        <v>0</v>
      </c>
      <c r="L50" s="86">
        <f t="shared" si="17"/>
        <v>0</v>
      </c>
      <c r="M50" s="86">
        <f t="shared" si="17"/>
        <v>0</v>
      </c>
      <c r="N50" s="86">
        <f t="shared" si="17"/>
        <v>0</v>
      </c>
      <c r="O50" s="86">
        <f t="shared" si="17"/>
        <v>0</v>
      </c>
      <c r="P50" s="86">
        <f t="shared" si="17"/>
        <v>0</v>
      </c>
      <c r="Q50" s="86">
        <f t="shared" si="17"/>
        <v>0</v>
      </c>
      <c r="R50" s="86">
        <f t="shared" si="17"/>
        <v>3737495.6966666668</v>
      </c>
      <c r="S50" s="86">
        <f t="shared" si="17"/>
        <v>3737495.724791667</v>
      </c>
      <c r="T50" s="86">
        <f t="shared" si="17"/>
        <v>3737495.7529166667</v>
      </c>
      <c r="U50" s="86">
        <f t="shared" si="17"/>
        <v>3737495.7810416669</v>
      </c>
      <c r="V50" s="86">
        <f t="shared" si="17"/>
        <v>3737495.7524000001</v>
      </c>
      <c r="W50" s="86">
        <f t="shared" si="17"/>
        <v>3737495.7810458336</v>
      </c>
      <c r="X50" s="86">
        <f t="shared" si="17"/>
        <v>3737495.8096916666</v>
      </c>
      <c r="Y50" s="86">
        <f t="shared" si="17"/>
        <v>3737495.8383375001</v>
      </c>
      <c r="Z50" s="86">
        <f t="shared" si="17"/>
        <v>3737495.8192428336</v>
      </c>
      <c r="AA50" s="86">
        <f t="shared" si="17"/>
        <v>3737495.8478886667</v>
      </c>
      <c r="AB50" s="86">
        <f t="shared" si="17"/>
        <v>3737495.8765345002</v>
      </c>
      <c r="AC50" s="86">
        <f t="shared" si="17"/>
        <v>3737495.9051803336</v>
      </c>
      <c r="AD50" s="86">
        <f t="shared" si="17"/>
        <v>3737495.8846534514</v>
      </c>
      <c r="AE50" s="86">
        <f t="shared" si="17"/>
        <v>3737495.9132992849</v>
      </c>
      <c r="AF50" s="86">
        <f t="shared" si="17"/>
        <v>3737495.9419451184</v>
      </c>
      <c r="AG50" s="86">
        <f t="shared" si="17"/>
        <v>3737495.9705909514</v>
      </c>
      <c r="AH50" s="86">
        <f t="shared" si="17"/>
        <v>3756183.4485888882</v>
      </c>
      <c r="AI50" s="86">
        <f t="shared" si="17"/>
        <v>3774964.4147347212</v>
      </c>
      <c r="AJ50" s="86">
        <f t="shared" si="17"/>
        <v>3793839.2855680538</v>
      </c>
      <c r="AK50" s="86">
        <f t="shared" si="17"/>
        <v>3812808.5306123248</v>
      </c>
      <c r="AL50" s="86">
        <f t="shared" si="17"/>
        <v>3831872.5695712543</v>
      </c>
      <c r="AM50" s="86">
        <f t="shared" si="17"/>
        <v>3851031.9810099187</v>
      </c>
      <c r="AN50" s="86">
        <f t="shared" si="17"/>
        <v>3870287.1893625478</v>
      </c>
      <c r="AO50" s="86">
        <f t="shared" si="17"/>
        <v>3889638.6736137108</v>
      </c>
      <c r="AP50" s="86">
        <f t="shared" ref="AP50:BI50" si="18">MAX(AP48+AP49,0)</f>
        <v>3909088.9447438796</v>
      </c>
      <c r="AQ50" s="86">
        <f t="shared" si="18"/>
        <v>3928634.3986916533</v>
      </c>
      <c r="AR50" s="86">
        <f t="shared" si="18"/>
        <v>3948277.5799091654</v>
      </c>
      <c r="AS50" s="86">
        <f t="shared" si="18"/>
        <v>3968018.9770327643</v>
      </c>
      <c r="AT50" s="86">
        <f t="shared" si="18"/>
        <v>3987859.0257976581</v>
      </c>
      <c r="AU50" s="86">
        <f t="shared" si="18"/>
        <v>4007798.3304274217</v>
      </c>
      <c r="AV50" s="86">
        <f t="shared" si="18"/>
        <v>4027837.3315803339</v>
      </c>
      <c r="AW50" s="86">
        <f t="shared" si="18"/>
        <v>4047976.5277390108</v>
      </c>
      <c r="AX50" s="86">
        <f t="shared" si="18"/>
        <v>4068216.3628738276</v>
      </c>
      <c r="AY50" s="86">
        <f t="shared" si="18"/>
        <v>4088557.4544739951</v>
      </c>
      <c r="AZ50" s="86">
        <f t="shared" si="18"/>
        <v>4109000.2515321635</v>
      </c>
      <c r="BA50" s="86">
        <f t="shared" si="18"/>
        <v>4129545.2625756226</v>
      </c>
      <c r="BB50" s="86">
        <f t="shared" si="18"/>
        <v>4150192.939959506</v>
      </c>
      <c r="BC50" s="86">
        <f t="shared" si="18"/>
        <v>4170943.9147386756</v>
      </c>
      <c r="BD50" s="86">
        <f t="shared" si="18"/>
        <v>4191798.6443917416</v>
      </c>
      <c r="BE50" s="86">
        <f t="shared" si="18"/>
        <v>4212757.6476930724</v>
      </c>
      <c r="BF50" s="86">
        <f t="shared" si="18"/>
        <v>0</v>
      </c>
      <c r="BG50" s="86">
        <f t="shared" si="18"/>
        <v>0</v>
      </c>
      <c r="BH50" s="86">
        <f t="shared" si="18"/>
        <v>0</v>
      </c>
      <c r="BI50" s="86">
        <f t="shared" si="18"/>
        <v>0</v>
      </c>
    </row>
    <row r="51" spans="3:61" outlineLevel="1">
      <c r="D51" s="8"/>
    </row>
    <row r="52" spans="3:61" ht="20.25">
      <c r="C52" s="7" t="s">
        <v>112</v>
      </c>
      <c r="D52" s="8"/>
    </row>
    <row r="53" spans="3:61" outlineLevel="1">
      <c r="C53" t="s">
        <v>25</v>
      </c>
      <c r="D53" s="8" t="s">
        <v>48</v>
      </c>
      <c r="I53" s="46">
        <f>SUM(J53:BI53)</f>
        <v>-13.438098594579204</v>
      </c>
      <c r="J53" s="54">
        <f>-Cons!J31</f>
        <v>0</v>
      </c>
      <c r="K53" s="54">
        <f>-Cons!K31</f>
        <v>0</v>
      </c>
      <c r="L53" s="54">
        <f>-Cons!L31</f>
        <v>0</v>
      </c>
      <c r="M53" s="54">
        <f>-Cons!M31</f>
        <v>0</v>
      </c>
      <c r="N53" s="54">
        <f>-Cons!N31</f>
        <v>0</v>
      </c>
      <c r="O53" s="54">
        <f>-Cons!O31</f>
        <v>0</v>
      </c>
      <c r="P53" s="54">
        <f>-Cons!P31</f>
        <v>-5.1381112485372622</v>
      </c>
      <c r="Q53" s="54">
        <f>-Cons!Q31</f>
        <v>-8.2999873460419415</v>
      </c>
      <c r="R53" s="54">
        <f>-Cons!R31</f>
        <v>0</v>
      </c>
      <c r="S53" s="54">
        <f>-Cons!S31</f>
        <v>0</v>
      </c>
      <c r="T53" s="54">
        <f>-Cons!T31</f>
        <v>0</v>
      </c>
      <c r="U53" s="54">
        <f>-Cons!U31</f>
        <v>0</v>
      </c>
      <c r="V53" s="54">
        <f>-Cons!V31</f>
        <v>0</v>
      </c>
      <c r="W53" s="54">
        <f>-Cons!W31</f>
        <v>0</v>
      </c>
      <c r="X53" s="54">
        <f>-Cons!X31</f>
        <v>0</v>
      </c>
      <c r="Y53" s="54">
        <f>-Cons!Y31</f>
        <v>0</v>
      </c>
      <c r="Z53" s="54">
        <f>-Cons!Z31</f>
        <v>0</v>
      </c>
      <c r="AA53" s="54">
        <f>-Cons!AA31</f>
        <v>0</v>
      </c>
      <c r="AB53" s="54">
        <f>-Cons!AB31</f>
        <v>0</v>
      </c>
      <c r="AC53" s="54">
        <f>-Cons!AC31</f>
        <v>0</v>
      </c>
      <c r="AD53" s="54">
        <f>-Cons!AD31</f>
        <v>0</v>
      </c>
      <c r="AE53" s="54">
        <f>-Cons!AE31</f>
        <v>0</v>
      </c>
      <c r="AF53" s="54">
        <f>-Cons!AF31</f>
        <v>0</v>
      </c>
      <c r="AG53" s="54">
        <f>-Cons!AG31</f>
        <v>0</v>
      </c>
      <c r="AH53" s="54">
        <f>-Cons!AH31</f>
        <v>0</v>
      </c>
      <c r="AI53" s="54">
        <f>-Cons!AI31</f>
        <v>0</v>
      </c>
      <c r="AJ53" s="54">
        <f>-Cons!AJ31</f>
        <v>0</v>
      </c>
      <c r="AK53" s="54">
        <f>-Cons!AK31</f>
        <v>0</v>
      </c>
      <c r="AL53" s="54">
        <f>-Cons!AL31</f>
        <v>0</v>
      </c>
      <c r="AM53" s="54">
        <f>-Cons!AM31</f>
        <v>0</v>
      </c>
      <c r="AN53" s="54">
        <f>-Cons!AN31</f>
        <v>0</v>
      </c>
      <c r="AO53" s="54">
        <f>-Cons!AO31</f>
        <v>0</v>
      </c>
      <c r="AP53" s="54">
        <f>-Cons!AP31</f>
        <v>0</v>
      </c>
      <c r="AQ53" s="54">
        <f>-Cons!AQ31</f>
        <v>0</v>
      </c>
      <c r="AR53" s="54">
        <f>-Cons!AR31</f>
        <v>0</v>
      </c>
      <c r="AS53" s="54">
        <f>-Cons!AS31</f>
        <v>0</v>
      </c>
      <c r="AT53" s="54">
        <f>-Cons!AT31</f>
        <v>0</v>
      </c>
      <c r="AU53" s="54">
        <f>-Cons!AU31</f>
        <v>0</v>
      </c>
      <c r="AV53" s="54">
        <f>-Cons!AV31</f>
        <v>0</v>
      </c>
      <c r="AW53" s="54">
        <f>-Cons!AW31</f>
        <v>0</v>
      </c>
      <c r="AX53" s="54">
        <f>-Cons!AX31</f>
        <v>0</v>
      </c>
      <c r="AY53" s="54">
        <f>-Cons!AY31</f>
        <v>0</v>
      </c>
      <c r="AZ53" s="54">
        <f>-Cons!AZ31</f>
        <v>0</v>
      </c>
      <c r="BA53" s="54">
        <f>-Cons!BA31</f>
        <v>0</v>
      </c>
      <c r="BB53" s="54">
        <f>-Cons!BB31</f>
        <v>0</v>
      </c>
      <c r="BC53" s="54">
        <f>-Cons!BC31</f>
        <v>0</v>
      </c>
      <c r="BD53" s="54">
        <f>-Cons!BD31</f>
        <v>0</v>
      </c>
      <c r="BE53" s="54">
        <f>-Cons!BE31</f>
        <v>0</v>
      </c>
      <c r="BF53" s="54">
        <f>-Cons!BF31</f>
        <v>0</v>
      </c>
      <c r="BG53" s="54">
        <f>-Cons!BG31</f>
        <v>0</v>
      </c>
      <c r="BH53" s="54">
        <f>-Cons!BH31</f>
        <v>0</v>
      </c>
      <c r="BI53" s="54">
        <f>-Cons!BI31</f>
        <v>0</v>
      </c>
    </row>
    <row r="54" spans="3:61" outlineLevel="1">
      <c r="C54" s="32" t="s">
        <v>31</v>
      </c>
      <c r="D54" s="8" t="s">
        <v>48</v>
      </c>
      <c r="I54" s="46">
        <f>SUM(J54:BI54)</f>
        <v>155327062.98344871</v>
      </c>
      <c r="J54" s="44">
        <f t="shared" ref="J54:AO54" si="19">J50</f>
        <v>0</v>
      </c>
      <c r="K54" s="44">
        <f t="shared" si="19"/>
        <v>0</v>
      </c>
      <c r="L54" s="44">
        <f t="shared" si="19"/>
        <v>0</v>
      </c>
      <c r="M54" s="44">
        <f t="shared" si="19"/>
        <v>0</v>
      </c>
      <c r="N54" s="44">
        <f t="shared" si="19"/>
        <v>0</v>
      </c>
      <c r="O54" s="44">
        <f t="shared" si="19"/>
        <v>0</v>
      </c>
      <c r="P54" s="44">
        <f t="shared" si="19"/>
        <v>0</v>
      </c>
      <c r="Q54" s="44">
        <f t="shared" si="19"/>
        <v>0</v>
      </c>
      <c r="R54" s="44">
        <f t="shared" si="19"/>
        <v>3737495.6966666668</v>
      </c>
      <c r="S54" s="44">
        <f t="shared" si="19"/>
        <v>3737495.724791667</v>
      </c>
      <c r="T54" s="44">
        <f t="shared" si="19"/>
        <v>3737495.7529166667</v>
      </c>
      <c r="U54" s="44">
        <f t="shared" si="19"/>
        <v>3737495.7810416669</v>
      </c>
      <c r="V54" s="44">
        <f t="shared" si="19"/>
        <v>3737495.7524000001</v>
      </c>
      <c r="W54" s="44">
        <f t="shared" si="19"/>
        <v>3737495.7810458336</v>
      </c>
      <c r="X54" s="44">
        <f t="shared" si="19"/>
        <v>3737495.8096916666</v>
      </c>
      <c r="Y54" s="44">
        <f t="shared" si="19"/>
        <v>3737495.8383375001</v>
      </c>
      <c r="Z54" s="44">
        <f t="shared" si="19"/>
        <v>3737495.8192428336</v>
      </c>
      <c r="AA54" s="44">
        <f t="shared" si="19"/>
        <v>3737495.8478886667</v>
      </c>
      <c r="AB54" s="44">
        <f t="shared" si="19"/>
        <v>3737495.8765345002</v>
      </c>
      <c r="AC54" s="44">
        <f t="shared" si="19"/>
        <v>3737495.9051803336</v>
      </c>
      <c r="AD54" s="44">
        <f t="shared" si="19"/>
        <v>3737495.8846534514</v>
      </c>
      <c r="AE54" s="44">
        <f t="shared" si="19"/>
        <v>3737495.9132992849</v>
      </c>
      <c r="AF54" s="44">
        <f t="shared" si="19"/>
        <v>3737495.9419451184</v>
      </c>
      <c r="AG54" s="44">
        <f t="shared" si="19"/>
        <v>3737495.9705909514</v>
      </c>
      <c r="AH54" s="44">
        <f t="shared" si="19"/>
        <v>3756183.4485888882</v>
      </c>
      <c r="AI54" s="44">
        <f t="shared" si="19"/>
        <v>3774964.4147347212</v>
      </c>
      <c r="AJ54" s="44">
        <f t="shared" si="19"/>
        <v>3793839.2855680538</v>
      </c>
      <c r="AK54" s="44">
        <f t="shared" si="19"/>
        <v>3812808.5306123248</v>
      </c>
      <c r="AL54" s="44">
        <f t="shared" si="19"/>
        <v>3831872.5695712543</v>
      </c>
      <c r="AM54" s="44">
        <f t="shared" si="19"/>
        <v>3851031.9810099187</v>
      </c>
      <c r="AN54" s="44">
        <f t="shared" si="19"/>
        <v>3870287.1893625478</v>
      </c>
      <c r="AO54" s="44">
        <f t="shared" si="19"/>
        <v>3889638.6736137108</v>
      </c>
      <c r="AP54" s="44">
        <f t="shared" ref="AP54:BI54" si="20">AP50</f>
        <v>3909088.9447438796</v>
      </c>
      <c r="AQ54" s="44">
        <f t="shared" si="20"/>
        <v>3928634.3986916533</v>
      </c>
      <c r="AR54" s="44">
        <f t="shared" si="20"/>
        <v>3948277.5799091654</v>
      </c>
      <c r="AS54" s="44">
        <f t="shared" si="20"/>
        <v>3968018.9770327643</v>
      </c>
      <c r="AT54" s="44">
        <f t="shared" si="20"/>
        <v>3987859.0257976581</v>
      </c>
      <c r="AU54" s="44">
        <f t="shared" si="20"/>
        <v>4007798.3304274217</v>
      </c>
      <c r="AV54" s="44">
        <f t="shared" si="20"/>
        <v>4027837.3315803339</v>
      </c>
      <c r="AW54" s="44">
        <f t="shared" si="20"/>
        <v>4047976.5277390108</v>
      </c>
      <c r="AX54" s="44">
        <f t="shared" si="20"/>
        <v>4068216.3628738276</v>
      </c>
      <c r="AY54" s="44">
        <f t="shared" si="20"/>
        <v>4088557.4544739951</v>
      </c>
      <c r="AZ54" s="44">
        <f t="shared" si="20"/>
        <v>4109000.2515321635</v>
      </c>
      <c r="BA54" s="44">
        <f t="shared" si="20"/>
        <v>4129545.2625756226</v>
      </c>
      <c r="BB54" s="44">
        <f t="shared" si="20"/>
        <v>4150192.939959506</v>
      </c>
      <c r="BC54" s="44">
        <f t="shared" si="20"/>
        <v>4170943.9147386756</v>
      </c>
      <c r="BD54" s="44">
        <f t="shared" si="20"/>
        <v>4191798.6443917416</v>
      </c>
      <c r="BE54" s="44">
        <f t="shared" si="20"/>
        <v>4212757.6476930724</v>
      </c>
      <c r="BF54" s="44">
        <f t="shared" si="20"/>
        <v>0</v>
      </c>
      <c r="BG54" s="44">
        <f t="shared" si="20"/>
        <v>0</v>
      </c>
      <c r="BH54" s="44">
        <f t="shared" si="20"/>
        <v>0</v>
      </c>
      <c r="BI54" s="44">
        <f t="shared" si="20"/>
        <v>0</v>
      </c>
    </row>
    <row r="55" spans="3:61" outlineLevel="1">
      <c r="C55" s="32" t="s">
        <v>32</v>
      </c>
      <c r="D55" s="8" t="s">
        <v>48</v>
      </c>
      <c r="I55" s="46">
        <f>SUM(J55:BI55)</f>
        <v>155327049.54535013</v>
      </c>
      <c r="J55" s="84">
        <f t="shared" ref="J55:AO55" si="21">SUM(J53:J54)</f>
        <v>0</v>
      </c>
      <c r="K55" s="84">
        <f t="shared" si="21"/>
        <v>0</v>
      </c>
      <c r="L55" s="84">
        <f t="shared" si="21"/>
        <v>0</v>
      </c>
      <c r="M55" s="84">
        <f t="shared" si="21"/>
        <v>0</v>
      </c>
      <c r="N55" s="84">
        <f t="shared" si="21"/>
        <v>0</v>
      </c>
      <c r="O55" s="84">
        <f t="shared" si="21"/>
        <v>0</v>
      </c>
      <c r="P55" s="84">
        <f t="shared" si="21"/>
        <v>-5.1381112485372622</v>
      </c>
      <c r="Q55" s="84">
        <f t="shared" si="21"/>
        <v>-8.2999873460419415</v>
      </c>
      <c r="R55" s="84">
        <f t="shared" si="21"/>
        <v>3737495.6966666668</v>
      </c>
      <c r="S55" s="84">
        <f t="shared" si="21"/>
        <v>3737495.724791667</v>
      </c>
      <c r="T55" s="84">
        <f t="shared" si="21"/>
        <v>3737495.7529166667</v>
      </c>
      <c r="U55" s="84">
        <f t="shared" si="21"/>
        <v>3737495.7810416669</v>
      </c>
      <c r="V55" s="84">
        <f t="shared" si="21"/>
        <v>3737495.7524000001</v>
      </c>
      <c r="W55" s="84">
        <f t="shared" si="21"/>
        <v>3737495.7810458336</v>
      </c>
      <c r="X55" s="84">
        <f t="shared" si="21"/>
        <v>3737495.8096916666</v>
      </c>
      <c r="Y55" s="84">
        <f t="shared" si="21"/>
        <v>3737495.8383375001</v>
      </c>
      <c r="Z55" s="84">
        <f t="shared" si="21"/>
        <v>3737495.8192428336</v>
      </c>
      <c r="AA55" s="84">
        <f t="shared" si="21"/>
        <v>3737495.8478886667</v>
      </c>
      <c r="AB55" s="84">
        <f t="shared" si="21"/>
        <v>3737495.8765345002</v>
      </c>
      <c r="AC55" s="84">
        <f t="shared" si="21"/>
        <v>3737495.9051803336</v>
      </c>
      <c r="AD55" s="84">
        <f t="shared" si="21"/>
        <v>3737495.8846534514</v>
      </c>
      <c r="AE55" s="84">
        <f t="shared" si="21"/>
        <v>3737495.9132992849</v>
      </c>
      <c r="AF55" s="84">
        <f t="shared" si="21"/>
        <v>3737495.9419451184</v>
      </c>
      <c r="AG55" s="84">
        <f t="shared" si="21"/>
        <v>3737495.9705909514</v>
      </c>
      <c r="AH55" s="84">
        <f t="shared" si="21"/>
        <v>3756183.4485888882</v>
      </c>
      <c r="AI55" s="84">
        <f t="shared" si="21"/>
        <v>3774964.4147347212</v>
      </c>
      <c r="AJ55" s="84">
        <f t="shared" si="21"/>
        <v>3793839.2855680538</v>
      </c>
      <c r="AK55" s="84">
        <f t="shared" si="21"/>
        <v>3812808.5306123248</v>
      </c>
      <c r="AL55" s="84">
        <f t="shared" si="21"/>
        <v>3831872.5695712543</v>
      </c>
      <c r="AM55" s="84">
        <f t="shared" si="21"/>
        <v>3851031.9810099187</v>
      </c>
      <c r="AN55" s="84">
        <f t="shared" si="21"/>
        <v>3870287.1893625478</v>
      </c>
      <c r="AO55" s="84">
        <f t="shared" si="21"/>
        <v>3889638.6736137108</v>
      </c>
      <c r="AP55" s="84">
        <f t="shared" ref="AP55:BI55" si="22">SUM(AP53:AP54)</f>
        <v>3909088.9447438796</v>
      </c>
      <c r="AQ55" s="84">
        <f t="shared" si="22"/>
        <v>3928634.3986916533</v>
      </c>
      <c r="AR55" s="84">
        <f t="shared" si="22"/>
        <v>3948277.5799091654</v>
      </c>
      <c r="AS55" s="84">
        <f t="shared" si="22"/>
        <v>3968018.9770327643</v>
      </c>
      <c r="AT55" s="84">
        <f t="shared" si="22"/>
        <v>3987859.0257976581</v>
      </c>
      <c r="AU55" s="84">
        <f t="shared" si="22"/>
        <v>4007798.3304274217</v>
      </c>
      <c r="AV55" s="84">
        <f t="shared" si="22"/>
        <v>4027837.3315803339</v>
      </c>
      <c r="AW55" s="84">
        <f t="shared" si="22"/>
        <v>4047976.5277390108</v>
      </c>
      <c r="AX55" s="84">
        <f t="shared" si="22"/>
        <v>4068216.3628738276</v>
      </c>
      <c r="AY55" s="84">
        <f t="shared" si="22"/>
        <v>4088557.4544739951</v>
      </c>
      <c r="AZ55" s="84">
        <f t="shared" si="22"/>
        <v>4109000.2515321635</v>
      </c>
      <c r="BA55" s="84">
        <f t="shared" si="22"/>
        <v>4129545.2625756226</v>
      </c>
      <c r="BB55" s="84">
        <f t="shared" si="22"/>
        <v>4150192.939959506</v>
      </c>
      <c r="BC55" s="84">
        <f t="shared" si="22"/>
        <v>4170943.9147386756</v>
      </c>
      <c r="BD55" s="84">
        <f t="shared" si="22"/>
        <v>4191798.6443917416</v>
      </c>
      <c r="BE55" s="84">
        <f t="shared" si="22"/>
        <v>4212757.6476930724</v>
      </c>
      <c r="BF55" s="84">
        <f t="shared" si="22"/>
        <v>0</v>
      </c>
      <c r="BG55" s="84">
        <f t="shared" si="22"/>
        <v>0</v>
      </c>
      <c r="BH55" s="84">
        <f t="shared" si="22"/>
        <v>0</v>
      </c>
      <c r="BI55" s="84">
        <f t="shared" si="22"/>
        <v>0</v>
      </c>
    </row>
    <row r="56" spans="3:61" outlineLevel="1">
      <c r="D56" s="8"/>
    </row>
    <row r="57" spans="3:61" outlineLevel="1">
      <c r="C57" t="s">
        <v>113</v>
      </c>
      <c r="D57" s="8" t="s">
        <v>48</v>
      </c>
      <c r="I57" s="67">
        <f>-0.00001</f>
        <v>-1.0000000000000001E-5</v>
      </c>
      <c r="J57" s="54">
        <f t="shared" ref="J57:AO57" si="23">J55</f>
        <v>0</v>
      </c>
      <c r="K57" s="54">
        <f t="shared" si="23"/>
        <v>0</v>
      </c>
      <c r="L57" s="54">
        <f t="shared" si="23"/>
        <v>0</v>
      </c>
      <c r="M57" s="54">
        <f t="shared" si="23"/>
        <v>0</v>
      </c>
      <c r="N57" s="54">
        <f t="shared" si="23"/>
        <v>0</v>
      </c>
      <c r="O57" s="54">
        <f t="shared" si="23"/>
        <v>0</v>
      </c>
      <c r="P57" s="54">
        <f t="shared" si="23"/>
        <v>-5.1381112485372622</v>
      </c>
      <c r="Q57" s="54">
        <f t="shared" si="23"/>
        <v>-8.2999873460419415</v>
      </c>
      <c r="R57" s="54">
        <f t="shared" si="23"/>
        <v>3737495.6966666668</v>
      </c>
      <c r="S57" s="54">
        <f t="shared" si="23"/>
        <v>3737495.724791667</v>
      </c>
      <c r="T57" s="54">
        <f t="shared" si="23"/>
        <v>3737495.7529166667</v>
      </c>
      <c r="U57" s="54">
        <f t="shared" si="23"/>
        <v>3737495.7810416669</v>
      </c>
      <c r="V57" s="54">
        <f t="shared" si="23"/>
        <v>3737495.7524000001</v>
      </c>
      <c r="W57" s="54">
        <f t="shared" si="23"/>
        <v>3737495.7810458336</v>
      </c>
      <c r="X57" s="54">
        <f t="shared" si="23"/>
        <v>3737495.8096916666</v>
      </c>
      <c r="Y57" s="54">
        <f t="shared" si="23"/>
        <v>3737495.8383375001</v>
      </c>
      <c r="Z57" s="54">
        <f t="shared" si="23"/>
        <v>3737495.8192428336</v>
      </c>
      <c r="AA57" s="54">
        <f t="shared" si="23"/>
        <v>3737495.8478886667</v>
      </c>
      <c r="AB57" s="54">
        <f t="shared" si="23"/>
        <v>3737495.8765345002</v>
      </c>
      <c r="AC57" s="54">
        <f t="shared" si="23"/>
        <v>3737495.9051803336</v>
      </c>
      <c r="AD57" s="54">
        <f t="shared" si="23"/>
        <v>3737495.8846534514</v>
      </c>
      <c r="AE57" s="54">
        <f t="shared" si="23"/>
        <v>3737495.9132992849</v>
      </c>
      <c r="AF57" s="54">
        <f t="shared" si="23"/>
        <v>3737495.9419451184</v>
      </c>
      <c r="AG57" s="54">
        <f t="shared" si="23"/>
        <v>3737495.9705909514</v>
      </c>
      <c r="AH57" s="54">
        <f t="shared" si="23"/>
        <v>3756183.4485888882</v>
      </c>
      <c r="AI57" s="54">
        <f t="shared" si="23"/>
        <v>3774964.4147347212</v>
      </c>
      <c r="AJ57" s="54">
        <f t="shared" si="23"/>
        <v>3793839.2855680538</v>
      </c>
      <c r="AK57" s="54">
        <f t="shared" si="23"/>
        <v>3812808.5306123248</v>
      </c>
      <c r="AL57" s="54">
        <f t="shared" si="23"/>
        <v>3831872.5695712543</v>
      </c>
      <c r="AM57" s="54">
        <f t="shared" si="23"/>
        <v>3851031.9810099187</v>
      </c>
      <c r="AN57" s="54">
        <f t="shared" si="23"/>
        <v>3870287.1893625478</v>
      </c>
      <c r="AO57" s="54">
        <f t="shared" si="23"/>
        <v>3889638.6736137108</v>
      </c>
      <c r="AP57" s="54">
        <f t="shared" ref="AP57:BI57" si="24">AP55</f>
        <v>3909088.9447438796</v>
      </c>
      <c r="AQ57" s="54">
        <f t="shared" si="24"/>
        <v>3928634.3986916533</v>
      </c>
      <c r="AR57" s="54">
        <f t="shared" si="24"/>
        <v>3948277.5799091654</v>
      </c>
      <c r="AS57" s="54">
        <f t="shared" si="24"/>
        <v>3968018.9770327643</v>
      </c>
      <c r="AT57" s="54">
        <f t="shared" si="24"/>
        <v>3987859.0257976581</v>
      </c>
      <c r="AU57" s="54">
        <f t="shared" si="24"/>
        <v>4007798.3304274217</v>
      </c>
      <c r="AV57" s="54">
        <f t="shared" si="24"/>
        <v>4027837.3315803339</v>
      </c>
      <c r="AW57" s="54">
        <f t="shared" si="24"/>
        <v>4047976.5277390108</v>
      </c>
      <c r="AX57" s="54">
        <f t="shared" si="24"/>
        <v>4068216.3628738276</v>
      </c>
      <c r="AY57" s="54">
        <f t="shared" si="24"/>
        <v>4088557.4544739951</v>
      </c>
      <c r="AZ57" s="54">
        <f t="shared" si="24"/>
        <v>4109000.2515321635</v>
      </c>
      <c r="BA57" s="54">
        <f t="shared" si="24"/>
        <v>4129545.2625756226</v>
      </c>
      <c r="BB57" s="54">
        <f t="shared" si="24"/>
        <v>4150192.939959506</v>
      </c>
      <c r="BC57" s="54">
        <f t="shared" si="24"/>
        <v>4170943.9147386756</v>
      </c>
      <c r="BD57" s="54">
        <f t="shared" si="24"/>
        <v>4191798.6443917416</v>
      </c>
      <c r="BE57" s="54">
        <f t="shared" si="24"/>
        <v>4212757.6476930724</v>
      </c>
      <c r="BF57" s="54">
        <f t="shared" si="24"/>
        <v>0</v>
      </c>
      <c r="BG57" s="54">
        <f t="shared" si="24"/>
        <v>0</v>
      </c>
      <c r="BH57" s="54">
        <f t="shared" si="24"/>
        <v>0</v>
      </c>
      <c r="BI57" s="54">
        <f t="shared" si="24"/>
        <v>0</v>
      </c>
    </row>
    <row r="58" spans="3:61" outlineLevel="1">
      <c r="D58" s="8"/>
    </row>
    <row r="59" spans="3:61" outlineLevel="1">
      <c r="C59" t="s">
        <v>114</v>
      </c>
      <c r="D59" s="8" t="s">
        <v>70</v>
      </c>
      <c r="I59" s="48">
        <f>XIRR(I57:BI57,I5:BI5)</f>
        <v>142920.29453125002</v>
      </c>
    </row>
    <row r="60" spans="3:61" outlineLevel="1"/>
  </sheetData>
  <conditionalFormatting sqref="J6:BI6">
    <cfRule type="cellIs" dxfId="6" priority="2" operator="equal">
      <formula>1</formula>
    </cfRule>
  </conditionalFormatting>
  <conditionalFormatting sqref="J7:BI7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58595B"/>
    <outlinePr summaryBelow="0" summaryRight="0"/>
  </sheetPr>
  <dimension ref="A1:BI46"/>
  <sheetViews>
    <sheetView zoomScaleNormal="100" workbookViewId="0">
      <pane xSplit="9" ySplit="7" topLeftCell="J8" activePane="bottomRight" state="frozen"/>
      <selection pane="bottomRight" activeCell="J28" sqref="J28"/>
      <selection pane="bottomLeft" activeCell="A3" sqref="A3"/>
      <selection pane="topRight" activeCell="A3" sqref="A3"/>
    </sheetView>
  </sheetViews>
  <sheetFormatPr defaultColWidth="0" defaultRowHeight="12.75" outlineLevelRow="1"/>
  <cols>
    <col min="1" max="2" width="2.7109375" customWidth="1"/>
    <col min="3" max="3" width="36" customWidth="1"/>
    <col min="4" max="4" width="11" customWidth="1"/>
    <col min="5" max="6" width="9.42578125" customWidth="1"/>
    <col min="7" max="8" width="1.7109375" customWidth="1"/>
    <col min="9" max="9" width="10.28515625" customWidth="1"/>
    <col min="10" max="61" width="9.7109375" customWidth="1"/>
    <col min="62" max="62" width="1.7109375" customWidth="1"/>
  </cols>
  <sheetData>
    <row r="1" spans="1:61" ht="23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</row>
    <row r="4" spans="1:61">
      <c r="A4" t="str">
        <f>Timing!A4</f>
        <v>Period Start</v>
      </c>
      <c r="J4" s="6">
        <f>Timing!J4</f>
        <v>40909</v>
      </c>
      <c r="K4" s="6">
        <f>Timing!K4</f>
        <v>41000</v>
      </c>
      <c r="L4" s="6">
        <f>Timing!L4</f>
        <v>41091</v>
      </c>
      <c r="M4" s="6">
        <f>Timing!M4</f>
        <v>41183</v>
      </c>
      <c r="N4" s="6">
        <f>Timing!N4</f>
        <v>41275</v>
      </c>
      <c r="O4" s="6">
        <f>Timing!O4</f>
        <v>41365</v>
      </c>
      <c r="P4" s="6">
        <f>Timing!P4</f>
        <v>41456</v>
      </c>
      <c r="Q4" s="6">
        <f>Timing!Q4</f>
        <v>41548</v>
      </c>
      <c r="R4" s="6">
        <f>Timing!R4</f>
        <v>41640</v>
      </c>
      <c r="S4" s="6">
        <f>Timing!S4</f>
        <v>41730</v>
      </c>
      <c r="T4" s="6">
        <f>Timing!T4</f>
        <v>41821</v>
      </c>
      <c r="U4" s="6">
        <f>Timing!U4</f>
        <v>41913</v>
      </c>
      <c r="V4" s="6">
        <f>Timing!V4</f>
        <v>42005</v>
      </c>
      <c r="W4" s="6">
        <f>Timing!W4</f>
        <v>42095</v>
      </c>
      <c r="X4" s="6">
        <f>Timing!X4</f>
        <v>42186</v>
      </c>
      <c r="Y4" s="6">
        <f>Timing!Y4</f>
        <v>42278</v>
      </c>
      <c r="Z4" s="6">
        <f>Timing!Z4</f>
        <v>42370</v>
      </c>
      <c r="AA4" s="6">
        <f>Timing!AA4</f>
        <v>42461</v>
      </c>
      <c r="AB4" s="6">
        <f>Timing!AB4</f>
        <v>42552</v>
      </c>
      <c r="AC4" s="6">
        <f>Timing!AC4</f>
        <v>42644</v>
      </c>
      <c r="AD4" s="6">
        <f>Timing!AD4</f>
        <v>42736</v>
      </c>
      <c r="AE4" s="6">
        <f>Timing!AE4</f>
        <v>42826</v>
      </c>
      <c r="AF4" s="6">
        <f>Timing!AF4</f>
        <v>42917</v>
      </c>
      <c r="AG4" s="6">
        <f>Timing!AG4</f>
        <v>43009</v>
      </c>
      <c r="AH4" s="6">
        <f>Timing!AH4</f>
        <v>43101</v>
      </c>
      <c r="AI4" s="6">
        <f>Timing!AI4</f>
        <v>43191</v>
      </c>
      <c r="AJ4" s="6">
        <f>Timing!AJ4</f>
        <v>43282</v>
      </c>
      <c r="AK4" s="6">
        <f>Timing!AK4</f>
        <v>43374</v>
      </c>
      <c r="AL4" s="6">
        <f>Timing!AL4</f>
        <v>43466</v>
      </c>
      <c r="AM4" s="6">
        <f>Timing!AM4</f>
        <v>43556</v>
      </c>
      <c r="AN4" s="6">
        <f>Timing!AN4</f>
        <v>43647</v>
      </c>
      <c r="AO4" s="6">
        <f>Timing!AO4</f>
        <v>43739</v>
      </c>
      <c r="AP4" s="6">
        <f>Timing!AP4</f>
        <v>43831</v>
      </c>
      <c r="AQ4" s="6">
        <f>Timing!AQ4</f>
        <v>43922</v>
      </c>
      <c r="AR4" s="6">
        <f>Timing!AR4</f>
        <v>44013</v>
      </c>
      <c r="AS4" s="6">
        <f>Timing!AS4</f>
        <v>44105</v>
      </c>
      <c r="AT4" s="6">
        <f>Timing!AT4</f>
        <v>44197</v>
      </c>
      <c r="AU4" s="6">
        <f>Timing!AU4</f>
        <v>44287</v>
      </c>
      <c r="AV4" s="6">
        <f>Timing!AV4</f>
        <v>44378</v>
      </c>
      <c r="AW4" s="6">
        <f>Timing!AW4</f>
        <v>44470</v>
      </c>
      <c r="AX4" s="6">
        <f>Timing!AX4</f>
        <v>44562</v>
      </c>
      <c r="AY4" s="6">
        <f>Timing!AY4</f>
        <v>44652</v>
      </c>
      <c r="AZ4" s="6">
        <f>Timing!AZ4</f>
        <v>44743</v>
      </c>
      <c r="BA4" s="6">
        <f>Timing!BA4</f>
        <v>44835</v>
      </c>
      <c r="BB4" s="6">
        <f>Timing!BB4</f>
        <v>44927</v>
      </c>
      <c r="BC4" s="6">
        <f>Timing!BC4</f>
        <v>45017</v>
      </c>
      <c r="BD4" s="6">
        <f>Timing!BD4</f>
        <v>45108</v>
      </c>
      <c r="BE4" s="6">
        <f>Timing!BE4</f>
        <v>45200</v>
      </c>
      <c r="BF4" s="6">
        <f>Timing!BF4</f>
        <v>45292</v>
      </c>
      <c r="BG4" s="6">
        <f>Timing!BG4</f>
        <v>45383</v>
      </c>
      <c r="BH4" s="6">
        <f>Timing!BH4</f>
        <v>45474</v>
      </c>
      <c r="BI4" s="6">
        <f>Timing!BI4</f>
        <v>45566</v>
      </c>
    </row>
    <row r="5" spans="1:61">
      <c r="A5" t="str">
        <f>Timing!A5</f>
        <v>Period End</v>
      </c>
      <c r="I5" s="38">
        <f>Timing!I5</f>
        <v>40908</v>
      </c>
      <c r="J5" s="37">
        <f>Timing!J5</f>
        <v>40999</v>
      </c>
      <c r="K5" s="37">
        <f>Timing!K5</f>
        <v>41090</v>
      </c>
      <c r="L5" s="37">
        <f>Timing!L5</f>
        <v>41182</v>
      </c>
      <c r="M5" s="37">
        <f>Timing!M5</f>
        <v>41274</v>
      </c>
      <c r="N5" s="37">
        <f>Timing!N5</f>
        <v>41364</v>
      </c>
      <c r="O5" s="37">
        <f>Timing!O5</f>
        <v>41455</v>
      </c>
      <c r="P5" s="37">
        <f>Timing!P5</f>
        <v>41547</v>
      </c>
      <c r="Q5" s="37">
        <f>Timing!Q5</f>
        <v>41639</v>
      </c>
      <c r="R5" s="37">
        <f>Timing!R5</f>
        <v>41729</v>
      </c>
      <c r="S5" s="37">
        <f>Timing!S5</f>
        <v>41820</v>
      </c>
      <c r="T5" s="37">
        <f>Timing!T5</f>
        <v>41912</v>
      </c>
      <c r="U5" s="37">
        <f>Timing!U5</f>
        <v>42004</v>
      </c>
      <c r="V5" s="37">
        <f>Timing!V5</f>
        <v>42094</v>
      </c>
      <c r="W5" s="37">
        <f>Timing!W5</f>
        <v>42185</v>
      </c>
      <c r="X5" s="37">
        <f>Timing!X5</f>
        <v>42277</v>
      </c>
      <c r="Y5" s="37">
        <f>Timing!Y5</f>
        <v>42369</v>
      </c>
      <c r="Z5" s="37">
        <f>Timing!Z5</f>
        <v>42460</v>
      </c>
      <c r="AA5" s="37">
        <f>Timing!AA5</f>
        <v>42551</v>
      </c>
      <c r="AB5" s="37">
        <f>Timing!AB5</f>
        <v>42643</v>
      </c>
      <c r="AC5" s="37">
        <f>Timing!AC5</f>
        <v>42735</v>
      </c>
      <c r="AD5" s="37">
        <f>Timing!AD5</f>
        <v>42825</v>
      </c>
      <c r="AE5" s="37">
        <f>Timing!AE5</f>
        <v>42916</v>
      </c>
      <c r="AF5" s="37">
        <f>Timing!AF5</f>
        <v>43008</v>
      </c>
      <c r="AG5" s="37">
        <f>Timing!AG5</f>
        <v>43100</v>
      </c>
      <c r="AH5" s="37">
        <f>Timing!AH5</f>
        <v>43190</v>
      </c>
      <c r="AI5" s="37">
        <f>Timing!AI5</f>
        <v>43281</v>
      </c>
      <c r="AJ5" s="37">
        <f>Timing!AJ5</f>
        <v>43373</v>
      </c>
      <c r="AK5" s="37">
        <f>Timing!AK5</f>
        <v>43465</v>
      </c>
      <c r="AL5" s="37">
        <f>Timing!AL5</f>
        <v>43555</v>
      </c>
      <c r="AM5" s="37">
        <f>Timing!AM5</f>
        <v>43646</v>
      </c>
      <c r="AN5" s="37">
        <f>Timing!AN5</f>
        <v>43738</v>
      </c>
      <c r="AO5" s="37">
        <f>Timing!AO5</f>
        <v>43830</v>
      </c>
      <c r="AP5" s="37">
        <f>Timing!AP5</f>
        <v>43921</v>
      </c>
      <c r="AQ5" s="37">
        <f>Timing!AQ5</f>
        <v>44012</v>
      </c>
      <c r="AR5" s="37">
        <f>Timing!AR5</f>
        <v>44104</v>
      </c>
      <c r="AS5" s="37">
        <f>Timing!AS5</f>
        <v>44196</v>
      </c>
      <c r="AT5" s="37">
        <f>Timing!AT5</f>
        <v>44286</v>
      </c>
      <c r="AU5" s="37">
        <f>Timing!AU5</f>
        <v>44377</v>
      </c>
      <c r="AV5" s="37">
        <f>Timing!AV5</f>
        <v>44469</v>
      </c>
      <c r="AW5" s="37">
        <f>Timing!AW5</f>
        <v>44561</v>
      </c>
      <c r="AX5" s="37">
        <f>Timing!AX5</f>
        <v>44651</v>
      </c>
      <c r="AY5" s="37">
        <f>Timing!AY5</f>
        <v>44742</v>
      </c>
      <c r="AZ5" s="37">
        <f>Timing!AZ5</f>
        <v>44834</v>
      </c>
      <c r="BA5" s="37">
        <f>Timing!BA5</f>
        <v>44926</v>
      </c>
      <c r="BB5" s="37">
        <f>Timing!BB5</f>
        <v>45016</v>
      </c>
      <c r="BC5" s="37">
        <f>Timing!BC5</f>
        <v>45107</v>
      </c>
      <c r="BD5" s="37">
        <f>Timing!BD5</f>
        <v>45199</v>
      </c>
      <c r="BE5" s="37">
        <f>Timing!BE5</f>
        <v>45291</v>
      </c>
      <c r="BF5" s="37">
        <f>Timing!BF5</f>
        <v>45382</v>
      </c>
      <c r="BG5" s="37">
        <f>Timing!BG5</f>
        <v>45473</v>
      </c>
      <c r="BH5" s="37">
        <f>Timing!BH5</f>
        <v>45565</v>
      </c>
      <c r="BI5" s="37">
        <f>Timing!BI5</f>
        <v>45657</v>
      </c>
    </row>
    <row r="6" spans="1:61">
      <c r="A6" t="str">
        <f>Timing!A6</f>
        <v>Construction</v>
      </c>
      <c r="J6" s="39">
        <f>Timing!J6</f>
        <v>1</v>
      </c>
      <c r="K6" s="39">
        <f>Timing!K6</f>
        <v>1</v>
      </c>
      <c r="L6" s="39">
        <f>Timing!L6</f>
        <v>1</v>
      </c>
      <c r="M6" s="39">
        <f>Timing!M6</f>
        <v>1</v>
      </c>
      <c r="N6" s="39">
        <f>Timing!N6</f>
        <v>1</v>
      </c>
      <c r="O6" s="39">
        <f>Timing!O6</f>
        <v>1</v>
      </c>
      <c r="P6" s="39">
        <f>Timing!P6</f>
        <v>1</v>
      </c>
      <c r="Q6" s="39">
        <f>Timing!Q6</f>
        <v>1</v>
      </c>
      <c r="R6" s="39">
        <f>Timing!R6</f>
        <v>0</v>
      </c>
      <c r="S6" s="39">
        <f>Timing!S6</f>
        <v>0</v>
      </c>
      <c r="T6" s="39">
        <f>Timing!T6</f>
        <v>0</v>
      </c>
      <c r="U6" s="39">
        <f>Timing!U6</f>
        <v>0</v>
      </c>
      <c r="V6" s="39">
        <f>Timing!V6</f>
        <v>0</v>
      </c>
      <c r="W6" s="39">
        <f>Timing!W6</f>
        <v>0</v>
      </c>
      <c r="X6" s="39">
        <f>Timing!X6</f>
        <v>0</v>
      </c>
      <c r="Y6" s="39">
        <f>Timing!Y6</f>
        <v>0</v>
      </c>
      <c r="Z6" s="39">
        <f>Timing!Z6</f>
        <v>0</v>
      </c>
      <c r="AA6" s="39">
        <f>Timing!AA6</f>
        <v>0</v>
      </c>
      <c r="AB6" s="39">
        <f>Timing!AB6</f>
        <v>0</v>
      </c>
      <c r="AC6" s="39">
        <f>Timing!AC6</f>
        <v>0</v>
      </c>
      <c r="AD6" s="39">
        <f>Timing!AD6</f>
        <v>0</v>
      </c>
      <c r="AE6" s="39">
        <f>Timing!AE6</f>
        <v>0</v>
      </c>
      <c r="AF6" s="39">
        <f>Timing!AF6</f>
        <v>0</v>
      </c>
      <c r="AG6" s="39">
        <f>Timing!AG6</f>
        <v>0</v>
      </c>
      <c r="AH6" s="39">
        <f>Timing!AH6</f>
        <v>0</v>
      </c>
      <c r="AI6" s="39">
        <f>Timing!AI6</f>
        <v>0</v>
      </c>
      <c r="AJ6" s="39">
        <f>Timing!AJ6</f>
        <v>0</v>
      </c>
      <c r="AK6" s="39">
        <f>Timing!AK6</f>
        <v>0</v>
      </c>
      <c r="AL6" s="39">
        <f>Timing!AL6</f>
        <v>0</v>
      </c>
      <c r="AM6" s="39">
        <f>Timing!AM6</f>
        <v>0</v>
      </c>
      <c r="AN6" s="39">
        <f>Timing!AN6</f>
        <v>0</v>
      </c>
      <c r="AO6" s="39">
        <f>Timing!AO6</f>
        <v>0</v>
      </c>
      <c r="AP6" s="39">
        <f>Timing!AP6</f>
        <v>0</v>
      </c>
      <c r="AQ6" s="39">
        <f>Timing!AQ6</f>
        <v>0</v>
      </c>
      <c r="AR6" s="39">
        <f>Timing!AR6</f>
        <v>0</v>
      </c>
      <c r="AS6" s="39">
        <f>Timing!AS6</f>
        <v>0</v>
      </c>
      <c r="AT6" s="39">
        <f>Timing!AT6</f>
        <v>0</v>
      </c>
      <c r="AU6" s="39">
        <f>Timing!AU6</f>
        <v>0</v>
      </c>
      <c r="AV6" s="39">
        <f>Timing!AV6</f>
        <v>0</v>
      </c>
      <c r="AW6" s="39">
        <f>Timing!AW6</f>
        <v>0</v>
      </c>
      <c r="AX6" s="39">
        <f>Timing!AX6</f>
        <v>0</v>
      </c>
      <c r="AY6" s="39">
        <f>Timing!AY6</f>
        <v>0</v>
      </c>
      <c r="AZ6" s="39">
        <f>Timing!AZ6</f>
        <v>0</v>
      </c>
      <c r="BA6" s="39">
        <f>Timing!BA6</f>
        <v>0</v>
      </c>
      <c r="BB6" s="39">
        <f>Timing!BB6</f>
        <v>0</v>
      </c>
      <c r="BC6" s="39">
        <f>Timing!BC6</f>
        <v>0</v>
      </c>
      <c r="BD6" s="39">
        <f>Timing!BD6</f>
        <v>0</v>
      </c>
      <c r="BE6" s="39">
        <f>Timing!BE6</f>
        <v>0</v>
      </c>
      <c r="BF6" s="39">
        <f>Timing!BF6</f>
        <v>0</v>
      </c>
      <c r="BG6" s="39">
        <f>Timing!BG6</f>
        <v>0</v>
      </c>
      <c r="BH6" s="39">
        <f>Timing!BH6</f>
        <v>0</v>
      </c>
      <c r="BI6" s="39">
        <f>Timing!BI6</f>
        <v>0</v>
      </c>
    </row>
    <row r="7" spans="1:61">
      <c r="A7" t="str">
        <f>Timing!A7</f>
        <v>Operations</v>
      </c>
      <c r="J7" s="39">
        <f>Timing!J7</f>
        <v>0</v>
      </c>
      <c r="K7" s="39">
        <f>Timing!K7</f>
        <v>0</v>
      </c>
      <c r="L7" s="39">
        <f>Timing!L7</f>
        <v>0</v>
      </c>
      <c r="M7" s="39">
        <f>Timing!M7</f>
        <v>0</v>
      </c>
      <c r="N7" s="39">
        <f>Timing!N7</f>
        <v>0</v>
      </c>
      <c r="O7" s="39">
        <f>Timing!O7</f>
        <v>0</v>
      </c>
      <c r="P7" s="39">
        <f>Timing!P7</f>
        <v>0</v>
      </c>
      <c r="Q7" s="39">
        <f>Timing!Q7</f>
        <v>0</v>
      </c>
      <c r="R7" s="39">
        <f>Timing!R7</f>
        <v>1</v>
      </c>
      <c r="S7" s="39">
        <f>Timing!S7</f>
        <v>1</v>
      </c>
      <c r="T7" s="39">
        <f>Timing!T7</f>
        <v>1</v>
      </c>
      <c r="U7" s="39">
        <f>Timing!U7</f>
        <v>1</v>
      </c>
      <c r="V7" s="39">
        <f>Timing!V7</f>
        <v>1</v>
      </c>
      <c r="W7" s="39">
        <f>Timing!W7</f>
        <v>1</v>
      </c>
      <c r="X7" s="39">
        <f>Timing!X7</f>
        <v>1</v>
      </c>
      <c r="Y7" s="39">
        <f>Timing!Y7</f>
        <v>1</v>
      </c>
      <c r="Z7" s="39">
        <f>Timing!Z7</f>
        <v>1</v>
      </c>
      <c r="AA7" s="39">
        <f>Timing!AA7</f>
        <v>1</v>
      </c>
      <c r="AB7" s="39">
        <f>Timing!AB7</f>
        <v>1</v>
      </c>
      <c r="AC7" s="39">
        <f>Timing!AC7</f>
        <v>1</v>
      </c>
      <c r="AD7" s="39">
        <f>Timing!AD7</f>
        <v>1</v>
      </c>
      <c r="AE7" s="39">
        <f>Timing!AE7</f>
        <v>1</v>
      </c>
      <c r="AF7" s="39">
        <f>Timing!AF7</f>
        <v>1</v>
      </c>
      <c r="AG7" s="39">
        <f>Timing!AG7</f>
        <v>1</v>
      </c>
      <c r="AH7" s="39">
        <f>Timing!AH7</f>
        <v>1</v>
      </c>
      <c r="AI7" s="39">
        <f>Timing!AI7</f>
        <v>1</v>
      </c>
      <c r="AJ7" s="39">
        <f>Timing!AJ7</f>
        <v>1</v>
      </c>
      <c r="AK7" s="39">
        <f>Timing!AK7</f>
        <v>1</v>
      </c>
      <c r="AL7" s="39">
        <f>Timing!AL7</f>
        <v>1</v>
      </c>
      <c r="AM7" s="39">
        <f>Timing!AM7</f>
        <v>1</v>
      </c>
      <c r="AN7" s="39">
        <f>Timing!AN7</f>
        <v>1</v>
      </c>
      <c r="AO7" s="39">
        <f>Timing!AO7</f>
        <v>1</v>
      </c>
      <c r="AP7" s="39">
        <f>Timing!AP7</f>
        <v>1</v>
      </c>
      <c r="AQ7" s="39">
        <f>Timing!AQ7</f>
        <v>1</v>
      </c>
      <c r="AR7" s="39">
        <f>Timing!AR7</f>
        <v>1</v>
      </c>
      <c r="AS7" s="39">
        <f>Timing!AS7</f>
        <v>1</v>
      </c>
      <c r="AT7" s="39">
        <f>Timing!AT7</f>
        <v>1</v>
      </c>
      <c r="AU7" s="39">
        <f>Timing!AU7</f>
        <v>1</v>
      </c>
      <c r="AV7" s="39">
        <f>Timing!AV7</f>
        <v>1</v>
      </c>
      <c r="AW7" s="39">
        <f>Timing!AW7</f>
        <v>1</v>
      </c>
      <c r="AX7" s="39">
        <f>Timing!AX7</f>
        <v>1</v>
      </c>
      <c r="AY7" s="39">
        <f>Timing!AY7</f>
        <v>1</v>
      </c>
      <c r="AZ7" s="39">
        <f>Timing!AZ7</f>
        <v>1</v>
      </c>
      <c r="BA7" s="39">
        <f>Timing!BA7</f>
        <v>1</v>
      </c>
      <c r="BB7" s="39">
        <f>Timing!BB7</f>
        <v>1</v>
      </c>
      <c r="BC7" s="39">
        <f>Timing!BC7</f>
        <v>1</v>
      </c>
      <c r="BD7" s="39">
        <f>Timing!BD7</f>
        <v>1</v>
      </c>
      <c r="BE7" s="39">
        <f>Timing!BE7</f>
        <v>1</v>
      </c>
      <c r="BF7" s="39">
        <f>Timing!BF7</f>
        <v>0</v>
      </c>
      <c r="BG7" s="39">
        <f>Timing!BG7</f>
        <v>0</v>
      </c>
      <c r="BH7" s="39">
        <f>Timing!BH7</f>
        <v>0</v>
      </c>
      <c r="BI7" s="39">
        <f>Timing!BI7</f>
        <v>0</v>
      </c>
    </row>
    <row r="9" spans="1:61" ht="20.25">
      <c r="C9" s="7" t="str">
        <f>Timing!C9</f>
        <v>Counters</v>
      </c>
    </row>
    <row r="10" spans="1:61" outlineLevel="1">
      <c r="C10" s="32" t="str">
        <f>Timing!C12</f>
        <v>Operations Year</v>
      </c>
      <c r="D10" s="8" t="s">
        <v>81</v>
      </c>
      <c r="J10" s="41">
        <f>Timing!J12</f>
        <v>0</v>
      </c>
      <c r="K10" s="41">
        <f>Timing!K12</f>
        <v>0</v>
      </c>
      <c r="L10" s="41">
        <f>Timing!L12</f>
        <v>0</v>
      </c>
      <c r="M10" s="41">
        <f>Timing!M12</f>
        <v>0</v>
      </c>
      <c r="N10" s="41">
        <f>Timing!N12</f>
        <v>0</v>
      </c>
      <c r="O10" s="41">
        <f>Timing!O12</f>
        <v>0</v>
      </c>
      <c r="P10" s="41">
        <f>Timing!P12</f>
        <v>0</v>
      </c>
      <c r="Q10" s="41">
        <f>Timing!Q12</f>
        <v>0</v>
      </c>
      <c r="R10" s="41">
        <f>Timing!R12</f>
        <v>1</v>
      </c>
      <c r="S10" s="41">
        <f>Timing!S12</f>
        <v>1</v>
      </c>
      <c r="T10" s="41">
        <f>Timing!T12</f>
        <v>1</v>
      </c>
      <c r="U10" s="41">
        <f>Timing!U12</f>
        <v>1</v>
      </c>
      <c r="V10" s="41">
        <f>Timing!V12</f>
        <v>2</v>
      </c>
      <c r="W10" s="41">
        <f>Timing!W12</f>
        <v>2</v>
      </c>
      <c r="X10" s="41">
        <f>Timing!X12</f>
        <v>2</v>
      </c>
      <c r="Y10" s="41">
        <f>Timing!Y12</f>
        <v>2</v>
      </c>
      <c r="Z10" s="41">
        <f>Timing!Z12</f>
        <v>3</v>
      </c>
      <c r="AA10" s="41">
        <f>Timing!AA12</f>
        <v>3</v>
      </c>
      <c r="AB10" s="41">
        <f>Timing!AB12</f>
        <v>3</v>
      </c>
      <c r="AC10" s="41">
        <f>Timing!AC12</f>
        <v>3</v>
      </c>
      <c r="AD10" s="41">
        <f>Timing!AD12</f>
        <v>4</v>
      </c>
      <c r="AE10" s="41">
        <f>Timing!AE12</f>
        <v>4</v>
      </c>
      <c r="AF10" s="41">
        <f>Timing!AF12</f>
        <v>4</v>
      </c>
      <c r="AG10" s="41">
        <f>Timing!AG12</f>
        <v>4</v>
      </c>
      <c r="AH10" s="41">
        <f>Timing!AH12</f>
        <v>5</v>
      </c>
      <c r="AI10" s="41">
        <f>Timing!AI12</f>
        <v>5</v>
      </c>
      <c r="AJ10" s="41">
        <f>Timing!AJ12</f>
        <v>5</v>
      </c>
      <c r="AK10" s="41">
        <f>Timing!AK12</f>
        <v>5</v>
      </c>
      <c r="AL10" s="41">
        <f>Timing!AL12</f>
        <v>6</v>
      </c>
      <c r="AM10" s="41">
        <f>Timing!AM12</f>
        <v>6</v>
      </c>
      <c r="AN10" s="41">
        <f>Timing!AN12</f>
        <v>6</v>
      </c>
      <c r="AO10" s="41">
        <f>Timing!AO12</f>
        <v>6</v>
      </c>
      <c r="AP10" s="41">
        <f>Timing!AP12</f>
        <v>7</v>
      </c>
      <c r="AQ10" s="41">
        <f>Timing!AQ12</f>
        <v>7</v>
      </c>
      <c r="AR10" s="41">
        <f>Timing!AR12</f>
        <v>7</v>
      </c>
      <c r="AS10" s="41">
        <f>Timing!AS12</f>
        <v>7</v>
      </c>
      <c r="AT10" s="41">
        <f>Timing!AT12</f>
        <v>8</v>
      </c>
      <c r="AU10" s="41">
        <f>Timing!AU12</f>
        <v>8</v>
      </c>
      <c r="AV10" s="41">
        <f>Timing!AV12</f>
        <v>8</v>
      </c>
      <c r="AW10" s="41">
        <f>Timing!AW12</f>
        <v>8</v>
      </c>
      <c r="AX10" s="41">
        <f>Timing!AX12</f>
        <v>9</v>
      </c>
      <c r="AY10" s="41">
        <f>Timing!AY12</f>
        <v>9</v>
      </c>
      <c r="AZ10" s="41">
        <f>Timing!AZ12</f>
        <v>9</v>
      </c>
      <c r="BA10" s="41">
        <f>Timing!BA12</f>
        <v>9</v>
      </c>
      <c r="BB10" s="41">
        <f>Timing!BB12</f>
        <v>10</v>
      </c>
      <c r="BC10" s="41">
        <f>Timing!BC12</f>
        <v>10</v>
      </c>
      <c r="BD10" s="41">
        <f>Timing!BD12</f>
        <v>10</v>
      </c>
      <c r="BE10" s="41">
        <f>Timing!BE12</f>
        <v>10</v>
      </c>
      <c r="BF10" s="41">
        <f>Timing!BF12</f>
        <v>0</v>
      </c>
      <c r="BG10" s="41">
        <f>Timing!BG12</f>
        <v>0</v>
      </c>
      <c r="BH10" s="41">
        <f>Timing!BH12</f>
        <v>0</v>
      </c>
      <c r="BI10" s="41">
        <f>Timing!BI12</f>
        <v>0</v>
      </c>
    </row>
    <row r="11" spans="1:61" outlineLevel="1">
      <c r="C11" s="32" t="str">
        <f>Timing!C13</f>
        <v>Calendar Year</v>
      </c>
      <c r="D11" s="8" t="s">
        <v>82</v>
      </c>
      <c r="J11">
        <f>Timing!J13</f>
        <v>2012</v>
      </c>
      <c r="K11">
        <f>Timing!K13</f>
        <v>2012</v>
      </c>
      <c r="L11">
        <f>Timing!L13</f>
        <v>2012</v>
      </c>
      <c r="M11">
        <f>Timing!M13</f>
        <v>2012</v>
      </c>
      <c r="N11">
        <f>Timing!N13</f>
        <v>2013</v>
      </c>
      <c r="O11">
        <f>Timing!O13</f>
        <v>2013</v>
      </c>
      <c r="P11">
        <f>Timing!P13</f>
        <v>2013</v>
      </c>
      <c r="Q11">
        <f>Timing!Q13</f>
        <v>2013</v>
      </c>
      <c r="R11">
        <f>Timing!R13</f>
        <v>2014</v>
      </c>
      <c r="S11">
        <f>Timing!S13</f>
        <v>2014</v>
      </c>
      <c r="T11">
        <f>Timing!T13</f>
        <v>2014</v>
      </c>
      <c r="U11">
        <f>Timing!U13</f>
        <v>2014</v>
      </c>
      <c r="V11">
        <f>Timing!V13</f>
        <v>2015</v>
      </c>
      <c r="W11">
        <f>Timing!W13</f>
        <v>2015</v>
      </c>
      <c r="X11">
        <f>Timing!X13</f>
        <v>2015</v>
      </c>
      <c r="Y11">
        <f>Timing!Y13</f>
        <v>2015</v>
      </c>
      <c r="Z11">
        <f>Timing!Z13</f>
        <v>2016</v>
      </c>
      <c r="AA11">
        <f>Timing!AA13</f>
        <v>2016</v>
      </c>
      <c r="AB11">
        <f>Timing!AB13</f>
        <v>2016</v>
      </c>
      <c r="AC11">
        <f>Timing!AC13</f>
        <v>2016</v>
      </c>
      <c r="AD11">
        <f>Timing!AD13</f>
        <v>2017</v>
      </c>
      <c r="AE11">
        <f>Timing!AE13</f>
        <v>2017</v>
      </c>
      <c r="AF11">
        <f>Timing!AF13</f>
        <v>2017</v>
      </c>
      <c r="AG11">
        <f>Timing!AG13</f>
        <v>2017</v>
      </c>
      <c r="AH11">
        <f>Timing!AH13</f>
        <v>2018</v>
      </c>
      <c r="AI11">
        <f>Timing!AI13</f>
        <v>2018</v>
      </c>
      <c r="AJ11">
        <f>Timing!AJ13</f>
        <v>2018</v>
      </c>
      <c r="AK11">
        <f>Timing!AK13</f>
        <v>2018</v>
      </c>
      <c r="AL11">
        <f>Timing!AL13</f>
        <v>2019</v>
      </c>
      <c r="AM11">
        <f>Timing!AM13</f>
        <v>2019</v>
      </c>
      <c r="AN11">
        <f>Timing!AN13</f>
        <v>2019</v>
      </c>
      <c r="AO11">
        <f>Timing!AO13</f>
        <v>2019</v>
      </c>
      <c r="AP11">
        <f>Timing!AP13</f>
        <v>2020</v>
      </c>
      <c r="AQ11">
        <f>Timing!AQ13</f>
        <v>2020</v>
      </c>
      <c r="AR11">
        <f>Timing!AR13</f>
        <v>2020</v>
      </c>
      <c r="AS11">
        <f>Timing!AS13</f>
        <v>2020</v>
      </c>
      <c r="AT11">
        <f>Timing!AT13</f>
        <v>2021</v>
      </c>
      <c r="AU11">
        <f>Timing!AU13</f>
        <v>2021</v>
      </c>
      <c r="AV11">
        <f>Timing!AV13</f>
        <v>2021</v>
      </c>
      <c r="AW11">
        <f>Timing!AW13</f>
        <v>2021</v>
      </c>
      <c r="AX11">
        <f>Timing!AX13</f>
        <v>2022</v>
      </c>
      <c r="AY11">
        <f>Timing!AY13</f>
        <v>2022</v>
      </c>
      <c r="AZ11">
        <f>Timing!AZ13</f>
        <v>2022</v>
      </c>
      <c r="BA11">
        <f>Timing!BA13</f>
        <v>2022</v>
      </c>
      <c r="BB11">
        <f>Timing!BB13</f>
        <v>2023</v>
      </c>
      <c r="BC11">
        <f>Timing!BC13</f>
        <v>2023</v>
      </c>
      <c r="BD11">
        <f>Timing!BD13</f>
        <v>2023</v>
      </c>
      <c r="BE11">
        <f>Timing!BE13</f>
        <v>2023</v>
      </c>
      <c r="BF11">
        <f>Timing!BF13</f>
        <v>2024</v>
      </c>
      <c r="BG11">
        <f>Timing!BG13</f>
        <v>2024</v>
      </c>
      <c r="BH11">
        <f>Timing!BH13</f>
        <v>2024</v>
      </c>
      <c r="BI11">
        <f>Timing!BI13</f>
        <v>2024</v>
      </c>
    </row>
    <row r="12" spans="1:61" outlineLevel="1">
      <c r="C12" s="32" t="str">
        <f>Timing!C14</f>
        <v>Days in Period</v>
      </c>
      <c r="D12" s="8" t="s">
        <v>83</v>
      </c>
      <c r="J12">
        <f>Timing!J14</f>
        <v>91</v>
      </c>
      <c r="K12">
        <f>Timing!K14</f>
        <v>91</v>
      </c>
      <c r="L12">
        <f>Timing!L14</f>
        <v>92</v>
      </c>
      <c r="M12">
        <f>Timing!M14</f>
        <v>92</v>
      </c>
      <c r="N12">
        <f>Timing!N14</f>
        <v>90</v>
      </c>
      <c r="O12">
        <f>Timing!O14</f>
        <v>91</v>
      </c>
      <c r="P12">
        <f>Timing!P14</f>
        <v>92</v>
      </c>
      <c r="Q12">
        <f>Timing!Q14</f>
        <v>92</v>
      </c>
      <c r="R12">
        <f>Timing!R14</f>
        <v>90</v>
      </c>
      <c r="S12">
        <f>Timing!S14</f>
        <v>91</v>
      </c>
      <c r="T12">
        <f>Timing!T14</f>
        <v>92</v>
      </c>
      <c r="U12">
        <f>Timing!U14</f>
        <v>92</v>
      </c>
      <c r="V12">
        <f>Timing!V14</f>
        <v>90</v>
      </c>
      <c r="W12">
        <f>Timing!W14</f>
        <v>91</v>
      </c>
      <c r="X12">
        <f>Timing!X14</f>
        <v>92</v>
      </c>
      <c r="Y12">
        <f>Timing!Y14</f>
        <v>92</v>
      </c>
      <c r="Z12">
        <f>Timing!Z14</f>
        <v>91</v>
      </c>
      <c r="AA12">
        <f>Timing!AA14</f>
        <v>91</v>
      </c>
      <c r="AB12">
        <f>Timing!AB14</f>
        <v>92</v>
      </c>
      <c r="AC12">
        <f>Timing!AC14</f>
        <v>92</v>
      </c>
      <c r="AD12">
        <f>Timing!AD14</f>
        <v>90</v>
      </c>
      <c r="AE12">
        <f>Timing!AE14</f>
        <v>91</v>
      </c>
      <c r="AF12">
        <f>Timing!AF14</f>
        <v>92</v>
      </c>
      <c r="AG12">
        <f>Timing!AG14</f>
        <v>92</v>
      </c>
      <c r="AH12">
        <f>Timing!AH14</f>
        <v>90</v>
      </c>
      <c r="AI12">
        <f>Timing!AI14</f>
        <v>91</v>
      </c>
      <c r="AJ12">
        <f>Timing!AJ14</f>
        <v>92</v>
      </c>
      <c r="AK12">
        <f>Timing!AK14</f>
        <v>92</v>
      </c>
      <c r="AL12">
        <f>Timing!AL14</f>
        <v>90</v>
      </c>
      <c r="AM12">
        <f>Timing!AM14</f>
        <v>91</v>
      </c>
      <c r="AN12">
        <f>Timing!AN14</f>
        <v>92</v>
      </c>
      <c r="AO12">
        <f>Timing!AO14</f>
        <v>92</v>
      </c>
      <c r="AP12">
        <f>Timing!AP14</f>
        <v>91</v>
      </c>
      <c r="AQ12">
        <f>Timing!AQ14</f>
        <v>91</v>
      </c>
      <c r="AR12">
        <f>Timing!AR14</f>
        <v>92</v>
      </c>
      <c r="AS12">
        <f>Timing!AS14</f>
        <v>92</v>
      </c>
      <c r="AT12">
        <f>Timing!AT14</f>
        <v>90</v>
      </c>
      <c r="AU12">
        <f>Timing!AU14</f>
        <v>91</v>
      </c>
      <c r="AV12">
        <f>Timing!AV14</f>
        <v>92</v>
      </c>
      <c r="AW12">
        <f>Timing!AW14</f>
        <v>92</v>
      </c>
      <c r="AX12">
        <f>Timing!AX14</f>
        <v>90</v>
      </c>
      <c r="AY12">
        <f>Timing!AY14</f>
        <v>91</v>
      </c>
      <c r="AZ12">
        <f>Timing!AZ14</f>
        <v>92</v>
      </c>
      <c r="BA12">
        <f>Timing!BA14</f>
        <v>92</v>
      </c>
      <c r="BB12">
        <f>Timing!BB14</f>
        <v>90</v>
      </c>
      <c r="BC12">
        <f>Timing!BC14</f>
        <v>91</v>
      </c>
      <c r="BD12">
        <f>Timing!BD14</f>
        <v>92</v>
      </c>
      <c r="BE12">
        <f>Timing!BE14</f>
        <v>92</v>
      </c>
      <c r="BF12">
        <f>Timing!BF14</f>
        <v>91</v>
      </c>
      <c r="BG12">
        <f>Timing!BG14</f>
        <v>91</v>
      </c>
      <c r="BH12">
        <f>Timing!BH14</f>
        <v>92</v>
      </c>
      <c r="BI12">
        <f>Timing!BI14</f>
        <v>92</v>
      </c>
    </row>
    <row r="13" spans="1:61" outlineLevel="1"/>
    <row r="14" spans="1:61" ht="20.25">
      <c r="C14" s="7" t="s">
        <v>27</v>
      </c>
    </row>
    <row r="15" spans="1:61" outlineLevel="1">
      <c r="E15" s="25" t="s">
        <v>37</v>
      </c>
      <c r="F15" s="25" t="s">
        <v>43</v>
      </c>
    </row>
    <row r="16" spans="1:61" outlineLevel="1">
      <c r="C16" t="s">
        <v>115</v>
      </c>
      <c r="D16" s="8" t="s">
        <v>116</v>
      </c>
      <c r="E16" s="38">
        <f>Inputs!G55</f>
        <v>41640</v>
      </c>
      <c r="F16" s="38">
        <f>Inputs!H55</f>
        <v>43830</v>
      </c>
      <c r="J16" s="39">
        <f>IF(AND(J$4&gt;=$E16,J$5&lt;=$F16),1,0)</f>
        <v>0</v>
      </c>
      <c r="K16" s="39">
        <f t="shared" ref="K16:BI16" si="0">IF(AND(K$4&gt;=$E16,K$5&lt;=$F16),1,0)</f>
        <v>0</v>
      </c>
      <c r="L16" s="39">
        <f t="shared" si="0"/>
        <v>0</v>
      </c>
      <c r="M16" s="39">
        <f t="shared" si="0"/>
        <v>0</v>
      </c>
      <c r="N16" s="39">
        <f t="shared" si="0"/>
        <v>0</v>
      </c>
      <c r="O16" s="39">
        <f t="shared" si="0"/>
        <v>0</v>
      </c>
      <c r="P16" s="39">
        <f t="shared" si="0"/>
        <v>0</v>
      </c>
      <c r="Q16" s="39">
        <f t="shared" si="0"/>
        <v>0</v>
      </c>
      <c r="R16" s="39">
        <f t="shared" si="0"/>
        <v>1</v>
      </c>
      <c r="S16" s="39">
        <f t="shared" si="0"/>
        <v>1</v>
      </c>
      <c r="T16" s="39">
        <f t="shared" si="0"/>
        <v>1</v>
      </c>
      <c r="U16" s="39">
        <f t="shared" si="0"/>
        <v>1</v>
      </c>
      <c r="V16" s="39">
        <f t="shared" si="0"/>
        <v>1</v>
      </c>
      <c r="W16" s="39">
        <f t="shared" si="0"/>
        <v>1</v>
      </c>
      <c r="X16" s="39">
        <f t="shared" si="0"/>
        <v>1</v>
      </c>
      <c r="Y16" s="39">
        <f t="shared" si="0"/>
        <v>1</v>
      </c>
      <c r="Z16" s="39">
        <f t="shared" si="0"/>
        <v>1</v>
      </c>
      <c r="AA16" s="39">
        <f t="shared" si="0"/>
        <v>1</v>
      </c>
      <c r="AB16" s="39">
        <f t="shared" si="0"/>
        <v>1</v>
      </c>
      <c r="AC16" s="39">
        <f t="shared" si="0"/>
        <v>1</v>
      </c>
      <c r="AD16" s="39">
        <f t="shared" si="0"/>
        <v>1</v>
      </c>
      <c r="AE16" s="39">
        <f t="shared" si="0"/>
        <v>1</v>
      </c>
      <c r="AF16" s="39">
        <f t="shared" si="0"/>
        <v>1</v>
      </c>
      <c r="AG16" s="39">
        <f t="shared" si="0"/>
        <v>1</v>
      </c>
      <c r="AH16" s="39">
        <f t="shared" si="0"/>
        <v>1</v>
      </c>
      <c r="AI16" s="39">
        <f t="shared" si="0"/>
        <v>1</v>
      </c>
      <c r="AJ16" s="39">
        <f t="shared" si="0"/>
        <v>1</v>
      </c>
      <c r="AK16" s="39">
        <f t="shared" si="0"/>
        <v>1</v>
      </c>
      <c r="AL16" s="39">
        <f t="shared" si="0"/>
        <v>1</v>
      </c>
      <c r="AM16" s="39">
        <f t="shared" si="0"/>
        <v>1</v>
      </c>
      <c r="AN16" s="39">
        <f t="shared" si="0"/>
        <v>1</v>
      </c>
      <c r="AO16" s="39">
        <f t="shared" si="0"/>
        <v>1</v>
      </c>
      <c r="AP16" s="39">
        <f t="shared" si="0"/>
        <v>0</v>
      </c>
      <c r="AQ16" s="39">
        <f t="shared" si="0"/>
        <v>0</v>
      </c>
      <c r="AR16" s="39">
        <f t="shared" si="0"/>
        <v>0</v>
      </c>
      <c r="AS16" s="39">
        <f t="shared" si="0"/>
        <v>0</v>
      </c>
      <c r="AT16" s="39">
        <f t="shared" si="0"/>
        <v>0</v>
      </c>
      <c r="AU16" s="39">
        <f t="shared" si="0"/>
        <v>0</v>
      </c>
      <c r="AV16" s="39">
        <f t="shared" si="0"/>
        <v>0</v>
      </c>
      <c r="AW16" s="39">
        <f t="shared" si="0"/>
        <v>0</v>
      </c>
      <c r="AX16" s="39">
        <f t="shared" si="0"/>
        <v>0</v>
      </c>
      <c r="AY16" s="39">
        <f t="shared" si="0"/>
        <v>0</v>
      </c>
      <c r="AZ16" s="39">
        <f t="shared" si="0"/>
        <v>0</v>
      </c>
      <c r="BA16" s="39">
        <f t="shared" si="0"/>
        <v>0</v>
      </c>
      <c r="BB16" s="39">
        <f t="shared" si="0"/>
        <v>0</v>
      </c>
      <c r="BC16" s="39">
        <f t="shared" si="0"/>
        <v>0</v>
      </c>
      <c r="BD16" s="39">
        <f t="shared" si="0"/>
        <v>0</v>
      </c>
      <c r="BE16" s="39">
        <f t="shared" si="0"/>
        <v>0</v>
      </c>
      <c r="BF16" s="39">
        <f t="shared" si="0"/>
        <v>0</v>
      </c>
      <c r="BG16" s="39">
        <f t="shared" si="0"/>
        <v>0</v>
      </c>
      <c r="BH16" s="39">
        <f t="shared" si="0"/>
        <v>0</v>
      </c>
      <c r="BI16" s="39">
        <f t="shared" si="0"/>
        <v>0</v>
      </c>
    </row>
    <row r="17" spans="3:61" outlineLevel="1">
      <c r="D17" s="8"/>
    </row>
    <row r="18" spans="3:61" ht="15" outlineLevel="1">
      <c r="C18" s="4" t="s">
        <v>117</v>
      </c>
      <c r="D18" s="8"/>
    </row>
    <row r="19" spans="3:61" outlineLevel="1">
      <c r="C19" t="s">
        <v>93</v>
      </c>
      <c r="D19" s="8" t="s">
        <v>48</v>
      </c>
      <c r="J19" s="21">
        <f>I22</f>
        <v>0</v>
      </c>
      <c r="K19" s="21">
        <f t="shared" ref="K19:BI19" si="1">J22</f>
        <v>0</v>
      </c>
      <c r="L19" s="21">
        <f t="shared" si="1"/>
        <v>0</v>
      </c>
      <c r="M19" s="21">
        <f t="shared" si="1"/>
        <v>0</v>
      </c>
      <c r="N19" s="21">
        <f t="shared" si="1"/>
        <v>0</v>
      </c>
      <c r="O19" s="21">
        <f t="shared" si="1"/>
        <v>0</v>
      </c>
      <c r="P19" s="21">
        <f t="shared" si="1"/>
        <v>0</v>
      </c>
      <c r="Q19" s="21">
        <f t="shared" si="1"/>
        <v>0</v>
      </c>
      <c r="R19" s="21">
        <f t="shared" si="1"/>
        <v>50</v>
      </c>
      <c r="S19" s="21">
        <f t="shared" si="1"/>
        <v>47.916666666666664</v>
      </c>
      <c r="T19" s="21">
        <f t="shared" si="1"/>
        <v>45.833333333333329</v>
      </c>
      <c r="U19" s="21">
        <f t="shared" si="1"/>
        <v>43.749999999999993</v>
      </c>
      <c r="V19" s="21">
        <f t="shared" si="1"/>
        <v>41.666666666666657</v>
      </c>
      <c r="W19" s="21">
        <f t="shared" si="1"/>
        <v>39.583333333333321</v>
      </c>
      <c r="X19" s="21">
        <f t="shared" si="1"/>
        <v>37.499999999999986</v>
      </c>
      <c r="Y19" s="21">
        <f t="shared" si="1"/>
        <v>35.41666666666665</v>
      </c>
      <c r="Z19" s="21">
        <f t="shared" si="1"/>
        <v>33.333333333333314</v>
      </c>
      <c r="AA19" s="21">
        <f t="shared" si="1"/>
        <v>31.249999999999982</v>
      </c>
      <c r="AB19" s="21">
        <f t="shared" si="1"/>
        <v>29.16666666666665</v>
      </c>
      <c r="AC19" s="21">
        <f t="shared" si="1"/>
        <v>27.083333333333318</v>
      </c>
      <c r="AD19" s="21">
        <f t="shared" si="1"/>
        <v>24.999999999999986</v>
      </c>
      <c r="AE19" s="21">
        <f t="shared" si="1"/>
        <v>22.916666666666654</v>
      </c>
      <c r="AF19" s="21">
        <f t="shared" si="1"/>
        <v>20.833333333333321</v>
      </c>
      <c r="AG19" s="21">
        <f t="shared" si="1"/>
        <v>18.749999999999989</v>
      </c>
      <c r="AH19" s="21">
        <f t="shared" si="1"/>
        <v>16.666666666666657</v>
      </c>
      <c r="AI19" s="21">
        <f t="shared" si="1"/>
        <v>14.583333333333325</v>
      </c>
      <c r="AJ19" s="21">
        <f t="shared" si="1"/>
        <v>12.499999999999993</v>
      </c>
      <c r="AK19" s="21">
        <f t="shared" si="1"/>
        <v>10.416666666666661</v>
      </c>
      <c r="AL19" s="21">
        <f t="shared" si="1"/>
        <v>8.3333333333333286</v>
      </c>
      <c r="AM19" s="21">
        <f t="shared" si="1"/>
        <v>6.2499999999999956</v>
      </c>
      <c r="AN19" s="21">
        <f t="shared" si="1"/>
        <v>4.1666666666666625</v>
      </c>
      <c r="AO19" s="21">
        <f t="shared" si="1"/>
        <v>2.0833333333333295</v>
      </c>
      <c r="AP19" s="21">
        <f t="shared" si="1"/>
        <v>-3.5527136788005009E-15</v>
      </c>
      <c r="AQ19" s="21">
        <f t="shared" si="1"/>
        <v>-3.5527136788005009E-15</v>
      </c>
      <c r="AR19" s="21">
        <f t="shared" si="1"/>
        <v>-3.5527136788005009E-15</v>
      </c>
      <c r="AS19" s="21">
        <f t="shared" si="1"/>
        <v>-3.5527136788005009E-15</v>
      </c>
      <c r="AT19" s="21">
        <f t="shared" si="1"/>
        <v>-3.5527136788005009E-15</v>
      </c>
      <c r="AU19" s="21">
        <f t="shared" si="1"/>
        <v>-3.5527136788005009E-15</v>
      </c>
      <c r="AV19" s="21">
        <f t="shared" si="1"/>
        <v>-3.5527136788005009E-15</v>
      </c>
      <c r="AW19" s="21">
        <f t="shared" si="1"/>
        <v>-3.5527136788005009E-15</v>
      </c>
      <c r="AX19" s="21">
        <f t="shared" si="1"/>
        <v>-3.5527136788005009E-15</v>
      </c>
      <c r="AY19" s="21">
        <f t="shared" si="1"/>
        <v>-3.5527136788005009E-15</v>
      </c>
      <c r="AZ19" s="21">
        <f t="shared" si="1"/>
        <v>-3.5527136788005009E-15</v>
      </c>
      <c r="BA19" s="21">
        <f t="shared" si="1"/>
        <v>-3.5527136788005009E-15</v>
      </c>
      <c r="BB19" s="21">
        <f t="shared" si="1"/>
        <v>-3.5527136788005009E-15</v>
      </c>
      <c r="BC19" s="21">
        <f t="shared" si="1"/>
        <v>-3.5527136788005009E-15</v>
      </c>
      <c r="BD19" s="21">
        <f t="shared" si="1"/>
        <v>-3.5527136788005009E-15</v>
      </c>
      <c r="BE19" s="21">
        <f t="shared" si="1"/>
        <v>-3.5527136788005009E-15</v>
      </c>
      <c r="BF19" s="21">
        <f t="shared" si="1"/>
        <v>-3.5527136788005009E-15</v>
      </c>
      <c r="BG19" s="21">
        <f t="shared" si="1"/>
        <v>-3.5527136788005009E-15</v>
      </c>
      <c r="BH19" s="21">
        <f t="shared" si="1"/>
        <v>-3.5527136788005009E-15</v>
      </c>
      <c r="BI19" s="21">
        <f t="shared" si="1"/>
        <v>-3.5527136788005009E-15</v>
      </c>
    </row>
    <row r="20" spans="3:61" outlineLevel="1">
      <c r="C20" t="s">
        <v>118</v>
      </c>
      <c r="D20" s="8" t="s">
        <v>48</v>
      </c>
      <c r="I20" s="46">
        <f t="shared" ref="I20:I21" si="2">SUM(J20:BI20)</f>
        <v>50</v>
      </c>
      <c r="J20" s="21">
        <f>-Cons!J37</f>
        <v>0</v>
      </c>
      <c r="K20" s="21">
        <f>-Cons!K37</f>
        <v>0</v>
      </c>
      <c r="L20" s="21">
        <f>-Cons!L37</f>
        <v>0</v>
      </c>
      <c r="M20" s="21">
        <f>-Cons!M37</f>
        <v>0</v>
      </c>
      <c r="N20" s="21">
        <f>-Cons!N37</f>
        <v>0</v>
      </c>
      <c r="O20" s="21">
        <f>-Cons!O37</f>
        <v>0</v>
      </c>
      <c r="P20" s="21">
        <f>-Cons!P37</f>
        <v>0</v>
      </c>
      <c r="Q20" s="21">
        <f>-Cons!Q37</f>
        <v>50</v>
      </c>
      <c r="R20" s="21">
        <f>-Cons!R37</f>
        <v>0</v>
      </c>
      <c r="S20" s="21">
        <f>-Cons!S37</f>
        <v>0</v>
      </c>
      <c r="T20" s="21">
        <f>-Cons!T37</f>
        <v>0</v>
      </c>
      <c r="U20" s="21">
        <f>-Cons!U37</f>
        <v>0</v>
      </c>
      <c r="V20" s="21">
        <f>-Cons!V37</f>
        <v>0</v>
      </c>
      <c r="W20" s="21">
        <f>-Cons!W37</f>
        <v>0</v>
      </c>
      <c r="X20" s="21">
        <f>-Cons!X37</f>
        <v>0</v>
      </c>
      <c r="Y20" s="21">
        <f>-Cons!Y37</f>
        <v>0</v>
      </c>
      <c r="Z20" s="21">
        <f>-Cons!Z37</f>
        <v>0</v>
      </c>
      <c r="AA20" s="21">
        <f>-Cons!AA37</f>
        <v>0</v>
      </c>
      <c r="AB20" s="21">
        <f>-Cons!AB37</f>
        <v>0</v>
      </c>
      <c r="AC20" s="21">
        <f>-Cons!AC37</f>
        <v>0</v>
      </c>
      <c r="AD20" s="21">
        <f>-Cons!AD37</f>
        <v>0</v>
      </c>
      <c r="AE20" s="21">
        <f>-Cons!AE37</f>
        <v>0</v>
      </c>
      <c r="AF20" s="21">
        <f>-Cons!AF37</f>
        <v>0</v>
      </c>
      <c r="AG20" s="21">
        <f>-Cons!AG37</f>
        <v>0</v>
      </c>
      <c r="AH20" s="21">
        <f>-Cons!AH37</f>
        <v>0</v>
      </c>
      <c r="AI20" s="21">
        <f>-Cons!AI37</f>
        <v>0</v>
      </c>
      <c r="AJ20" s="21">
        <f>-Cons!AJ37</f>
        <v>0</v>
      </c>
      <c r="AK20" s="21">
        <f>-Cons!AK37</f>
        <v>0</v>
      </c>
      <c r="AL20" s="21">
        <f>-Cons!AL37</f>
        <v>0</v>
      </c>
      <c r="AM20" s="21">
        <f>-Cons!AM37</f>
        <v>0</v>
      </c>
      <c r="AN20" s="21">
        <f>-Cons!AN37</f>
        <v>0</v>
      </c>
      <c r="AO20" s="21">
        <f>-Cons!AO37</f>
        <v>0</v>
      </c>
      <c r="AP20" s="21">
        <f>-Cons!AP37</f>
        <v>0</v>
      </c>
      <c r="AQ20" s="21">
        <f>-Cons!AQ37</f>
        <v>0</v>
      </c>
      <c r="AR20" s="21">
        <f>-Cons!AR37</f>
        <v>0</v>
      </c>
      <c r="AS20" s="21">
        <f>-Cons!AS37</f>
        <v>0</v>
      </c>
      <c r="AT20" s="21">
        <f>-Cons!AT37</f>
        <v>0</v>
      </c>
      <c r="AU20" s="21">
        <f>-Cons!AU37</f>
        <v>0</v>
      </c>
      <c r="AV20" s="21">
        <f>-Cons!AV37</f>
        <v>0</v>
      </c>
      <c r="AW20" s="21">
        <f>-Cons!AW37</f>
        <v>0</v>
      </c>
      <c r="AX20" s="21">
        <f>-Cons!AX37</f>
        <v>0</v>
      </c>
      <c r="AY20" s="21">
        <f>-Cons!AY37</f>
        <v>0</v>
      </c>
      <c r="AZ20" s="21">
        <f>-Cons!AZ37</f>
        <v>0</v>
      </c>
      <c r="BA20" s="21">
        <f>-Cons!BA37</f>
        <v>0</v>
      </c>
      <c r="BB20" s="21">
        <f>-Cons!BB37</f>
        <v>0</v>
      </c>
      <c r="BC20" s="21">
        <f>-Cons!BC37</f>
        <v>0</v>
      </c>
      <c r="BD20" s="21">
        <f>-Cons!BD37</f>
        <v>0</v>
      </c>
      <c r="BE20" s="21">
        <f>-Cons!BE37</f>
        <v>0</v>
      </c>
      <c r="BF20" s="21">
        <f>-Cons!BF37</f>
        <v>0</v>
      </c>
      <c r="BG20" s="21">
        <f>-Cons!BG37</f>
        <v>0</v>
      </c>
      <c r="BH20" s="21">
        <f>-Cons!BH37</f>
        <v>0</v>
      </c>
      <c r="BI20" s="21">
        <f>-Cons!BI37</f>
        <v>0</v>
      </c>
    </row>
    <row r="21" spans="3:61" outlineLevel="1">
      <c r="C21" t="s">
        <v>119</v>
      </c>
      <c r="D21" s="8" t="s">
        <v>48</v>
      </c>
      <c r="I21" s="46">
        <f t="shared" si="2"/>
        <v>-50.000000000000007</v>
      </c>
      <c r="J21" s="21">
        <f>-J35</f>
        <v>0</v>
      </c>
      <c r="K21" s="21">
        <f t="shared" ref="K21:BI21" si="3">-K35</f>
        <v>0</v>
      </c>
      <c r="L21" s="21">
        <f t="shared" si="3"/>
        <v>0</v>
      </c>
      <c r="M21" s="21">
        <f t="shared" si="3"/>
        <v>0</v>
      </c>
      <c r="N21" s="21">
        <f t="shared" si="3"/>
        <v>0</v>
      </c>
      <c r="O21" s="21">
        <f t="shared" si="3"/>
        <v>0</v>
      </c>
      <c r="P21" s="21">
        <f t="shared" si="3"/>
        <v>0</v>
      </c>
      <c r="Q21" s="21">
        <f t="shared" si="3"/>
        <v>0</v>
      </c>
      <c r="R21" s="21">
        <f t="shared" si="3"/>
        <v>-2.083333333333333</v>
      </c>
      <c r="S21" s="21">
        <f t="shared" si="3"/>
        <v>-2.083333333333333</v>
      </c>
      <c r="T21" s="21">
        <f t="shared" si="3"/>
        <v>-2.083333333333333</v>
      </c>
      <c r="U21" s="21">
        <f t="shared" si="3"/>
        <v>-2.083333333333333</v>
      </c>
      <c r="V21" s="21">
        <f t="shared" si="3"/>
        <v>-2.083333333333333</v>
      </c>
      <c r="W21" s="21">
        <f t="shared" si="3"/>
        <v>-2.083333333333333</v>
      </c>
      <c r="X21" s="21">
        <f t="shared" si="3"/>
        <v>-2.083333333333333</v>
      </c>
      <c r="Y21" s="21">
        <f t="shared" si="3"/>
        <v>-2.083333333333333</v>
      </c>
      <c r="Z21" s="21">
        <f t="shared" si="3"/>
        <v>-2.083333333333333</v>
      </c>
      <c r="AA21" s="21">
        <f t="shared" si="3"/>
        <v>-2.083333333333333</v>
      </c>
      <c r="AB21" s="21">
        <f t="shared" si="3"/>
        <v>-2.083333333333333</v>
      </c>
      <c r="AC21" s="21">
        <f t="shared" si="3"/>
        <v>-2.083333333333333</v>
      </c>
      <c r="AD21" s="21">
        <f t="shared" si="3"/>
        <v>-2.083333333333333</v>
      </c>
      <c r="AE21" s="21">
        <f t="shared" si="3"/>
        <v>-2.083333333333333</v>
      </c>
      <c r="AF21" s="21">
        <f t="shared" si="3"/>
        <v>-2.083333333333333</v>
      </c>
      <c r="AG21" s="21">
        <f t="shared" si="3"/>
        <v>-2.083333333333333</v>
      </c>
      <c r="AH21" s="21">
        <f t="shared" si="3"/>
        <v>-2.083333333333333</v>
      </c>
      <c r="AI21" s="21">
        <f t="shared" si="3"/>
        <v>-2.083333333333333</v>
      </c>
      <c r="AJ21" s="21">
        <f t="shared" si="3"/>
        <v>-2.083333333333333</v>
      </c>
      <c r="AK21" s="21">
        <f t="shared" si="3"/>
        <v>-2.083333333333333</v>
      </c>
      <c r="AL21" s="21">
        <f t="shared" si="3"/>
        <v>-2.083333333333333</v>
      </c>
      <c r="AM21" s="21">
        <f t="shared" si="3"/>
        <v>-2.083333333333333</v>
      </c>
      <c r="AN21" s="21">
        <f t="shared" si="3"/>
        <v>-2.083333333333333</v>
      </c>
      <c r="AO21" s="21">
        <f t="shared" si="3"/>
        <v>-2.083333333333333</v>
      </c>
      <c r="AP21" s="21">
        <f t="shared" si="3"/>
        <v>0</v>
      </c>
      <c r="AQ21" s="21">
        <f t="shared" si="3"/>
        <v>0</v>
      </c>
      <c r="AR21" s="21">
        <f t="shared" si="3"/>
        <v>0</v>
      </c>
      <c r="AS21" s="21">
        <f t="shared" si="3"/>
        <v>0</v>
      </c>
      <c r="AT21" s="21">
        <f t="shared" si="3"/>
        <v>0</v>
      </c>
      <c r="AU21" s="21">
        <f t="shared" si="3"/>
        <v>0</v>
      </c>
      <c r="AV21" s="21">
        <f t="shared" si="3"/>
        <v>0</v>
      </c>
      <c r="AW21" s="21">
        <f t="shared" si="3"/>
        <v>0</v>
      </c>
      <c r="AX21" s="21">
        <f t="shared" si="3"/>
        <v>0</v>
      </c>
      <c r="AY21" s="21">
        <f t="shared" si="3"/>
        <v>0</v>
      </c>
      <c r="AZ21" s="21">
        <f t="shared" si="3"/>
        <v>0</v>
      </c>
      <c r="BA21" s="21">
        <f t="shared" si="3"/>
        <v>0</v>
      </c>
      <c r="BB21" s="21">
        <f t="shared" si="3"/>
        <v>0</v>
      </c>
      <c r="BC21" s="21">
        <f t="shared" si="3"/>
        <v>0</v>
      </c>
      <c r="BD21" s="21">
        <f t="shared" si="3"/>
        <v>0</v>
      </c>
      <c r="BE21" s="21">
        <f t="shared" si="3"/>
        <v>0</v>
      </c>
      <c r="BF21" s="21">
        <f t="shared" si="3"/>
        <v>0</v>
      </c>
      <c r="BG21" s="21">
        <f t="shared" si="3"/>
        <v>0</v>
      </c>
      <c r="BH21" s="21">
        <f t="shared" si="3"/>
        <v>0</v>
      </c>
      <c r="BI21" s="21">
        <f t="shared" si="3"/>
        <v>0</v>
      </c>
    </row>
    <row r="22" spans="3:61" ht="13.5" outlineLevel="1" thickBot="1">
      <c r="C22" t="s">
        <v>96</v>
      </c>
      <c r="D22" s="8" t="s">
        <v>48</v>
      </c>
      <c r="I22" s="18"/>
      <c r="J22" s="47">
        <f>SUM(J19:J21)</f>
        <v>0</v>
      </c>
      <c r="K22" s="47">
        <f t="shared" ref="K22:BI22" si="4">SUM(K19:K21)</f>
        <v>0</v>
      </c>
      <c r="L22" s="47">
        <f t="shared" si="4"/>
        <v>0</v>
      </c>
      <c r="M22" s="47">
        <f t="shared" si="4"/>
        <v>0</v>
      </c>
      <c r="N22" s="47">
        <f t="shared" si="4"/>
        <v>0</v>
      </c>
      <c r="O22" s="47">
        <f t="shared" si="4"/>
        <v>0</v>
      </c>
      <c r="P22" s="47">
        <f t="shared" si="4"/>
        <v>0</v>
      </c>
      <c r="Q22" s="47">
        <f t="shared" si="4"/>
        <v>50</v>
      </c>
      <c r="R22" s="47">
        <f t="shared" si="4"/>
        <v>47.916666666666664</v>
      </c>
      <c r="S22" s="47">
        <f t="shared" si="4"/>
        <v>45.833333333333329</v>
      </c>
      <c r="T22" s="47">
        <f t="shared" si="4"/>
        <v>43.749999999999993</v>
      </c>
      <c r="U22" s="47">
        <f t="shared" si="4"/>
        <v>41.666666666666657</v>
      </c>
      <c r="V22" s="47">
        <f t="shared" si="4"/>
        <v>39.583333333333321</v>
      </c>
      <c r="W22" s="47">
        <f t="shared" si="4"/>
        <v>37.499999999999986</v>
      </c>
      <c r="X22" s="47">
        <f t="shared" si="4"/>
        <v>35.41666666666665</v>
      </c>
      <c r="Y22" s="47">
        <f t="shared" si="4"/>
        <v>33.333333333333314</v>
      </c>
      <c r="Z22" s="47">
        <f t="shared" si="4"/>
        <v>31.249999999999982</v>
      </c>
      <c r="AA22" s="47">
        <f t="shared" si="4"/>
        <v>29.16666666666665</v>
      </c>
      <c r="AB22" s="47">
        <f t="shared" si="4"/>
        <v>27.083333333333318</v>
      </c>
      <c r="AC22" s="47">
        <f t="shared" si="4"/>
        <v>24.999999999999986</v>
      </c>
      <c r="AD22" s="47">
        <f t="shared" si="4"/>
        <v>22.916666666666654</v>
      </c>
      <c r="AE22" s="47">
        <f t="shared" si="4"/>
        <v>20.833333333333321</v>
      </c>
      <c r="AF22" s="47">
        <f t="shared" si="4"/>
        <v>18.749999999999989</v>
      </c>
      <c r="AG22" s="47">
        <f t="shared" si="4"/>
        <v>16.666666666666657</v>
      </c>
      <c r="AH22" s="47">
        <f t="shared" si="4"/>
        <v>14.583333333333325</v>
      </c>
      <c r="AI22" s="47">
        <f t="shared" si="4"/>
        <v>12.499999999999993</v>
      </c>
      <c r="AJ22" s="47">
        <f t="shared" si="4"/>
        <v>10.416666666666661</v>
      </c>
      <c r="AK22" s="47">
        <f t="shared" si="4"/>
        <v>8.3333333333333286</v>
      </c>
      <c r="AL22" s="47">
        <f t="shared" si="4"/>
        <v>6.2499999999999956</v>
      </c>
      <c r="AM22" s="47">
        <f t="shared" si="4"/>
        <v>4.1666666666666625</v>
      </c>
      <c r="AN22" s="47">
        <f t="shared" si="4"/>
        <v>2.0833333333333295</v>
      </c>
      <c r="AO22" s="47">
        <f t="shared" si="4"/>
        <v>-3.5527136788005009E-15</v>
      </c>
      <c r="AP22" s="47">
        <f t="shared" si="4"/>
        <v>-3.5527136788005009E-15</v>
      </c>
      <c r="AQ22" s="47">
        <f t="shared" si="4"/>
        <v>-3.5527136788005009E-15</v>
      </c>
      <c r="AR22" s="47">
        <f t="shared" si="4"/>
        <v>-3.5527136788005009E-15</v>
      </c>
      <c r="AS22" s="47">
        <f t="shared" si="4"/>
        <v>-3.5527136788005009E-15</v>
      </c>
      <c r="AT22" s="47">
        <f t="shared" si="4"/>
        <v>-3.5527136788005009E-15</v>
      </c>
      <c r="AU22" s="47">
        <f t="shared" si="4"/>
        <v>-3.5527136788005009E-15</v>
      </c>
      <c r="AV22" s="47">
        <f t="shared" si="4"/>
        <v>-3.5527136788005009E-15</v>
      </c>
      <c r="AW22" s="47">
        <f t="shared" si="4"/>
        <v>-3.5527136788005009E-15</v>
      </c>
      <c r="AX22" s="47">
        <f t="shared" si="4"/>
        <v>-3.5527136788005009E-15</v>
      </c>
      <c r="AY22" s="47">
        <f t="shared" si="4"/>
        <v>-3.5527136788005009E-15</v>
      </c>
      <c r="AZ22" s="47">
        <f t="shared" si="4"/>
        <v>-3.5527136788005009E-15</v>
      </c>
      <c r="BA22" s="47">
        <f t="shared" si="4"/>
        <v>-3.5527136788005009E-15</v>
      </c>
      <c r="BB22" s="47">
        <f t="shared" si="4"/>
        <v>-3.5527136788005009E-15</v>
      </c>
      <c r="BC22" s="47">
        <f t="shared" si="4"/>
        <v>-3.5527136788005009E-15</v>
      </c>
      <c r="BD22" s="47">
        <f t="shared" si="4"/>
        <v>-3.5527136788005009E-15</v>
      </c>
      <c r="BE22" s="47">
        <f t="shared" si="4"/>
        <v>-3.5527136788005009E-15</v>
      </c>
      <c r="BF22" s="47">
        <f t="shared" si="4"/>
        <v>-3.5527136788005009E-15</v>
      </c>
      <c r="BG22" s="47">
        <f t="shared" si="4"/>
        <v>-3.5527136788005009E-15</v>
      </c>
      <c r="BH22" s="47">
        <f t="shared" si="4"/>
        <v>-3.5527136788005009E-15</v>
      </c>
      <c r="BI22" s="47">
        <f t="shared" si="4"/>
        <v>-3.5527136788005009E-15</v>
      </c>
    </row>
    <row r="23" spans="3:61" ht="13.5" outlineLevel="1" thickTop="1">
      <c r="D23" s="8"/>
    </row>
    <row r="24" spans="3:61" ht="15" outlineLevel="1">
      <c r="C24" s="4" t="s">
        <v>29</v>
      </c>
      <c r="D24" s="8"/>
    </row>
    <row r="25" spans="3:61" outlineLevel="1">
      <c r="C25" t="s">
        <v>80</v>
      </c>
      <c r="D25" s="8" t="s">
        <v>70</v>
      </c>
      <c r="J25" s="22">
        <f>Cons!J43</f>
        <v>3.5999999999999997E-2</v>
      </c>
      <c r="K25" s="22">
        <f>Cons!K43</f>
        <v>3.5999999999999997E-2</v>
      </c>
      <c r="L25" s="22">
        <f>Cons!L43</f>
        <v>3.5999999999999997E-2</v>
      </c>
      <c r="M25" s="22">
        <f>Cons!M43</f>
        <v>3.5999999999999997E-2</v>
      </c>
      <c r="N25" s="22">
        <f>Cons!N43</f>
        <v>0.03</v>
      </c>
      <c r="O25" s="22">
        <f>Cons!O43</f>
        <v>0.03</v>
      </c>
      <c r="P25" s="22">
        <f>Cons!P43</f>
        <v>0.03</v>
      </c>
      <c r="Q25" s="22">
        <f>Cons!Q43</f>
        <v>0.03</v>
      </c>
      <c r="R25" s="22">
        <f>Cons!R43</f>
        <v>2.9000000000000001E-2</v>
      </c>
      <c r="S25" s="22">
        <f>Cons!S43</f>
        <v>2.9000000000000001E-2</v>
      </c>
      <c r="T25" s="22">
        <f>Cons!T43</f>
        <v>2.9000000000000001E-2</v>
      </c>
      <c r="U25" s="22">
        <f>Cons!U43</f>
        <v>2.9000000000000001E-2</v>
      </c>
      <c r="V25" s="22">
        <f>Cons!V43</f>
        <v>0.03</v>
      </c>
      <c r="W25" s="22">
        <f>Cons!W43</f>
        <v>0.03</v>
      </c>
      <c r="X25" s="22">
        <f>Cons!X43</f>
        <v>0.03</v>
      </c>
      <c r="Y25" s="22">
        <f>Cons!Y43</f>
        <v>0.03</v>
      </c>
      <c r="Z25" s="22">
        <f>Cons!Z43</f>
        <v>0.03</v>
      </c>
      <c r="AA25" s="22">
        <f>Cons!AA43</f>
        <v>0.03</v>
      </c>
      <c r="AB25" s="22">
        <f>Cons!AB43</f>
        <v>0.03</v>
      </c>
      <c r="AC25" s="22">
        <f>Cons!AC43</f>
        <v>0.03</v>
      </c>
      <c r="AD25" s="22">
        <f>Cons!AD43</f>
        <v>0.03</v>
      </c>
      <c r="AE25" s="22">
        <f>Cons!AE43</f>
        <v>0.03</v>
      </c>
      <c r="AF25" s="22">
        <f>Cons!AF43</f>
        <v>0.03</v>
      </c>
      <c r="AG25" s="22">
        <f>Cons!AG43</f>
        <v>0.03</v>
      </c>
      <c r="AH25" s="22">
        <f>Cons!AH43</f>
        <v>0.03</v>
      </c>
      <c r="AI25" s="22">
        <f>Cons!AI43</f>
        <v>0.03</v>
      </c>
      <c r="AJ25" s="22">
        <f>Cons!AJ43</f>
        <v>0.03</v>
      </c>
      <c r="AK25" s="22">
        <f>Cons!AK43</f>
        <v>0.03</v>
      </c>
      <c r="AL25" s="22">
        <f>Cons!AL43</f>
        <v>0.03</v>
      </c>
      <c r="AM25" s="22">
        <f>Cons!AM43</f>
        <v>0.03</v>
      </c>
      <c r="AN25" s="22">
        <f>Cons!AN43</f>
        <v>0.03</v>
      </c>
      <c r="AO25" s="22">
        <f>Cons!AO43</f>
        <v>0.03</v>
      </c>
      <c r="AP25" s="22">
        <f>Cons!AP43</f>
        <v>0.03</v>
      </c>
      <c r="AQ25" s="22">
        <f>Cons!AQ43</f>
        <v>0.03</v>
      </c>
      <c r="AR25" s="22">
        <f>Cons!AR43</f>
        <v>0.03</v>
      </c>
      <c r="AS25" s="22">
        <f>Cons!AS43</f>
        <v>0.03</v>
      </c>
      <c r="AT25" s="22">
        <f>Cons!AT43</f>
        <v>0.03</v>
      </c>
      <c r="AU25" s="22">
        <f>Cons!AU43</f>
        <v>0.03</v>
      </c>
      <c r="AV25" s="22">
        <f>Cons!AV43</f>
        <v>0.03</v>
      </c>
      <c r="AW25" s="22">
        <f>Cons!AW43</f>
        <v>0.03</v>
      </c>
      <c r="AX25" s="22">
        <f>Cons!AX43</f>
        <v>0.03</v>
      </c>
      <c r="AY25" s="22">
        <f>Cons!AY43</f>
        <v>0.03</v>
      </c>
      <c r="AZ25" s="22">
        <f>Cons!AZ43</f>
        <v>0.03</v>
      </c>
      <c r="BA25" s="22">
        <f>Cons!BA43</f>
        <v>0.03</v>
      </c>
      <c r="BB25" s="22">
        <f>Cons!BB43</f>
        <v>0.03</v>
      </c>
      <c r="BC25" s="22">
        <f>Cons!BC43</f>
        <v>0.03</v>
      </c>
      <c r="BD25" s="22">
        <f>Cons!BD43</f>
        <v>0.03</v>
      </c>
      <c r="BE25" s="22">
        <f>Cons!BE43</f>
        <v>0.03</v>
      </c>
      <c r="BF25" s="22">
        <f>Cons!BF43</f>
        <v>0.03</v>
      </c>
      <c r="BG25" s="22">
        <f>Cons!BG43</f>
        <v>0.03</v>
      </c>
      <c r="BH25" s="22">
        <f>Cons!BH43</f>
        <v>0.03</v>
      </c>
      <c r="BI25" s="22">
        <f>Cons!BI43</f>
        <v>0.03</v>
      </c>
    </row>
    <row r="26" spans="3:61" outlineLevel="1">
      <c r="C26" t="s">
        <v>69</v>
      </c>
      <c r="D26" s="8" t="s">
        <v>70</v>
      </c>
      <c r="J26" s="22">
        <f>IF(J10=0,0,LOOKUP(J10,Inputs!$F$51:$I$51,Inputs!$F$52:$I$52))</f>
        <v>0</v>
      </c>
      <c r="K26" s="22">
        <f>IF(K10=0,0,LOOKUP(K10,Inputs!$F$51:$I$51,Inputs!$F$52:$I$52))</f>
        <v>0</v>
      </c>
      <c r="L26" s="22">
        <f>IF(L10=0,0,LOOKUP(L10,Inputs!$F$51:$I$51,Inputs!$F$52:$I$52))</f>
        <v>0</v>
      </c>
      <c r="M26" s="22">
        <f>IF(M10=0,0,LOOKUP(M10,Inputs!$F$51:$I$51,Inputs!$F$52:$I$52))</f>
        <v>0</v>
      </c>
      <c r="N26" s="22">
        <f>IF(N10=0,0,LOOKUP(N10,Inputs!$F$51:$I$51,Inputs!$F$52:$I$52))</f>
        <v>0</v>
      </c>
      <c r="O26" s="22">
        <f>IF(O10=0,0,LOOKUP(O10,Inputs!$F$51:$I$51,Inputs!$F$52:$I$52))</f>
        <v>0</v>
      </c>
      <c r="P26" s="22">
        <f>IF(P10=0,0,LOOKUP(P10,Inputs!$F$51:$I$51,Inputs!$F$52:$I$52))</f>
        <v>0</v>
      </c>
      <c r="Q26" s="22">
        <f>IF(Q10=0,0,LOOKUP(Q10,Inputs!$F$51:$I$51,Inputs!$F$52:$I$52))</f>
        <v>0</v>
      </c>
      <c r="R26" s="22">
        <f>IF(R10=0,0,LOOKUP(R10,Inputs!$F$51:$I$51,Inputs!$F$52:$I$52))</f>
        <v>2.5000000000000001E-2</v>
      </c>
      <c r="S26" s="22">
        <f>IF(S10=0,0,LOOKUP(S10,Inputs!$F$51:$I$51,Inputs!$F$52:$I$52))</f>
        <v>2.5000000000000001E-2</v>
      </c>
      <c r="T26" s="22">
        <f>IF(T10=0,0,LOOKUP(T10,Inputs!$F$51:$I$51,Inputs!$F$52:$I$52))</f>
        <v>2.5000000000000001E-2</v>
      </c>
      <c r="U26" s="22">
        <f>IF(U10=0,0,LOOKUP(U10,Inputs!$F$51:$I$51,Inputs!$F$52:$I$52))</f>
        <v>2.5000000000000001E-2</v>
      </c>
      <c r="V26" s="22">
        <f>IF(V10=0,0,LOOKUP(V10,Inputs!$F$51:$I$51,Inputs!$F$52:$I$52))</f>
        <v>2.5000000000000001E-2</v>
      </c>
      <c r="W26" s="22">
        <f>IF(W10=0,0,LOOKUP(W10,Inputs!$F$51:$I$51,Inputs!$F$52:$I$52))</f>
        <v>2.5000000000000001E-2</v>
      </c>
      <c r="X26" s="22">
        <f>IF(X10=0,0,LOOKUP(X10,Inputs!$F$51:$I$51,Inputs!$F$52:$I$52))</f>
        <v>2.5000000000000001E-2</v>
      </c>
      <c r="Y26" s="22">
        <f>IF(Y10=0,0,LOOKUP(Y10,Inputs!$F$51:$I$51,Inputs!$F$52:$I$52))</f>
        <v>2.5000000000000001E-2</v>
      </c>
      <c r="Z26" s="22">
        <f>IF(Z10=0,0,LOOKUP(Z10,Inputs!$F$51:$I$51,Inputs!$F$52:$I$52))</f>
        <v>2.5000000000000001E-2</v>
      </c>
      <c r="AA26" s="22">
        <f>IF(AA10=0,0,LOOKUP(AA10,Inputs!$F$51:$I$51,Inputs!$F$52:$I$52))</f>
        <v>2.5000000000000001E-2</v>
      </c>
      <c r="AB26" s="22">
        <f>IF(AB10=0,0,LOOKUP(AB10,Inputs!$F$51:$I$51,Inputs!$F$52:$I$52))</f>
        <v>2.5000000000000001E-2</v>
      </c>
      <c r="AC26" s="22">
        <f>IF(AC10=0,0,LOOKUP(AC10,Inputs!$F$51:$I$51,Inputs!$F$52:$I$52))</f>
        <v>2.5000000000000001E-2</v>
      </c>
      <c r="AD26" s="22">
        <f>IF(AD10=0,0,LOOKUP(AD10,Inputs!$F$51:$I$51,Inputs!$F$52:$I$52))</f>
        <v>2.5000000000000001E-2</v>
      </c>
      <c r="AE26" s="22">
        <f>IF(AE10=0,0,LOOKUP(AE10,Inputs!$F$51:$I$51,Inputs!$F$52:$I$52))</f>
        <v>2.5000000000000001E-2</v>
      </c>
      <c r="AF26" s="22">
        <f>IF(AF10=0,0,LOOKUP(AF10,Inputs!$F$51:$I$51,Inputs!$F$52:$I$52))</f>
        <v>2.5000000000000001E-2</v>
      </c>
      <c r="AG26" s="22">
        <f>IF(AG10=0,0,LOOKUP(AG10,Inputs!$F$51:$I$51,Inputs!$F$52:$I$52))</f>
        <v>2.5000000000000001E-2</v>
      </c>
      <c r="AH26" s="22">
        <f>IF(AH10=0,0,LOOKUP(AH10,Inputs!$F$51:$I$51,Inputs!$F$52:$I$52))</f>
        <v>2.5000000000000001E-2</v>
      </c>
      <c r="AI26" s="22">
        <f>IF(AI10=0,0,LOOKUP(AI10,Inputs!$F$51:$I$51,Inputs!$F$52:$I$52))</f>
        <v>2.5000000000000001E-2</v>
      </c>
      <c r="AJ26" s="22">
        <f>IF(AJ10=0,0,LOOKUP(AJ10,Inputs!$F$51:$I$51,Inputs!$F$52:$I$52))</f>
        <v>2.5000000000000001E-2</v>
      </c>
      <c r="AK26" s="22">
        <f>IF(AK10=0,0,LOOKUP(AK10,Inputs!$F$51:$I$51,Inputs!$F$52:$I$52))</f>
        <v>2.5000000000000001E-2</v>
      </c>
      <c r="AL26" s="22">
        <f>IF(AL10=0,0,LOOKUP(AL10,Inputs!$F$51:$I$51,Inputs!$F$52:$I$52))</f>
        <v>2.5000000000000001E-2</v>
      </c>
      <c r="AM26" s="22">
        <f>IF(AM10=0,0,LOOKUP(AM10,Inputs!$F$51:$I$51,Inputs!$F$52:$I$52))</f>
        <v>2.5000000000000001E-2</v>
      </c>
      <c r="AN26" s="22">
        <f>IF(AN10=0,0,LOOKUP(AN10,Inputs!$F$51:$I$51,Inputs!$F$52:$I$52))</f>
        <v>2.5000000000000001E-2</v>
      </c>
      <c r="AO26" s="22">
        <f>IF(AO10=0,0,LOOKUP(AO10,Inputs!$F$51:$I$51,Inputs!$F$52:$I$52))</f>
        <v>2.5000000000000001E-2</v>
      </c>
      <c r="AP26" s="22">
        <f>IF(AP10=0,0,LOOKUP(AP10,Inputs!$F$51:$I$51,Inputs!$F$52:$I$52))</f>
        <v>2.5000000000000001E-2</v>
      </c>
      <c r="AQ26" s="22">
        <f>IF(AQ10=0,0,LOOKUP(AQ10,Inputs!$F$51:$I$51,Inputs!$F$52:$I$52))</f>
        <v>2.5000000000000001E-2</v>
      </c>
      <c r="AR26" s="22">
        <f>IF(AR10=0,0,LOOKUP(AR10,Inputs!$F$51:$I$51,Inputs!$F$52:$I$52))</f>
        <v>2.5000000000000001E-2</v>
      </c>
      <c r="AS26" s="22">
        <f>IF(AS10=0,0,LOOKUP(AS10,Inputs!$F$51:$I$51,Inputs!$F$52:$I$52))</f>
        <v>2.5000000000000001E-2</v>
      </c>
      <c r="AT26" s="22">
        <f>IF(AT10=0,0,LOOKUP(AT10,Inputs!$F$51:$I$51,Inputs!$F$52:$I$52))</f>
        <v>2.5000000000000001E-2</v>
      </c>
      <c r="AU26" s="22">
        <f>IF(AU10=0,0,LOOKUP(AU10,Inputs!$F$51:$I$51,Inputs!$F$52:$I$52))</f>
        <v>2.5000000000000001E-2</v>
      </c>
      <c r="AV26" s="22">
        <f>IF(AV10=0,0,LOOKUP(AV10,Inputs!$F$51:$I$51,Inputs!$F$52:$I$52))</f>
        <v>2.5000000000000001E-2</v>
      </c>
      <c r="AW26" s="22">
        <f>IF(AW10=0,0,LOOKUP(AW10,Inputs!$F$51:$I$51,Inputs!$F$52:$I$52))</f>
        <v>2.5000000000000001E-2</v>
      </c>
      <c r="AX26" s="22">
        <f>IF(AX10=0,0,LOOKUP(AX10,Inputs!$F$51:$I$51,Inputs!$F$52:$I$52))</f>
        <v>2.5000000000000001E-2</v>
      </c>
      <c r="AY26" s="22">
        <f>IF(AY10=0,0,LOOKUP(AY10,Inputs!$F$51:$I$51,Inputs!$F$52:$I$52))</f>
        <v>2.5000000000000001E-2</v>
      </c>
      <c r="AZ26" s="22">
        <f>IF(AZ10=0,0,LOOKUP(AZ10,Inputs!$F$51:$I$51,Inputs!$F$52:$I$52))</f>
        <v>2.5000000000000001E-2</v>
      </c>
      <c r="BA26" s="22">
        <f>IF(BA10=0,0,LOOKUP(BA10,Inputs!$F$51:$I$51,Inputs!$F$52:$I$52))</f>
        <v>2.5000000000000001E-2</v>
      </c>
      <c r="BB26" s="22">
        <f>IF(BB10=0,0,LOOKUP(BB10,Inputs!$F$51:$I$51,Inputs!$F$52:$I$52))</f>
        <v>2.5000000000000001E-2</v>
      </c>
      <c r="BC26" s="22">
        <f>IF(BC10=0,0,LOOKUP(BC10,Inputs!$F$51:$I$51,Inputs!$F$52:$I$52))</f>
        <v>2.5000000000000001E-2</v>
      </c>
      <c r="BD26" s="22">
        <f>IF(BD10=0,0,LOOKUP(BD10,Inputs!$F$51:$I$51,Inputs!$F$52:$I$52))</f>
        <v>2.5000000000000001E-2</v>
      </c>
      <c r="BE26" s="22">
        <f>IF(BE10=0,0,LOOKUP(BE10,Inputs!$F$51:$I$51,Inputs!$F$52:$I$52))</f>
        <v>2.5000000000000001E-2</v>
      </c>
      <c r="BF26" s="22">
        <f>IF(BF10=0,0,LOOKUP(BF10,Inputs!$F$51:$I$51,Inputs!$F$52:$I$52))</f>
        <v>0</v>
      </c>
      <c r="BG26" s="22">
        <f>IF(BG10=0,0,LOOKUP(BG10,Inputs!$F$51:$I$51,Inputs!$F$52:$I$52))</f>
        <v>0</v>
      </c>
      <c r="BH26" s="22">
        <f>IF(BH10=0,0,LOOKUP(BH10,Inputs!$F$51:$I$51,Inputs!$F$52:$I$52))</f>
        <v>0</v>
      </c>
      <c r="BI26" s="22">
        <f>IF(BI10=0,0,LOOKUP(BI10,Inputs!$F$51:$I$51,Inputs!$F$52:$I$52))</f>
        <v>0</v>
      </c>
    </row>
    <row r="27" spans="3:61" outlineLevel="1">
      <c r="C27" t="s">
        <v>120</v>
      </c>
      <c r="D27" s="8" t="s">
        <v>70</v>
      </c>
      <c r="J27" s="49">
        <f>SUM(J25:J26)</f>
        <v>3.5999999999999997E-2</v>
      </c>
      <c r="K27" s="49">
        <f t="shared" ref="K27:BI27" si="5">SUM(K25:K26)</f>
        <v>3.5999999999999997E-2</v>
      </c>
      <c r="L27" s="49">
        <f t="shared" si="5"/>
        <v>3.5999999999999997E-2</v>
      </c>
      <c r="M27" s="49">
        <f t="shared" si="5"/>
        <v>3.5999999999999997E-2</v>
      </c>
      <c r="N27" s="49">
        <f t="shared" si="5"/>
        <v>0.03</v>
      </c>
      <c r="O27" s="49">
        <f t="shared" si="5"/>
        <v>0.03</v>
      </c>
      <c r="P27" s="49">
        <f t="shared" si="5"/>
        <v>0.03</v>
      </c>
      <c r="Q27" s="49">
        <f t="shared" si="5"/>
        <v>0.03</v>
      </c>
      <c r="R27" s="49">
        <f t="shared" si="5"/>
        <v>5.4000000000000006E-2</v>
      </c>
      <c r="S27" s="49">
        <f t="shared" si="5"/>
        <v>5.4000000000000006E-2</v>
      </c>
      <c r="T27" s="49">
        <f t="shared" si="5"/>
        <v>5.4000000000000006E-2</v>
      </c>
      <c r="U27" s="49">
        <f t="shared" si="5"/>
        <v>5.4000000000000006E-2</v>
      </c>
      <c r="V27" s="49">
        <f t="shared" si="5"/>
        <v>5.5E-2</v>
      </c>
      <c r="W27" s="49">
        <f t="shared" si="5"/>
        <v>5.5E-2</v>
      </c>
      <c r="X27" s="49">
        <f t="shared" si="5"/>
        <v>5.5E-2</v>
      </c>
      <c r="Y27" s="49">
        <f t="shared" si="5"/>
        <v>5.5E-2</v>
      </c>
      <c r="Z27" s="49">
        <f t="shared" si="5"/>
        <v>5.5E-2</v>
      </c>
      <c r="AA27" s="49">
        <f t="shared" si="5"/>
        <v>5.5E-2</v>
      </c>
      <c r="AB27" s="49">
        <f t="shared" si="5"/>
        <v>5.5E-2</v>
      </c>
      <c r="AC27" s="49">
        <f t="shared" si="5"/>
        <v>5.5E-2</v>
      </c>
      <c r="AD27" s="49">
        <f t="shared" si="5"/>
        <v>5.5E-2</v>
      </c>
      <c r="AE27" s="49">
        <f t="shared" si="5"/>
        <v>5.5E-2</v>
      </c>
      <c r="AF27" s="49">
        <f t="shared" si="5"/>
        <v>5.5E-2</v>
      </c>
      <c r="AG27" s="49">
        <f t="shared" si="5"/>
        <v>5.5E-2</v>
      </c>
      <c r="AH27" s="49">
        <f t="shared" si="5"/>
        <v>5.5E-2</v>
      </c>
      <c r="AI27" s="49">
        <f t="shared" si="5"/>
        <v>5.5E-2</v>
      </c>
      <c r="AJ27" s="49">
        <f t="shared" si="5"/>
        <v>5.5E-2</v>
      </c>
      <c r="AK27" s="49">
        <f t="shared" si="5"/>
        <v>5.5E-2</v>
      </c>
      <c r="AL27" s="49">
        <f t="shared" si="5"/>
        <v>5.5E-2</v>
      </c>
      <c r="AM27" s="49">
        <f t="shared" si="5"/>
        <v>5.5E-2</v>
      </c>
      <c r="AN27" s="49">
        <f t="shared" si="5"/>
        <v>5.5E-2</v>
      </c>
      <c r="AO27" s="49">
        <f t="shared" si="5"/>
        <v>5.5E-2</v>
      </c>
      <c r="AP27" s="49">
        <f t="shared" si="5"/>
        <v>5.5E-2</v>
      </c>
      <c r="AQ27" s="49">
        <f t="shared" si="5"/>
        <v>5.5E-2</v>
      </c>
      <c r="AR27" s="49">
        <f t="shared" si="5"/>
        <v>5.5E-2</v>
      </c>
      <c r="AS27" s="49">
        <f t="shared" si="5"/>
        <v>5.5E-2</v>
      </c>
      <c r="AT27" s="49">
        <f t="shared" si="5"/>
        <v>5.5E-2</v>
      </c>
      <c r="AU27" s="49">
        <f t="shared" si="5"/>
        <v>5.5E-2</v>
      </c>
      <c r="AV27" s="49">
        <f t="shared" si="5"/>
        <v>5.5E-2</v>
      </c>
      <c r="AW27" s="49">
        <f t="shared" si="5"/>
        <v>5.5E-2</v>
      </c>
      <c r="AX27" s="49">
        <f t="shared" si="5"/>
        <v>5.5E-2</v>
      </c>
      <c r="AY27" s="49">
        <f t="shared" si="5"/>
        <v>5.5E-2</v>
      </c>
      <c r="AZ27" s="49">
        <f t="shared" si="5"/>
        <v>5.5E-2</v>
      </c>
      <c r="BA27" s="49">
        <f t="shared" si="5"/>
        <v>5.5E-2</v>
      </c>
      <c r="BB27" s="49">
        <f t="shared" si="5"/>
        <v>5.5E-2</v>
      </c>
      <c r="BC27" s="49">
        <f t="shared" si="5"/>
        <v>5.5E-2</v>
      </c>
      <c r="BD27" s="49">
        <f t="shared" si="5"/>
        <v>5.5E-2</v>
      </c>
      <c r="BE27" s="49">
        <f t="shared" si="5"/>
        <v>5.5E-2</v>
      </c>
      <c r="BF27" s="49">
        <f t="shared" si="5"/>
        <v>0.03</v>
      </c>
      <c r="BG27" s="49">
        <f t="shared" si="5"/>
        <v>0.03</v>
      </c>
      <c r="BH27" s="49">
        <f t="shared" si="5"/>
        <v>0.03</v>
      </c>
      <c r="BI27" s="49">
        <f t="shared" si="5"/>
        <v>0.03</v>
      </c>
    </row>
    <row r="28" spans="3:61" outlineLevel="1">
      <c r="C28" t="s">
        <v>120</v>
      </c>
      <c r="D28" s="8" t="s">
        <v>99</v>
      </c>
      <c r="J28" s="53">
        <f t="shared" ref="J28:AO28" si="6">J27/Qtrs_Yr</f>
        <v>8.9999999999999993E-3</v>
      </c>
      <c r="K28" s="53">
        <f t="shared" si="6"/>
        <v>8.9999999999999993E-3</v>
      </c>
      <c r="L28" s="53">
        <f t="shared" si="6"/>
        <v>8.9999999999999993E-3</v>
      </c>
      <c r="M28" s="53">
        <f t="shared" si="6"/>
        <v>8.9999999999999993E-3</v>
      </c>
      <c r="N28" s="53">
        <f t="shared" si="6"/>
        <v>7.4999999999999997E-3</v>
      </c>
      <c r="O28" s="53">
        <f t="shared" si="6"/>
        <v>7.4999999999999997E-3</v>
      </c>
      <c r="P28" s="53">
        <f t="shared" si="6"/>
        <v>7.4999999999999997E-3</v>
      </c>
      <c r="Q28" s="53">
        <f t="shared" si="6"/>
        <v>7.4999999999999997E-3</v>
      </c>
      <c r="R28" s="53">
        <f t="shared" si="6"/>
        <v>1.3500000000000002E-2</v>
      </c>
      <c r="S28" s="53">
        <f t="shared" si="6"/>
        <v>1.3500000000000002E-2</v>
      </c>
      <c r="T28" s="53">
        <f t="shared" si="6"/>
        <v>1.3500000000000002E-2</v>
      </c>
      <c r="U28" s="53">
        <f t="shared" si="6"/>
        <v>1.3500000000000002E-2</v>
      </c>
      <c r="V28" s="53">
        <f t="shared" si="6"/>
        <v>1.375E-2</v>
      </c>
      <c r="W28" s="53">
        <f t="shared" si="6"/>
        <v>1.375E-2</v>
      </c>
      <c r="X28" s="53">
        <f t="shared" si="6"/>
        <v>1.375E-2</v>
      </c>
      <c r="Y28" s="53">
        <f t="shared" si="6"/>
        <v>1.375E-2</v>
      </c>
      <c r="Z28" s="53">
        <f t="shared" si="6"/>
        <v>1.375E-2</v>
      </c>
      <c r="AA28" s="53">
        <f t="shared" si="6"/>
        <v>1.375E-2</v>
      </c>
      <c r="AB28" s="53">
        <f t="shared" si="6"/>
        <v>1.375E-2</v>
      </c>
      <c r="AC28" s="53">
        <f t="shared" si="6"/>
        <v>1.375E-2</v>
      </c>
      <c r="AD28" s="53">
        <f t="shared" si="6"/>
        <v>1.375E-2</v>
      </c>
      <c r="AE28" s="53">
        <f t="shared" si="6"/>
        <v>1.375E-2</v>
      </c>
      <c r="AF28" s="53">
        <f t="shared" si="6"/>
        <v>1.375E-2</v>
      </c>
      <c r="AG28" s="53">
        <f t="shared" si="6"/>
        <v>1.375E-2</v>
      </c>
      <c r="AH28" s="53">
        <f t="shared" si="6"/>
        <v>1.375E-2</v>
      </c>
      <c r="AI28" s="53">
        <f t="shared" si="6"/>
        <v>1.375E-2</v>
      </c>
      <c r="AJ28" s="53">
        <f t="shared" si="6"/>
        <v>1.375E-2</v>
      </c>
      <c r="AK28" s="53">
        <f t="shared" si="6"/>
        <v>1.375E-2</v>
      </c>
      <c r="AL28" s="53">
        <f t="shared" si="6"/>
        <v>1.375E-2</v>
      </c>
      <c r="AM28" s="53">
        <f t="shared" si="6"/>
        <v>1.375E-2</v>
      </c>
      <c r="AN28" s="53">
        <f t="shared" si="6"/>
        <v>1.375E-2</v>
      </c>
      <c r="AO28" s="53">
        <f t="shared" si="6"/>
        <v>1.375E-2</v>
      </c>
      <c r="AP28" s="53">
        <f t="shared" ref="AP28:BI28" si="7">AP27/Qtrs_Yr</f>
        <v>1.375E-2</v>
      </c>
      <c r="AQ28" s="53">
        <f t="shared" si="7"/>
        <v>1.375E-2</v>
      </c>
      <c r="AR28" s="53">
        <f t="shared" si="7"/>
        <v>1.375E-2</v>
      </c>
      <c r="AS28" s="53">
        <f t="shared" si="7"/>
        <v>1.375E-2</v>
      </c>
      <c r="AT28" s="53">
        <f t="shared" si="7"/>
        <v>1.375E-2</v>
      </c>
      <c r="AU28" s="53">
        <f t="shared" si="7"/>
        <v>1.375E-2</v>
      </c>
      <c r="AV28" s="53">
        <f t="shared" si="7"/>
        <v>1.375E-2</v>
      </c>
      <c r="AW28" s="53">
        <f t="shared" si="7"/>
        <v>1.375E-2</v>
      </c>
      <c r="AX28" s="53">
        <f t="shared" si="7"/>
        <v>1.375E-2</v>
      </c>
      <c r="AY28" s="53">
        <f t="shared" si="7"/>
        <v>1.375E-2</v>
      </c>
      <c r="AZ28" s="53">
        <f t="shared" si="7"/>
        <v>1.375E-2</v>
      </c>
      <c r="BA28" s="53">
        <f t="shared" si="7"/>
        <v>1.375E-2</v>
      </c>
      <c r="BB28" s="53">
        <f t="shared" si="7"/>
        <v>1.375E-2</v>
      </c>
      <c r="BC28" s="53">
        <f t="shared" si="7"/>
        <v>1.375E-2</v>
      </c>
      <c r="BD28" s="53">
        <f t="shared" si="7"/>
        <v>1.375E-2</v>
      </c>
      <c r="BE28" s="53">
        <f t="shared" si="7"/>
        <v>1.375E-2</v>
      </c>
      <c r="BF28" s="53">
        <f t="shared" si="7"/>
        <v>7.4999999999999997E-3</v>
      </c>
      <c r="BG28" s="53">
        <f t="shared" si="7"/>
        <v>7.4999999999999997E-3</v>
      </c>
      <c r="BH28" s="53">
        <f t="shared" si="7"/>
        <v>7.4999999999999997E-3</v>
      </c>
      <c r="BI28" s="53">
        <f t="shared" si="7"/>
        <v>7.4999999999999997E-3</v>
      </c>
    </row>
    <row r="29" spans="3:61" outlineLevel="1">
      <c r="D29" s="8"/>
    </row>
    <row r="30" spans="3:61" outlineLevel="1">
      <c r="C30" t="s">
        <v>121</v>
      </c>
      <c r="D30" s="8" t="s">
        <v>48</v>
      </c>
      <c r="I30" s="46">
        <f t="shared" ref="I30" si="8">SUM(J30:BI30)</f>
        <v>8.5468749999999964</v>
      </c>
      <c r="J30" s="44">
        <f t="shared" ref="J30:AO30" si="9">J19*J28*J16</f>
        <v>0</v>
      </c>
      <c r="K30" s="44">
        <f t="shared" si="9"/>
        <v>0</v>
      </c>
      <c r="L30" s="44">
        <f t="shared" si="9"/>
        <v>0</v>
      </c>
      <c r="M30" s="44">
        <f t="shared" si="9"/>
        <v>0</v>
      </c>
      <c r="N30" s="44">
        <f t="shared" si="9"/>
        <v>0</v>
      </c>
      <c r="O30" s="44">
        <f t="shared" si="9"/>
        <v>0</v>
      </c>
      <c r="P30" s="44">
        <f t="shared" si="9"/>
        <v>0</v>
      </c>
      <c r="Q30" s="44">
        <f t="shared" si="9"/>
        <v>0</v>
      </c>
      <c r="R30" s="44">
        <f t="shared" si="9"/>
        <v>0.67500000000000004</v>
      </c>
      <c r="S30" s="44">
        <f t="shared" si="9"/>
        <v>0.64687500000000009</v>
      </c>
      <c r="T30" s="44">
        <f t="shared" si="9"/>
        <v>0.61875000000000002</v>
      </c>
      <c r="U30" s="44">
        <f t="shared" si="9"/>
        <v>0.59062499999999996</v>
      </c>
      <c r="V30" s="44">
        <f t="shared" si="9"/>
        <v>0.57291666666666652</v>
      </c>
      <c r="W30" s="44">
        <f t="shared" si="9"/>
        <v>0.54427083333333315</v>
      </c>
      <c r="X30" s="44">
        <f t="shared" si="9"/>
        <v>0.51562499999999978</v>
      </c>
      <c r="Y30" s="44">
        <f t="shared" si="9"/>
        <v>0.48697916666666646</v>
      </c>
      <c r="Z30" s="44">
        <f t="shared" si="9"/>
        <v>0.45833333333333309</v>
      </c>
      <c r="AA30" s="44">
        <f t="shared" si="9"/>
        <v>0.42968749999999978</v>
      </c>
      <c r="AB30" s="44">
        <f t="shared" si="9"/>
        <v>0.40104166666666646</v>
      </c>
      <c r="AC30" s="44">
        <f t="shared" si="9"/>
        <v>0.37239583333333315</v>
      </c>
      <c r="AD30" s="44">
        <f t="shared" si="9"/>
        <v>0.34374999999999983</v>
      </c>
      <c r="AE30" s="44">
        <f t="shared" si="9"/>
        <v>0.31510416666666646</v>
      </c>
      <c r="AF30" s="44">
        <f t="shared" si="9"/>
        <v>0.28645833333333315</v>
      </c>
      <c r="AG30" s="44">
        <f t="shared" si="9"/>
        <v>0.25781249999999983</v>
      </c>
      <c r="AH30" s="44">
        <f t="shared" si="9"/>
        <v>0.22916666666666655</v>
      </c>
      <c r="AI30" s="44">
        <f t="shared" si="9"/>
        <v>0.20052083333333323</v>
      </c>
      <c r="AJ30" s="44">
        <f t="shared" si="9"/>
        <v>0.17187499999999992</v>
      </c>
      <c r="AK30" s="44">
        <f t="shared" si="9"/>
        <v>0.14322916666666657</v>
      </c>
      <c r="AL30" s="44">
        <f t="shared" si="9"/>
        <v>0.11458333333333327</v>
      </c>
      <c r="AM30" s="44">
        <f t="shared" si="9"/>
        <v>8.5937499999999944E-2</v>
      </c>
      <c r="AN30" s="44">
        <f t="shared" si="9"/>
        <v>5.7291666666666609E-2</v>
      </c>
      <c r="AO30" s="44">
        <f t="shared" si="9"/>
        <v>2.864583333333328E-2</v>
      </c>
      <c r="AP30" s="44">
        <f t="shared" ref="AP30:BI30" si="10">AP19*AP28*AP16</f>
        <v>0</v>
      </c>
      <c r="AQ30" s="44">
        <f t="shared" si="10"/>
        <v>0</v>
      </c>
      <c r="AR30" s="44">
        <f t="shared" si="10"/>
        <v>0</v>
      </c>
      <c r="AS30" s="44">
        <f t="shared" si="10"/>
        <v>0</v>
      </c>
      <c r="AT30" s="44">
        <f t="shared" si="10"/>
        <v>0</v>
      </c>
      <c r="AU30" s="44">
        <f t="shared" si="10"/>
        <v>0</v>
      </c>
      <c r="AV30" s="44">
        <f t="shared" si="10"/>
        <v>0</v>
      </c>
      <c r="AW30" s="44">
        <f t="shared" si="10"/>
        <v>0</v>
      </c>
      <c r="AX30" s="44">
        <f t="shared" si="10"/>
        <v>0</v>
      </c>
      <c r="AY30" s="44">
        <f t="shared" si="10"/>
        <v>0</v>
      </c>
      <c r="AZ30" s="44">
        <f t="shared" si="10"/>
        <v>0</v>
      </c>
      <c r="BA30" s="44">
        <f t="shared" si="10"/>
        <v>0</v>
      </c>
      <c r="BB30" s="44">
        <f t="shared" si="10"/>
        <v>0</v>
      </c>
      <c r="BC30" s="44">
        <f t="shared" si="10"/>
        <v>0</v>
      </c>
      <c r="BD30" s="44">
        <f t="shared" si="10"/>
        <v>0</v>
      </c>
      <c r="BE30" s="44">
        <f t="shared" si="10"/>
        <v>0</v>
      </c>
      <c r="BF30" s="44">
        <f t="shared" si="10"/>
        <v>0</v>
      </c>
      <c r="BG30" s="44">
        <f t="shared" si="10"/>
        <v>0</v>
      </c>
      <c r="BH30" s="44">
        <f t="shared" si="10"/>
        <v>0</v>
      </c>
      <c r="BI30" s="44">
        <f t="shared" si="10"/>
        <v>0</v>
      </c>
    </row>
    <row r="31" spans="3:61" outlineLevel="1">
      <c r="D31" s="8"/>
    </row>
    <row r="32" spans="3:61" ht="15" outlineLevel="1">
      <c r="C32" s="4" t="s">
        <v>122</v>
      </c>
      <c r="D32" s="8"/>
    </row>
    <row r="33" spans="3:61" ht="14.25" outlineLevel="1">
      <c r="C33" s="3" t="s">
        <v>123</v>
      </c>
      <c r="D33" s="8"/>
    </row>
    <row r="34" spans="3:61" outlineLevel="1">
      <c r="C34" t="s">
        <v>124</v>
      </c>
      <c r="D34" s="8" t="s">
        <v>70</v>
      </c>
      <c r="E34" s="66">
        <f>Inputs!E58</f>
        <v>0.16666666666666666</v>
      </c>
      <c r="I34" s="46">
        <f t="shared" ref="I34:I35" si="11">SUM(J34:BI34)</f>
        <v>200.00000000000003</v>
      </c>
      <c r="J34" s="21">
        <f t="shared" ref="J34:AO34" si="12">$I$20*$E34*J16</f>
        <v>0</v>
      </c>
      <c r="K34" s="21">
        <f t="shared" si="12"/>
        <v>0</v>
      </c>
      <c r="L34" s="21">
        <f t="shared" si="12"/>
        <v>0</v>
      </c>
      <c r="M34" s="21">
        <f t="shared" si="12"/>
        <v>0</v>
      </c>
      <c r="N34" s="21">
        <f t="shared" si="12"/>
        <v>0</v>
      </c>
      <c r="O34" s="21">
        <f t="shared" si="12"/>
        <v>0</v>
      </c>
      <c r="P34" s="21">
        <f t="shared" si="12"/>
        <v>0</v>
      </c>
      <c r="Q34" s="21">
        <f t="shared" si="12"/>
        <v>0</v>
      </c>
      <c r="R34" s="21">
        <f t="shared" si="12"/>
        <v>8.3333333333333321</v>
      </c>
      <c r="S34" s="21">
        <f t="shared" si="12"/>
        <v>8.3333333333333321</v>
      </c>
      <c r="T34" s="21">
        <f t="shared" si="12"/>
        <v>8.3333333333333321</v>
      </c>
      <c r="U34" s="21">
        <f t="shared" si="12"/>
        <v>8.3333333333333321</v>
      </c>
      <c r="V34" s="21">
        <f t="shared" si="12"/>
        <v>8.3333333333333321</v>
      </c>
      <c r="W34" s="21">
        <f t="shared" si="12"/>
        <v>8.3333333333333321</v>
      </c>
      <c r="X34" s="21">
        <f t="shared" si="12"/>
        <v>8.3333333333333321</v>
      </c>
      <c r="Y34" s="21">
        <f t="shared" si="12"/>
        <v>8.3333333333333321</v>
      </c>
      <c r="Z34" s="21">
        <f t="shared" si="12"/>
        <v>8.3333333333333321</v>
      </c>
      <c r="AA34" s="21">
        <f t="shared" si="12"/>
        <v>8.3333333333333321</v>
      </c>
      <c r="AB34" s="21">
        <f t="shared" si="12"/>
        <v>8.3333333333333321</v>
      </c>
      <c r="AC34" s="21">
        <f t="shared" si="12"/>
        <v>8.3333333333333321</v>
      </c>
      <c r="AD34" s="21">
        <f t="shared" si="12"/>
        <v>8.3333333333333321</v>
      </c>
      <c r="AE34" s="21">
        <f t="shared" si="12"/>
        <v>8.3333333333333321</v>
      </c>
      <c r="AF34" s="21">
        <f t="shared" si="12"/>
        <v>8.3333333333333321</v>
      </c>
      <c r="AG34" s="21">
        <f t="shared" si="12"/>
        <v>8.3333333333333321</v>
      </c>
      <c r="AH34" s="21">
        <f t="shared" si="12"/>
        <v>8.3333333333333321</v>
      </c>
      <c r="AI34" s="21">
        <f t="shared" si="12"/>
        <v>8.3333333333333321</v>
      </c>
      <c r="AJ34" s="21">
        <f t="shared" si="12"/>
        <v>8.3333333333333321</v>
      </c>
      <c r="AK34" s="21">
        <f t="shared" si="12"/>
        <v>8.3333333333333321</v>
      </c>
      <c r="AL34" s="21">
        <f t="shared" si="12"/>
        <v>8.3333333333333321</v>
      </c>
      <c r="AM34" s="21">
        <f t="shared" si="12"/>
        <v>8.3333333333333321</v>
      </c>
      <c r="AN34" s="21">
        <f t="shared" si="12"/>
        <v>8.3333333333333321</v>
      </c>
      <c r="AO34" s="21">
        <f t="shared" si="12"/>
        <v>8.3333333333333321</v>
      </c>
      <c r="AP34" s="21">
        <f t="shared" ref="AP34:BI34" si="13">$I$20*$E34*AP16</f>
        <v>0</v>
      </c>
      <c r="AQ34" s="21">
        <f t="shared" si="13"/>
        <v>0</v>
      </c>
      <c r="AR34" s="21">
        <f t="shared" si="13"/>
        <v>0</v>
      </c>
      <c r="AS34" s="21">
        <f t="shared" si="13"/>
        <v>0</v>
      </c>
      <c r="AT34" s="21">
        <f t="shared" si="13"/>
        <v>0</v>
      </c>
      <c r="AU34" s="21">
        <f t="shared" si="13"/>
        <v>0</v>
      </c>
      <c r="AV34" s="21">
        <f t="shared" si="13"/>
        <v>0</v>
      </c>
      <c r="AW34" s="21">
        <f t="shared" si="13"/>
        <v>0</v>
      </c>
      <c r="AX34" s="21">
        <f t="shared" si="13"/>
        <v>0</v>
      </c>
      <c r="AY34" s="21">
        <f t="shared" si="13"/>
        <v>0</v>
      </c>
      <c r="AZ34" s="21">
        <f t="shared" si="13"/>
        <v>0</v>
      </c>
      <c r="BA34" s="21">
        <f t="shared" si="13"/>
        <v>0</v>
      </c>
      <c r="BB34" s="21">
        <f t="shared" si="13"/>
        <v>0</v>
      </c>
      <c r="BC34" s="21">
        <f t="shared" si="13"/>
        <v>0</v>
      </c>
      <c r="BD34" s="21">
        <f t="shared" si="13"/>
        <v>0</v>
      </c>
      <c r="BE34" s="21">
        <f t="shared" si="13"/>
        <v>0</v>
      </c>
      <c r="BF34" s="21">
        <f t="shared" si="13"/>
        <v>0</v>
      </c>
      <c r="BG34" s="21">
        <f t="shared" si="13"/>
        <v>0</v>
      </c>
      <c r="BH34" s="21">
        <f t="shared" si="13"/>
        <v>0</v>
      </c>
      <c r="BI34" s="21">
        <f t="shared" si="13"/>
        <v>0</v>
      </c>
    </row>
    <row r="35" spans="3:61" outlineLevel="1">
      <c r="C35" t="s">
        <v>125</v>
      </c>
      <c r="D35" s="8" t="s">
        <v>126</v>
      </c>
      <c r="I35" s="46">
        <f t="shared" si="11"/>
        <v>50.000000000000007</v>
      </c>
      <c r="J35" s="52">
        <f t="shared" ref="J35:AO35" si="14">J34/Qtrs_Yr</f>
        <v>0</v>
      </c>
      <c r="K35" s="52">
        <f t="shared" si="14"/>
        <v>0</v>
      </c>
      <c r="L35" s="52">
        <f t="shared" si="14"/>
        <v>0</v>
      </c>
      <c r="M35" s="52">
        <f t="shared" si="14"/>
        <v>0</v>
      </c>
      <c r="N35" s="52">
        <f t="shared" si="14"/>
        <v>0</v>
      </c>
      <c r="O35" s="52">
        <f t="shared" si="14"/>
        <v>0</v>
      </c>
      <c r="P35" s="52">
        <f t="shared" si="14"/>
        <v>0</v>
      </c>
      <c r="Q35" s="52">
        <f t="shared" si="14"/>
        <v>0</v>
      </c>
      <c r="R35" s="52">
        <f t="shared" si="14"/>
        <v>2.083333333333333</v>
      </c>
      <c r="S35" s="52">
        <f t="shared" si="14"/>
        <v>2.083333333333333</v>
      </c>
      <c r="T35" s="52">
        <f t="shared" si="14"/>
        <v>2.083333333333333</v>
      </c>
      <c r="U35" s="52">
        <f t="shared" si="14"/>
        <v>2.083333333333333</v>
      </c>
      <c r="V35" s="52">
        <f t="shared" si="14"/>
        <v>2.083333333333333</v>
      </c>
      <c r="W35" s="52">
        <f t="shared" si="14"/>
        <v>2.083333333333333</v>
      </c>
      <c r="X35" s="52">
        <f t="shared" si="14"/>
        <v>2.083333333333333</v>
      </c>
      <c r="Y35" s="52">
        <f t="shared" si="14"/>
        <v>2.083333333333333</v>
      </c>
      <c r="Z35" s="52">
        <f t="shared" si="14"/>
        <v>2.083333333333333</v>
      </c>
      <c r="AA35" s="52">
        <f t="shared" si="14"/>
        <v>2.083333333333333</v>
      </c>
      <c r="AB35" s="52">
        <f t="shared" si="14"/>
        <v>2.083333333333333</v>
      </c>
      <c r="AC35" s="52">
        <f t="shared" si="14"/>
        <v>2.083333333333333</v>
      </c>
      <c r="AD35" s="52">
        <f t="shared" si="14"/>
        <v>2.083333333333333</v>
      </c>
      <c r="AE35" s="52">
        <f t="shared" si="14"/>
        <v>2.083333333333333</v>
      </c>
      <c r="AF35" s="52">
        <f t="shared" si="14"/>
        <v>2.083333333333333</v>
      </c>
      <c r="AG35" s="52">
        <f t="shared" si="14"/>
        <v>2.083333333333333</v>
      </c>
      <c r="AH35" s="52">
        <f t="shared" si="14"/>
        <v>2.083333333333333</v>
      </c>
      <c r="AI35" s="52">
        <f t="shared" si="14"/>
        <v>2.083333333333333</v>
      </c>
      <c r="AJ35" s="52">
        <f t="shared" si="14"/>
        <v>2.083333333333333</v>
      </c>
      <c r="AK35" s="52">
        <f t="shared" si="14"/>
        <v>2.083333333333333</v>
      </c>
      <c r="AL35" s="52">
        <f t="shared" si="14"/>
        <v>2.083333333333333</v>
      </c>
      <c r="AM35" s="52">
        <f t="shared" si="14"/>
        <v>2.083333333333333</v>
      </c>
      <c r="AN35" s="52">
        <f t="shared" si="14"/>
        <v>2.083333333333333</v>
      </c>
      <c r="AO35" s="52">
        <f t="shared" si="14"/>
        <v>2.083333333333333</v>
      </c>
      <c r="AP35" s="52">
        <f t="shared" ref="AP35:BI35" si="15">AP34/Qtrs_Yr</f>
        <v>0</v>
      </c>
      <c r="AQ35" s="52">
        <f t="shared" si="15"/>
        <v>0</v>
      </c>
      <c r="AR35" s="52">
        <f t="shared" si="15"/>
        <v>0</v>
      </c>
      <c r="AS35" s="52">
        <f t="shared" si="15"/>
        <v>0</v>
      </c>
      <c r="AT35" s="52">
        <f t="shared" si="15"/>
        <v>0</v>
      </c>
      <c r="AU35" s="52">
        <f t="shared" si="15"/>
        <v>0</v>
      </c>
      <c r="AV35" s="52">
        <f t="shared" si="15"/>
        <v>0</v>
      </c>
      <c r="AW35" s="52">
        <f t="shared" si="15"/>
        <v>0</v>
      </c>
      <c r="AX35" s="52">
        <f t="shared" si="15"/>
        <v>0</v>
      </c>
      <c r="AY35" s="52">
        <f t="shared" si="15"/>
        <v>0</v>
      </c>
      <c r="AZ35" s="52">
        <f t="shared" si="15"/>
        <v>0</v>
      </c>
      <c r="BA35" s="52">
        <f t="shared" si="15"/>
        <v>0</v>
      </c>
      <c r="BB35" s="52">
        <f t="shared" si="15"/>
        <v>0</v>
      </c>
      <c r="BC35" s="52">
        <f t="shared" si="15"/>
        <v>0</v>
      </c>
      <c r="BD35" s="52">
        <f t="shared" si="15"/>
        <v>0</v>
      </c>
      <c r="BE35" s="52">
        <f t="shared" si="15"/>
        <v>0</v>
      </c>
      <c r="BF35" s="52">
        <f t="shared" si="15"/>
        <v>0</v>
      </c>
      <c r="BG35" s="52">
        <f t="shared" si="15"/>
        <v>0</v>
      </c>
      <c r="BH35" s="52">
        <f t="shared" si="15"/>
        <v>0</v>
      </c>
      <c r="BI35" s="52">
        <f t="shared" si="15"/>
        <v>0</v>
      </c>
    </row>
    <row r="36" spans="3:61" outlineLevel="1">
      <c r="D36" s="8"/>
    </row>
    <row r="37" spans="3:61" ht="20.25">
      <c r="C37" s="7" t="s">
        <v>127</v>
      </c>
      <c r="D37" s="8"/>
    </row>
    <row r="38" spans="3:61" ht="15" outlineLevel="1">
      <c r="C38" s="4" t="s">
        <v>128</v>
      </c>
      <c r="D38" s="8"/>
    </row>
    <row r="39" spans="3:61" outlineLevel="1">
      <c r="C39" t="s">
        <v>129</v>
      </c>
      <c r="D39" s="8" t="s">
        <v>48</v>
      </c>
      <c r="I39" s="46">
        <f t="shared" ref="I39:I43" si="16">SUM(J39:BI39)</f>
        <v>90380617.936163217</v>
      </c>
      <c r="J39" s="21">
        <f>QCF!J33*J16</f>
        <v>0</v>
      </c>
      <c r="K39" s="21">
        <f>QCF!K33*K16</f>
        <v>0</v>
      </c>
      <c r="L39" s="21">
        <f>QCF!L33*L16</f>
        <v>0</v>
      </c>
      <c r="M39" s="21">
        <f>QCF!M33*M16</f>
        <v>0</v>
      </c>
      <c r="N39" s="21">
        <f>QCF!N33*N16</f>
        <v>0</v>
      </c>
      <c r="O39" s="21">
        <f>QCF!O33*O16</f>
        <v>0</v>
      </c>
      <c r="P39" s="21">
        <f>QCF!P33*P16</f>
        <v>0</v>
      </c>
      <c r="Q39" s="21">
        <f>QCF!Q33*Q16</f>
        <v>0</v>
      </c>
      <c r="R39" s="21">
        <f>QCF!R33*R16</f>
        <v>3737498.4550000001</v>
      </c>
      <c r="S39" s="21">
        <f>QCF!S33*S16</f>
        <v>3737498.4550000001</v>
      </c>
      <c r="T39" s="21">
        <f>QCF!T33*T16</f>
        <v>3737498.4550000001</v>
      </c>
      <c r="U39" s="21">
        <f>QCF!U33*U16</f>
        <v>3737498.4550000001</v>
      </c>
      <c r="V39" s="21">
        <f>QCF!V33*V16</f>
        <v>3737498.4086500001</v>
      </c>
      <c r="W39" s="21">
        <f>QCF!W33*W16</f>
        <v>3737498.4086500001</v>
      </c>
      <c r="X39" s="21">
        <f>QCF!X33*X16</f>
        <v>3737498.4086500001</v>
      </c>
      <c r="Y39" s="21">
        <f>QCF!Y33*Y16</f>
        <v>3737498.4086500001</v>
      </c>
      <c r="Z39" s="21">
        <f>QCF!Z33*Z16</f>
        <v>3737498.3609095002</v>
      </c>
      <c r="AA39" s="21">
        <f>QCF!AA33*AA16</f>
        <v>3737498.3609095002</v>
      </c>
      <c r="AB39" s="21">
        <f>QCF!AB33*AB16</f>
        <v>3737498.3609095002</v>
      </c>
      <c r="AC39" s="21">
        <f>QCF!AC33*AC16</f>
        <v>3737498.3609095002</v>
      </c>
      <c r="AD39" s="21">
        <f>QCF!AD33*AD16</f>
        <v>3737498.3117367849</v>
      </c>
      <c r="AE39" s="21">
        <f>QCF!AE33*AE16</f>
        <v>3737498.3117367849</v>
      </c>
      <c r="AF39" s="21">
        <f>QCF!AF33*AF16</f>
        <v>3737498.3117367849</v>
      </c>
      <c r="AG39" s="21">
        <f>QCF!AG33*AG16</f>
        <v>3737498.3117367849</v>
      </c>
      <c r="AH39" s="21">
        <f>QCF!AH33*AH16</f>
        <v>3756185.7610888882</v>
      </c>
      <c r="AI39" s="21">
        <f>QCF!AI33*AI16</f>
        <v>3774966.6985888877</v>
      </c>
      <c r="AJ39" s="21">
        <f>QCF!AJ33*AJ16</f>
        <v>3793841.5407763873</v>
      </c>
      <c r="AK39" s="21">
        <f>QCF!AK33*AK16</f>
        <v>3812810.7571748248</v>
      </c>
      <c r="AL39" s="21">
        <f>QCF!AL33*AL16</f>
        <v>3831874.7674879208</v>
      </c>
      <c r="AM39" s="21">
        <f>QCF!AM33*AM16</f>
        <v>3851034.1502807522</v>
      </c>
      <c r="AN39" s="21">
        <f>QCF!AN33*AN16</f>
        <v>3870289.3299875478</v>
      </c>
      <c r="AO39" s="21">
        <f>QCF!AO33*AO16</f>
        <v>3889640.7855928773</v>
      </c>
      <c r="AP39" s="21">
        <f>QCF!AP33*AP16</f>
        <v>0</v>
      </c>
      <c r="AQ39" s="21">
        <f>QCF!AQ33*AQ16</f>
        <v>0</v>
      </c>
      <c r="AR39" s="21">
        <f>QCF!AR33*AR16</f>
        <v>0</v>
      </c>
      <c r="AS39" s="21">
        <f>QCF!AS33*AS16</f>
        <v>0</v>
      </c>
      <c r="AT39" s="21">
        <f>QCF!AT33*AT16</f>
        <v>0</v>
      </c>
      <c r="AU39" s="21">
        <f>QCF!AU33*AU16</f>
        <v>0</v>
      </c>
      <c r="AV39" s="21">
        <f>QCF!AV33*AV16</f>
        <v>0</v>
      </c>
      <c r="AW39" s="21">
        <f>QCF!AW33*AW16</f>
        <v>0</v>
      </c>
      <c r="AX39" s="21">
        <f>QCF!AX33*AX16</f>
        <v>0</v>
      </c>
      <c r="AY39" s="21">
        <f>QCF!AY33*AY16</f>
        <v>0</v>
      </c>
      <c r="AZ39" s="21">
        <f>QCF!AZ33*AZ16</f>
        <v>0</v>
      </c>
      <c r="BA39" s="21">
        <f>QCF!BA33*BA16</f>
        <v>0</v>
      </c>
      <c r="BB39" s="21">
        <f>QCF!BB33*BB16</f>
        <v>0</v>
      </c>
      <c r="BC39" s="21">
        <f>QCF!BC33*BC16</f>
        <v>0</v>
      </c>
      <c r="BD39" s="21">
        <f>QCF!BD33*BD16</f>
        <v>0</v>
      </c>
      <c r="BE39" s="21">
        <f>QCF!BE33*BE16</f>
        <v>0</v>
      </c>
      <c r="BF39" s="21">
        <f>QCF!BF33*BF16</f>
        <v>0</v>
      </c>
      <c r="BG39" s="21">
        <f>QCF!BG33*BG16</f>
        <v>0</v>
      </c>
      <c r="BH39" s="21">
        <f>QCF!BH33*BH16</f>
        <v>0</v>
      </c>
      <c r="BI39" s="21">
        <f>QCF!BI33*BI16</f>
        <v>0</v>
      </c>
    </row>
    <row r="40" spans="3:61" outlineLevel="1">
      <c r="D40" s="8"/>
    </row>
    <row r="41" spans="3:61" outlineLevel="1">
      <c r="C41" t="s">
        <v>29</v>
      </c>
      <c r="D41" s="8" t="s">
        <v>48</v>
      </c>
      <c r="I41" s="46">
        <f t="shared" si="16"/>
        <v>8.5468749999999964</v>
      </c>
      <c r="J41" s="44">
        <f>J30</f>
        <v>0</v>
      </c>
      <c r="K41" s="44">
        <f t="shared" ref="K41:BI41" si="17">K30</f>
        <v>0</v>
      </c>
      <c r="L41" s="44">
        <f t="shared" si="17"/>
        <v>0</v>
      </c>
      <c r="M41" s="44">
        <f t="shared" si="17"/>
        <v>0</v>
      </c>
      <c r="N41" s="44">
        <f t="shared" si="17"/>
        <v>0</v>
      </c>
      <c r="O41" s="44">
        <f t="shared" si="17"/>
        <v>0</v>
      </c>
      <c r="P41" s="44">
        <f t="shared" si="17"/>
        <v>0</v>
      </c>
      <c r="Q41" s="44">
        <f t="shared" si="17"/>
        <v>0</v>
      </c>
      <c r="R41" s="44">
        <f t="shared" si="17"/>
        <v>0.67500000000000004</v>
      </c>
      <c r="S41" s="44">
        <f t="shared" si="17"/>
        <v>0.64687500000000009</v>
      </c>
      <c r="T41" s="44">
        <f t="shared" si="17"/>
        <v>0.61875000000000002</v>
      </c>
      <c r="U41" s="44">
        <f t="shared" si="17"/>
        <v>0.59062499999999996</v>
      </c>
      <c r="V41" s="44">
        <f t="shared" si="17"/>
        <v>0.57291666666666652</v>
      </c>
      <c r="W41" s="44">
        <f t="shared" si="17"/>
        <v>0.54427083333333315</v>
      </c>
      <c r="X41" s="44">
        <f t="shared" si="17"/>
        <v>0.51562499999999978</v>
      </c>
      <c r="Y41" s="44">
        <f t="shared" si="17"/>
        <v>0.48697916666666646</v>
      </c>
      <c r="Z41" s="44">
        <f t="shared" si="17"/>
        <v>0.45833333333333309</v>
      </c>
      <c r="AA41" s="44">
        <f t="shared" si="17"/>
        <v>0.42968749999999978</v>
      </c>
      <c r="AB41" s="44">
        <f t="shared" si="17"/>
        <v>0.40104166666666646</v>
      </c>
      <c r="AC41" s="44">
        <f t="shared" si="17"/>
        <v>0.37239583333333315</v>
      </c>
      <c r="AD41" s="44">
        <f t="shared" si="17"/>
        <v>0.34374999999999983</v>
      </c>
      <c r="AE41" s="44">
        <f t="shared" si="17"/>
        <v>0.31510416666666646</v>
      </c>
      <c r="AF41" s="44">
        <f t="shared" si="17"/>
        <v>0.28645833333333315</v>
      </c>
      <c r="AG41" s="44">
        <f t="shared" si="17"/>
        <v>0.25781249999999983</v>
      </c>
      <c r="AH41" s="44">
        <f t="shared" si="17"/>
        <v>0.22916666666666655</v>
      </c>
      <c r="AI41" s="44">
        <f t="shared" si="17"/>
        <v>0.20052083333333323</v>
      </c>
      <c r="AJ41" s="44">
        <f t="shared" si="17"/>
        <v>0.17187499999999992</v>
      </c>
      <c r="AK41" s="44">
        <f t="shared" si="17"/>
        <v>0.14322916666666657</v>
      </c>
      <c r="AL41" s="44">
        <f t="shared" si="17"/>
        <v>0.11458333333333327</v>
      </c>
      <c r="AM41" s="44">
        <f t="shared" si="17"/>
        <v>8.5937499999999944E-2</v>
      </c>
      <c r="AN41" s="44">
        <f t="shared" si="17"/>
        <v>5.7291666666666609E-2</v>
      </c>
      <c r="AO41" s="44">
        <f t="shared" si="17"/>
        <v>2.864583333333328E-2</v>
      </c>
      <c r="AP41" s="44">
        <f t="shared" si="17"/>
        <v>0</v>
      </c>
      <c r="AQ41" s="44">
        <f t="shared" si="17"/>
        <v>0</v>
      </c>
      <c r="AR41" s="44">
        <f t="shared" si="17"/>
        <v>0</v>
      </c>
      <c r="AS41" s="44">
        <f t="shared" si="17"/>
        <v>0</v>
      </c>
      <c r="AT41" s="44">
        <f t="shared" si="17"/>
        <v>0</v>
      </c>
      <c r="AU41" s="44">
        <f t="shared" si="17"/>
        <v>0</v>
      </c>
      <c r="AV41" s="44">
        <f t="shared" si="17"/>
        <v>0</v>
      </c>
      <c r="AW41" s="44">
        <f t="shared" si="17"/>
        <v>0</v>
      </c>
      <c r="AX41" s="44">
        <f t="shared" si="17"/>
        <v>0</v>
      </c>
      <c r="AY41" s="44">
        <f t="shared" si="17"/>
        <v>0</v>
      </c>
      <c r="AZ41" s="44">
        <f t="shared" si="17"/>
        <v>0</v>
      </c>
      <c r="BA41" s="44">
        <f t="shared" si="17"/>
        <v>0</v>
      </c>
      <c r="BB41" s="44">
        <f t="shared" si="17"/>
        <v>0</v>
      </c>
      <c r="BC41" s="44">
        <f t="shared" si="17"/>
        <v>0</v>
      </c>
      <c r="BD41" s="44">
        <f t="shared" si="17"/>
        <v>0</v>
      </c>
      <c r="BE41" s="44">
        <f t="shared" si="17"/>
        <v>0</v>
      </c>
      <c r="BF41" s="44">
        <f t="shared" si="17"/>
        <v>0</v>
      </c>
      <c r="BG41" s="44">
        <f t="shared" si="17"/>
        <v>0</v>
      </c>
      <c r="BH41" s="44">
        <f t="shared" si="17"/>
        <v>0</v>
      </c>
      <c r="BI41" s="44">
        <f t="shared" si="17"/>
        <v>0</v>
      </c>
    </row>
    <row r="42" spans="3:61" outlineLevel="1">
      <c r="C42" t="s">
        <v>28</v>
      </c>
      <c r="D42" s="8" t="s">
        <v>48</v>
      </c>
      <c r="I42" s="46">
        <f t="shared" si="16"/>
        <v>50.000000000000007</v>
      </c>
      <c r="J42" s="54">
        <f>J35</f>
        <v>0</v>
      </c>
      <c r="K42" s="54">
        <f t="shared" ref="K42:BI42" si="18">K35</f>
        <v>0</v>
      </c>
      <c r="L42" s="54">
        <f t="shared" si="18"/>
        <v>0</v>
      </c>
      <c r="M42" s="54">
        <f t="shared" si="18"/>
        <v>0</v>
      </c>
      <c r="N42" s="54">
        <f t="shared" si="18"/>
        <v>0</v>
      </c>
      <c r="O42" s="54">
        <f t="shared" si="18"/>
        <v>0</v>
      </c>
      <c r="P42" s="54">
        <f t="shared" si="18"/>
        <v>0</v>
      </c>
      <c r="Q42" s="54">
        <f t="shared" si="18"/>
        <v>0</v>
      </c>
      <c r="R42" s="54">
        <f t="shared" si="18"/>
        <v>2.083333333333333</v>
      </c>
      <c r="S42" s="54">
        <f t="shared" si="18"/>
        <v>2.083333333333333</v>
      </c>
      <c r="T42" s="54">
        <f t="shared" si="18"/>
        <v>2.083333333333333</v>
      </c>
      <c r="U42" s="54">
        <f t="shared" si="18"/>
        <v>2.083333333333333</v>
      </c>
      <c r="V42" s="54">
        <f t="shared" si="18"/>
        <v>2.083333333333333</v>
      </c>
      <c r="W42" s="54">
        <f t="shared" si="18"/>
        <v>2.083333333333333</v>
      </c>
      <c r="X42" s="54">
        <f t="shared" si="18"/>
        <v>2.083333333333333</v>
      </c>
      <c r="Y42" s="54">
        <f t="shared" si="18"/>
        <v>2.083333333333333</v>
      </c>
      <c r="Z42" s="54">
        <f t="shared" si="18"/>
        <v>2.083333333333333</v>
      </c>
      <c r="AA42" s="54">
        <f t="shared" si="18"/>
        <v>2.083333333333333</v>
      </c>
      <c r="AB42" s="54">
        <f t="shared" si="18"/>
        <v>2.083333333333333</v>
      </c>
      <c r="AC42" s="54">
        <f t="shared" si="18"/>
        <v>2.083333333333333</v>
      </c>
      <c r="AD42" s="54">
        <f t="shared" si="18"/>
        <v>2.083333333333333</v>
      </c>
      <c r="AE42" s="54">
        <f t="shared" si="18"/>
        <v>2.083333333333333</v>
      </c>
      <c r="AF42" s="54">
        <f t="shared" si="18"/>
        <v>2.083333333333333</v>
      </c>
      <c r="AG42" s="54">
        <f t="shared" si="18"/>
        <v>2.083333333333333</v>
      </c>
      <c r="AH42" s="54">
        <f t="shared" si="18"/>
        <v>2.083333333333333</v>
      </c>
      <c r="AI42" s="54">
        <f t="shared" si="18"/>
        <v>2.083333333333333</v>
      </c>
      <c r="AJ42" s="54">
        <f t="shared" si="18"/>
        <v>2.083333333333333</v>
      </c>
      <c r="AK42" s="54">
        <f t="shared" si="18"/>
        <v>2.083333333333333</v>
      </c>
      <c r="AL42" s="54">
        <f t="shared" si="18"/>
        <v>2.083333333333333</v>
      </c>
      <c r="AM42" s="54">
        <f t="shared" si="18"/>
        <v>2.083333333333333</v>
      </c>
      <c r="AN42" s="54">
        <f t="shared" si="18"/>
        <v>2.083333333333333</v>
      </c>
      <c r="AO42" s="54">
        <f t="shared" si="18"/>
        <v>2.083333333333333</v>
      </c>
      <c r="AP42" s="54">
        <f t="shared" si="18"/>
        <v>0</v>
      </c>
      <c r="AQ42" s="54">
        <f t="shared" si="18"/>
        <v>0</v>
      </c>
      <c r="AR42" s="54">
        <f t="shared" si="18"/>
        <v>0</v>
      </c>
      <c r="AS42" s="54">
        <f t="shared" si="18"/>
        <v>0</v>
      </c>
      <c r="AT42" s="54">
        <f t="shared" si="18"/>
        <v>0</v>
      </c>
      <c r="AU42" s="54">
        <f t="shared" si="18"/>
        <v>0</v>
      </c>
      <c r="AV42" s="54">
        <f t="shared" si="18"/>
        <v>0</v>
      </c>
      <c r="AW42" s="54">
        <f t="shared" si="18"/>
        <v>0</v>
      </c>
      <c r="AX42" s="54">
        <f t="shared" si="18"/>
        <v>0</v>
      </c>
      <c r="AY42" s="54">
        <f t="shared" si="18"/>
        <v>0</v>
      </c>
      <c r="AZ42" s="54">
        <f t="shared" si="18"/>
        <v>0</v>
      </c>
      <c r="BA42" s="54">
        <f t="shared" si="18"/>
        <v>0</v>
      </c>
      <c r="BB42" s="54">
        <f t="shared" si="18"/>
        <v>0</v>
      </c>
      <c r="BC42" s="54">
        <f t="shared" si="18"/>
        <v>0</v>
      </c>
      <c r="BD42" s="54">
        <f t="shared" si="18"/>
        <v>0</v>
      </c>
      <c r="BE42" s="54">
        <f t="shared" si="18"/>
        <v>0</v>
      </c>
      <c r="BF42" s="54">
        <f t="shared" si="18"/>
        <v>0</v>
      </c>
      <c r="BG42" s="54">
        <f t="shared" si="18"/>
        <v>0</v>
      </c>
      <c r="BH42" s="54">
        <f t="shared" si="18"/>
        <v>0</v>
      </c>
      <c r="BI42" s="54">
        <f t="shared" si="18"/>
        <v>0</v>
      </c>
    </row>
    <row r="43" spans="3:61" outlineLevel="1">
      <c r="C43" t="s">
        <v>130</v>
      </c>
      <c r="D43" s="8" t="s">
        <v>48</v>
      </c>
      <c r="I43" s="46">
        <f t="shared" si="16"/>
        <v>58.546875</v>
      </c>
      <c r="J43" s="56">
        <f>SUM(J41:J42)</f>
        <v>0</v>
      </c>
      <c r="K43" s="56">
        <f t="shared" ref="K43:BI43" si="19">SUM(K41:K42)</f>
        <v>0</v>
      </c>
      <c r="L43" s="56">
        <f t="shared" si="19"/>
        <v>0</v>
      </c>
      <c r="M43" s="56">
        <f t="shared" si="19"/>
        <v>0</v>
      </c>
      <c r="N43" s="56">
        <f t="shared" si="19"/>
        <v>0</v>
      </c>
      <c r="O43" s="56">
        <f t="shared" si="19"/>
        <v>0</v>
      </c>
      <c r="P43" s="56">
        <f t="shared" si="19"/>
        <v>0</v>
      </c>
      <c r="Q43" s="56">
        <f t="shared" si="19"/>
        <v>0</v>
      </c>
      <c r="R43" s="56">
        <f t="shared" si="19"/>
        <v>2.7583333333333329</v>
      </c>
      <c r="S43" s="56">
        <f t="shared" si="19"/>
        <v>2.7302083333333331</v>
      </c>
      <c r="T43" s="56">
        <f t="shared" si="19"/>
        <v>2.7020833333333329</v>
      </c>
      <c r="U43" s="56">
        <f t="shared" si="19"/>
        <v>2.6739583333333332</v>
      </c>
      <c r="V43" s="56">
        <f t="shared" si="19"/>
        <v>2.6562499999999996</v>
      </c>
      <c r="W43" s="56">
        <f t="shared" si="19"/>
        <v>2.6276041666666661</v>
      </c>
      <c r="X43" s="56">
        <f t="shared" si="19"/>
        <v>2.598958333333333</v>
      </c>
      <c r="Y43" s="56">
        <f t="shared" si="19"/>
        <v>2.5703124999999996</v>
      </c>
      <c r="Z43" s="56">
        <f t="shared" si="19"/>
        <v>2.5416666666666661</v>
      </c>
      <c r="AA43" s="56">
        <f t="shared" si="19"/>
        <v>2.513020833333333</v>
      </c>
      <c r="AB43" s="56">
        <f t="shared" si="19"/>
        <v>2.4843749999999996</v>
      </c>
      <c r="AC43" s="56">
        <f t="shared" si="19"/>
        <v>2.4557291666666661</v>
      </c>
      <c r="AD43" s="56">
        <f t="shared" si="19"/>
        <v>2.427083333333333</v>
      </c>
      <c r="AE43" s="56">
        <f t="shared" si="19"/>
        <v>2.3984374999999996</v>
      </c>
      <c r="AF43" s="56">
        <f t="shared" si="19"/>
        <v>2.3697916666666661</v>
      </c>
      <c r="AG43" s="56">
        <f t="shared" si="19"/>
        <v>2.341145833333333</v>
      </c>
      <c r="AH43" s="56">
        <f t="shared" si="19"/>
        <v>2.3124999999999996</v>
      </c>
      <c r="AI43" s="56">
        <f t="shared" si="19"/>
        <v>2.2838541666666661</v>
      </c>
      <c r="AJ43" s="56">
        <f t="shared" si="19"/>
        <v>2.255208333333333</v>
      </c>
      <c r="AK43" s="56">
        <f t="shared" si="19"/>
        <v>2.2265624999999996</v>
      </c>
      <c r="AL43" s="56">
        <f t="shared" si="19"/>
        <v>2.1979166666666665</v>
      </c>
      <c r="AM43" s="56">
        <f t="shared" si="19"/>
        <v>2.169270833333333</v>
      </c>
      <c r="AN43" s="56">
        <f t="shared" si="19"/>
        <v>2.1406249999999996</v>
      </c>
      <c r="AO43" s="56">
        <f t="shared" si="19"/>
        <v>2.1119791666666665</v>
      </c>
      <c r="AP43" s="56">
        <f t="shared" si="19"/>
        <v>0</v>
      </c>
      <c r="AQ43" s="56">
        <f t="shared" si="19"/>
        <v>0</v>
      </c>
      <c r="AR43" s="56">
        <f t="shared" si="19"/>
        <v>0</v>
      </c>
      <c r="AS43" s="56">
        <f t="shared" si="19"/>
        <v>0</v>
      </c>
      <c r="AT43" s="56">
        <f t="shared" si="19"/>
        <v>0</v>
      </c>
      <c r="AU43" s="56">
        <f t="shared" si="19"/>
        <v>0</v>
      </c>
      <c r="AV43" s="56">
        <f t="shared" si="19"/>
        <v>0</v>
      </c>
      <c r="AW43" s="56">
        <f t="shared" si="19"/>
        <v>0</v>
      </c>
      <c r="AX43" s="56">
        <f t="shared" si="19"/>
        <v>0</v>
      </c>
      <c r="AY43" s="56">
        <f t="shared" si="19"/>
        <v>0</v>
      </c>
      <c r="AZ43" s="56">
        <f t="shared" si="19"/>
        <v>0</v>
      </c>
      <c r="BA43" s="56">
        <f t="shared" si="19"/>
        <v>0</v>
      </c>
      <c r="BB43" s="56">
        <f t="shared" si="19"/>
        <v>0</v>
      </c>
      <c r="BC43" s="56">
        <f t="shared" si="19"/>
        <v>0</v>
      </c>
      <c r="BD43" s="56">
        <f t="shared" si="19"/>
        <v>0</v>
      </c>
      <c r="BE43" s="56">
        <f t="shared" si="19"/>
        <v>0</v>
      </c>
      <c r="BF43" s="56">
        <f t="shared" si="19"/>
        <v>0</v>
      </c>
      <c r="BG43" s="56">
        <f t="shared" si="19"/>
        <v>0</v>
      </c>
      <c r="BH43" s="56">
        <f t="shared" si="19"/>
        <v>0</v>
      </c>
      <c r="BI43" s="56">
        <f t="shared" si="19"/>
        <v>0</v>
      </c>
    </row>
    <row r="44" spans="3:61" outlineLevel="1">
      <c r="D44" s="8"/>
      <c r="E44" s="25" t="s">
        <v>131</v>
      </c>
      <c r="F44" s="25" t="s">
        <v>132</v>
      </c>
    </row>
    <row r="45" spans="3:61" outlineLevel="1">
      <c r="C45" s="32" t="s">
        <v>133</v>
      </c>
      <c r="D45" s="8" t="s">
        <v>134</v>
      </c>
      <c r="E45" s="58">
        <f t="array" ref="E45">MIN(IF(J16:BI16=1,J45:BI45))</f>
        <v>1354984.3341389732</v>
      </c>
      <c r="F45" s="58">
        <f>IF(I43=0,0,I39/I43)</f>
        <v>1543730.8641351603</v>
      </c>
      <c r="J45" s="57">
        <f t="shared" ref="J45:AO45" si="20">IF(J19&gt;0,J39/J43,0)</f>
        <v>0</v>
      </c>
      <c r="K45" s="57">
        <f t="shared" si="20"/>
        <v>0</v>
      </c>
      <c r="L45" s="57">
        <f t="shared" si="20"/>
        <v>0</v>
      </c>
      <c r="M45" s="57">
        <f t="shared" si="20"/>
        <v>0</v>
      </c>
      <c r="N45" s="57">
        <f t="shared" si="20"/>
        <v>0</v>
      </c>
      <c r="O45" s="57">
        <f t="shared" si="20"/>
        <v>0</v>
      </c>
      <c r="P45" s="57">
        <f t="shared" si="20"/>
        <v>0</v>
      </c>
      <c r="Q45" s="57">
        <f t="shared" si="20"/>
        <v>0</v>
      </c>
      <c r="R45" s="57">
        <f t="shared" si="20"/>
        <v>1354984.3341389732</v>
      </c>
      <c r="S45" s="57">
        <f t="shared" si="20"/>
        <v>1368942.5855780237</v>
      </c>
      <c r="T45" s="57">
        <f t="shared" si="20"/>
        <v>1383191.4097147265</v>
      </c>
      <c r="U45" s="57">
        <f t="shared" si="20"/>
        <v>1397739.9753798209</v>
      </c>
      <c r="V45" s="57">
        <f t="shared" si="20"/>
        <v>1407058.2244329415</v>
      </c>
      <c r="W45" s="57">
        <f t="shared" si="20"/>
        <v>1422397.808643806</v>
      </c>
      <c r="X45" s="57">
        <f t="shared" si="20"/>
        <v>1438075.5400016033</v>
      </c>
      <c r="Y45" s="57">
        <f t="shared" si="20"/>
        <v>1454102.7243379941</v>
      </c>
      <c r="Z45" s="57">
        <f t="shared" si="20"/>
        <v>1470491.1583906233</v>
      </c>
      <c r="AA45" s="57">
        <f t="shared" si="20"/>
        <v>1487253.2337712417</v>
      </c>
      <c r="AB45" s="57">
        <f t="shared" si="20"/>
        <v>1504401.8559635726</v>
      </c>
      <c r="AC45" s="57">
        <f t="shared" si="20"/>
        <v>1521950.5520564669</v>
      </c>
      <c r="AD45" s="57">
        <f t="shared" si="20"/>
        <v>1539913.4674967013</v>
      </c>
      <c r="AE45" s="57">
        <f t="shared" si="20"/>
        <v>1558305.4850238063</v>
      </c>
      <c r="AF45" s="57">
        <f t="shared" si="20"/>
        <v>1577142.1447328855</v>
      </c>
      <c r="AG45" s="57">
        <f t="shared" si="20"/>
        <v>1596439.7683058127</v>
      </c>
      <c r="AH45" s="57">
        <f t="shared" si="20"/>
        <v>1624296.5453357357</v>
      </c>
      <c r="AI45" s="57">
        <f t="shared" si="20"/>
        <v>1652893.0584471303</v>
      </c>
      <c r="AJ45" s="57">
        <f t="shared" si="20"/>
        <v>1682257.6808985369</v>
      </c>
      <c r="AK45" s="57">
        <f t="shared" si="20"/>
        <v>1712420.2698890446</v>
      </c>
      <c r="AL45" s="57">
        <f t="shared" si="20"/>
        <v>1743412.2164873953</v>
      </c>
      <c r="AM45" s="57">
        <f t="shared" si="20"/>
        <v>1775266.6431066135</v>
      </c>
      <c r="AN45" s="57">
        <f t="shared" si="20"/>
        <v>1808018.3731328694</v>
      </c>
      <c r="AO45" s="57">
        <f t="shared" si="20"/>
        <v>1841704.1450895993</v>
      </c>
      <c r="AP45" s="57">
        <f t="shared" ref="AP45:BI45" si="21">IF(AP19&gt;0,AP39/AP43,0)</f>
        <v>0</v>
      </c>
      <c r="AQ45" s="57">
        <f t="shared" si="21"/>
        <v>0</v>
      </c>
      <c r="AR45" s="57">
        <f t="shared" si="21"/>
        <v>0</v>
      </c>
      <c r="AS45" s="57">
        <f t="shared" si="21"/>
        <v>0</v>
      </c>
      <c r="AT45" s="57">
        <f t="shared" si="21"/>
        <v>0</v>
      </c>
      <c r="AU45" s="57">
        <f t="shared" si="21"/>
        <v>0</v>
      </c>
      <c r="AV45" s="57">
        <f t="shared" si="21"/>
        <v>0</v>
      </c>
      <c r="AW45" s="57">
        <f t="shared" si="21"/>
        <v>0</v>
      </c>
      <c r="AX45" s="57">
        <f t="shared" si="21"/>
        <v>0</v>
      </c>
      <c r="AY45" s="57">
        <f t="shared" si="21"/>
        <v>0</v>
      </c>
      <c r="AZ45" s="57">
        <f t="shared" si="21"/>
        <v>0</v>
      </c>
      <c r="BA45" s="57">
        <f t="shared" si="21"/>
        <v>0</v>
      </c>
      <c r="BB45" s="57">
        <f t="shared" si="21"/>
        <v>0</v>
      </c>
      <c r="BC45" s="57">
        <f t="shared" si="21"/>
        <v>0</v>
      </c>
      <c r="BD45" s="57">
        <f t="shared" si="21"/>
        <v>0</v>
      </c>
      <c r="BE45" s="57">
        <f t="shared" si="21"/>
        <v>0</v>
      </c>
      <c r="BF45" s="57">
        <f t="shared" si="21"/>
        <v>0</v>
      </c>
      <c r="BG45" s="57">
        <f t="shared" si="21"/>
        <v>0</v>
      </c>
      <c r="BH45" s="57">
        <f t="shared" si="21"/>
        <v>0</v>
      </c>
      <c r="BI45" s="57">
        <f t="shared" si="21"/>
        <v>0</v>
      </c>
    </row>
    <row r="46" spans="3:61" outlineLevel="1"/>
  </sheetData>
  <conditionalFormatting sqref="J16:BI16">
    <cfRule type="cellIs" dxfId="4" priority="5" operator="equal">
      <formula>1</formula>
    </cfRule>
  </conditionalFormatting>
  <conditionalFormatting sqref="J6:BI6">
    <cfRule type="cellIs" dxfId="3" priority="2" operator="equal">
      <formula>1</formula>
    </cfRule>
  </conditionalFormatting>
  <conditionalFormatting sqref="J7:BI7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58595B"/>
    <outlinePr summaryBelow="0" summaryRight="0"/>
  </sheetPr>
  <dimension ref="A1:BR15"/>
  <sheetViews>
    <sheetView zoomScaleNormal="100" workbookViewId="0">
      <pane xSplit="9" ySplit="7" topLeftCell="AW8" activePane="bottomRight" state="frozen"/>
      <selection pane="bottomRight" activeCell="J5" sqref="J5"/>
      <selection pane="bottomLeft" activeCell="A3" sqref="A3"/>
      <selection pane="topRight" activeCell="A3" sqref="A3"/>
    </sheetView>
  </sheetViews>
  <sheetFormatPr defaultColWidth="0" defaultRowHeight="12.75" outlineLevelRow="1"/>
  <cols>
    <col min="1" max="2" width="2.7109375" customWidth="1"/>
    <col min="3" max="3" width="36" customWidth="1"/>
    <col min="4" max="4" width="11" customWidth="1"/>
    <col min="5" max="6" width="9.42578125" customWidth="1"/>
    <col min="7" max="8" width="1.7109375" customWidth="1"/>
    <col min="9" max="9" width="10.28515625" customWidth="1"/>
    <col min="10" max="61" width="9.7109375" customWidth="1"/>
    <col min="62" max="62" width="1.7109375" customWidth="1"/>
    <col min="63" max="70" width="0" hidden="1" customWidth="1"/>
    <col min="71" max="16384" width="9.140625" hidden="1"/>
  </cols>
  <sheetData>
    <row r="1" spans="1:61" ht="23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</row>
    <row r="4" spans="1:61">
      <c r="A4" s="32" t="s">
        <v>135</v>
      </c>
      <c r="J4" s="6">
        <f>I5+1</f>
        <v>40909</v>
      </c>
      <c r="K4" s="6">
        <f t="shared" ref="K4:BI4" si="0">J5+1</f>
        <v>41000</v>
      </c>
      <c r="L4" s="6">
        <f t="shared" si="0"/>
        <v>41091</v>
      </c>
      <c r="M4" s="6">
        <f t="shared" si="0"/>
        <v>41183</v>
      </c>
      <c r="N4" s="6">
        <f t="shared" si="0"/>
        <v>41275</v>
      </c>
      <c r="O4" s="6">
        <f t="shared" si="0"/>
        <v>41365</v>
      </c>
      <c r="P4" s="6">
        <f t="shared" si="0"/>
        <v>41456</v>
      </c>
      <c r="Q4" s="6">
        <f t="shared" si="0"/>
        <v>41548</v>
      </c>
      <c r="R4" s="6">
        <f t="shared" si="0"/>
        <v>41640</v>
      </c>
      <c r="S4" s="6">
        <f t="shared" si="0"/>
        <v>41730</v>
      </c>
      <c r="T4" s="6">
        <f t="shared" si="0"/>
        <v>41821</v>
      </c>
      <c r="U4" s="6">
        <f t="shared" si="0"/>
        <v>41913</v>
      </c>
      <c r="V4" s="6">
        <f t="shared" si="0"/>
        <v>42005</v>
      </c>
      <c r="W4" s="6">
        <f t="shared" si="0"/>
        <v>42095</v>
      </c>
      <c r="X4" s="6">
        <f t="shared" si="0"/>
        <v>42186</v>
      </c>
      <c r="Y4" s="6">
        <f t="shared" si="0"/>
        <v>42278</v>
      </c>
      <c r="Z4" s="6">
        <f t="shared" si="0"/>
        <v>42370</v>
      </c>
      <c r="AA4" s="6">
        <f t="shared" si="0"/>
        <v>42461</v>
      </c>
      <c r="AB4" s="6">
        <f t="shared" si="0"/>
        <v>42552</v>
      </c>
      <c r="AC4" s="6">
        <f t="shared" si="0"/>
        <v>42644</v>
      </c>
      <c r="AD4" s="6">
        <f t="shared" si="0"/>
        <v>42736</v>
      </c>
      <c r="AE4" s="6">
        <f t="shared" si="0"/>
        <v>42826</v>
      </c>
      <c r="AF4" s="6">
        <f t="shared" si="0"/>
        <v>42917</v>
      </c>
      <c r="AG4" s="6">
        <f t="shared" si="0"/>
        <v>43009</v>
      </c>
      <c r="AH4" s="6">
        <f t="shared" si="0"/>
        <v>43101</v>
      </c>
      <c r="AI4" s="6">
        <f t="shared" si="0"/>
        <v>43191</v>
      </c>
      <c r="AJ4" s="6">
        <f t="shared" si="0"/>
        <v>43282</v>
      </c>
      <c r="AK4" s="6">
        <f t="shared" si="0"/>
        <v>43374</v>
      </c>
      <c r="AL4" s="6">
        <f t="shared" si="0"/>
        <v>43466</v>
      </c>
      <c r="AM4" s="6">
        <f t="shared" si="0"/>
        <v>43556</v>
      </c>
      <c r="AN4" s="6">
        <f t="shared" si="0"/>
        <v>43647</v>
      </c>
      <c r="AO4" s="6">
        <f t="shared" si="0"/>
        <v>43739</v>
      </c>
      <c r="AP4" s="6">
        <f t="shared" si="0"/>
        <v>43831</v>
      </c>
      <c r="AQ4" s="6">
        <f t="shared" si="0"/>
        <v>43922</v>
      </c>
      <c r="AR4" s="6">
        <f t="shared" si="0"/>
        <v>44013</v>
      </c>
      <c r="AS4" s="6">
        <f t="shared" si="0"/>
        <v>44105</v>
      </c>
      <c r="AT4" s="6">
        <f t="shared" si="0"/>
        <v>44197</v>
      </c>
      <c r="AU4" s="6">
        <f t="shared" si="0"/>
        <v>44287</v>
      </c>
      <c r="AV4" s="6">
        <f t="shared" si="0"/>
        <v>44378</v>
      </c>
      <c r="AW4" s="6">
        <f t="shared" si="0"/>
        <v>44470</v>
      </c>
      <c r="AX4" s="6">
        <f t="shared" si="0"/>
        <v>44562</v>
      </c>
      <c r="AY4" s="6">
        <f t="shared" si="0"/>
        <v>44652</v>
      </c>
      <c r="AZ4" s="6">
        <f t="shared" si="0"/>
        <v>44743</v>
      </c>
      <c r="BA4" s="6">
        <f t="shared" si="0"/>
        <v>44835</v>
      </c>
      <c r="BB4" s="6">
        <f t="shared" si="0"/>
        <v>44927</v>
      </c>
      <c r="BC4" s="6">
        <f t="shared" si="0"/>
        <v>45017</v>
      </c>
      <c r="BD4" s="6">
        <f t="shared" si="0"/>
        <v>45108</v>
      </c>
      <c r="BE4" s="6">
        <f t="shared" si="0"/>
        <v>45200</v>
      </c>
      <c r="BF4" s="6">
        <f t="shared" si="0"/>
        <v>45292</v>
      </c>
      <c r="BG4" s="6">
        <f t="shared" si="0"/>
        <v>45383</v>
      </c>
      <c r="BH4" s="6">
        <f t="shared" si="0"/>
        <v>45474</v>
      </c>
      <c r="BI4" s="6">
        <f t="shared" si="0"/>
        <v>45566</v>
      </c>
    </row>
    <row r="5" spans="1:61">
      <c r="A5" s="32" t="s">
        <v>136</v>
      </c>
      <c r="I5" s="38">
        <f>Model_Start</f>
        <v>40908</v>
      </c>
      <c r="J5" s="37">
        <f t="shared" ref="J5:AO5" si="1">EOMONTH(J4,Months_Qtr-1)</f>
        <v>40999</v>
      </c>
      <c r="K5" s="37">
        <f t="shared" si="1"/>
        <v>41090</v>
      </c>
      <c r="L5" s="37">
        <f t="shared" si="1"/>
        <v>41182</v>
      </c>
      <c r="M5" s="37">
        <f t="shared" si="1"/>
        <v>41274</v>
      </c>
      <c r="N5" s="37">
        <f t="shared" si="1"/>
        <v>41364</v>
      </c>
      <c r="O5" s="37">
        <f t="shared" si="1"/>
        <v>41455</v>
      </c>
      <c r="P5" s="37">
        <f t="shared" si="1"/>
        <v>41547</v>
      </c>
      <c r="Q5" s="37">
        <f t="shared" si="1"/>
        <v>41639</v>
      </c>
      <c r="R5" s="37">
        <f t="shared" si="1"/>
        <v>41729</v>
      </c>
      <c r="S5" s="37">
        <f t="shared" si="1"/>
        <v>41820</v>
      </c>
      <c r="T5" s="37">
        <f t="shared" si="1"/>
        <v>41912</v>
      </c>
      <c r="U5" s="37">
        <f t="shared" si="1"/>
        <v>42004</v>
      </c>
      <c r="V5" s="37">
        <f t="shared" si="1"/>
        <v>42094</v>
      </c>
      <c r="W5" s="37">
        <f t="shared" si="1"/>
        <v>42185</v>
      </c>
      <c r="X5" s="37">
        <f t="shared" si="1"/>
        <v>42277</v>
      </c>
      <c r="Y5" s="37">
        <f t="shared" si="1"/>
        <v>42369</v>
      </c>
      <c r="Z5" s="37">
        <f t="shared" si="1"/>
        <v>42460</v>
      </c>
      <c r="AA5" s="37">
        <f t="shared" si="1"/>
        <v>42551</v>
      </c>
      <c r="AB5" s="37">
        <f t="shared" si="1"/>
        <v>42643</v>
      </c>
      <c r="AC5" s="37">
        <f t="shared" si="1"/>
        <v>42735</v>
      </c>
      <c r="AD5" s="37">
        <f t="shared" si="1"/>
        <v>42825</v>
      </c>
      <c r="AE5" s="37">
        <f t="shared" si="1"/>
        <v>42916</v>
      </c>
      <c r="AF5" s="37">
        <f t="shared" si="1"/>
        <v>43008</v>
      </c>
      <c r="AG5" s="37">
        <f t="shared" si="1"/>
        <v>43100</v>
      </c>
      <c r="AH5" s="37">
        <f t="shared" si="1"/>
        <v>43190</v>
      </c>
      <c r="AI5" s="37">
        <f t="shared" si="1"/>
        <v>43281</v>
      </c>
      <c r="AJ5" s="37">
        <f t="shared" si="1"/>
        <v>43373</v>
      </c>
      <c r="AK5" s="37">
        <f t="shared" si="1"/>
        <v>43465</v>
      </c>
      <c r="AL5" s="37">
        <f t="shared" si="1"/>
        <v>43555</v>
      </c>
      <c r="AM5" s="37">
        <f t="shared" si="1"/>
        <v>43646</v>
      </c>
      <c r="AN5" s="37">
        <f t="shared" si="1"/>
        <v>43738</v>
      </c>
      <c r="AO5" s="37">
        <f t="shared" si="1"/>
        <v>43830</v>
      </c>
      <c r="AP5" s="37">
        <f t="shared" ref="AP5:BI5" si="2">EOMONTH(AP4,Months_Qtr-1)</f>
        <v>43921</v>
      </c>
      <c r="AQ5" s="37">
        <f t="shared" si="2"/>
        <v>44012</v>
      </c>
      <c r="AR5" s="37">
        <f t="shared" si="2"/>
        <v>44104</v>
      </c>
      <c r="AS5" s="37">
        <f t="shared" si="2"/>
        <v>44196</v>
      </c>
      <c r="AT5" s="37">
        <f t="shared" si="2"/>
        <v>44286</v>
      </c>
      <c r="AU5" s="37">
        <f t="shared" si="2"/>
        <v>44377</v>
      </c>
      <c r="AV5" s="37">
        <f t="shared" si="2"/>
        <v>44469</v>
      </c>
      <c r="AW5" s="37">
        <f t="shared" si="2"/>
        <v>44561</v>
      </c>
      <c r="AX5" s="37">
        <f t="shared" si="2"/>
        <v>44651</v>
      </c>
      <c r="AY5" s="37">
        <f t="shared" si="2"/>
        <v>44742</v>
      </c>
      <c r="AZ5" s="37">
        <f t="shared" si="2"/>
        <v>44834</v>
      </c>
      <c r="BA5" s="37">
        <f t="shared" si="2"/>
        <v>44926</v>
      </c>
      <c r="BB5" s="37">
        <f t="shared" si="2"/>
        <v>45016</v>
      </c>
      <c r="BC5" s="37">
        <f t="shared" si="2"/>
        <v>45107</v>
      </c>
      <c r="BD5" s="37">
        <f t="shared" si="2"/>
        <v>45199</v>
      </c>
      <c r="BE5" s="37">
        <f t="shared" si="2"/>
        <v>45291</v>
      </c>
      <c r="BF5" s="37">
        <f t="shared" si="2"/>
        <v>45382</v>
      </c>
      <c r="BG5" s="37">
        <f t="shared" si="2"/>
        <v>45473</v>
      </c>
      <c r="BH5" s="37">
        <f t="shared" si="2"/>
        <v>45565</v>
      </c>
      <c r="BI5" s="37">
        <f t="shared" si="2"/>
        <v>45657</v>
      </c>
    </row>
    <row r="6" spans="1:61">
      <c r="A6" s="32" t="s">
        <v>40</v>
      </c>
      <c r="E6" s="38">
        <f>Inputs!E9</f>
        <v>40909</v>
      </c>
      <c r="F6" s="38">
        <f>Inputs!E11</f>
        <v>41639</v>
      </c>
      <c r="J6" s="39">
        <f>IF(AND(J$4&gt;=$E6,J$5&lt;=$F6),1,0)</f>
        <v>1</v>
      </c>
      <c r="K6" s="39">
        <f t="shared" ref="K6:BI7" si="3">IF(AND(K$4&gt;=$E6,K$5&lt;=$F6),1,0)</f>
        <v>1</v>
      </c>
      <c r="L6" s="39">
        <f t="shared" si="3"/>
        <v>1</v>
      </c>
      <c r="M6" s="39">
        <f t="shared" si="3"/>
        <v>1</v>
      </c>
      <c r="N6" s="39">
        <f t="shared" si="3"/>
        <v>1</v>
      </c>
      <c r="O6" s="39">
        <f t="shared" si="3"/>
        <v>1</v>
      </c>
      <c r="P6" s="39">
        <f t="shared" si="3"/>
        <v>1</v>
      </c>
      <c r="Q6" s="39">
        <f t="shared" si="3"/>
        <v>1</v>
      </c>
      <c r="R6" s="39">
        <f t="shared" si="3"/>
        <v>0</v>
      </c>
      <c r="S6" s="39">
        <f t="shared" si="3"/>
        <v>0</v>
      </c>
      <c r="T6" s="39">
        <f t="shared" si="3"/>
        <v>0</v>
      </c>
      <c r="U6" s="39">
        <f t="shared" si="3"/>
        <v>0</v>
      </c>
      <c r="V6" s="39">
        <f t="shared" si="3"/>
        <v>0</v>
      </c>
      <c r="W6" s="39">
        <f t="shared" si="3"/>
        <v>0</v>
      </c>
      <c r="X6" s="39">
        <f t="shared" si="3"/>
        <v>0</v>
      </c>
      <c r="Y6" s="39">
        <f t="shared" si="3"/>
        <v>0</v>
      </c>
      <c r="Z6" s="39">
        <f t="shared" si="3"/>
        <v>0</v>
      </c>
      <c r="AA6" s="39">
        <f t="shared" si="3"/>
        <v>0</v>
      </c>
      <c r="AB6" s="39">
        <f t="shared" si="3"/>
        <v>0</v>
      </c>
      <c r="AC6" s="39">
        <f t="shared" si="3"/>
        <v>0</v>
      </c>
      <c r="AD6" s="39">
        <f t="shared" si="3"/>
        <v>0</v>
      </c>
      <c r="AE6" s="39">
        <f t="shared" si="3"/>
        <v>0</v>
      </c>
      <c r="AF6" s="39">
        <f t="shared" si="3"/>
        <v>0</v>
      </c>
      <c r="AG6" s="39">
        <f t="shared" si="3"/>
        <v>0</v>
      </c>
      <c r="AH6" s="39">
        <f t="shared" si="3"/>
        <v>0</v>
      </c>
      <c r="AI6" s="39">
        <f t="shared" si="3"/>
        <v>0</v>
      </c>
      <c r="AJ6" s="39">
        <f t="shared" si="3"/>
        <v>0</v>
      </c>
      <c r="AK6" s="39">
        <f t="shared" si="3"/>
        <v>0</v>
      </c>
      <c r="AL6" s="39">
        <f t="shared" si="3"/>
        <v>0</v>
      </c>
      <c r="AM6" s="39">
        <f t="shared" si="3"/>
        <v>0</v>
      </c>
      <c r="AN6" s="39">
        <f t="shared" si="3"/>
        <v>0</v>
      </c>
      <c r="AO6" s="39">
        <f t="shared" si="3"/>
        <v>0</v>
      </c>
      <c r="AP6" s="39">
        <f t="shared" si="3"/>
        <v>0</v>
      </c>
      <c r="AQ6" s="39">
        <f t="shared" si="3"/>
        <v>0</v>
      </c>
      <c r="AR6" s="39">
        <f t="shared" si="3"/>
        <v>0</v>
      </c>
      <c r="AS6" s="39">
        <f t="shared" si="3"/>
        <v>0</v>
      </c>
      <c r="AT6" s="39">
        <f t="shared" si="3"/>
        <v>0</v>
      </c>
      <c r="AU6" s="39">
        <f t="shared" si="3"/>
        <v>0</v>
      </c>
      <c r="AV6" s="39">
        <f t="shared" si="3"/>
        <v>0</v>
      </c>
      <c r="AW6" s="39">
        <f t="shared" si="3"/>
        <v>0</v>
      </c>
      <c r="AX6" s="39">
        <f t="shared" si="3"/>
        <v>0</v>
      </c>
      <c r="AY6" s="39">
        <f t="shared" si="3"/>
        <v>0</v>
      </c>
      <c r="AZ6" s="39">
        <f t="shared" si="3"/>
        <v>0</v>
      </c>
      <c r="BA6" s="39">
        <f t="shared" si="3"/>
        <v>0</v>
      </c>
      <c r="BB6" s="39">
        <f t="shared" si="3"/>
        <v>0</v>
      </c>
      <c r="BC6" s="39">
        <f t="shared" si="3"/>
        <v>0</v>
      </c>
      <c r="BD6" s="39">
        <f t="shared" si="3"/>
        <v>0</v>
      </c>
      <c r="BE6" s="39">
        <f t="shared" si="3"/>
        <v>0</v>
      </c>
      <c r="BF6" s="39">
        <f t="shared" si="3"/>
        <v>0</v>
      </c>
      <c r="BG6" s="39">
        <f t="shared" si="3"/>
        <v>0</v>
      </c>
      <c r="BH6" s="39">
        <f t="shared" si="3"/>
        <v>0</v>
      </c>
      <c r="BI6" s="39">
        <f t="shared" si="3"/>
        <v>0</v>
      </c>
    </row>
    <row r="7" spans="1:61">
      <c r="A7" s="32" t="s">
        <v>44</v>
      </c>
      <c r="E7" s="38">
        <f>Inputs!E14</f>
        <v>41640</v>
      </c>
      <c r="F7" s="38">
        <f>Inputs!E16</f>
        <v>45291</v>
      </c>
      <c r="J7" s="39">
        <f>IF(AND(J$4&gt;=$E7,J$5&lt;=$F7),1,0)</f>
        <v>0</v>
      </c>
      <c r="K7" s="39">
        <f t="shared" si="3"/>
        <v>0</v>
      </c>
      <c r="L7" s="39">
        <f t="shared" si="3"/>
        <v>0</v>
      </c>
      <c r="M7" s="39">
        <f t="shared" si="3"/>
        <v>0</v>
      </c>
      <c r="N7" s="39">
        <f t="shared" si="3"/>
        <v>0</v>
      </c>
      <c r="O7" s="39">
        <f t="shared" si="3"/>
        <v>0</v>
      </c>
      <c r="P7" s="39">
        <f t="shared" si="3"/>
        <v>0</v>
      </c>
      <c r="Q7" s="39">
        <f t="shared" si="3"/>
        <v>0</v>
      </c>
      <c r="R7" s="39">
        <f t="shared" si="3"/>
        <v>1</v>
      </c>
      <c r="S7" s="39">
        <f t="shared" si="3"/>
        <v>1</v>
      </c>
      <c r="T7" s="39">
        <f t="shared" si="3"/>
        <v>1</v>
      </c>
      <c r="U7" s="39">
        <f t="shared" si="3"/>
        <v>1</v>
      </c>
      <c r="V7" s="39">
        <f t="shared" si="3"/>
        <v>1</v>
      </c>
      <c r="W7" s="39">
        <f t="shared" si="3"/>
        <v>1</v>
      </c>
      <c r="X7" s="39">
        <f t="shared" si="3"/>
        <v>1</v>
      </c>
      <c r="Y7" s="39">
        <f t="shared" si="3"/>
        <v>1</v>
      </c>
      <c r="Z7" s="39">
        <f t="shared" si="3"/>
        <v>1</v>
      </c>
      <c r="AA7" s="39">
        <f t="shared" si="3"/>
        <v>1</v>
      </c>
      <c r="AB7" s="39">
        <f t="shared" si="3"/>
        <v>1</v>
      </c>
      <c r="AC7" s="39">
        <f t="shared" si="3"/>
        <v>1</v>
      </c>
      <c r="AD7" s="39">
        <f t="shared" si="3"/>
        <v>1</v>
      </c>
      <c r="AE7" s="39">
        <f t="shared" si="3"/>
        <v>1</v>
      </c>
      <c r="AF7" s="39">
        <f t="shared" si="3"/>
        <v>1</v>
      </c>
      <c r="AG7" s="39">
        <f t="shared" si="3"/>
        <v>1</v>
      </c>
      <c r="AH7" s="39">
        <f t="shared" si="3"/>
        <v>1</v>
      </c>
      <c r="AI7" s="39">
        <f t="shared" si="3"/>
        <v>1</v>
      </c>
      <c r="AJ7" s="39">
        <f t="shared" si="3"/>
        <v>1</v>
      </c>
      <c r="AK7" s="39">
        <f t="shared" si="3"/>
        <v>1</v>
      </c>
      <c r="AL7" s="39">
        <f t="shared" si="3"/>
        <v>1</v>
      </c>
      <c r="AM7" s="39">
        <f t="shared" si="3"/>
        <v>1</v>
      </c>
      <c r="AN7" s="39">
        <f t="shared" si="3"/>
        <v>1</v>
      </c>
      <c r="AO7" s="39">
        <f t="shared" si="3"/>
        <v>1</v>
      </c>
      <c r="AP7" s="39">
        <f t="shared" si="3"/>
        <v>1</v>
      </c>
      <c r="AQ7" s="39">
        <f t="shared" si="3"/>
        <v>1</v>
      </c>
      <c r="AR7" s="39">
        <f t="shared" si="3"/>
        <v>1</v>
      </c>
      <c r="AS7" s="39">
        <f t="shared" si="3"/>
        <v>1</v>
      </c>
      <c r="AT7" s="39">
        <f t="shared" si="3"/>
        <v>1</v>
      </c>
      <c r="AU7" s="39">
        <f t="shared" si="3"/>
        <v>1</v>
      </c>
      <c r="AV7" s="39">
        <f t="shared" si="3"/>
        <v>1</v>
      </c>
      <c r="AW7" s="39">
        <f t="shared" si="3"/>
        <v>1</v>
      </c>
      <c r="AX7" s="39">
        <f t="shared" si="3"/>
        <v>1</v>
      </c>
      <c r="AY7" s="39">
        <f t="shared" si="3"/>
        <v>1</v>
      </c>
      <c r="AZ7" s="39">
        <f t="shared" si="3"/>
        <v>1</v>
      </c>
      <c r="BA7" s="39">
        <f t="shared" si="3"/>
        <v>1</v>
      </c>
      <c r="BB7" s="39">
        <f t="shared" si="3"/>
        <v>1</v>
      </c>
      <c r="BC7" s="39">
        <f t="shared" si="3"/>
        <v>1</v>
      </c>
      <c r="BD7" s="39">
        <f t="shared" si="3"/>
        <v>1</v>
      </c>
      <c r="BE7" s="39">
        <f t="shared" si="3"/>
        <v>1</v>
      </c>
      <c r="BF7" s="39">
        <f t="shared" si="3"/>
        <v>0</v>
      </c>
      <c r="BG7" s="39">
        <f t="shared" si="3"/>
        <v>0</v>
      </c>
      <c r="BH7" s="39">
        <f t="shared" si="3"/>
        <v>0</v>
      </c>
      <c r="BI7" s="39">
        <f t="shared" si="3"/>
        <v>0</v>
      </c>
    </row>
    <row r="9" spans="1:61" ht="20.25" collapsed="1">
      <c r="C9" s="7" t="s">
        <v>12</v>
      </c>
    </row>
    <row r="10" spans="1:61" hidden="1" outlineLevel="1">
      <c r="C10" s="32" t="s">
        <v>137</v>
      </c>
      <c r="D10" s="8" t="s">
        <v>81</v>
      </c>
      <c r="J10" s="41">
        <f>SUM($J6:J6)*J6</f>
        <v>1</v>
      </c>
      <c r="K10" s="41">
        <f>SUM($J6:K6)*K6</f>
        <v>2</v>
      </c>
      <c r="L10" s="41">
        <f>SUM($J6:L6)*L6</f>
        <v>3</v>
      </c>
      <c r="M10" s="41">
        <f>SUM($J6:M6)*M6</f>
        <v>4</v>
      </c>
      <c r="N10" s="41">
        <f>SUM($J6:N6)*N6</f>
        <v>5</v>
      </c>
      <c r="O10" s="41">
        <f>SUM($J6:O6)*O6</f>
        <v>6</v>
      </c>
      <c r="P10" s="41">
        <f>SUM($J6:P6)*P6</f>
        <v>7</v>
      </c>
      <c r="Q10" s="41">
        <f>SUM($J6:Q6)*Q6</f>
        <v>8</v>
      </c>
      <c r="R10" s="41">
        <f>SUM($J6:R6)*R6</f>
        <v>0</v>
      </c>
      <c r="S10" s="41">
        <f>SUM($J6:S6)*S6</f>
        <v>0</v>
      </c>
      <c r="T10" s="41">
        <f>SUM($J6:T6)*T6</f>
        <v>0</v>
      </c>
      <c r="U10" s="41">
        <f>SUM($J6:U6)*U6</f>
        <v>0</v>
      </c>
      <c r="V10" s="41">
        <f>SUM($J6:V6)*V6</f>
        <v>0</v>
      </c>
      <c r="W10" s="41">
        <f>SUM($J6:W6)*W6</f>
        <v>0</v>
      </c>
      <c r="X10" s="41">
        <f>SUM($J6:X6)*X6</f>
        <v>0</v>
      </c>
      <c r="Y10" s="41">
        <f>SUM($J6:Y6)*Y6</f>
        <v>0</v>
      </c>
      <c r="Z10" s="41">
        <f>SUM($J6:Z6)*Z6</f>
        <v>0</v>
      </c>
      <c r="AA10" s="41">
        <f>SUM($J6:AA6)*AA6</f>
        <v>0</v>
      </c>
      <c r="AB10" s="41">
        <f>SUM($J6:AB6)*AB6</f>
        <v>0</v>
      </c>
      <c r="AC10" s="41">
        <f>SUM($J6:AC6)*AC6</f>
        <v>0</v>
      </c>
      <c r="AD10" s="41">
        <f>SUM($J6:AD6)*AD6</f>
        <v>0</v>
      </c>
      <c r="AE10" s="41">
        <f>SUM($J6:AE6)*AE6</f>
        <v>0</v>
      </c>
      <c r="AF10" s="41">
        <f>SUM($J6:AF6)*AF6</f>
        <v>0</v>
      </c>
      <c r="AG10" s="41">
        <f>SUM($J6:AG6)*AG6</f>
        <v>0</v>
      </c>
      <c r="AH10" s="41">
        <f>SUM($J6:AH6)*AH6</f>
        <v>0</v>
      </c>
      <c r="AI10" s="41">
        <f>SUM($J6:AI6)*AI6</f>
        <v>0</v>
      </c>
      <c r="AJ10" s="41">
        <f>SUM($J6:AJ6)*AJ6</f>
        <v>0</v>
      </c>
      <c r="AK10" s="41">
        <f>SUM($J6:AK6)*AK6</f>
        <v>0</v>
      </c>
      <c r="AL10" s="41">
        <f>SUM($J6:AL6)*AL6</f>
        <v>0</v>
      </c>
      <c r="AM10" s="41">
        <f>SUM($J6:AM6)*AM6</f>
        <v>0</v>
      </c>
      <c r="AN10" s="41">
        <f>SUM($J6:AN6)*AN6</f>
        <v>0</v>
      </c>
      <c r="AO10" s="41">
        <f>SUM($J6:AO6)*AO6</f>
        <v>0</v>
      </c>
      <c r="AP10" s="41">
        <f>SUM($J6:AP6)*AP6</f>
        <v>0</v>
      </c>
      <c r="AQ10" s="41">
        <f>SUM($J6:AQ6)*AQ6</f>
        <v>0</v>
      </c>
      <c r="AR10" s="41">
        <f>SUM($J6:AR6)*AR6</f>
        <v>0</v>
      </c>
      <c r="AS10" s="41">
        <f>SUM($J6:AS6)*AS6</f>
        <v>0</v>
      </c>
      <c r="AT10" s="41">
        <f>SUM($J6:AT6)*AT6</f>
        <v>0</v>
      </c>
      <c r="AU10" s="41">
        <f>SUM($J6:AU6)*AU6</f>
        <v>0</v>
      </c>
      <c r="AV10" s="41">
        <f>SUM($J6:AV6)*AV6</f>
        <v>0</v>
      </c>
      <c r="AW10" s="41">
        <f>SUM($J6:AW6)*AW6</f>
        <v>0</v>
      </c>
      <c r="AX10" s="41">
        <f>SUM($J6:AX6)*AX6</f>
        <v>0</v>
      </c>
      <c r="AY10" s="41">
        <f>SUM($J6:AY6)*AY6</f>
        <v>0</v>
      </c>
      <c r="AZ10" s="41">
        <f>SUM($J6:AZ6)*AZ6</f>
        <v>0</v>
      </c>
      <c r="BA10" s="41">
        <f>SUM($J6:BA6)*BA6</f>
        <v>0</v>
      </c>
      <c r="BB10" s="41">
        <f>SUM($J6:BB6)*BB6</f>
        <v>0</v>
      </c>
      <c r="BC10" s="41">
        <f>SUM($J6:BC6)*BC6</f>
        <v>0</v>
      </c>
      <c r="BD10" s="41">
        <f>SUM($J6:BD6)*BD6</f>
        <v>0</v>
      </c>
      <c r="BE10" s="41">
        <f>SUM($J6:BE6)*BE6</f>
        <v>0</v>
      </c>
      <c r="BF10" s="41">
        <f>SUM($J6:BF6)*BF6</f>
        <v>0</v>
      </c>
      <c r="BG10" s="41">
        <f>SUM($J6:BG6)*BG6</f>
        <v>0</v>
      </c>
      <c r="BH10" s="41">
        <f>SUM($J6:BH6)*BH6</f>
        <v>0</v>
      </c>
      <c r="BI10" s="41">
        <f>SUM($J6:BI6)*BI6</f>
        <v>0</v>
      </c>
    </row>
    <row r="11" spans="1:61" hidden="1" outlineLevel="1">
      <c r="C11" s="32" t="s">
        <v>138</v>
      </c>
      <c r="D11" s="8" t="s">
        <v>81</v>
      </c>
      <c r="J11" s="41">
        <f>SUM($J7:J7)*J7</f>
        <v>0</v>
      </c>
      <c r="K11" s="41">
        <f>SUM($J7:K7)*K7</f>
        <v>0</v>
      </c>
      <c r="L11" s="41">
        <f>SUM($J7:L7)*L7</f>
        <v>0</v>
      </c>
      <c r="M11" s="41">
        <f>SUM($J7:M7)*M7</f>
        <v>0</v>
      </c>
      <c r="N11" s="41">
        <f>SUM($J7:N7)*N7</f>
        <v>0</v>
      </c>
      <c r="O11" s="41">
        <f>SUM($J7:O7)*O7</f>
        <v>0</v>
      </c>
      <c r="P11" s="41">
        <f>SUM($J7:P7)*P7</f>
        <v>0</v>
      </c>
      <c r="Q11" s="41">
        <f>SUM($J7:Q7)*Q7</f>
        <v>0</v>
      </c>
      <c r="R11" s="41">
        <f>SUM($J7:R7)*R7</f>
        <v>1</v>
      </c>
      <c r="S11" s="41">
        <f>SUM($J7:S7)*S7</f>
        <v>2</v>
      </c>
      <c r="T11" s="41">
        <f>SUM($J7:T7)*T7</f>
        <v>3</v>
      </c>
      <c r="U11" s="41">
        <f>SUM($J7:U7)*U7</f>
        <v>4</v>
      </c>
      <c r="V11" s="41">
        <f>SUM($J7:V7)*V7</f>
        <v>5</v>
      </c>
      <c r="W11" s="41">
        <f>SUM($J7:W7)*W7</f>
        <v>6</v>
      </c>
      <c r="X11" s="41">
        <f>SUM($J7:X7)*X7</f>
        <v>7</v>
      </c>
      <c r="Y11" s="41">
        <f>SUM($J7:Y7)*Y7</f>
        <v>8</v>
      </c>
      <c r="Z11" s="41">
        <f>SUM($J7:Z7)*Z7</f>
        <v>9</v>
      </c>
      <c r="AA11" s="41">
        <f>SUM($J7:AA7)*AA7</f>
        <v>10</v>
      </c>
      <c r="AB11" s="41">
        <f>SUM($J7:AB7)*AB7</f>
        <v>11</v>
      </c>
      <c r="AC11" s="41">
        <f>SUM($J7:AC7)*AC7</f>
        <v>12</v>
      </c>
      <c r="AD11" s="41">
        <f>SUM($J7:AD7)*AD7</f>
        <v>13</v>
      </c>
      <c r="AE11" s="41">
        <f>SUM($J7:AE7)*AE7</f>
        <v>14</v>
      </c>
      <c r="AF11" s="41">
        <f>SUM($J7:AF7)*AF7</f>
        <v>15</v>
      </c>
      <c r="AG11" s="41">
        <f>SUM($J7:AG7)*AG7</f>
        <v>16</v>
      </c>
      <c r="AH11" s="41">
        <f>SUM($J7:AH7)*AH7</f>
        <v>17</v>
      </c>
      <c r="AI11" s="41">
        <f>SUM($J7:AI7)*AI7</f>
        <v>18</v>
      </c>
      <c r="AJ11" s="41">
        <f>SUM($J7:AJ7)*AJ7</f>
        <v>19</v>
      </c>
      <c r="AK11" s="41">
        <f>SUM($J7:AK7)*AK7</f>
        <v>20</v>
      </c>
      <c r="AL11" s="41">
        <f>SUM($J7:AL7)*AL7</f>
        <v>21</v>
      </c>
      <c r="AM11" s="41">
        <f>SUM($J7:AM7)*AM7</f>
        <v>22</v>
      </c>
      <c r="AN11" s="41">
        <f>SUM($J7:AN7)*AN7</f>
        <v>23</v>
      </c>
      <c r="AO11" s="41">
        <f>SUM($J7:AO7)*AO7</f>
        <v>24</v>
      </c>
      <c r="AP11" s="41">
        <f>SUM($J7:AP7)*AP7</f>
        <v>25</v>
      </c>
      <c r="AQ11" s="41">
        <f>SUM($J7:AQ7)*AQ7</f>
        <v>26</v>
      </c>
      <c r="AR11" s="41">
        <f>SUM($J7:AR7)*AR7</f>
        <v>27</v>
      </c>
      <c r="AS11" s="41">
        <f>SUM($J7:AS7)*AS7</f>
        <v>28</v>
      </c>
      <c r="AT11" s="41">
        <f>SUM($J7:AT7)*AT7</f>
        <v>29</v>
      </c>
      <c r="AU11" s="41">
        <f>SUM($J7:AU7)*AU7</f>
        <v>30</v>
      </c>
      <c r="AV11" s="41">
        <f>SUM($J7:AV7)*AV7</f>
        <v>31</v>
      </c>
      <c r="AW11" s="41">
        <f>SUM($J7:AW7)*AW7</f>
        <v>32</v>
      </c>
      <c r="AX11" s="41">
        <f>SUM($J7:AX7)*AX7</f>
        <v>33</v>
      </c>
      <c r="AY11" s="41">
        <f>SUM($J7:AY7)*AY7</f>
        <v>34</v>
      </c>
      <c r="AZ11" s="41">
        <f>SUM($J7:AZ7)*AZ7</f>
        <v>35</v>
      </c>
      <c r="BA11" s="41">
        <f>SUM($J7:BA7)*BA7</f>
        <v>36</v>
      </c>
      <c r="BB11" s="41">
        <f>SUM($J7:BB7)*BB7</f>
        <v>37</v>
      </c>
      <c r="BC11" s="41">
        <f>SUM($J7:BC7)*BC7</f>
        <v>38</v>
      </c>
      <c r="BD11" s="41">
        <f>SUM($J7:BD7)*BD7</f>
        <v>39</v>
      </c>
      <c r="BE11" s="41">
        <f>SUM($J7:BE7)*BE7</f>
        <v>40</v>
      </c>
      <c r="BF11" s="41">
        <f>SUM($J7:BF7)*BF7</f>
        <v>0</v>
      </c>
      <c r="BG11" s="41">
        <f>SUM($J7:BG7)*BG7</f>
        <v>0</v>
      </c>
      <c r="BH11" s="41">
        <f>SUM($J7:BH7)*BH7</f>
        <v>0</v>
      </c>
      <c r="BI11" s="41">
        <f>SUM($J7:BI7)*BI7</f>
        <v>0</v>
      </c>
    </row>
    <row r="12" spans="1:61" hidden="1" outlineLevel="1">
      <c r="C12" s="32" t="s">
        <v>139</v>
      </c>
      <c r="D12" s="8" t="s">
        <v>81</v>
      </c>
      <c r="J12" s="41">
        <f t="shared" ref="J12:AO12" si="4">ROUNDUP(J11/Qtrs_Yr, 0)</f>
        <v>0</v>
      </c>
      <c r="K12" s="41">
        <f t="shared" si="4"/>
        <v>0</v>
      </c>
      <c r="L12" s="41">
        <f t="shared" si="4"/>
        <v>0</v>
      </c>
      <c r="M12" s="41">
        <f t="shared" si="4"/>
        <v>0</v>
      </c>
      <c r="N12" s="41">
        <f t="shared" si="4"/>
        <v>0</v>
      </c>
      <c r="O12" s="41">
        <f t="shared" si="4"/>
        <v>0</v>
      </c>
      <c r="P12" s="41">
        <f t="shared" si="4"/>
        <v>0</v>
      </c>
      <c r="Q12" s="41">
        <f t="shared" si="4"/>
        <v>0</v>
      </c>
      <c r="R12" s="41">
        <f t="shared" si="4"/>
        <v>1</v>
      </c>
      <c r="S12" s="41">
        <f t="shared" si="4"/>
        <v>1</v>
      </c>
      <c r="T12" s="41">
        <f t="shared" si="4"/>
        <v>1</v>
      </c>
      <c r="U12" s="41">
        <f t="shared" si="4"/>
        <v>1</v>
      </c>
      <c r="V12" s="41">
        <f t="shared" si="4"/>
        <v>2</v>
      </c>
      <c r="W12" s="41">
        <f t="shared" si="4"/>
        <v>2</v>
      </c>
      <c r="X12" s="41">
        <f t="shared" si="4"/>
        <v>2</v>
      </c>
      <c r="Y12" s="41">
        <f t="shared" si="4"/>
        <v>2</v>
      </c>
      <c r="Z12" s="41">
        <f t="shared" si="4"/>
        <v>3</v>
      </c>
      <c r="AA12" s="41">
        <f t="shared" si="4"/>
        <v>3</v>
      </c>
      <c r="AB12" s="41">
        <f t="shared" si="4"/>
        <v>3</v>
      </c>
      <c r="AC12" s="41">
        <f t="shared" si="4"/>
        <v>3</v>
      </c>
      <c r="AD12" s="41">
        <f t="shared" si="4"/>
        <v>4</v>
      </c>
      <c r="AE12" s="41">
        <f t="shared" si="4"/>
        <v>4</v>
      </c>
      <c r="AF12" s="41">
        <f t="shared" si="4"/>
        <v>4</v>
      </c>
      <c r="AG12" s="41">
        <f t="shared" si="4"/>
        <v>4</v>
      </c>
      <c r="AH12" s="41">
        <f t="shared" si="4"/>
        <v>5</v>
      </c>
      <c r="AI12" s="41">
        <f t="shared" si="4"/>
        <v>5</v>
      </c>
      <c r="AJ12" s="41">
        <f t="shared" si="4"/>
        <v>5</v>
      </c>
      <c r="AK12" s="41">
        <f t="shared" si="4"/>
        <v>5</v>
      </c>
      <c r="AL12" s="41">
        <f t="shared" si="4"/>
        <v>6</v>
      </c>
      <c r="AM12" s="41">
        <f t="shared" si="4"/>
        <v>6</v>
      </c>
      <c r="AN12" s="41">
        <f t="shared" si="4"/>
        <v>6</v>
      </c>
      <c r="AO12" s="41">
        <f t="shared" si="4"/>
        <v>6</v>
      </c>
      <c r="AP12" s="41">
        <f t="shared" ref="AP12:BI12" si="5">ROUNDUP(AP11/Qtrs_Yr, 0)</f>
        <v>7</v>
      </c>
      <c r="AQ12" s="41">
        <f t="shared" si="5"/>
        <v>7</v>
      </c>
      <c r="AR12" s="41">
        <f t="shared" si="5"/>
        <v>7</v>
      </c>
      <c r="AS12" s="41">
        <f t="shared" si="5"/>
        <v>7</v>
      </c>
      <c r="AT12" s="41">
        <f t="shared" si="5"/>
        <v>8</v>
      </c>
      <c r="AU12" s="41">
        <f t="shared" si="5"/>
        <v>8</v>
      </c>
      <c r="AV12" s="41">
        <f t="shared" si="5"/>
        <v>8</v>
      </c>
      <c r="AW12" s="41">
        <f t="shared" si="5"/>
        <v>8</v>
      </c>
      <c r="AX12" s="41">
        <f t="shared" si="5"/>
        <v>9</v>
      </c>
      <c r="AY12" s="41">
        <f t="shared" si="5"/>
        <v>9</v>
      </c>
      <c r="AZ12" s="41">
        <f t="shared" si="5"/>
        <v>9</v>
      </c>
      <c r="BA12" s="41">
        <f t="shared" si="5"/>
        <v>9</v>
      </c>
      <c r="BB12" s="41">
        <f t="shared" si="5"/>
        <v>10</v>
      </c>
      <c r="BC12" s="41">
        <f t="shared" si="5"/>
        <v>10</v>
      </c>
      <c r="BD12" s="41">
        <f t="shared" si="5"/>
        <v>10</v>
      </c>
      <c r="BE12" s="41">
        <f t="shared" si="5"/>
        <v>10</v>
      </c>
      <c r="BF12" s="41">
        <f t="shared" si="5"/>
        <v>0</v>
      </c>
      <c r="BG12" s="41">
        <f t="shared" si="5"/>
        <v>0</v>
      </c>
      <c r="BH12" s="41">
        <f t="shared" si="5"/>
        <v>0</v>
      </c>
      <c r="BI12" s="41">
        <f t="shared" si="5"/>
        <v>0</v>
      </c>
    </row>
    <row r="13" spans="1:61" hidden="1" outlineLevel="1">
      <c r="C13" s="32" t="s">
        <v>13</v>
      </c>
      <c r="D13" s="8" t="s">
        <v>82</v>
      </c>
      <c r="J13">
        <f>YEAR(J5)</f>
        <v>2012</v>
      </c>
      <c r="K13">
        <f t="shared" ref="K13:BI13" si="6">YEAR(K5)</f>
        <v>2012</v>
      </c>
      <c r="L13">
        <f t="shared" si="6"/>
        <v>2012</v>
      </c>
      <c r="M13">
        <f t="shared" si="6"/>
        <v>2012</v>
      </c>
      <c r="N13">
        <f t="shared" si="6"/>
        <v>2013</v>
      </c>
      <c r="O13">
        <f t="shared" si="6"/>
        <v>2013</v>
      </c>
      <c r="P13">
        <f t="shared" si="6"/>
        <v>2013</v>
      </c>
      <c r="Q13">
        <f t="shared" si="6"/>
        <v>2013</v>
      </c>
      <c r="R13">
        <f t="shared" si="6"/>
        <v>2014</v>
      </c>
      <c r="S13">
        <f t="shared" si="6"/>
        <v>2014</v>
      </c>
      <c r="T13">
        <f t="shared" si="6"/>
        <v>2014</v>
      </c>
      <c r="U13">
        <f t="shared" si="6"/>
        <v>2014</v>
      </c>
      <c r="V13">
        <f t="shared" si="6"/>
        <v>2015</v>
      </c>
      <c r="W13">
        <f t="shared" si="6"/>
        <v>2015</v>
      </c>
      <c r="X13">
        <f t="shared" si="6"/>
        <v>2015</v>
      </c>
      <c r="Y13">
        <f t="shared" si="6"/>
        <v>2015</v>
      </c>
      <c r="Z13">
        <f t="shared" si="6"/>
        <v>2016</v>
      </c>
      <c r="AA13">
        <f t="shared" si="6"/>
        <v>2016</v>
      </c>
      <c r="AB13">
        <f t="shared" si="6"/>
        <v>2016</v>
      </c>
      <c r="AC13">
        <f t="shared" si="6"/>
        <v>2016</v>
      </c>
      <c r="AD13">
        <f t="shared" si="6"/>
        <v>2017</v>
      </c>
      <c r="AE13">
        <f t="shared" si="6"/>
        <v>2017</v>
      </c>
      <c r="AF13">
        <f t="shared" si="6"/>
        <v>2017</v>
      </c>
      <c r="AG13">
        <f t="shared" si="6"/>
        <v>2017</v>
      </c>
      <c r="AH13">
        <f t="shared" si="6"/>
        <v>2018</v>
      </c>
      <c r="AI13">
        <f t="shared" si="6"/>
        <v>2018</v>
      </c>
      <c r="AJ13">
        <f t="shared" si="6"/>
        <v>2018</v>
      </c>
      <c r="AK13">
        <f t="shared" si="6"/>
        <v>2018</v>
      </c>
      <c r="AL13">
        <f t="shared" si="6"/>
        <v>2019</v>
      </c>
      <c r="AM13">
        <f t="shared" si="6"/>
        <v>2019</v>
      </c>
      <c r="AN13">
        <f t="shared" si="6"/>
        <v>2019</v>
      </c>
      <c r="AO13">
        <f t="shared" si="6"/>
        <v>2019</v>
      </c>
      <c r="AP13">
        <f t="shared" si="6"/>
        <v>2020</v>
      </c>
      <c r="AQ13">
        <f t="shared" si="6"/>
        <v>2020</v>
      </c>
      <c r="AR13">
        <f t="shared" si="6"/>
        <v>2020</v>
      </c>
      <c r="AS13">
        <f t="shared" si="6"/>
        <v>2020</v>
      </c>
      <c r="AT13">
        <f t="shared" si="6"/>
        <v>2021</v>
      </c>
      <c r="AU13">
        <f t="shared" si="6"/>
        <v>2021</v>
      </c>
      <c r="AV13">
        <f t="shared" si="6"/>
        <v>2021</v>
      </c>
      <c r="AW13">
        <f t="shared" si="6"/>
        <v>2021</v>
      </c>
      <c r="AX13">
        <f t="shared" si="6"/>
        <v>2022</v>
      </c>
      <c r="AY13">
        <f t="shared" si="6"/>
        <v>2022</v>
      </c>
      <c r="AZ13">
        <f t="shared" si="6"/>
        <v>2022</v>
      </c>
      <c r="BA13">
        <f t="shared" si="6"/>
        <v>2022</v>
      </c>
      <c r="BB13">
        <f t="shared" si="6"/>
        <v>2023</v>
      </c>
      <c r="BC13">
        <f t="shared" si="6"/>
        <v>2023</v>
      </c>
      <c r="BD13">
        <f t="shared" si="6"/>
        <v>2023</v>
      </c>
      <c r="BE13">
        <f t="shared" si="6"/>
        <v>2023</v>
      </c>
      <c r="BF13">
        <f t="shared" si="6"/>
        <v>2024</v>
      </c>
      <c r="BG13">
        <f t="shared" si="6"/>
        <v>2024</v>
      </c>
      <c r="BH13">
        <f t="shared" si="6"/>
        <v>2024</v>
      </c>
      <c r="BI13">
        <f t="shared" si="6"/>
        <v>2024</v>
      </c>
    </row>
    <row r="14" spans="1:61" hidden="1" outlineLevel="1">
      <c r="C14" s="32" t="s">
        <v>140</v>
      </c>
      <c r="D14" s="8" t="s">
        <v>83</v>
      </c>
      <c r="J14">
        <f>J5-J4+1</f>
        <v>91</v>
      </c>
      <c r="K14">
        <f t="shared" ref="K14:BI14" si="7">K5-K4+1</f>
        <v>91</v>
      </c>
      <c r="L14">
        <f t="shared" si="7"/>
        <v>92</v>
      </c>
      <c r="M14">
        <f t="shared" si="7"/>
        <v>92</v>
      </c>
      <c r="N14">
        <f t="shared" si="7"/>
        <v>90</v>
      </c>
      <c r="O14">
        <f t="shared" si="7"/>
        <v>91</v>
      </c>
      <c r="P14">
        <f t="shared" si="7"/>
        <v>92</v>
      </c>
      <c r="Q14">
        <f t="shared" si="7"/>
        <v>92</v>
      </c>
      <c r="R14">
        <f t="shared" si="7"/>
        <v>90</v>
      </c>
      <c r="S14">
        <f t="shared" si="7"/>
        <v>91</v>
      </c>
      <c r="T14">
        <f t="shared" si="7"/>
        <v>92</v>
      </c>
      <c r="U14">
        <f t="shared" si="7"/>
        <v>92</v>
      </c>
      <c r="V14">
        <f t="shared" si="7"/>
        <v>90</v>
      </c>
      <c r="W14">
        <f t="shared" si="7"/>
        <v>91</v>
      </c>
      <c r="X14">
        <f t="shared" si="7"/>
        <v>92</v>
      </c>
      <c r="Y14">
        <f t="shared" si="7"/>
        <v>92</v>
      </c>
      <c r="Z14">
        <f t="shared" si="7"/>
        <v>91</v>
      </c>
      <c r="AA14">
        <f t="shared" si="7"/>
        <v>91</v>
      </c>
      <c r="AB14">
        <f t="shared" si="7"/>
        <v>92</v>
      </c>
      <c r="AC14">
        <f t="shared" si="7"/>
        <v>92</v>
      </c>
      <c r="AD14">
        <f t="shared" si="7"/>
        <v>90</v>
      </c>
      <c r="AE14">
        <f t="shared" si="7"/>
        <v>91</v>
      </c>
      <c r="AF14">
        <f t="shared" si="7"/>
        <v>92</v>
      </c>
      <c r="AG14">
        <f t="shared" si="7"/>
        <v>92</v>
      </c>
      <c r="AH14">
        <f t="shared" si="7"/>
        <v>90</v>
      </c>
      <c r="AI14">
        <f t="shared" si="7"/>
        <v>91</v>
      </c>
      <c r="AJ14">
        <f t="shared" si="7"/>
        <v>92</v>
      </c>
      <c r="AK14">
        <f t="shared" si="7"/>
        <v>92</v>
      </c>
      <c r="AL14">
        <f t="shared" si="7"/>
        <v>90</v>
      </c>
      <c r="AM14">
        <f t="shared" si="7"/>
        <v>91</v>
      </c>
      <c r="AN14">
        <f t="shared" si="7"/>
        <v>92</v>
      </c>
      <c r="AO14">
        <f t="shared" si="7"/>
        <v>92</v>
      </c>
      <c r="AP14">
        <f t="shared" si="7"/>
        <v>91</v>
      </c>
      <c r="AQ14">
        <f t="shared" si="7"/>
        <v>91</v>
      </c>
      <c r="AR14">
        <f t="shared" si="7"/>
        <v>92</v>
      </c>
      <c r="AS14">
        <f t="shared" si="7"/>
        <v>92</v>
      </c>
      <c r="AT14">
        <f t="shared" si="7"/>
        <v>90</v>
      </c>
      <c r="AU14">
        <f t="shared" si="7"/>
        <v>91</v>
      </c>
      <c r="AV14">
        <f t="shared" si="7"/>
        <v>92</v>
      </c>
      <c r="AW14">
        <f t="shared" si="7"/>
        <v>92</v>
      </c>
      <c r="AX14">
        <f t="shared" si="7"/>
        <v>90</v>
      </c>
      <c r="AY14">
        <f t="shared" si="7"/>
        <v>91</v>
      </c>
      <c r="AZ14">
        <f t="shared" si="7"/>
        <v>92</v>
      </c>
      <c r="BA14">
        <f t="shared" si="7"/>
        <v>92</v>
      </c>
      <c r="BB14">
        <f t="shared" si="7"/>
        <v>90</v>
      </c>
      <c r="BC14">
        <f t="shared" si="7"/>
        <v>91</v>
      </c>
      <c r="BD14">
        <f t="shared" si="7"/>
        <v>92</v>
      </c>
      <c r="BE14">
        <f t="shared" si="7"/>
        <v>92</v>
      </c>
      <c r="BF14">
        <f t="shared" si="7"/>
        <v>91</v>
      </c>
      <c r="BG14">
        <f t="shared" si="7"/>
        <v>91</v>
      </c>
      <c r="BH14">
        <f t="shared" si="7"/>
        <v>92</v>
      </c>
      <c r="BI14">
        <f t="shared" si="7"/>
        <v>92</v>
      </c>
    </row>
    <row r="15" spans="1:61" hidden="1" outlineLevel="1"/>
  </sheetData>
  <conditionalFormatting sqref="J6:BI6">
    <cfRule type="cellIs" dxfId="1" priority="2" operator="equal">
      <formula>1</formula>
    </cfRule>
  </conditionalFormatting>
  <conditionalFormatting sqref="J7:BI7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rgb="FFBC2974"/>
    <pageSetUpPr fitToPage="1"/>
  </sheetPr>
  <dimension ref="A1:K72"/>
  <sheetViews>
    <sheetView showGridLines="0" zoomScaleNormal="100" workbookViewId="0">
      <pane ySplit="2" topLeftCell="A3" activePane="bottomLeft" state="frozen"/>
      <selection pane="bottomLeft" activeCell="A2" sqref="A2"/>
      <selection activeCell="A3" sqref="A3"/>
    </sheetView>
  </sheetViews>
  <sheetFormatPr defaultColWidth="0" defaultRowHeight="0" customHeight="1" zeroHeight="1"/>
  <cols>
    <col min="1" max="2" width="1.7109375" customWidth="1"/>
    <col min="3" max="3" width="34.5703125" customWidth="1"/>
    <col min="4" max="4" width="17.7109375" customWidth="1"/>
    <col min="5" max="5" width="24.42578125" bestFit="1" customWidth="1"/>
    <col min="6" max="6" width="5.28515625" customWidth="1"/>
    <col min="7" max="7" width="17.28515625" customWidth="1"/>
    <col min="8" max="9" width="17.7109375" customWidth="1"/>
    <col min="10" max="10" width="9.42578125" customWidth="1"/>
    <col min="11" max="11" width="1.7109375" customWidth="1"/>
    <col min="12" max="16384" width="9.140625" hidden="1"/>
  </cols>
  <sheetData>
    <row r="1" spans="1:10" ht="23.25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spans="1:10" ht="15">
      <c r="A2" s="61" t="str">
        <f>Name_Model</f>
        <v>Transaction Model: Funding options and testing limits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ht="12.75" customHeight="1"/>
    <row r="4" spans="1:10" ht="20.25">
      <c r="C4" s="7" t="s">
        <v>142</v>
      </c>
    </row>
    <row r="5" spans="1:10" ht="15">
      <c r="C5" s="4" t="s">
        <v>143</v>
      </c>
      <c r="D5" s="4"/>
      <c r="E5" s="4"/>
      <c r="F5" s="4"/>
      <c r="G5" s="4" t="s">
        <v>144</v>
      </c>
      <c r="H5" s="4"/>
      <c r="I5" s="4"/>
    </row>
    <row r="6" spans="1:10" ht="24" thickBot="1">
      <c r="C6" t="s">
        <v>145</v>
      </c>
      <c r="E6" s="31" t="s">
        <v>146</v>
      </c>
      <c r="G6" t="s">
        <v>147</v>
      </c>
      <c r="I6" s="20">
        <v>100</v>
      </c>
    </row>
    <row r="7" spans="1:10" ht="20.25">
      <c r="C7" t="s">
        <v>148</v>
      </c>
      <c r="E7" s="7" t="s">
        <v>149</v>
      </c>
    </row>
    <row r="8" spans="1:10" ht="15">
      <c r="C8" t="s">
        <v>150</v>
      </c>
      <c r="E8" s="4" t="s">
        <v>151</v>
      </c>
      <c r="G8" t="s">
        <v>152</v>
      </c>
      <c r="I8" s="14" t="s">
        <v>153</v>
      </c>
    </row>
    <row r="9" spans="1:10" ht="14.25">
      <c r="C9" t="s">
        <v>154</v>
      </c>
      <c r="E9" s="3" t="s">
        <v>155</v>
      </c>
    </row>
    <row r="10" spans="1:10" ht="12.75" customHeight="1">
      <c r="G10" t="s">
        <v>156</v>
      </c>
      <c r="I10" s="16">
        <v>100</v>
      </c>
    </row>
    <row r="11" spans="1:10" ht="12.75" customHeight="1">
      <c r="C11" t="s">
        <v>157</v>
      </c>
      <c r="E11" s="2" t="s">
        <v>158</v>
      </c>
      <c r="I11" s="10"/>
    </row>
    <row r="12" spans="1:10" ht="12.75" customHeight="1">
      <c r="G12" t="s">
        <v>159</v>
      </c>
      <c r="I12" s="17">
        <v>100</v>
      </c>
    </row>
    <row r="13" spans="1:10" ht="15">
      <c r="C13" s="4" t="s">
        <v>160</v>
      </c>
      <c r="D13" s="4"/>
      <c r="E13" s="4"/>
      <c r="F13" s="4"/>
    </row>
    <row r="14" spans="1:10" ht="13.5" thickBot="1">
      <c r="C14" t="s">
        <v>35</v>
      </c>
      <c r="E14" s="23">
        <v>100</v>
      </c>
      <c r="G14" t="s">
        <v>161</v>
      </c>
      <c r="I14" s="11">
        <v>100</v>
      </c>
    </row>
    <row r="15" spans="1:10" ht="12.75" customHeight="1" thickTop="1"/>
    <row r="16" spans="1:10" ht="12.75">
      <c r="C16" t="s">
        <v>162</v>
      </c>
      <c r="E16" s="15">
        <v>100</v>
      </c>
      <c r="F16" s="13"/>
      <c r="G16" t="s">
        <v>163</v>
      </c>
      <c r="I16" s="12">
        <v>100</v>
      </c>
    </row>
    <row r="17" spans="3:7" ht="15">
      <c r="E17" s="13"/>
      <c r="F17" s="13"/>
      <c r="G17" s="4"/>
    </row>
    <row r="18" spans="3:7" ht="15">
      <c r="C18" t="s">
        <v>164</v>
      </c>
      <c r="E18">
        <v>100</v>
      </c>
      <c r="G18" s="4"/>
    </row>
    <row r="19" spans="3:7" ht="12.75" customHeight="1">
      <c r="G19" s="4"/>
    </row>
    <row r="20" spans="3:7" ht="15">
      <c r="C20" t="s">
        <v>165</v>
      </c>
      <c r="E20" s="5">
        <v>1000</v>
      </c>
      <c r="G20" s="4"/>
    </row>
    <row r="21" spans="3:7" ht="15">
      <c r="G21" s="4"/>
    </row>
    <row r="22" spans="3:7" ht="12.75" customHeight="1">
      <c r="C22" t="s">
        <v>166</v>
      </c>
      <c r="E22" s="18"/>
      <c r="G22" s="4"/>
    </row>
    <row r="23" spans="3:7" ht="12.75" customHeight="1">
      <c r="G23" s="4"/>
    </row>
    <row r="24" spans="3:7" ht="20.25">
      <c r="C24" s="7" t="s">
        <v>167</v>
      </c>
      <c r="F24" s="4"/>
      <c r="G24" s="4"/>
    </row>
    <row r="25" spans="3:7" ht="15">
      <c r="C25" s="4" t="s">
        <v>168</v>
      </c>
    </row>
    <row r="26" spans="3:7" ht="12.75">
      <c r="C26" t="s">
        <v>169</v>
      </c>
      <c r="D26" s="8"/>
      <c r="E26" s="62" t="s">
        <v>170</v>
      </c>
    </row>
    <row r="27" spans="3:7" ht="12.75">
      <c r="C27" t="s">
        <v>171</v>
      </c>
      <c r="D27" s="8"/>
      <c r="E27" s="62" t="s">
        <v>172</v>
      </c>
    </row>
    <row r="28" spans="3:7" ht="12.75"/>
    <row r="29" spans="3:7" ht="12.75" customHeight="1">
      <c r="C29" s="4" t="s">
        <v>173</v>
      </c>
    </row>
    <row r="30" spans="3:7" ht="12.75" customHeight="1">
      <c r="C30" t="s">
        <v>174</v>
      </c>
      <c r="D30" s="8"/>
      <c r="E30" s="5">
        <v>365</v>
      </c>
    </row>
    <row r="31" spans="3:7" ht="12.75" customHeight="1">
      <c r="C31" t="s">
        <v>175</v>
      </c>
      <c r="D31" s="8"/>
      <c r="E31" s="5">
        <v>12</v>
      </c>
    </row>
    <row r="32" spans="3:7" ht="12.75">
      <c r="C32" t="s">
        <v>176</v>
      </c>
      <c r="D32" s="8"/>
      <c r="E32" s="5">
        <v>4</v>
      </c>
    </row>
    <row r="33" spans="3:5" ht="12.75">
      <c r="C33" t="s">
        <v>177</v>
      </c>
      <c r="D33" s="8"/>
      <c r="E33" s="5">
        <v>3</v>
      </c>
    </row>
    <row r="34" spans="3:5" ht="12.75" customHeight="1"/>
    <row r="35" spans="3:5" ht="12.75" customHeight="1">
      <c r="C35" t="s">
        <v>178</v>
      </c>
      <c r="D35" s="8"/>
      <c r="E35" s="9">
        <v>1000000</v>
      </c>
    </row>
    <row r="36" spans="3:5" ht="12.75" customHeight="1"/>
    <row r="37" spans="3:5" ht="12.75" customHeight="1"/>
    <row r="38" spans="3:5" ht="12.75" customHeight="1"/>
    <row r="39" spans="3:5" ht="12.75" customHeight="1"/>
    <row r="40" spans="3:5" ht="12.75" customHeight="1"/>
    <row r="41" spans="3:5" ht="12.75" customHeight="1"/>
    <row r="42" spans="3:5" ht="12.75" customHeight="1"/>
    <row r="43" spans="3:5" ht="12.75" customHeight="1"/>
    <row r="44" spans="3:5" ht="12.75" customHeight="1"/>
    <row r="45" spans="3:5" ht="12.75" customHeight="1"/>
    <row r="46" spans="3:5" ht="12.75" customHeight="1"/>
    <row r="47" spans="3:5" ht="12.75" customHeight="1"/>
    <row r="48" spans="3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</sheetData>
  <phoneticPr fontId="4" type="noConversion"/>
  <pageMargins left="0.75" right="0.75" top="1" bottom="1" header="0.5" footer="0.5"/>
  <pageSetup paperSize="9" scale="5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Navigator Project Finance Pty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Model built on a Navigator Course</dc:title>
  <dc:subject/>
  <dc:creator>Theo West</dc:creator>
  <cp:keywords/>
  <dc:description>Contact Details:-_x000d_
Navigator Project Finance Pty Ltd_x000d_
www.navigatorPF.com</dc:description>
  <cp:lastModifiedBy>Sam Ngo</cp:lastModifiedBy>
  <cp:revision/>
  <dcterms:created xsi:type="dcterms:W3CDTF">1996-10-14T23:33:28Z</dcterms:created>
  <dcterms:modified xsi:type="dcterms:W3CDTF">2026-03-03T03:16:38Z</dcterms:modified>
  <cp:category/>
  <cp:contentStatus/>
</cp:coreProperties>
</file>